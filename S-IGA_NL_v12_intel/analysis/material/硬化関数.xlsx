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chiyama\Documents\lab_share\analysis\S-IGA_NL_v7_intel\analysis\material\"/>
    </mc:Choice>
  </mc:AlternateContent>
  <xr:revisionPtr revIDLastSave="0" documentId="13_ncr:1_{11B442AB-DA5B-4593-AB5A-BB690A7223EA}" xr6:coauthVersionLast="47" xr6:coauthVersionMax="47" xr10:uidLastSave="{00000000-0000-0000-0000-000000000000}"/>
  <bookViews>
    <workbookView minimized="1" xWindow="30480" yWindow="-3705" windowWidth="23010" windowHeight="12210" activeTab="1" xr2:uid="{0A58A23F-29D3-4180-8DC7-167108EE65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C7" i="2"/>
  <c r="E5" i="2" l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4" i="2"/>
  <c r="E105" i="2" l="1"/>
  <c r="F104" i="2"/>
  <c r="E106" i="2" l="1"/>
  <c r="F105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C2" i="1"/>
  <c r="H43" i="1"/>
  <c r="H44" i="1" s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B101" i="1"/>
  <c r="B102" i="1" s="1"/>
  <c r="B89" i="1"/>
  <c r="B90" i="1"/>
  <c r="B91" i="1"/>
  <c r="B92" i="1" s="1"/>
  <c r="B93" i="1" s="1"/>
  <c r="B94" i="1" s="1"/>
  <c r="B95" i="1" s="1"/>
  <c r="B96" i="1" s="1"/>
  <c r="B97" i="1" s="1"/>
  <c r="B98" i="1" s="1"/>
  <c r="B99" i="1" s="1"/>
  <c r="B100" i="1" s="1"/>
  <c r="H2" i="1"/>
  <c r="B2" i="1"/>
  <c r="B3" i="1" s="1"/>
  <c r="E107" i="2" l="1"/>
  <c r="F106" i="2"/>
  <c r="H45" i="1"/>
  <c r="C3" i="1"/>
  <c r="B4" i="1"/>
  <c r="H3" i="1"/>
  <c r="E108" i="2" l="1"/>
  <c r="F107" i="2"/>
  <c r="H46" i="1"/>
  <c r="C4" i="1"/>
  <c r="B5" i="1"/>
  <c r="H4" i="1"/>
  <c r="E109" i="2" l="1"/>
  <c r="F108" i="2"/>
  <c r="H47" i="1"/>
  <c r="B6" i="1"/>
  <c r="C5" i="1"/>
  <c r="H5" i="1"/>
  <c r="E110" i="2" l="1"/>
  <c r="F109" i="2"/>
  <c r="H48" i="1"/>
  <c r="H6" i="1"/>
  <c r="B7" i="1"/>
  <c r="C6" i="1"/>
  <c r="F110" i="2" l="1"/>
  <c r="E111" i="2"/>
  <c r="H49" i="1"/>
  <c r="C7" i="1"/>
  <c r="B8" i="1"/>
  <c r="H7" i="1"/>
  <c r="E112" i="2" l="1"/>
  <c r="F111" i="2"/>
  <c r="H50" i="1"/>
  <c r="H8" i="1"/>
  <c r="B9" i="1"/>
  <c r="C8" i="1"/>
  <c r="E113" i="2" l="1"/>
  <c r="F112" i="2"/>
  <c r="H51" i="1"/>
  <c r="B10" i="1"/>
  <c r="C9" i="1"/>
  <c r="H9" i="1"/>
  <c r="E114" i="2" l="1"/>
  <c r="F113" i="2"/>
  <c r="H52" i="1"/>
  <c r="H10" i="1"/>
  <c r="C10" i="1"/>
  <c r="B11" i="1"/>
  <c r="E115" i="2" l="1"/>
  <c r="F114" i="2"/>
  <c r="H53" i="1"/>
  <c r="C11" i="1"/>
  <c r="B12" i="1"/>
  <c r="H11" i="1"/>
  <c r="E116" i="2" l="1"/>
  <c r="F115" i="2"/>
  <c r="H54" i="1"/>
  <c r="H12" i="1"/>
  <c r="B13" i="1"/>
  <c r="C12" i="1"/>
  <c r="E117" i="2" l="1"/>
  <c r="F116" i="2"/>
  <c r="H55" i="1"/>
  <c r="B14" i="1"/>
  <c r="C13" i="1"/>
  <c r="H13" i="1"/>
  <c r="E118" i="2" l="1"/>
  <c r="F117" i="2"/>
  <c r="H56" i="1"/>
  <c r="H14" i="1"/>
  <c r="C14" i="1"/>
  <c r="B15" i="1"/>
  <c r="F118" i="2" l="1"/>
  <c r="E119" i="2"/>
  <c r="H57" i="1"/>
  <c r="B16" i="1"/>
  <c r="C15" i="1"/>
  <c r="H15" i="1"/>
  <c r="E120" i="2" l="1"/>
  <c r="F119" i="2"/>
  <c r="H58" i="1"/>
  <c r="H16" i="1"/>
  <c r="C16" i="1"/>
  <c r="B17" i="1"/>
  <c r="E121" i="2" l="1"/>
  <c r="F120" i="2"/>
  <c r="H59" i="1"/>
  <c r="C17" i="1"/>
  <c r="B18" i="1"/>
  <c r="H17" i="1"/>
  <c r="E122" i="2" l="1"/>
  <c r="F121" i="2"/>
  <c r="H60" i="1"/>
  <c r="H18" i="1"/>
  <c r="B19" i="1"/>
  <c r="C18" i="1"/>
  <c r="E123" i="2" l="1"/>
  <c r="F122" i="2"/>
  <c r="H61" i="1"/>
  <c r="B20" i="1"/>
  <c r="C19" i="1"/>
  <c r="H19" i="1"/>
  <c r="E124" i="2" l="1"/>
  <c r="F123" i="2"/>
  <c r="H62" i="1"/>
  <c r="H20" i="1"/>
  <c r="B21" i="1"/>
  <c r="C20" i="1"/>
  <c r="E125" i="2" l="1"/>
  <c r="F124" i="2"/>
  <c r="H63" i="1"/>
  <c r="C21" i="1"/>
  <c r="B22" i="1"/>
  <c r="H21" i="1"/>
  <c r="E126" i="2" l="1"/>
  <c r="F125" i="2"/>
  <c r="H64" i="1"/>
  <c r="H22" i="1"/>
  <c r="B23" i="1"/>
  <c r="C22" i="1"/>
  <c r="E127" i="2" l="1"/>
  <c r="F126" i="2"/>
  <c r="H65" i="1"/>
  <c r="B24" i="1"/>
  <c r="C23" i="1"/>
  <c r="H23" i="1"/>
  <c r="E128" i="2" l="1"/>
  <c r="F127" i="2"/>
  <c r="H66" i="1"/>
  <c r="H24" i="1"/>
  <c r="C24" i="1"/>
  <c r="B25" i="1"/>
  <c r="E129" i="2" l="1"/>
  <c r="F128" i="2"/>
  <c r="H67" i="1"/>
  <c r="C25" i="1"/>
  <c r="B26" i="1"/>
  <c r="H25" i="1"/>
  <c r="E130" i="2" l="1"/>
  <c r="F129" i="2"/>
  <c r="H68" i="1"/>
  <c r="H26" i="1"/>
  <c r="C26" i="1"/>
  <c r="B27" i="1"/>
  <c r="E131" i="2" l="1"/>
  <c r="F130" i="2"/>
  <c r="H69" i="1"/>
  <c r="B28" i="1"/>
  <c r="C27" i="1"/>
  <c r="H27" i="1"/>
  <c r="E132" i="2" l="1"/>
  <c r="F131" i="2"/>
  <c r="H70" i="1"/>
  <c r="H28" i="1"/>
  <c r="B29" i="1"/>
  <c r="C28" i="1"/>
  <c r="E133" i="2" l="1"/>
  <c r="F132" i="2"/>
  <c r="H71" i="1"/>
  <c r="B30" i="1"/>
  <c r="C29" i="1"/>
  <c r="H29" i="1"/>
  <c r="E134" i="2" l="1"/>
  <c r="F133" i="2"/>
  <c r="H72" i="1"/>
  <c r="H30" i="1"/>
  <c r="B31" i="1"/>
  <c r="C30" i="1"/>
  <c r="E135" i="2" l="1"/>
  <c r="F134" i="2"/>
  <c r="H73" i="1"/>
  <c r="B32" i="1"/>
  <c r="C31" i="1"/>
  <c r="H31" i="1"/>
  <c r="E136" i="2" l="1"/>
  <c r="F135" i="2"/>
  <c r="H74" i="1"/>
  <c r="H32" i="1"/>
  <c r="B33" i="1"/>
  <c r="C32" i="1"/>
  <c r="E137" i="2" l="1"/>
  <c r="F136" i="2"/>
  <c r="H75" i="1"/>
  <c r="B34" i="1"/>
  <c r="C33" i="1"/>
  <c r="H33" i="1"/>
  <c r="E138" i="2" l="1"/>
  <c r="F137" i="2"/>
  <c r="H76" i="1"/>
  <c r="H34" i="1"/>
  <c r="B35" i="1"/>
  <c r="C34" i="1"/>
  <c r="E139" i="2" l="1"/>
  <c r="F138" i="2"/>
  <c r="H77" i="1"/>
  <c r="B36" i="1"/>
  <c r="C35" i="1"/>
  <c r="H35" i="1"/>
  <c r="E140" i="2" l="1"/>
  <c r="F139" i="2"/>
  <c r="H78" i="1"/>
  <c r="H36" i="1"/>
  <c r="B37" i="1"/>
  <c r="C36" i="1"/>
  <c r="E141" i="2" l="1"/>
  <c r="F140" i="2"/>
  <c r="H79" i="1"/>
  <c r="H37" i="1"/>
  <c r="B38" i="1"/>
  <c r="C37" i="1"/>
  <c r="E142" i="2" l="1"/>
  <c r="F141" i="2"/>
  <c r="H80" i="1"/>
  <c r="C38" i="1"/>
  <c r="B39" i="1"/>
  <c r="H38" i="1"/>
  <c r="E143" i="2" l="1"/>
  <c r="F142" i="2"/>
  <c r="H81" i="1"/>
  <c r="H39" i="1"/>
  <c r="C39" i="1"/>
  <c r="B40" i="1"/>
  <c r="E144" i="2" l="1"/>
  <c r="F143" i="2"/>
  <c r="H82" i="1"/>
  <c r="B41" i="1"/>
  <c r="C40" i="1"/>
  <c r="H40" i="1"/>
  <c r="E145" i="2" l="1"/>
  <c r="F144" i="2"/>
  <c r="H83" i="1"/>
  <c r="H41" i="1"/>
  <c r="B42" i="1"/>
  <c r="C41" i="1"/>
  <c r="E146" i="2" l="1"/>
  <c r="F145" i="2"/>
  <c r="H84" i="1"/>
  <c r="C42" i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H42" i="1"/>
  <c r="E147" i="2" l="1"/>
  <c r="F146" i="2"/>
  <c r="H85" i="1"/>
  <c r="E148" i="2" l="1"/>
  <c r="F147" i="2"/>
  <c r="H86" i="1"/>
  <c r="E149" i="2" l="1"/>
  <c r="F148" i="2"/>
  <c r="H87" i="1"/>
  <c r="E150" i="2" l="1"/>
  <c r="F149" i="2"/>
  <c r="H88" i="1"/>
  <c r="F150" i="2" l="1"/>
  <c r="E151" i="2"/>
  <c r="H89" i="1"/>
  <c r="E152" i="2" l="1"/>
  <c r="F151" i="2"/>
  <c r="H90" i="1"/>
  <c r="E153" i="2" l="1"/>
  <c r="F152" i="2"/>
  <c r="H91" i="1"/>
  <c r="E154" i="2" l="1"/>
  <c r="F153" i="2"/>
  <c r="H92" i="1"/>
  <c r="E155" i="2" l="1"/>
  <c r="F154" i="2"/>
  <c r="H93" i="1"/>
  <c r="E156" i="2" l="1"/>
  <c r="F155" i="2"/>
  <c r="H94" i="1"/>
  <c r="E157" i="2" l="1"/>
  <c r="F156" i="2"/>
  <c r="H95" i="1"/>
  <c r="E158" i="2" l="1"/>
  <c r="F157" i="2"/>
  <c r="H96" i="1"/>
  <c r="F158" i="2" l="1"/>
  <c r="E159" i="2"/>
  <c r="H97" i="1"/>
  <c r="E160" i="2" l="1"/>
  <c r="F159" i="2"/>
  <c r="H98" i="1"/>
  <c r="E161" i="2" l="1"/>
  <c r="F160" i="2"/>
  <c r="H99" i="1"/>
  <c r="E162" i="2" l="1"/>
  <c r="F161" i="2"/>
  <c r="H100" i="1"/>
  <c r="E163" i="2" l="1"/>
  <c r="F162" i="2"/>
  <c r="H101" i="1"/>
  <c r="E164" i="2" l="1"/>
  <c r="F163" i="2"/>
  <c r="H102" i="1"/>
  <c r="E165" i="2" l="1"/>
  <c r="F164" i="2"/>
  <c r="E166" i="2" l="1"/>
  <c r="F165" i="2"/>
  <c r="E167" i="2" l="1"/>
  <c r="F166" i="2"/>
  <c r="E168" i="2" l="1"/>
  <c r="F167" i="2"/>
  <c r="E169" i="2" l="1"/>
  <c r="F168" i="2"/>
  <c r="E170" i="2" l="1"/>
  <c r="F169" i="2"/>
  <c r="E171" i="2" l="1"/>
  <c r="F170" i="2"/>
  <c r="E172" i="2" l="1"/>
  <c r="F171" i="2"/>
  <c r="E173" i="2" l="1"/>
  <c r="F172" i="2"/>
  <c r="E174" i="2" l="1"/>
  <c r="F173" i="2"/>
  <c r="E175" i="2" l="1"/>
  <c r="F174" i="2"/>
  <c r="E176" i="2" l="1"/>
  <c r="F175" i="2"/>
  <c r="E177" i="2" l="1"/>
  <c r="F176" i="2"/>
  <c r="E178" i="2" l="1"/>
  <c r="F177" i="2"/>
  <c r="E179" i="2" l="1"/>
  <c r="F178" i="2"/>
  <c r="E180" i="2" l="1"/>
  <c r="F179" i="2"/>
  <c r="E181" i="2" l="1"/>
  <c r="F180" i="2"/>
  <c r="E182" i="2" l="1"/>
  <c r="F181" i="2"/>
  <c r="F182" i="2" l="1"/>
  <c r="E183" i="2"/>
  <c r="E184" i="2" l="1"/>
  <c r="F183" i="2"/>
  <c r="E185" i="2" l="1"/>
  <c r="F184" i="2"/>
  <c r="E186" i="2" l="1"/>
  <c r="F185" i="2"/>
  <c r="E187" i="2" l="1"/>
  <c r="F186" i="2"/>
  <c r="E188" i="2" l="1"/>
  <c r="F187" i="2"/>
  <c r="E189" i="2" l="1"/>
  <c r="F188" i="2"/>
  <c r="E190" i="2" l="1"/>
  <c r="F189" i="2"/>
  <c r="F190" i="2" l="1"/>
  <c r="E191" i="2"/>
  <c r="E192" i="2" l="1"/>
  <c r="F191" i="2"/>
  <c r="E193" i="2" l="1"/>
  <c r="F192" i="2"/>
  <c r="E194" i="2" l="1"/>
  <c r="F193" i="2"/>
  <c r="E195" i="2" l="1"/>
  <c r="F194" i="2"/>
  <c r="E196" i="2" l="1"/>
  <c r="F195" i="2"/>
  <c r="E197" i="2" l="1"/>
  <c r="F196" i="2"/>
  <c r="E198" i="2" l="1"/>
  <c r="F197" i="2"/>
  <c r="E199" i="2" l="1"/>
  <c r="F198" i="2"/>
  <c r="E200" i="2" l="1"/>
  <c r="F199" i="2"/>
  <c r="E201" i="2" l="1"/>
  <c r="F200" i="2"/>
  <c r="E202" i="2" l="1"/>
  <c r="F201" i="2"/>
  <c r="E203" i="2" l="1"/>
  <c r="F202" i="2"/>
  <c r="E204" i="2" l="1"/>
  <c r="F203" i="2"/>
  <c r="E205" i="2" l="1"/>
  <c r="F204" i="2"/>
  <c r="E206" i="2" l="1"/>
  <c r="F205" i="2"/>
  <c r="E207" i="2" l="1"/>
  <c r="F206" i="2"/>
  <c r="E208" i="2" l="1"/>
  <c r="F207" i="2"/>
  <c r="E209" i="2" l="1"/>
  <c r="F208" i="2"/>
  <c r="E210" i="2" l="1"/>
  <c r="F209" i="2"/>
  <c r="E211" i="2" l="1"/>
  <c r="F210" i="2"/>
  <c r="E212" i="2" l="1"/>
  <c r="F211" i="2"/>
  <c r="E213" i="2" l="1"/>
  <c r="F212" i="2"/>
  <c r="E214" i="2" l="1"/>
  <c r="F213" i="2"/>
  <c r="E215" i="2" l="1"/>
  <c r="F214" i="2"/>
  <c r="E216" i="2" l="1"/>
  <c r="F215" i="2"/>
  <c r="E217" i="2" l="1"/>
  <c r="F216" i="2"/>
  <c r="E218" i="2" l="1"/>
  <c r="F217" i="2"/>
  <c r="E219" i="2" l="1"/>
  <c r="F218" i="2"/>
  <c r="E220" i="2" l="1"/>
  <c r="F219" i="2"/>
  <c r="E221" i="2" l="1"/>
  <c r="F220" i="2"/>
  <c r="E222" i="2" l="1"/>
  <c r="F221" i="2"/>
  <c r="F222" i="2" l="1"/>
  <c r="E223" i="2"/>
  <c r="E224" i="2" l="1"/>
  <c r="F223" i="2"/>
  <c r="E225" i="2" l="1"/>
  <c r="F224" i="2"/>
  <c r="E226" i="2" l="1"/>
  <c r="F225" i="2"/>
  <c r="E227" i="2" l="1"/>
  <c r="F226" i="2"/>
  <c r="E228" i="2" l="1"/>
  <c r="F227" i="2"/>
  <c r="E229" i="2" l="1"/>
  <c r="F228" i="2"/>
  <c r="E230" i="2" l="1"/>
  <c r="F229" i="2"/>
  <c r="F230" i="2" l="1"/>
  <c r="E231" i="2"/>
  <c r="E232" i="2" l="1"/>
  <c r="F231" i="2"/>
  <c r="E233" i="2" l="1"/>
  <c r="F232" i="2"/>
  <c r="E234" i="2" l="1"/>
  <c r="F233" i="2"/>
  <c r="E235" i="2" l="1"/>
  <c r="F234" i="2"/>
  <c r="E236" i="2" l="1"/>
  <c r="F235" i="2"/>
  <c r="E237" i="2" l="1"/>
  <c r="F236" i="2"/>
  <c r="E238" i="2" l="1"/>
  <c r="F237" i="2"/>
  <c r="E239" i="2" l="1"/>
  <c r="F238" i="2"/>
  <c r="E240" i="2" l="1"/>
  <c r="F239" i="2"/>
  <c r="E241" i="2" l="1"/>
  <c r="F240" i="2"/>
  <c r="E242" i="2" l="1"/>
  <c r="F241" i="2"/>
  <c r="E243" i="2" l="1"/>
  <c r="F242" i="2"/>
  <c r="E244" i="2" l="1"/>
  <c r="F243" i="2"/>
  <c r="E245" i="2" l="1"/>
  <c r="F244" i="2"/>
  <c r="E246" i="2" l="1"/>
  <c r="F245" i="2"/>
  <c r="F246" i="2" l="1"/>
  <c r="E247" i="2"/>
  <c r="E248" i="2" l="1"/>
  <c r="F247" i="2"/>
  <c r="E249" i="2" l="1"/>
  <c r="F248" i="2"/>
  <c r="E250" i="2" l="1"/>
  <c r="F249" i="2"/>
  <c r="E251" i="2" l="1"/>
  <c r="F250" i="2"/>
  <c r="E252" i="2" l="1"/>
  <c r="F251" i="2"/>
  <c r="E253" i="2" l="1"/>
  <c r="F252" i="2"/>
  <c r="E254" i="2" l="1"/>
  <c r="F253" i="2"/>
  <c r="E255" i="2" l="1"/>
  <c r="F254" i="2"/>
  <c r="E256" i="2" l="1"/>
  <c r="F255" i="2"/>
  <c r="E257" i="2" l="1"/>
  <c r="F256" i="2"/>
  <c r="E258" i="2" l="1"/>
  <c r="F257" i="2"/>
  <c r="E259" i="2" l="1"/>
  <c r="F258" i="2"/>
  <c r="E260" i="2" l="1"/>
  <c r="F259" i="2"/>
  <c r="E261" i="2" l="1"/>
  <c r="F260" i="2"/>
  <c r="E262" i="2" l="1"/>
  <c r="F261" i="2"/>
  <c r="E263" i="2" l="1"/>
  <c r="F262" i="2"/>
  <c r="E264" i="2" l="1"/>
  <c r="F263" i="2"/>
  <c r="E265" i="2" l="1"/>
  <c r="F264" i="2"/>
  <c r="E266" i="2" l="1"/>
  <c r="F265" i="2"/>
  <c r="E267" i="2" l="1"/>
  <c r="F266" i="2"/>
  <c r="E268" i="2" l="1"/>
  <c r="F267" i="2"/>
  <c r="E269" i="2" l="1"/>
  <c r="F268" i="2"/>
  <c r="E270" i="2" l="1"/>
  <c r="F269" i="2"/>
  <c r="E271" i="2" l="1"/>
  <c r="F270" i="2"/>
  <c r="E272" i="2" l="1"/>
  <c r="F271" i="2"/>
  <c r="E273" i="2" l="1"/>
  <c r="F272" i="2"/>
  <c r="E274" i="2" l="1"/>
  <c r="F273" i="2"/>
  <c r="E275" i="2" l="1"/>
  <c r="F274" i="2"/>
  <c r="E276" i="2" l="1"/>
  <c r="F275" i="2"/>
  <c r="E277" i="2" l="1"/>
  <c r="F276" i="2"/>
  <c r="E278" i="2" l="1"/>
  <c r="F277" i="2"/>
  <c r="E279" i="2" l="1"/>
  <c r="F278" i="2"/>
  <c r="E280" i="2" l="1"/>
  <c r="F279" i="2"/>
  <c r="E281" i="2" l="1"/>
  <c r="F280" i="2"/>
  <c r="E282" i="2" l="1"/>
  <c r="F281" i="2"/>
  <c r="E283" i="2" l="1"/>
  <c r="F282" i="2"/>
  <c r="E284" i="2" l="1"/>
  <c r="F283" i="2"/>
  <c r="E285" i="2" l="1"/>
  <c r="F284" i="2"/>
  <c r="E286" i="2" l="1"/>
  <c r="F285" i="2"/>
  <c r="F286" i="2" l="1"/>
  <c r="E287" i="2"/>
  <c r="E288" i="2" l="1"/>
  <c r="F287" i="2"/>
  <c r="E289" i="2" l="1"/>
  <c r="F288" i="2"/>
  <c r="E290" i="2" l="1"/>
  <c r="F289" i="2"/>
  <c r="E291" i="2" l="1"/>
  <c r="F290" i="2"/>
  <c r="E292" i="2" l="1"/>
  <c r="F291" i="2"/>
  <c r="E293" i="2" l="1"/>
  <c r="F292" i="2"/>
  <c r="E294" i="2" l="1"/>
  <c r="F293" i="2"/>
  <c r="E295" i="2" l="1"/>
  <c r="F294" i="2"/>
  <c r="E296" i="2" l="1"/>
  <c r="F295" i="2"/>
  <c r="E297" i="2" l="1"/>
  <c r="F296" i="2"/>
  <c r="E298" i="2" l="1"/>
  <c r="F297" i="2"/>
  <c r="E299" i="2" l="1"/>
  <c r="F298" i="2"/>
  <c r="E300" i="2" l="1"/>
  <c r="F299" i="2"/>
  <c r="E301" i="2" l="1"/>
  <c r="F300" i="2"/>
  <c r="E302" i="2" l="1"/>
  <c r="F301" i="2"/>
  <c r="E303" i="2" l="1"/>
  <c r="F302" i="2"/>
  <c r="E304" i="2" l="1"/>
  <c r="F303" i="2"/>
  <c r="E305" i="2" l="1"/>
  <c r="F304" i="2"/>
  <c r="E306" i="2" l="1"/>
  <c r="F305" i="2"/>
  <c r="E307" i="2" l="1"/>
  <c r="F306" i="2"/>
  <c r="E308" i="2" l="1"/>
  <c r="F307" i="2"/>
  <c r="E309" i="2" l="1"/>
  <c r="F308" i="2"/>
  <c r="E310" i="2" l="1"/>
  <c r="F309" i="2"/>
  <c r="E311" i="2" l="1"/>
  <c r="F310" i="2"/>
  <c r="E312" i="2" l="1"/>
  <c r="F311" i="2"/>
  <c r="E313" i="2" l="1"/>
  <c r="F312" i="2"/>
  <c r="E314" i="2" l="1"/>
  <c r="F313" i="2"/>
  <c r="E315" i="2" l="1"/>
  <c r="F314" i="2"/>
  <c r="E316" i="2" l="1"/>
  <c r="F315" i="2"/>
  <c r="E317" i="2" l="1"/>
  <c r="F316" i="2"/>
  <c r="E318" i="2" l="1"/>
  <c r="F317" i="2"/>
  <c r="F318" i="2" l="1"/>
  <c r="E319" i="2"/>
  <c r="E320" i="2" l="1"/>
  <c r="F319" i="2"/>
  <c r="E321" i="2" l="1"/>
  <c r="F320" i="2"/>
  <c r="E322" i="2" l="1"/>
  <c r="F321" i="2"/>
  <c r="E323" i="2" l="1"/>
  <c r="F322" i="2"/>
  <c r="E324" i="2" l="1"/>
  <c r="F323" i="2"/>
  <c r="E325" i="2" l="1"/>
  <c r="F324" i="2"/>
  <c r="E326" i="2" l="1"/>
  <c r="F325" i="2"/>
  <c r="E327" i="2" l="1"/>
  <c r="F326" i="2"/>
  <c r="E328" i="2" l="1"/>
  <c r="F327" i="2"/>
  <c r="E329" i="2" l="1"/>
  <c r="F328" i="2"/>
  <c r="E330" i="2" l="1"/>
  <c r="F329" i="2"/>
  <c r="E331" i="2" l="1"/>
  <c r="F330" i="2"/>
  <c r="E332" i="2" l="1"/>
  <c r="F331" i="2"/>
  <c r="E333" i="2" l="1"/>
  <c r="F332" i="2"/>
  <c r="E334" i="2" l="1"/>
  <c r="F333" i="2"/>
  <c r="E335" i="2" l="1"/>
  <c r="F334" i="2"/>
  <c r="E336" i="2" l="1"/>
  <c r="F335" i="2"/>
  <c r="E337" i="2" l="1"/>
  <c r="F336" i="2"/>
  <c r="E338" i="2" l="1"/>
  <c r="F337" i="2"/>
  <c r="E339" i="2" l="1"/>
  <c r="F338" i="2"/>
  <c r="E340" i="2" l="1"/>
  <c r="F339" i="2"/>
  <c r="E341" i="2" l="1"/>
  <c r="F340" i="2"/>
  <c r="E342" i="2" l="1"/>
  <c r="F341" i="2"/>
  <c r="E343" i="2" l="1"/>
  <c r="F342" i="2"/>
  <c r="E344" i="2" l="1"/>
  <c r="F343" i="2"/>
  <c r="E345" i="2" l="1"/>
  <c r="F344" i="2"/>
  <c r="E346" i="2" l="1"/>
  <c r="F345" i="2"/>
  <c r="E347" i="2" l="1"/>
  <c r="F346" i="2"/>
  <c r="E348" i="2" l="1"/>
  <c r="F347" i="2"/>
  <c r="E349" i="2" l="1"/>
  <c r="F348" i="2"/>
  <c r="E350" i="2" l="1"/>
  <c r="F349" i="2"/>
  <c r="E351" i="2" l="1"/>
  <c r="F350" i="2"/>
  <c r="E352" i="2" l="1"/>
  <c r="F351" i="2"/>
  <c r="E353" i="2" l="1"/>
  <c r="F352" i="2"/>
  <c r="E354" i="2" l="1"/>
  <c r="F353" i="2"/>
  <c r="E355" i="2" l="1"/>
  <c r="F354" i="2"/>
  <c r="E356" i="2" l="1"/>
  <c r="F355" i="2"/>
  <c r="E357" i="2" l="1"/>
  <c r="F356" i="2"/>
  <c r="E358" i="2" l="1"/>
  <c r="F357" i="2"/>
  <c r="E359" i="2" l="1"/>
  <c r="F358" i="2"/>
  <c r="E360" i="2" l="1"/>
  <c r="F359" i="2"/>
  <c r="E361" i="2" l="1"/>
  <c r="F360" i="2"/>
  <c r="E362" i="2" l="1"/>
  <c r="F361" i="2"/>
  <c r="E363" i="2" l="1"/>
  <c r="F362" i="2"/>
  <c r="E364" i="2" l="1"/>
  <c r="F363" i="2"/>
  <c r="E365" i="2" l="1"/>
  <c r="F364" i="2"/>
  <c r="E366" i="2" l="1"/>
  <c r="F365" i="2"/>
  <c r="F366" i="2" l="1"/>
  <c r="E367" i="2"/>
  <c r="E368" i="2" l="1"/>
  <c r="F367" i="2"/>
  <c r="E369" i="2" l="1"/>
  <c r="F368" i="2"/>
  <c r="E370" i="2" l="1"/>
  <c r="F369" i="2"/>
  <c r="E371" i="2" l="1"/>
  <c r="F370" i="2"/>
  <c r="E372" i="2" l="1"/>
  <c r="F371" i="2"/>
  <c r="E373" i="2" l="1"/>
  <c r="F372" i="2"/>
  <c r="E374" i="2" l="1"/>
  <c r="F373" i="2"/>
  <c r="E375" i="2" l="1"/>
  <c r="F374" i="2"/>
  <c r="E376" i="2" l="1"/>
  <c r="F375" i="2"/>
  <c r="E377" i="2" l="1"/>
  <c r="F376" i="2"/>
  <c r="E378" i="2" l="1"/>
  <c r="F377" i="2"/>
  <c r="E379" i="2" l="1"/>
  <c r="F378" i="2"/>
  <c r="E380" i="2" l="1"/>
  <c r="F379" i="2"/>
  <c r="E381" i="2" l="1"/>
  <c r="F380" i="2"/>
  <c r="E382" i="2" l="1"/>
  <c r="F381" i="2"/>
  <c r="F382" i="2" l="1"/>
  <c r="E383" i="2"/>
  <c r="E384" i="2" l="1"/>
  <c r="F383" i="2"/>
  <c r="E385" i="2" l="1"/>
  <c r="F384" i="2"/>
  <c r="E386" i="2" l="1"/>
  <c r="F385" i="2"/>
  <c r="E387" i="2" l="1"/>
  <c r="F386" i="2"/>
  <c r="E388" i="2" l="1"/>
  <c r="F387" i="2"/>
  <c r="E389" i="2" l="1"/>
  <c r="F388" i="2"/>
  <c r="E390" i="2" l="1"/>
  <c r="F389" i="2"/>
  <c r="E391" i="2" l="1"/>
  <c r="F390" i="2"/>
  <c r="E392" i="2" l="1"/>
  <c r="F391" i="2"/>
  <c r="E393" i="2" l="1"/>
  <c r="F392" i="2"/>
  <c r="E394" i="2" l="1"/>
  <c r="F393" i="2"/>
  <c r="E395" i="2" l="1"/>
  <c r="F394" i="2"/>
  <c r="E396" i="2" l="1"/>
  <c r="F395" i="2"/>
  <c r="E397" i="2" l="1"/>
  <c r="F396" i="2"/>
  <c r="E398" i="2" l="1"/>
  <c r="F397" i="2"/>
  <c r="E399" i="2" l="1"/>
  <c r="F398" i="2"/>
  <c r="E400" i="2" l="1"/>
  <c r="F399" i="2"/>
  <c r="E401" i="2" l="1"/>
  <c r="F400" i="2"/>
  <c r="E402" i="2" l="1"/>
  <c r="F401" i="2"/>
  <c r="E403" i="2" l="1"/>
  <c r="F402" i="2"/>
  <c r="E404" i="2" l="1"/>
  <c r="F403" i="2"/>
  <c r="E405" i="2" l="1"/>
  <c r="F404" i="2"/>
  <c r="E406" i="2" l="1"/>
  <c r="F405" i="2"/>
  <c r="E407" i="2" l="1"/>
  <c r="F406" i="2"/>
  <c r="E408" i="2" l="1"/>
  <c r="F407" i="2"/>
  <c r="E409" i="2" l="1"/>
  <c r="F408" i="2"/>
  <c r="E410" i="2" l="1"/>
  <c r="F409" i="2"/>
  <c r="E411" i="2" l="1"/>
  <c r="F410" i="2"/>
  <c r="E412" i="2" l="1"/>
  <c r="F411" i="2"/>
  <c r="E413" i="2" l="1"/>
  <c r="F412" i="2"/>
  <c r="E414" i="2" l="1"/>
  <c r="F413" i="2"/>
  <c r="F414" i="2" l="1"/>
  <c r="E415" i="2"/>
  <c r="E416" i="2" l="1"/>
  <c r="F415" i="2"/>
  <c r="E417" i="2" l="1"/>
  <c r="F416" i="2"/>
  <c r="E418" i="2" l="1"/>
  <c r="F417" i="2"/>
  <c r="E419" i="2" l="1"/>
  <c r="F418" i="2"/>
  <c r="E420" i="2" l="1"/>
  <c r="F419" i="2"/>
  <c r="E421" i="2" l="1"/>
  <c r="F420" i="2"/>
  <c r="E422" i="2" l="1"/>
  <c r="F421" i="2"/>
  <c r="E423" i="2" l="1"/>
  <c r="F422" i="2"/>
  <c r="E424" i="2" l="1"/>
  <c r="F423" i="2"/>
  <c r="E425" i="2" l="1"/>
  <c r="F424" i="2"/>
  <c r="E426" i="2" l="1"/>
  <c r="F425" i="2"/>
  <c r="E427" i="2" l="1"/>
  <c r="F426" i="2"/>
  <c r="E428" i="2" l="1"/>
  <c r="F427" i="2"/>
  <c r="E429" i="2" l="1"/>
  <c r="F428" i="2"/>
  <c r="E430" i="2" l="1"/>
  <c r="F429" i="2"/>
  <c r="E431" i="2" l="1"/>
  <c r="F430" i="2"/>
  <c r="E432" i="2" l="1"/>
  <c r="F431" i="2"/>
  <c r="E433" i="2" l="1"/>
  <c r="F432" i="2"/>
  <c r="E434" i="2" l="1"/>
  <c r="F433" i="2"/>
  <c r="E435" i="2" l="1"/>
  <c r="F434" i="2"/>
  <c r="E436" i="2" l="1"/>
  <c r="F435" i="2"/>
  <c r="E437" i="2" l="1"/>
  <c r="F436" i="2"/>
  <c r="E438" i="2" l="1"/>
  <c r="F437" i="2"/>
  <c r="E439" i="2" l="1"/>
  <c r="F438" i="2"/>
  <c r="E440" i="2" l="1"/>
  <c r="F439" i="2"/>
  <c r="E441" i="2" l="1"/>
  <c r="F440" i="2"/>
  <c r="E442" i="2" l="1"/>
  <c r="F441" i="2"/>
  <c r="E443" i="2" l="1"/>
  <c r="F442" i="2"/>
  <c r="E444" i="2" l="1"/>
  <c r="F443" i="2"/>
  <c r="E445" i="2" l="1"/>
  <c r="F444" i="2"/>
  <c r="E446" i="2" l="1"/>
  <c r="F445" i="2"/>
  <c r="E447" i="2" l="1"/>
  <c r="F446" i="2"/>
  <c r="E448" i="2" l="1"/>
  <c r="F447" i="2"/>
  <c r="E449" i="2" l="1"/>
  <c r="F448" i="2"/>
  <c r="E450" i="2" l="1"/>
  <c r="F449" i="2"/>
  <c r="E451" i="2" l="1"/>
  <c r="F450" i="2"/>
  <c r="E452" i="2" l="1"/>
  <c r="F451" i="2"/>
  <c r="E453" i="2" l="1"/>
  <c r="F452" i="2"/>
  <c r="E454" i="2" l="1"/>
  <c r="F453" i="2"/>
  <c r="E455" i="2" l="1"/>
  <c r="F454" i="2"/>
  <c r="E456" i="2" l="1"/>
  <c r="F455" i="2"/>
  <c r="E457" i="2" l="1"/>
  <c r="F456" i="2"/>
  <c r="E458" i="2" l="1"/>
  <c r="F457" i="2"/>
  <c r="E459" i="2" l="1"/>
  <c r="F458" i="2"/>
  <c r="E460" i="2" l="1"/>
  <c r="F459" i="2"/>
  <c r="E461" i="2" l="1"/>
  <c r="F460" i="2"/>
  <c r="E462" i="2" l="1"/>
  <c r="F461" i="2"/>
  <c r="E463" i="2" l="1"/>
  <c r="F462" i="2"/>
  <c r="E464" i="2" l="1"/>
  <c r="F463" i="2"/>
  <c r="E465" i="2" l="1"/>
  <c r="F464" i="2"/>
  <c r="E466" i="2" l="1"/>
  <c r="F465" i="2"/>
  <c r="E467" i="2" l="1"/>
  <c r="F466" i="2"/>
  <c r="E468" i="2" l="1"/>
  <c r="F467" i="2"/>
  <c r="E469" i="2" l="1"/>
  <c r="F468" i="2"/>
  <c r="E470" i="2" l="1"/>
  <c r="F469" i="2"/>
  <c r="E471" i="2" l="1"/>
  <c r="F470" i="2"/>
  <c r="E472" i="2" l="1"/>
  <c r="F471" i="2"/>
  <c r="E473" i="2" l="1"/>
  <c r="F472" i="2"/>
  <c r="E474" i="2" l="1"/>
  <c r="F473" i="2"/>
  <c r="E475" i="2" l="1"/>
  <c r="F474" i="2"/>
  <c r="E476" i="2" l="1"/>
  <c r="F475" i="2"/>
  <c r="E477" i="2" l="1"/>
  <c r="F476" i="2"/>
  <c r="E478" i="2" l="1"/>
  <c r="F477" i="2"/>
  <c r="E479" i="2" l="1"/>
  <c r="F478" i="2"/>
  <c r="E480" i="2" l="1"/>
  <c r="F479" i="2"/>
  <c r="E481" i="2" l="1"/>
  <c r="F480" i="2"/>
  <c r="E482" i="2" l="1"/>
  <c r="F481" i="2"/>
  <c r="E483" i="2" l="1"/>
  <c r="F482" i="2"/>
  <c r="E484" i="2" l="1"/>
  <c r="F483" i="2"/>
  <c r="E485" i="2" l="1"/>
  <c r="F484" i="2"/>
  <c r="E486" i="2" l="1"/>
  <c r="F485" i="2"/>
  <c r="E487" i="2" l="1"/>
  <c r="F486" i="2"/>
  <c r="E488" i="2" l="1"/>
  <c r="F487" i="2"/>
  <c r="E489" i="2" l="1"/>
  <c r="F488" i="2"/>
  <c r="F489" i="2" l="1"/>
  <c r="E490" i="2"/>
  <c r="E491" i="2" l="1"/>
  <c r="F490" i="2"/>
  <c r="E492" i="2" l="1"/>
  <c r="F491" i="2"/>
  <c r="E493" i="2" l="1"/>
  <c r="F492" i="2"/>
  <c r="E494" i="2" l="1"/>
  <c r="F493" i="2"/>
  <c r="F494" i="2" l="1"/>
  <c r="E495" i="2"/>
  <c r="E496" i="2" l="1"/>
  <c r="F495" i="2"/>
  <c r="E497" i="2" l="1"/>
  <c r="F496" i="2"/>
  <c r="F497" i="2" l="1"/>
  <c r="E498" i="2"/>
  <c r="E499" i="2" l="1"/>
  <c r="F498" i="2"/>
  <c r="E500" i="2" l="1"/>
  <c r="F499" i="2"/>
  <c r="E501" i="2" l="1"/>
  <c r="F500" i="2"/>
  <c r="E502" i="2" l="1"/>
  <c r="F501" i="2"/>
  <c r="F502" i="2" l="1"/>
  <c r="E503" i="2"/>
  <c r="E504" i="2" l="1"/>
  <c r="F503" i="2"/>
  <c r="E505" i="2" l="1"/>
  <c r="F504" i="2"/>
  <c r="E506" i="2" l="1"/>
  <c r="F505" i="2"/>
  <c r="E507" i="2" l="1"/>
  <c r="F506" i="2"/>
  <c r="E508" i="2" l="1"/>
  <c r="F507" i="2"/>
  <c r="E509" i="2" l="1"/>
  <c r="F508" i="2"/>
  <c r="F509" i="2" l="1"/>
  <c r="E510" i="2"/>
  <c r="E511" i="2" l="1"/>
  <c r="F510" i="2"/>
  <c r="E512" i="2" l="1"/>
  <c r="F511" i="2"/>
  <c r="F512" i="2" l="1"/>
  <c r="E513" i="2"/>
  <c r="E514" i="2" l="1"/>
  <c r="F513" i="2"/>
  <c r="E515" i="2" l="1"/>
  <c r="F514" i="2"/>
  <c r="E516" i="2" l="1"/>
  <c r="F515" i="2"/>
  <c r="E517" i="2" l="1"/>
  <c r="F516" i="2"/>
  <c r="E518" i="2" l="1"/>
  <c r="F517" i="2"/>
  <c r="E519" i="2" l="1"/>
  <c r="F518" i="2"/>
  <c r="E520" i="2" l="1"/>
  <c r="F519" i="2"/>
  <c r="F520" i="2" l="1"/>
  <c r="E521" i="2"/>
  <c r="E522" i="2" l="1"/>
  <c r="F521" i="2"/>
  <c r="E523" i="2" l="1"/>
  <c r="F522" i="2"/>
  <c r="E524" i="2" l="1"/>
  <c r="F523" i="2"/>
  <c r="E525" i="2" l="1"/>
  <c r="F524" i="2"/>
  <c r="F525" i="2" l="1"/>
  <c r="E526" i="2"/>
  <c r="F526" i="2" l="1"/>
  <c r="E527" i="2"/>
  <c r="E528" i="2" l="1"/>
  <c r="F527" i="2"/>
  <c r="F528" i="2" l="1"/>
  <c r="E529" i="2"/>
  <c r="E530" i="2" l="1"/>
  <c r="F529" i="2"/>
  <c r="E531" i="2" l="1"/>
  <c r="F530" i="2"/>
  <c r="E532" i="2" l="1"/>
  <c r="F531" i="2"/>
  <c r="E533" i="2" l="1"/>
  <c r="F532" i="2"/>
  <c r="F533" i="2" l="1"/>
  <c r="E534" i="2"/>
  <c r="F534" i="2" l="1"/>
  <c r="E535" i="2"/>
  <c r="E536" i="2" l="1"/>
  <c r="F535" i="2"/>
  <c r="F536" i="2" l="1"/>
  <c r="E537" i="2"/>
  <c r="E538" i="2" l="1"/>
  <c r="F537" i="2"/>
  <c r="E539" i="2" l="1"/>
  <c r="F538" i="2"/>
  <c r="E540" i="2" l="1"/>
  <c r="F539" i="2"/>
  <c r="E541" i="2" l="1"/>
  <c r="F540" i="2"/>
  <c r="F541" i="2" l="1"/>
  <c r="E542" i="2"/>
  <c r="E543" i="2" l="1"/>
  <c r="F542" i="2"/>
  <c r="E544" i="2" l="1"/>
  <c r="F543" i="2"/>
  <c r="E545" i="2" l="1"/>
  <c r="F544" i="2"/>
  <c r="F545" i="2" l="1"/>
  <c r="E546" i="2"/>
  <c r="E547" i="2" l="1"/>
  <c r="F546" i="2"/>
  <c r="E548" i="2" l="1"/>
  <c r="F547" i="2"/>
  <c r="E549" i="2" l="1"/>
  <c r="F548" i="2"/>
  <c r="E550" i="2" l="1"/>
  <c r="F549" i="2"/>
  <c r="E551" i="2" l="1"/>
  <c r="F550" i="2"/>
  <c r="E552" i="2" l="1"/>
  <c r="F551" i="2"/>
  <c r="E553" i="2" l="1"/>
  <c r="F552" i="2"/>
  <c r="E554" i="2" l="1"/>
  <c r="F553" i="2"/>
  <c r="E555" i="2" l="1"/>
  <c r="F554" i="2"/>
  <c r="E556" i="2" l="1"/>
  <c r="F555" i="2"/>
  <c r="E557" i="2" l="1"/>
  <c r="F556" i="2"/>
  <c r="E558" i="2" l="1"/>
  <c r="F557" i="2"/>
  <c r="F558" i="2" l="1"/>
  <c r="E559" i="2"/>
  <c r="F559" i="2" s="1"/>
</calcChain>
</file>

<file path=xl/sharedStrings.xml><?xml version="1.0" encoding="utf-8"?>
<sst xmlns="http://schemas.openxmlformats.org/spreadsheetml/2006/main" count="12" uniqueCount="8">
  <si>
    <t>s_inf</t>
    <phoneticPr fontId="1"/>
  </si>
  <si>
    <t>s_0</t>
    <phoneticPr fontId="1"/>
  </si>
  <si>
    <t>delta</t>
    <phoneticPr fontId="1"/>
  </si>
  <si>
    <t>H</t>
    <phoneticPr fontId="1"/>
  </si>
  <si>
    <t>H_0</t>
    <phoneticPr fontId="1"/>
  </si>
  <si>
    <t>A</t>
    <phoneticPr fontId="1"/>
  </si>
  <si>
    <t>m</t>
    <phoneticPr fontId="1"/>
  </si>
  <si>
    <t>σy=(1+ε/ε0)^m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</si>
</sst>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00"/>
    <numFmt numFmtId="177" formatCode="0.0000000000000000"/>
    <numFmt numFmtId="178" formatCode="0.000000000"/>
    <numFmt numFmtId="179" formatCode="0.0000000000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Sheet1!$B$2:$B$42</c:f>
              <c:numCache>
                <c:formatCode>0.000000000000000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Sheet1!$C$2:$C$42</c:f>
              <c:numCache>
                <c:formatCode>0.000000000000000</c:formatCode>
                <c:ptCount val="41"/>
                <c:pt idx="0">
                  <c:v>0</c:v>
                </c:pt>
                <c:pt idx="1">
                  <c:v>42.564668990758413</c:v>
                </c:pt>
                <c:pt idx="2">
                  <c:v>78.701412745118674</c:v>
                </c:pt>
                <c:pt idx="3">
                  <c:v>109.41134469481321</c:v>
                </c:pt>
                <c:pt idx="4">
                  <c:v>135.53966044951898</c:v>
                </c:pt>
                <c:pt idx="5">
                  <c:v>157.79992112626235</c:v>
                </c:pt>
                <c:pt idx="6">
                  <c:v>176.79455468598198</c:v>
                </c:pt>
                <c:pt idx="7">
                  <c:v>193.03216430149791</c:v>
                </c:pt>
                <c:pt idx="8">
                  <c:v>206.94214104390124</c:v>
                </c:pt>
                <c:pt idx="9">
                  <c:v>218.88700072470451</c:v>
                </c:pt>
                <c:pt idx="10">
                  <c:v>229.17279934377453</c:v>
                </c:pt>
                <c:pt idx="11">
                  <c:v>238.05792638945817</c:v>
                </c:pt>
                <c:pt idx="12">
                  <c:v>245.76052863135749</c:v>
                </c:pt>
                <c:pt idx="13">
                  <c:v>252.46477769886872</c:v>
                </c:pt>
                <c:pt idx="14">
                  <c:v>258.32616151939243</c:v>
                </c:pt>
                <c:pt idx="15">
                  <c:v>263.47595164461393</c:v>
                </c:pt>
                <c:pt idx="16">
                  <c:v>268.02497481568287</c:v>
                </c:pt>
                <c:pt idx="17">
                  <c:v>272.06679712819363</c:v>
                </c:pt>
                <c:pt idx="18">
                  <c:v>275.68041228126623</c:v>
                </c:pt>
                <c:pt idx="19">
                  <c:v>278.93251114685563</c:v>
                </c:pt>
                <c:pt idx="20">
                  <c:v>281.8793978663262</c:v>
                </c:pt>
                <c:pt idx="21">
                  <c:v>284.56860752569253</c:v>
                </c:pt>
                <c:pt idx="22">
                  <c:v>287.0402718869824</c:v>
                </c:pt>
                <c:pt idx="23">
                  <c:v>289.32827241457278</c:v>
                </c:pt>
                <c:pt idx="24">
                  <c:v>291.46121372411767</c:v>
                </c:pt>
                <c:pt idx="25">
                  <c:v>293.46324542224602</c:v>
                </c:pt>
                <c:pt idx="26">
                  <c:v>295.35475594931955</c:v>
                </c:pt>
                <c:pt idx="27">
                  <c:v>297.1529583600589</c:v>
                </c:pt>
                <c:pt idx="28">
                  <c:v>298.87238487211067</c:v>
                </c:pt>
                <c:pt idx="29">
                  <c:v>300.52530439143942</c:v>
                </c:pt>
                <c:pt idx="30">
                  <c:v>302.12207501047328</c:v>
                </c:pt>
                <c:pt idx="31">
                  <c:v>303.67144160663298</c:v>
                </c:pt>
                <c:pt idx="32">
                  <c:v>305.18078709155367</c:v>
                </c:pt>
                <c:pt idx="33">
                  <c:v>306.65634452964423</c:v>
                </c:pt>
                <c:pt idx="34">
                  <c:v>308.10337622036673</c:v>
                </c:pt>
                <c:pt idx="35">
                  <c:v>309.52632488945159</c:v>
                </c:pt>
                <c:pt idx="36">
                  <c:v>310.9289413329256</c:v>
                </c:pt>
                <c:pt idx="37">
                  <c:v>312.31439218129674</c:v>
                </c:pt>
                <c:pt idx="38">
                  <c:v>313.68535088006877</c:v>
                </c:pt>
                <c:pt idx="39">
                  <c:v>315.04407450054902</c:v>
                </c:pt>
                <c:pt idx="40">
                  <c:v>316.39246858780331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55-4F5A-877A-9C2F81709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108767"/>
        <c:axId val="1032362927"/>
      </c:scatterChart>
      <c:valAx>
        <c:axId val="102710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362927"/>
        <c:crosses val="autoZero"/>
        <c:crossBetween val="midCat"/>
      </c:valAx>
      <c:valAx>
        <c:axId val="103236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108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Sheet1!$H$2:$H$42</c:f>
              <c:numCache>
                <c:formatCode>0.0000000000000000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</c:numCache>
            </c:numRef>
          </c:xVal>
          <c:yVal>
            <c:numRef>
              <c:f>Sheet1!$I$2:$I$42</c:f>
              <c:numCache>
                <c:formatCode>0.0000000000000000</c:formatCode>
                <c:ptCount val="41"/>
                <c:pt idx="0">
                  <c:v>200</c:v>
                </c:pt>
                <c:pt idx="1">
                  <c:v>255.67317407660545</c:v>
                </c:pt>
                <c:pt idx="2">
                  <c:v>301.4887861893082</c:v>
                </c:pt>
                <c:pt idx="3">
                  <c:v>339.23370917179204</c:v>
                </c:pt>
                <c:pt idx="4">
                  <c:v>370.37091076483352</c:v>
                </c:pt>
                <c:pt idx="5">
                  <c:v>396.09816764856726</c:v>
                </c:pt>
                <c:pt idx="6">
                  <c:v>417.39613642633941</c:v>
                </c:pt>
                <c:pt idx="7">
                  <c:v>435.06771081751805</c:v>
                </c:pt>
                <c:pt idx="8">
                  <c:v>449.77024460160339</c:v>
                </c:pt>
                <c:pt idx="9">
                  <c:v>462.04193353352406</c:v>
                </c:pt>
                <c:pt idx="10">
                  <c:v>472.32341502901619</c:v>
                </c:pt>
                <c:pt idx="11">
                  <c:v>480.97545249129985</c:v>
                </c:pt>
                <c:pt idx="12">
                  <c:v>488.29341401317623</c:v>
                </c:pt>
                <c:pt idx="13">
                  <c:v>494.51912653569985</c:v>
                </c:pt>
                <c:pt idx="14">
                  <c:v>499.85058121243458</c:v>
                </c:pt>
                <c:pt idx="15">
                  <c:v>504.44987948964086</c:v>
                </c:pt>
                <c:pt idx="16">
                  <c:v>508.44973880649019</c:v>
                </c:pt>
                <c:pt idx="17">
                  <c:v>511.95881901190216</c:v>
                </c:pt>
                <c:pt idx="18">
                  <c:v>515.06608326581227</c:v>
                </c:pt>
                <c:pt idx="19">
                  <c:v>517.84436844315042</c:v>
                </c:pt>
                <c:pt idx="20">
                  <c:v>520.3533083333798</c:v>
                </c:pt>
                <c:pt idx="21">
                  <c:v>522.64172695385673</c:v>
                </c:pt>
                <c:pt idx="22">
                  <c:v>524.74959802907938</c:v>
                </c:pt>
                <c:pt idx="23">
                  <c:v>526.70964927660998</c:v>
                </c:pt>
                <c:pt idx="24">
                  <c:v>528.54867588529396</c:v>
                </c:pt>
                <c:pt idx="25">
                  <c:v>530.28861590027441</c:v>
                </c:pt>
                <c:pt idx="26">
                  <c:v>531.94743067377181</c:v>
                </c:pt>
                <c:pt idx="27">
                  <c:v>533.53982571721622</c:v>
                </c:pt>
                <c:pt idx="28">
                  <c:v>535.07784088505514</c:v>
                </c:pt>
                <c:pt idx="29">
                  <c:v>536.57133357638725</c:v>
                </c:pt>
                <c:pt idx="30">
                  <c:v>538.02837434700007</c:v>
                </c:pt>
                <c:pt idx="31">
                  <c:v>539.45557080911135</c:v>
                </c:pt>
                <c:pt idx="32">
                  <c:v>540.85833281804776</c:v>
                </c:pt>
                <c:pt idx="33">
                  <c:v>542.24108958873558</c:v>
                </c:pt>
                <c:pt idx="34">
                  <c:v>543.60746745564654</c:v>
                </c:pt>
                <c:pt idx="35">
                  <c:v>544.96043541033373</c:v>
                </c:pt>
                <c:pt idx="36">
                  <c:v>546.30242425748702</c:v>
                </c:pt>
                <c:pt idx="37">
                  <c:v>547.63542417166104</c:v>
                </c:pt>
                <c:pt idx="38">
                  <c:v>548.9610645699679</c:v>
                </c:pt>
                <c:pt idx="39">
                  <c:v>550.28067950630611</c:v>
                </c:pt>
                <c:pt idx="40">
                  <c:v>551.59536121162932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67-4232-8247-C5ABA29EF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543120"/>
        <c:axId val="760666736"/>
      </c:scatterChart>
      <c:valAx>
        <c:axId val="739543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666736"/>
        <c:crosses val="autoZero"/>
        <c:crossBetween val="midCat"/>
      </c:valAx>
      <c:valAx>
        <c:axId val="76066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54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09-4C06-A20E-3D09F4B9A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Sheet2!$E$3:$E$103</c:f>
              <c:numCache>
                <c:formatCode>0.000000000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</c:numCache>
            </c:numRef>
          </c:xVal>
          <c:yVal>
            <c:numRef>
              <c:f>Sheet2!$F$3:$F$103</c:f>
              <c:numCache>
                <c:formatCode>0.00000000000000</c:formatCode>
                <c:ptCount val="101"/>
                <c:pt idx="0">
                  <c:v>200</c:v>
                </c:pt>
                <c:pt idx="1">
                  <c:v>221.91389441356901</c:v>
                </c:pt>
                <c:pt idx="2">
                  <c:v>235.82952913627332</c:v>
                </c:pt>
                <c:pt idx="3">
                  <c:v>246.22888266898326</c:v>
                </c:pt>
                <c:pt idx="4">
                  <c:v>254.61002310928473</c:v>
                </c:pt>
                <c:pt idx="5">
                  <c:v>261.6692461417432</c:v>
                </c:pt>
                <c:pt idx="6">
                  <c:v>267.79021360169213</c:v>
                </c:pt>
                <c:pt idx="7">
                  <c:v>273.20805135087909</c:v>
                </c:pt>
                <c:pt idx="8">
                  <c:v>278.07783406318185</c:v>
                </c:pt>
                <c:pt idx="9">
                  <c:v>282.50750892455085</c:v>
                </c:pt>
                <c:pt idx="10">
                  <c:v>286.57539417464608</c:v>
                </c:pt>
                <c:pt idx="11">
                  <c:v>290.34020729788506</c:v>
                </c:pt>
                <c:pt idx="12">
                  <c:v>293.84716057308293</c:v>
                </c:pt>
                <c:pt idx="13">
                  <c:v>297.13184593096497</c:v>
                </c:pt>
                <c:pt idx="14">
                  <c:v>300.22280931619139</c:v>
                </c:pt>
                <c:pt idx="15">
                  <c:v>303.1433133020796</c:v>
                </c:pt>
                <c:pt idx="16">
                  <c:v>305.9125779487631</c:v>
                </c:pt>
                <c:pt idx="17">
                  <c:v>308.54667553525451</c:v>
                </c:pt>
                <c:pt idx="18">
                  <c:v>311.05918931853387</c:v>
                </c:pt>
                <c:pt idx="19">
                  <c:v>313.46170753261589</c:v>
                </c:pt>
                <c:pt idx="20">
                  <c:v>315.76419990494549</c:v>
                </c:pt>
                <c:pt idx="21">
                  <c:v>317.97530882199663</c:v>
                </c:pt>
                <c:pt idx="22">
                  <c:v>320.10257744328226</c:v>
                </c:pt>
                <c:pt idx="23">
                  <c:v>322.15263053158299</c:v>
                </c:pt>
                <c:pt idx="24">
                  <c:v>324.13131933855249</c:v>
                </c:pt>
                <c:pt idx="25">
                  <c:v>326.04383882571091</c:v>
                </c:pt>
                <c:pt idx="26">
                  <c:v>327.89482335177456</c:v>
                </c:pt>
                <c:pt idx="27">
                  <c:v>329.68842542416508</c:v>
                </c:pt>
                <c:pt idx="28">
                  <c:v>331.42838100334615</c:v>
                </c:pt>
                <c:pt idx="29">
                  <c:v>333.11806403569182</c:v>
                </c:pt>
                <c:pt idx="30">
                  <c:v>334.76053228761504</c:v>
                </c:pt>
                <c:pt idx="31">
                  <c:v>336.35856610148585</c:v>
                </c:pt>
                <c:pt idx="32">
                  <c:v>337.91470135124348</c:v>
                </c:pt>
                <c:pt idx="33">
                  <c:v>339.43125761352258</c:v>
                </c:pt>
                <c:pt idx="34">
                  <c:v>340.9103623678356</c:v>
                </c:pt>
                <c:pt idx="35">
                  <c:v>342.35397188194099</c:v>
                </c:pt>
                <c:pt idx="36">
                  <c:v>343.76388931505522</c:v>
                </c:pt>
                <c:pt idx="37">
                  <c:v>345.14178047401754</c:v>
                </c:pt>
                <c:pt idx="38">
                  <c:v>346.48918757990521</c:v>
                </c:pt>
                <c:pt idx="39">
                  <c:v>347.80754134044986</c:v>
                </c:pt>
                <c:pt idx="40">
                  <c:v>349.09817157353223</c:v>
                </c:pt>
                <c:pt idx="41">
                  <c:v>350.36231658645585</c:v>
                </c:pt>
                <c:pt idx="42">
                  <c:v>351.60113148263349</c:v>
                </c:pt>
                <c:pt idx="43">
                  <c:v>352.81569554023281</c:v>
                </c:pt>
                <c:pt idx="44">
                  <c:v>354.00701878503287</c:v>
                </c:pt>
                <c:pt idx="45">
                  <c:v>355.1760478612992</c:v>
                </c:pt>
                <c:pt idx="46">
                  <c:v>356.32367128916144</c:v>
                </c:pt>
                <c:pt idx="47">
                  <c:v>357.45072418419608</c:v>
                </c:pt>
                <c:pt idx="48">
                  <c:v>358.55799250419949</c:v>
                </c:pt>
                <c:pt idx="49">
                  <c:v>359.64621687913183</c:v>
                </c:pt>
                <c:pt idx="50">
                  <c:v>360.71609607260149</c:v>
                </c:pt>
                <c:pt idx="51">
                  <c:v>361.76829011681764</c:v>
                </c:pt>
                <c:pt idx="52">
                  <c:v>362.80342315745537</c:v>
                </c:pt>
                <c:pt idx="53">
                  <c:v>363.82208604020786</c:v>
                </c:pt>
                <c:pt idx="54">
                  <c:v>364.82483866679507</c:v>
                </c:pt>
                <c:pt idx="55">
                  <c:v>365.81221214476994</c:v>
                </c:pt>
                <c:pt idx="56">
                  <c:v>366.78471075250366</c:v>
                </c:pt>
                <c:pt idx="57">
                  <c:v>367.74281373818332</c:v>
                </c:pt>
                <c:pt idx="58">
                  <c:v>368.68697696944429</c:v>
                </c:pt>
                <c:pt idx="59">
                  <c:v>369.61763444834509</c:v>
                </c:pt>
                <c:pt idx="60">
                  <c:v>370.53519970472377</c:v>
                </c:pt>
                <c:pt idx="61">
                  <c:v>371.44006707951979</c:v>
                </c:pt>
                <c:pt idx="62">
                  <c:v>372.33261290837686</c:v>
                </c:pt>
                <c:pt idx="63">
                  <c:v>373.21319661472302</c:v>
                </c:pt>
                <c:pt idx="64">
                  <c:v>374.08216172055177</c:v>
                </c:pt>
                <c:pt idx="65">
                  <c:v>374.93983678226277</c:v>
                </c:pt>
                <c:pt idx="66">
                  <c:v>375.78653625816332</c:v>
                </c:pt>
                <c:pt idx="67">
                  <c:v>376.62256131356088</c:v>
                </c:pt>
                <c:pt idx="68">
                  <c:v>377.44820056878353</c:v>
                </c:pt>
                <c:pt idx="69">
                  <c:v>378.26373079493709</c:v>
                </c:pt>
                <c:pt idx="70">
                  <c:v>379.06941756174211</c:v>
                </c:pt>
                <c:pt idx="71">
                  <c:v>379.86551584137521</c:v>
                </c:pt>
                <c:pt idx="72">
                  <c:v>380.65227057186928</c:v>
                </c:pt>
                <c:pt idx="73">
                  <c:v>381.42991718329495</c:v>
                </c:pt>
                <c:pt idx="74">
                  <c:v>382.19868208964937</c:v>
                </c:pt>
                <c:pt idx="75">
                  <c:v>382.9587831491117</c:v>
                </c:pt>
                <c:pt idx="76">
                  <c:v>383.71043009508787</c:v>
                </c:pt>
                <c:pt idx="77">
                  <c:v>384.45382494025199</c:v>
                </c:pt>
                <c:pt idx="78">
                  <c:v>385.18916235559686</c:v>
                </c:pt>
                <c:pt idx="79">
                  <c:v>385.91663002633817</c:v>
                </c:pt>
                <c:pt idx="80">
                  <c:v>386.63640898635254</c:v>
                </c:pt>
                <c:pt idx="81">
                  <c:v>387.34867393269411</c:v>
                </c:pt>
                <c:pt idx="82">
                  <c:v>388.05359352160252</c:v>
                </c:pt>
                <c:pt idx="83">
                  <c:v>388.75133064730102</c:v>
                </c:pt>
                <c:pt idx="84">
                  <c:v>389.44204270477718</c:v>
                </c:pt>
                <c:pt idx="85">
                  <c:v>390.12588183764262</c:v>
                </c:pt>
                <c:pt idx="86">
                  <c:v>390.80299517208255</c:v>
                </c:pt>
                <c:pt idx="87">
                  <c:v>391.4735250378256</c:v>
                </c:pt>
                <c:pt idx="88">
                  <c:v>392.13760917699329</c:v>
                </c:pt>
                <c:pt idx="89">
                  <c:v>392.79538094162064</c:v>
                </c:pt>
                <c:pt idx="90">
                  <c:v>393.44696948058299</c:v>
                </c:pt>
                <c:pt idx="91">
                  <c:v>394.09249991660539</c:v>
                </c:pt>
                <c:pt idx="92">
                  <c:v>394.73209351398231</c:v>
                </c:pt>
                <c:pt idx="93">
                  <c:v>395.36586783759122</c:v>
                </c:pt>
                <c:pt idx="94">
                  <c:v>395.99393690373643</c:v>
                </c:pt>
                <c:pt idx="95">
                  <c:v>396.61641132332733</c:v>
                </c:pt>
                <c:pt idx="96">
                  <c:v>397.23339843785351</c:v>
                </c:pt>
                <c:pt idx="97">
                  <c:v>397.84500244859089</c:v>
                </c:pt>
                <c:pt idx="98">
                  <c:v>398.45132453944086</c:v>
                </c:pt>
                <c:pt idx="99">
                  <c:v>399.05246299377598</c:v>
                </c:pt>
                <c:pt idx="100">
                  <c:v>399.64851330564358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EC-464F-B027-C14ECE13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33951"/>
        <c:axId val="406835871"/>
      </c:scatterChart>
      <c:valAx>
        <c:axId val="40683395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Equivalent plastic strain 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5871"/>
        <c:crosses val="autoZero"/>
        <c:crossBetween val="midCat"/>
      </c:valAx>
      <c:valAx>
        <c:axId val="40683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Yield</a:t>
                </a:r>
                <a:r>
                  <a:rPr lang="en-US" altLang="ja-JP" sz="14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stress</a:t>
                </a:r>
                <a:r>
                  <a:rPr lang="en-US" altLang="ja-JP" sz="14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[MPa]</a:t>
                </a:r>
                <a:endParaRPr lang="ja-JP" altLang="en-US" sz="140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33951"/>
        <c:crosses val="autoZero"/>
        <c:crossBetween val="midCat"/>
        <c:majorUnit val="10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93662</xdr:colOff>
      <xdr:row>2</xdr:row>
      <xdr:rowOff>209550</xdr:rowOff>
    </xdr:from>
    <xdr:to>
      <xdr:col>18</xdr:col>
      <xdr:colOff>58737</xdr:colOff>
      <xdr:row>14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9D0866C-652E-BBE7-2A0F-BABF029E2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74612</xdr:colOff>
      <xdr:row>19</xdr:row>
      <xdr:rowOff>219075</xdr:rowOff>
    </xdr:from>
    <xdr:to>
      <xdr:col>17</xdr:col>
      <xdr:colOff>39687</xdr:colOff>
      <xdr:row>31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28192A5-2EF7-3413-FBB2-DA6CA351C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185127</xdr:colOff>
      <xdr:row>3</xdr:row>
      <xdr:rowOff>33582</xdr:rowOff>
    </xdr:from>
    <xdr:to>
      <xdr:col>14</xdr:col>
      <xdr:colOff>156552</xdr:colOff>
      <xdr:row>15</xdr:row>
      <xdr:rowOff>33582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2F6BB63-DEFA-0BFD-E704-F351F3AD3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19293</xdr:colOff>
      <xdr:row>18</xdr:row>
      <xdr:rowOff>64477</xdr:rowOff>
    </xdr:from>
    <xdr:to>
      <xdr:col>14</xdr:col>
      <xdr:colOff>505557</xdr:colOff>
      <xdr:row>30</xdr:row>
      <xdr:rowOff>20050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088DCA-93DC-4DF4-9604-8281FC11F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0D97-996F-4244-AB0F-306A3C82BD03}">
  <dimension ref="B2:I104"/>
  <sheetViews>
    <sheetView workbookViewId="0">
      <selection activeCell="F13" sqref="F13"/>
    </sheetView>
  </sheetViews>
  <sheetFormatPr defaultRowHeight="18" x14ac:dyDescent="0.45"/>
  <cols>
    <col min="2" max="2" width="18.796875" bestFit="1" customWidth="1"/>
    <col min="3" max="3" width="21.09765625" bestFit="1" customWidth="1"/>
    <col min="8" max="8" width="20" bestFit="1" customWidth="1"/>
    <col min="9" max="9" width="22.296875" bestFit="1" customWidth="1"/>
  </cols>
  <sheetData>
    <row r="2" spans="2:9" x14ac:dyDescent="0.45">
      <c r="B2" s="2">
        <f>0</f>
        <v>0</v>
      </c>
      <c r="C2" s="2">
        <f>($F$3-$F$2)*(1-EXP(-1 * $F$4 *B2))+$F$5*B2</f>
        <v>0</v>
      </c>
      <c r="E2" t="s">
        <v>1</v>
      </c>
      <c r="F2">
        <v>450</v>
      </c>
      <c r="H2" s="1">
        <f>0</f>
        <v>0</v>
      </c>
      <c r="I2" s="1">
        <f>($F$10-$F$9)*(1-EXP(-1 * $F$11 *H2))+$F$12*H2+$F$13</f>
        <v>200</v>
      </c>
    </row>
    <row r="3" spans="2:9" x14ac:dyDescent="0.45">
      <c r="B3" s="2">
        <f>B2+0.01</f>
        <v>0.01</v>
      </c>
      <c r="C3" s="2">
        <f t="shared" ref="C3:C35" si="0">($F$3-$F$2)*(1-EXP(-1 * $F$4 *B3))+$F$5*B3</f>
        <v>42.564668990758413</v>
      </c>
      <c r="E3" t="s">
        <v>0</v>
      </c>
      <c r="F3">
        <v>715</v>
      </c>
      <c r="H3" s="1">
        <f>H2+0.01</f>
        <v>0.01</v>
      </c>
      <c r="I3" s="1">
        <f t="shared" ref="I3:I66" si="1">($F$10-$F$9)*(1-EXP(-1 * $F$11 *H3))+$F$12*H3+$F$13</f>
        <v>255.67317407660545</v>
      </c>
    </row>
    <row r="4" spans="2:9" x14ac:dyDescent="0.45">
      <c r="B4" s="2">
        <f t="shared" ref="B4:B35" si="2">B3+0.01</f>
        <v>0.02</v>
      </c>
      <c r="C4" s="2">
        <f t="shared" si="0"/>
        <v>78.701412745118674</v>
      </c>
      <c r="E4" t="s">
        <v>2</v>
      </c>
      <c r="F4">
        <v>16.93</v>
      </c>
      <c r="H4" s="1">
        <f t="shared" ref="H4:H18" si="3">H3+0.01</f>
        <v>0.02</v>
      </c>
      <c r="I4" s="1">
        <f t="shared" si="1"/>
        <v>301.4887861893082</v>
      </c>
    </row>
    <row r="5" spans="2:9" x14ac:dyDescent="0.45">
      <c r="B5" s="2">
        <f t="shared" si="2"/>
        <v>0.03</v>
      </c>
      <c r="C5" s="2">
        <f t="shared" si="0"/>
        <v>109.41134469481321</v>
      </c>
      <c r="E5" t="s">
        <v>3</v>
      </c>
      <c r="F5">
        <v>129.24</v>
      </c>
      <c r="H5" s="1">
        <f t="shared" si="3"/>
        <v>0.03</v>
      </c>
      <c r="I5" s="1">
        <f t="shared" si="1"/>
        <v>339.23370917179204</v>
      </c>
    </row>
    <row r="6" spans="2:9" x14ac:dyDescent="0.45">
      <c r="B6" s="2">
        <f t="shared" si="2"/>
        <v>0.04</v>
      </c>
      <c r="C6" s="2">
        <f t="shared" si="0"/>
        <v>135.53966044951898</v>
      </c>
      <c r="H6" s="1">
        <f t="shared" si="3"/>
        <v>0.04</v>
      </c>
      <c r="I6" s="1">
        <f t="shared" si="1"/>
        <v>370.37091076483352</v>
      </c>
    </row>
    <row r="7" spans="2:9" x14ac:dyDescent="0.45">
      <c r="B7" s="2">
        <f t="shared" si="2"/>
        <v>0.05</v>
      </c>
      <c r="C7" s="2">
        <f t="shared" si="0"/>
        <v>157.79992112626235</v>
      </c>
      <c r="H7" s="1">
        <f t="shared" si="3"/>
        <v>0.05</v>
      </c>
      <c r="I7" s="1">
        <f t="shared" si="1"/>
        <v>396.09816764856726</v>
      </c>
    </row>
    <row r="8" spans="2:9" x14ac:dyDescent="0.45">
      <c r="B8" s="2">
        <f t="shared" si="2"/>
        <v>6.0000000000000005E-2</v>
      </c>
      <c r="C8" s="2">
        <f t="shared" si="0"/>
        <v>176.79455468598198</v>
      </c>
      <c r="H8" s="1">
        <f t="shared" si="3"/>
        <v>6.0000000000000005E-2</v>
      </c>
      <c r="I8" s="1">
        <f t="shared" si="1"/>
        <v>417.39613642633941</v>
      </c>
    </row>
    <row r="9" spans="2:9" x14ac:dyDescent="0.45">
      <c r="B9" s="2">
        <f t="shared" si="2"/>
        <v>7.0000000000000007E-2</v>
      </c>
      <c r="C9" s="2">
        <f t="shared" si="0"/>
        <v>193.03216430149791</v>
      </c>
      <c r="E9" t="s">
        <v>1</v>
      </c>
      <c r="F9">
        <v>100</v>
      </c>
      <c r="H9" s="1">
        <f t="shared" si="3"/>
        <v>7.0000000000000007E-2</v>
      </c>
      <c r="I9" s="1">
        <f t="shared" si="1"/>
        <v>435.06771081751805</v>
      </c>
    </row>
    <row r="10" spans="2:9" x14ac:dyDescent="0.45">
      <c r="B10" s="2">
        <f t="shared" si="2"/>
        <v>0.08</v>
      </c>
      <c r="C10" s="2">
        <f t="shared" si="0"/>
        <v>206.94214104390124</v>
      </c>
      <c r="E10" t="s">
        <v>0</v>
      </c>
      <c r="F10">
        <v>400</v>
      </c>
      <c r="H10" s="1">
        <f t="shared" si="3"/>
        <v>0.08</v>
      </c>
      <c r="I10" s="1">
        <f t="shared" si="1"/>
        <v>449.77024460160339</v>
      </c>
    </row>
    <row r="11" spans="2:9" x14ac:dyDescent="0.45">
      <c r="B11" s="2">
        <f t="shared" si="2"/>
        <v>0.09</v>
      </c>
      <c r="C11" s="2">
        <f t="shared" si="0"/>
        <v>218.88700072470451</v>
      </c>
      <c r="E11" t="s">
        <v>2</v>
      </c>
      <c r="F11">
        <v>20</v>
      </c>
      <c r="H11" s="1">
        <f t="shared" si="3"/>
        <v>0.09</v>
      </c>
      <c r="I11" s="1">
        <f t="shared" si="1"/>
        <v>462.04193353352406</v>
      </c>
    </row>
    <row r="12" spans="2:9" x14ac:dyDescent="0.45">
      <c r="B12" s="2">
        <f t="shared" si="2"/>
        <v>9.9999999999999992E-2</v>
      </c>
      <c r="C12" s="2">
        <f t="shared" si="0"/>
        <v>229.17279934377453</v>
      </c>
      <c r="E12" t="s">
        <v>3</v>
      </c>
      <c r="F12">
        <v>129.24</v>
      </c>
      <c r="H12" s="1">
        <f t="shared" si="3"/>
        <v>9.9999999999999992E-2</v>
      </c>
      <c r="I12" s="1">
        <f t="shared" si="1"/>
        <v>472.32341502901619</v>
      </c>
    </row>
    <row r="13" spans="2:9" x14ac:dyDescent="0.45">
      <c r="B13" s="2">
        <f t="shared" si="2"/>
        <v>0.10999999999999999</v>
      </c>
      <c r="C13" s="2">
        <f t="shared" si="0"/>
        <v>238.05792638945817</v>
      </c>
      <c r="E13" t="s">
        <v>4</v>
      </c>
      <c r="F13">
        <v>200</v>
      </c>
      <c r="H13" s="1">
        <f t="shared" si="3"/>
        <v>0.10999999999999999</v>
      </c>
      <c r="I13" s="1">
        <f t="shared" si="1"/>
        <v>480.97545249129985</v>
      </c>
    </row>
    <row r="14" spans="2:9" x14ac:dyDescent="0.45">
      <c r="B14" s="2">
        <f t="shared" si="2"/>
        <v>0.11999999999999998</v>
      </c>
      <c r="C14" s="2">
        <f t="shared" si="0"/>
        <v>245.76052863135749</v>
      </c>
      <c r="H14" s="1">
        <f t="shared" si="3"/>
        <v>0.11999999999999998</v>
      </c>
      <c r="I14" s="1">
        <f t="shared" si="1"/>
        <v>488.29341401317623</v>
      </c>
    </row>
    <row r="15" spans="2:9" x14ac:dyDescent="0.45">
      <c r="B15" s="2">
        <f t="shared" si="2"/>
        <v>0.12999999999999998</v>
      </c>
      <c r="C15" s="2">
        <f t="shared" si="0"/>
        <v>252.46477769886872</v>
      </c>
      <c r="H15" s="1">
        <f t="shared" si="3"/>
        <v>0.12999999999999998</v>
      </c>
      <c r="I15" s="1">
        <f t="shared" si="1"/>
        <v>494.51912653569985</v>
      </c>
    </row>
    <row r="16" spans="2:9" x14ac:dyDescent="0.45">
      <c r="B16" s="2">
        <f t="shared" si="2"/>
        <v>0.13999999999999999</v>
      </c>
      <c r="C16" s="2">
        <f t="shared" si="0"/>
        <v>258.32616151939243</v>
      </c>
      <c r="H16" s="1">
        <f t="shared" si="3"/>
        <v>0.13999999999999999</v>
      </c>
      <c r="I16" s="1">
        <f t="shared" si="1"/>
        <v>499.85058121243458</v>
      </c>
    </row>
    <row r="17" spans="2:9" x14ac:dyDescent="0.45">
      <c r="B17" s="2">
        <f t="shared" si="2"/>
        <v>0.15</v>
      </c>
      <c r="C17" s="2">
        <f t="shared" si="0"/>
        <v>263.47595164461393</v>
      </c>
      <c r="H17" s="1">
        <f t="shared" si="3"/>
        <v>0.15</v>
      </c>
      <c r="I17" s="1">
        <f t="shared" si="1"/>
        <v>504.44987948964086</v>
      </c>
    </row>
    <row r="18" spans="2:9" x14ac:dyDescent="0.45">
      <c r="B18" s="2">
        <f t="shared" si="2"/>
        <v>0.16</v>
      </c>
      <c r="C18" s="2">
        <f t="shared" si="0"/>
        <v>268.02497481568287</v>
      </c>
      <c r="H18" s="1">
        <f t="shared" si="3"/>
        <v>0.16</v>
      </c>
      <c r="I18" s="1">
        <f t="shared" si="1"/>
        <v>508.44973880649019</v>
      </c>
    </row>
    <row r="19" spans="2:9" x14ac:dyDescent="0.45">
      <c r="B19" s="2">
        <f>B18+0.01</f>
        <v>0.17</v>
      </c>
      <c r="C19" s="2">
        <f t="shared" si="0"/>
        <v>272.06679712819363</v>
      </c>
      <c r="H19" s="1">
        <f>H18+0.01</f>
        <v>0.17</v>
      </c>
      <c r="I19" s="1">
        <f t="shared" si="1"/>
        <v>511.95881901190216</v>
      </c>
    </row>
    <row r="20" spans="2:9" x14ac:dyDescent="0.45">
      <c r="B20" s="2">
        <f t="shared" si="2"/>
        <v>0.18000000000000002</v>
      </c>
      <c r="C20" s="2">
        <f t="shared" si="0"/>
        <v>275.68041228126623</v>
      </c>
      <c r="H20" s="1">
        <f t="shared" ref="H20:H33" si="4">H19+0.01</f>
        <v>0.18000000000000002</v>
      </c>
      <c r="I20" s="1">
        <f t="shared" si="1"/>
        <v>515.06608326581227</v>
      </c>
    </row>
    <row r="21" spans="2:9" x14ac:dyDescent="0.45">
      <c r="B21" s="2">
        <f t="shared" si="2"/>
        <v>0.19000000000000003</v>
      </c>
      <c r="C21" s="2">
        <f t="shared" si="0"/>
        <v>278.93251114685563</v>
      </c>
      <c r="H21" s="1">
        <f t="shared" si="4"/>
        <v>0.19000000000000003</v>
      </c>
      <c r="I21" s="1">
        <f t="shared" si="1"/>
        <v>517.84436844315042</v>
      </c>
    </row>
    <row r="22" spans="2:9" x14ac:dyDescent="0.45">
      <c r="B22" s="2">
        <f t="shared" si="2"/>
        <v>0.20000000000000004</v>
      </c>
      <c r="C22" s="2">
        <f t="shared" si="0"/>
        <v>281.8793978663262</v>
      </c>
      <c r="H22" s="1">
        <f t="shared" si="4"/>
        <v>0.20000000000000004</v>
      </c>
      <c r="I22" s="1">
        <f t="shared" si="1"/>
        <v>520.3533083333798</v>
      </c>
    </row>
    <row r="23" spans="2:9" x14ac:dyDescent="0.45">
      <c r="B23" s="2">
        <f t="shared" si="2"/>
        <v>0.21000000000000005</v>
      </c>
      <c r="C23" s="2">
        <f t="shared" si="0"/>
        <v>284.56860752569253</v>
      </c>
      <c r="H23" s="1">
        <f t="shared" si="4"/>
        <v>0.21000000000000005</v>
      </c>
      <c r="I23" s="1">
        <f t="shared" si="1"/>
        <v>522.64172695385673</v>
      </c>
    </row>
    <row r="24" spans="2:9" x14ac:dyDescent="0.45">
      <c r="B24" s="2">
        <f t="shared" si="2"/>
        <v>0.22000000000000006</v>
      </c>
      <c r="C24" s="2">
        <f t="shared" si="0"/>
        <v>287.0402718869824</v>
      </c>
      <c r="H24" s="1">
        <f t="shared" si="4"/>
        <v>0.22000000000000006</v>
      </c>
      <c r="I24" s="1">
        <f t="shared" si="1"/>
        <v>524.74959802907938</v>
      </c>
    </row>
    <row r="25" spans="2:9" x14ac:dyDescent="0.45">
      <c r="B25" s="2">
        <f t="shared" si="2"/>
        <v>0.23000000000000007</v>
      </c>
      <c r="C25" s="2">
        <f t="shared" si="0"/>
        <v>289.32827241457278</v>
      </c>
      <c r="H25" s="1">
        <f t="shared" si="4"/>
        <v>0.23000000000000007</v>
      </c>
      <c r="I25" s="1">
        <f t="shared" si="1"/>
        <v>526.70964927660998</v>
      </c>
    </row>
    <row r="26" spans="2:9" x14ac:dyDescent="0.45">
      <c r="B26" s="2">
        <f t="shared" si="2"/>
        <v>0.24000000000000007</v>
      </c>
      <c r="C26" s="2">
        <f t="shared" si="0"/>
        <v>291.46121372411767</v>
      </c>
      <c r="H26" s="1">
        <f t="shared" si="4"/>
        <v>0.24000000000000007</v>
      </c>
      <c r="I26" s="1">
        <f t="shared" si="1"/>
        <v>528.54867588529396</v>
      </c>
    </row>
    <row r="27" spans="2:9" x14ac:dyDescent="0.45">
      <c r="B27" s="2">
        <f t="shared" si="2"/>
        <v>0.25000000000000006</v>
      </c>
      <c r="C27" s="2">
        <f t="shared" si="0"/>
        <v>293.46324542224602</v>
      </c>
      <c r="H27" s="1">
        <f t="shared" si="4"/>
        <v>0.25000000000000006</v>
      </c>
      <c r="I27" s="1">
        <f t="shared" si="1"/>
        <v>530.28861590027441</v>
      </c>
    </row>
    <row r="28" spans="2:9" x14ac:dyDescent="0.45">
      <c r="B28" s="2">
        <f t="shared" si="2"/>
        <v>0.26000000000000006</v>
      </c>
      <c r="C28" s="2">
        <f t="shared" si="0"/>
        <v>295.35475594931955</v>
      </c>
      <c r="H28" s="1">
        <f t="shared" si="4"/>
        <v>0.26000000000000006</v>
      </c>
      <c r="I28" s="1">
        <f t="shared" si="1"/>
        <v>531.94743067377181</v>
      </c>
    </row>
    <row r="29" spans="2:9" x14ac:dyDescent="0.45">
      <c r="B29" s="2">
        <f t="shared" si="2"/>
        <v>0.27000000000000007</v>
      </c>
      <c r="C29" s="2">
        <f t="shared" si="0"/>
        <v>297.1529583600589</v>
      </c>
      <c r="H29" s="1">
        <f t="shared" si="4"/>
        <v>0.27000000000000007</v>
      </c>
      <c r="I29" s="1">
        <f t="shared" si="1"/>
        <v>533.53982571721622</v>
      </c>
    </row>
    <row r="30" spans="2:9" x14ac:dyDescent="0.45">
      <c r="B30" s="2">
        <f t="shared" si="2"/>
        <v>0.28000000000000008</v>
      </c>
      <c r="C30" s="2">
        <f t="shared" si="0"/>
        <v>298.87238487211067</v>
      </c>
      <c r="H30" s="1">
        <f t="shared" si="4"/>
        <v>0.28000000000000008</v>
      </c>
      <c r="I30" s="1">
        <f t="shared" si="1"/>
        <v>535.07784088505514</v>
      </c>
    </row>
    <row r="31" spans="2:9" x14ac:dyDescent="0.45">
      <c r="B31" s="2">
        <f t="shared" si="2"/>
        <v>0.29000000000000009</v>
      </c>
      <c r="C31" s="2">
        <f t="shared" si="0"/>
        <v>300.52530439143942</v>
      </c>
      <c r="H31" s="1">
        <f t="shared" si="4"/>
        <v>0.29000000000000009</v>
      </c>
      <c r="I31" s="1">
        <f t="shared" si="1"/>
        <v>536.57133357638725</v>
      </c>
    </row>
    <row r="32" spans="2:9" x14ac:dyDescent="0.45">
      <c r="B32" s="2">
        <f t="shared" si="2"/>
        <v>0.3000000000000001</v>
      </c>
      <c r="C32" s="2">
        <f t="shared" si="0"/>
        <v>302.12207501047328</v>
      </c>
      <c r="H32" s="1">
        <f t="shared" si="4"/>
        <v>0.3000000000000001</v>
      </c>
      <c r="I32" s="1">
        <f t="shared" si="1"/>
        <v>538.02837434700007</v>
      </c>
    </row>
    <row r="33" spans="2:9" x14ac:dyDescent="0.45">
      <c r="B33" s="2">
        <f t="shared" si="2"/>
        <v>0.31000000000000011</v>
      </c>
      <c r="C33" s="2">
        <f t="shared" si="0"/>
        <v>303.67144160663298</v>
      </c>
      <c r="H33" s="1">
        <f t="shared" si="4"/>
        <v>0.31000000000000011</v>
      </c>
      <c r="I33" s="1">
        <f t="shared" si="1"/>
        <v>539.45557080911135</v>
      </c>
    </row>
    <row r="34" spans="2:9" x14ac:dyDescent="0.45">
      <c r="B34" s="2">
        <f>B33+0.01</f>
        <v>0.32000000000000012</v>
      </c>
      <c r="C34" s="2">
        <f t="shared" si="0"/>
        <v>305.18078709155367</v>
      </c>
      <c r="H34" s="1">
        <f>H33+0.01</f>
        <v>0.32000000000000012</v>
      </c>
      <c r="I34" s="1">
        <f t="shared" si="1"/>
        <v>540.85833281804776</v>
      </c>
    </row>
    <row r="35" spans="2:9" x14ac:dyDescent="0.45">
      <c r="B35" s="2">
        <f t="shared" si="2"/>
        <v>0.33000000000000013</v>
      </c>
      <c r="C35" s="2">
        <f t="shared" si="0"/>
        <v>306.65634452964423</v>
      </c>
      <c r="H35" s="1">
        <f t="shared" ref="H35:H98" si="5">H34+0.01</f>
        <v>0.33000000000000013</v>
      </c>
      <c r="I35" s="1">
        <f t="shared" si="1"/>
        <v>542.24108958873558</v>
      </c>
    </row>
    <row r="36" spans="2:9" x14ac:dyDescent="0.45">
      <c r="B36" s="2">
        <f t="shared" ref="B36:B67" si="6">B35+0.01</f>
        <v>0.34000000000000014</v>
      </c>
      <c r="C36" s="2">
        <f t="shared" ref="C36:C42" si="7">($F$3-$F$2)*(1-EXP(-1 * $F$4 *B36))+$F$5*B36</f>
        <v>308.10337622036673</v>
      </c>
      <c r="H36" s="1">
        <f t="shared" si="5"/>
        <v>0.34000000000000014</v>
      </c>
      <c r="I36" s="1">
        <f t="shared" si="1"/>
        <v>543.60746745564654</v>
      </c>
    </row>
    <row r="37" spans="2:9" x14ac:dyDescent="0.45">
      <c r="B37" s="2">
        <f t="shared" si="6"/>
        <v>0.35000000000000014</v>
      </c>
      <c r="C37" s="2">
        <f t="shared" si="7"/>
        <v>309.52632488945159</v>
      </c>
      <c r="H37" s="1">
        <f t="shared" si="5"/>
        <v>0.35000000000000014</v>
      </c>
      <c r="I37" s="1">
        <f t="shared" si="1"/>
        <v>544.96043541033373</v>
      </c>
    </row>
    <row r="38" spans="2:9" x14ac:dyDescent="0.45">
      <c r="B38" s="2">
        <f t="shared" si="6"/>
        <v>0.36000000000000015</v>
      </c>
      <c r="C38" s="2">
        <f t="shared" si="7"/>
        <v>310.9289413329256</v>
      </c>
      <c r="H38" s="1">
        <f t="shared" si="5"/>
        <v>0.36000000000000015</v>
      </c>
      <c r="I38" s="1">
        <f t="shared" si="1"/>
        <v>546.30242425748702</v>
      </c>
    </row>
    <row r="39" spans="2:9" x14ac:dyDescent="0.45">
      <c r="B39" s="2">
        <f t="shared" si="6"/>
        <v>0.37000000000000016</v>
      </c>
      <c r="C39" s="2">
        <f t="shared" si="7"/>
        <v>312.31439218129674</v>
      </c>
      <c r="H39" s="1">
        <f t="shared" si="5"/>
        <v>0.37000000000000016</v>
      </c>
      <c r="I39" s="1">
        <f t="shared" si="1"/>
        <v>547.63542417166104</v>
      </c>
    </row>
    <row r="40" spans="2:9" x14ac:dyDescent="0.45">
      <c r="B40" s="2">
        <f t="shared" si="6"/>
        <v>0.38000000000000017</v>
      </c>
      <c r="C40" s="2">
        <f t="shared" si="7"/>
        <v>313.68535088006877</v>
      </c>
      <c r="H40" s="1">
        <f t="shared" si="5"/>
        <v>0.38000000000000017</v>
      </c>
      <c r="I40" s="1">
        <f t="shared" si="1"/>
        <v>548.9610645699679</v>
      </c>
    </row>
    <row r="41" spans="2:9" x14ac:dyDescent="0.45">
      <c r="B41" s="2">
        <f t="shared" si="6"/>
        <v>0.39000000000000018</v>
      </c>
      <c r="C41" s="2">
        <f t="shared" si="7"/>
        <v>315.04407450054902</v>
      </c>
      <c r="H41" s="1">
        <f t="shared" si="5"/>
        <v>0.39000000000000018</v>
      </c>
      <c r="I41" s="1">
        <f t="shared" si="1"/>
        <v>550.28067950630611</v>
      </c>
    </row>
    <row r="42" spans="2:9" x14ac:dyDescent="0.45">
      <c r="B42" s="2">
        <f t="shared" si="6"/>
        <v>0.40000000000000019</v>
      </c>
      <c r="C42" s="2">
        <f t="shared" si="7"/>
        <v>316.39246858780331</v>
      </c>
      <c r="H42" s="1">
        <f t="shared" si="5"/>
        <v>0.40000000000000019</v>
      </c>
      <c r="I42" s="1">
        <f t="shared" si="1"/>
        <v>551.59536121162932</v>
      </c>
    </row>
    <row r="43" spans="2:9" x14ac:dyDescent="0.45">
      <c r="B43" s="2">
        <f t="shared" si="6"/>
        <v>0.4100000000000002</v>
      </c>
      <c r="C43" s="2">
        <f t="shared" ref="C43:C102" si="8">($F$3-$F$2)*(1-EXP(-1 * $F$4 *B43))+$F$5*B43</f>
        <v>317.73214190890263</v>
      </c>
      <c r="H43" s="1">
        <f t="shared" si="5"/>
        <v>0.4100000000000002</v>
      </c>
      <c r="I43" s="1">
        <f t="shared" si="1"/>
        <v>552.90600392900842</v>
      </c>
    </row>
    <row r="44" spans="2:9" x14ac:dyDescent="0.45">
      <c r="B44" s="2">
        <f t="shared" si="6"/>
        <v>0.42000000000000021</v>
      </c>
      <c r="C44" s="2">
        <f t="shared" si="8"/>
        <v>319.0644526744378</v>
      </c>
      <c r="H44" s="1">
        <f t="shared" si="5"/>
        <v>0.42000000000000021</v>
      </c>
      <c r="I44" s="1">
        <f t="shared" si="1"/>
        <v>554.21333980274642</v>
      </c>
    </row>
    <row r="45" spans="2:9" x14ac:dyDescent="0.45">
      <c r="B45" s="2">
        <f t="shared" si="6"/>
        <v>0.43000000000000022</v>
      </c>
      <c r="C45" s="2">
        <f t="shared" si="8"/>
        <v>320.39054756129082</v>
      </c>
      <c r="H45" s="1">
        <f t="shared" si="5"/>
        <v>0.43000000000000022</v>
      </c>
      <c r="I45" s="1">
        <f t="shared" si="1"/>
        <v>555.5179682618998</v>
      </c>
    </row>
    <row r="46" spans="2:9" x14ac:dyDescent="0.45">
      <c r="B46" s="2">
        <f t="shared" si="6"/>
        <v>0.44000000000000022</v>
      </c>
      <c r="C46" s="2">
        <f t="shared" si="8"/>
        <v>321.7113946578275</v>
      </c>
      <c r="H46" s="1">
        <f t="shared" si="5"/>
        <v>0.44000000000000022</v>
      </c>
      <c r="I46" s="1">
        <f t="shared" si="1"/>
        <v>556.82038007747133</v>
      </c>
    </row>
    <row r="47" spans="2:9" x14ac:dyDescent="0.45">
      <c r="B47" s="2">
        <f t="shared" si="6"/>
        <v>0.45000000000000023</v>
      </c>
      <c r="C47" s="2">
        <f t="shared" si="8"/>
        <v>323.02781127806128</v>
      </c>
      <c r="H47" s="1">
        <f t="shared" si="5"/>
        <v>0.45000000000000023</v>
      </c>
      <c r="I47" s="1">
        <f t="shared" si="1"/>
        <v>558.12097705877409</v>
      </c>
    </row>
    <row r="48" spans="2:9" x14ac:dyDescent="0.45">
      <c r="B48" s="2">
        <f t="shared" si="6"/>
        <v>0.46000000000000024</v>
      </c>
      <c r="C48" s="2">
        <f t="shared" si="8"/>
        <v>324.34048744391572</v>
      </c>
      <c r="H48" s="1">
        <f t="shared" si="5"/>
        <v>0.46000000000000024</v>
      </c>
      <c r="I48" s="1">
        <f t="shared" si="1"/>
        <v>559.42008817944884</v>
      </c>
    </row>
    <row r="49" spans="2:9" x14ac:dyDescent="0.45">
      <c r="B49" s="2">
        <f t="shared" si="6"/>
        <v>0.47000000000000025</v>
      </c>
      <c r="C49" s="2">
        <f t="shared" si="8"/>
        <v>325.65000571025598</v>
      </c>
      <c r="H49" s="1">
        <f t="shared" si="5"/>
        <v>0.47000000000000025</v>
      </c>
      <c r="I49" s="1">
        <f t="shared" si="1"/>
        <v>560.71798278033305</v>
      </c>
    </row>
    <row r="50" spans="2:9" x14ac:dyDescent="0.45">
      <c r="B50" s="2">
        <f t="shared" si="6"/>
        <v>0.48000000000000026</v>
      </c>
      <c r="C50" s="2">
        <f t="shared" si="8"/>
        <v>326.95685790228288</v>
      </c>
      <c r="H50" s="1">
        <f t="shared" si="5"/>
        <v>0.48000000000000026</v>
      </c>
      <c r="I50" s="1">
        <f t="shared" si="1"/>
        <v>562.01488137905278</v>
      </c>
    </row>
    <row r="51" spans="2:9" x14ac:dyDescent="0.45">
      <c r="B51" s="2">
        <f t="shared" si="6"/>
        <v>0.49000000000000027</v>
      </c>
      <c r="C51" s="2">
        <f t="shared" si="8"/>
        <v>328.26145924617072</v>
      </c>
      <c r="H51" s="1">
        <f t="shared" si="5"/>
        <v>0.49000000000000027</v>
      </c>
      <c r="I51" s="1">
        <f t="shared" si="1"/>
        <v>563.31096452017027</v>
      </c>
    </row>
    <row r="52" spans="2:9" x14ac:dyDescent="0.45">
      <c r="B52" s="2">
        <f t="shared" si="6"/>
        <v>0.50000000000000022</v>
      </c>
      <c r="C52" s="2">
        <f t="shared" si="8"/>
        <v>329.56416029893785</v>
      </c>
      <c r="H52" s="1">
        <f t="shared" si="5"/>
        <v>0.50000000000000022</v>
      </c>
      <c r="I52" s="1">
        <f t="shared" si="1"/>
        <v>564.60638002107123</v>
      </c>
    </row>
    <row r="53" spans="2:9" x14ac:dyDescent="0.45">
      <c r="B53" s="2">
        <f t="shared" si="6"/>
        <v>0.51000000000000023</v>
      </c>
      <c r="C53" s="2">
        <f t="shared" si="8"/>
        <v>330.86525702030622</v>
      </c>
      <c r="H53" s="1">
        <f t="shared" si="5"/>
        <v>0.51000000000000023</v>
      </c>
      <c r="I53" s="1">
        <f t="shared" si="1"/>
        <v>565.90124890439483</v>
      </c>
    </row>
    <row r="54" spans="2:9" x14ac:dyDescent="0.45">
      <c r="B54" s="2">
        <f t="shared" si="6"/>
        <v>0.52000000000000024</v>
      </c>
      <c r="C54" s="2">
        <f t="shared" si="8"/>
        <v>332.16499927592486</v>
      </c>
      <c r="H54" s="1">
        <f t="shared" si="5"/>
        <v>0.52000000000000024</v>
      </c>
      <c r="I54" s="1">
        <f t="shared" si="1"/>
        <v>567.19567025509753</v>
      </c>
    </row>
    <row r="55" spans="2:9" x14ac:dyDescent="0.45">
      <c r="B55" s="2">
        <f t="shared" si="6"/>
        <v>0.53000000000000025</v>
      </c>
      <c r="C55" s="2">
        <f t="shared" si="8"/>
        <v>333.46359801626471</v>
      </c>
      <c r="H55" s="1">
        <f t="shared" si="5"/>
        <v>0.53000000000000025</v>
      </c>
      <c r="I55" s="1">
        <f t="shared" si="1"/>
        <v>568.48972519708059</v>
      </c>
    </row>
    <row r="56" spans="2:9" x14ac:dyDescent="0.45">
      <c r="B56" s="2">
        <f t="shared" si="6"/>
        <v>0.54000000000000026</v>
      </c>
      <c r="C56" s="2">
        <f t="shared" si="8"/>
        <v>334.76123133743965</v>
      </c>
      <c r="H56" s="1">
        <f t="shared" si="5"/>
        <v>0.54000000000000026</v>
      </c>
      <c r="I56" s="1">
        <f t="shared" si="1"/>
        <v>569.78348014897665</v>
      </c>
    </row>
    <row r="57" spans="2:9" x14ac:dyDescent="0.45">
      <c r="B57" s="2">
        <f t="shared" si="6"/>
        <v>0.55000000000000027</v>
      </c>
      <c r="C57" s="2">
        <f t="shared" si="8"/>
        <v>336.05804959808904</v>
      </c>
      <c r="H57" s="1">
        <f t="shared" si="5"/>
        <v>0.55000000000000027</v>
      </c>
      <c r="I57" s="1">
        <f t="shared" si="1"/>
        <v>571.07698948976304</v>
      </c>
    </row>
    <row r="58" spans="2:9" x14ac:dyDescent="0.45">
      <c r="B58" s="2">
        <f t="shared" si="6"/>
        <v>0.56000000000000028</v>
      </c>
      <c r="C58" s="2">
        <f t="shared" si="8"/>
        <v>337.35417973933471</v>
      </c>
      <c r="H58" s="1">
        <f t="shared" si="5"/>
        <v>0.56000000000000028</v>
      </c>
      <c r="I58" s="1">
        <f t="shared" si="1"/>
        <v>572.37029774118037</v>
      </c>
    </row>
    <row r="59" spans="2:9" x14ac:dyDescent="0.45">
      <c r="B59" s="2">
        <f t="shared" si="6"/>
        <v>0.57000000000000028</v>
      </c>
      <c r="C59" s="2">
        <f t="shared" si="8"/>
        <v>338.64972893192805</v>
      </c>
      <c r="H59" s="1">
        <f t="shared" si="5"/>
        <v>0.57000000000000028</v>
      </c>
      <c r="I59" s="1">
        <f t="shared" si="1"/>
        <v>573.66344135454722</v>
      </c>
    </row>
    <row r="60" spans="2:9" x14ac:dyDescent="0.45">
      <c r="B60" s="2">
        <f t="shared" si="6"/>
        <v>0.58000000000000029</v>
      </c>
      <c r="C60" s="2">
        <f t="shared" si="8"/>
        <v>339.94478765537497</v>
      </c>
      <c r="H60" s="1">
        <f t="shared" si="5"/>
        <v>0.58000000000000029</v>
      </c>
      <c r="I60" s="1">
        <f t="shared" si="1"/>
        <v>574.95645017367917</v>
      </c>
    </row>
    <row r="61" spans="2:9" x14ac:dyDescent="0.45">
      <c r="B61" s="2">
        <f t="shared" si="6"/>
        <v>0.5900000000000003</v>
      </c>
      <c r="C61" s="2">
        <f t="shared" si="8"/>
        <v>341.23943229750387</v>
      </c>
      <c r="H61" s="1">
        <f t="shared" si="5"/>
        <v>0.5900000000000003</v>
      </c>
      <c r="I61" s="1">
        <f t="shared" si="1"/>
        <v>576.24934863262547</v>
      </c>
    </row>
    <row r="62" spans="2:9" x14ac:dyDescent="0.45">
      <c r="B62" s="2">
        <f t="shared" si="6"/>
        <v>0.60000000000000031</v>
      </c>
      <c r="C62" s="2">
        <f t="shared" si="8"/>
        <v>342.53372734916582</v>
      </c>
      <c r="H62" s="1">
        <f t="shared" si="5"/>
        <v>0.60000000000000031</v>
      </c>
      <c r="I62" s="1">
        <f t="shared" si="1"/>
        <v>577.54215673629403</v>
      </c>
    </row>
    <row r="63" spans="2:9" x14ac:dyDescent="0.45">
      <c r="B63" s="2">
        <f t="shared" si="6"/>
        <v>0.61000000000000032</v>
      </c>
      <c r="C63" s="2">
        <f t="shared" si="8"/>
        <v>343.82772725712232</v>
      </c>
      <c r="H63" s="1">
        <f t="shared" si="5"/>
        <v>0.61000000000000032</v>
      </c>
      <c r="I63" s="1">
        <f t="shared" si="1"/>
        <v>578.83489086331792</v>
      </c>
    </row>
    <row r="64" spans="2:9" x14ac:dyDescent="0.45">
      <c r="B64" s="2">
        <f t="shared" si="6"/>
        <v>0.62000000000000033</v>
      </c>
      <c r="C64" s="2">
        <f t="shared" si="8"/>
        <v>345.12147798835611</v>
      </c>
      <c r="H64" s="1">
        <f t="shared" si="5"/>
        <v>0.62000000000000033</v>
      </c>
      <c r="I64" s="1">
        <f t="shared" si="1"/>
        <v>580.12756442338787</v>
      </c>
    </row>
    <row r="65" spans="2:9" x14ac:dyDescent="0.45">
      <c r="B65" s="2">
        <f t="shared" si="6"/>
        <v>0.63000000000000034</v>
      </c>
      <c r="C65" s="2">
        <f t="shared" si="8"/>
        <v>346.41501835074899</v>
      </c>
      <c r="H65" s="1">
        <f t="shared" si="5"/>
        <v>0.63000000000000034</v>
      </c>
      <c r="I65" s="1">
        <f t="shared" si="1"/>
        <v>581.42018839542982</v>
      </c>
    </row>
    <row r="66" spans="2:9" x14ac:dyDescent="0.45">
      <c r="B66" s="2">
        <f t="shared" si="6"/>
        <v>0.64000000000000035</v>
      </c>
      <c r="C66" s="2">
        <f t="shared" si="8"/>
        <v>347.70838110807239</v>
      </c>
      <c r="H66" s="1">
        <f t="shared" si="5"/>
        <v>0.64000000000000035</v>
      </c>
      <c r="I66" s="1">
        <f t="shared" si="1"/>
        <v>582.71277176822844</v>
      </c>
    </row>
    <row r="67" spans="2:9" x14ac:dyDescent="0.45">
      <c r="B67" s="2">
        <f t="shared" si="6"/>
        <v>0.65000000000000036</v>
      </c>
      <c r="C67" s="2">
        <f t="shared" si="8"/>
        <v>349.00159392132321</v>
      </c>
      <c r="H67" s="1">
        <f t="shared" si="5"/>
        <v>0.65000000000000036</v>
      </c>
      <c r="I67" s="1">
        <f t="shared" ref="I67:I102" si="9">($F$10-$F$9)*(1-EXP(-1 * $F$11 *H67))+$F$12*H67+$F$13</f>
        <v>584.00532190117792</v>
      </c>
    </row>
    <row r="68" spans="2:9" x14ac:dyDescent="0.45">
      <c r="B68" s="2">
        <f t="shared" ref="B68:B88" si="10">B67+0.01</f>
        <v>0.66000000000000036</v>
      </c>
      <c r="C68" s="2">
        <f t="shared" si="8"/>
        <v>350.29468014345281</v>
      </c>
      <c r="H68" s="1">
        <f t="shared" si="5"/>
        <v>0.66000000000000036</v>
      </c>
      <c r="I68" s="1">
        <f t="shared" si="9"/>
        <v>585.29784481964077</v>
      </c>
    </row>
    <row r="69" spans="2:9" x14ac:dyDescent="0.45">
      <c r="B69" s="2">
        <f t="shared" si="10"/>
        <v>0.67000000000000037</v>
      </c>
      <c r="C69" s="2">
        <f t="shared" si="8"/>
        <v>351.58765949032085</v>
      </c>
      <c r="H69" s="1">
        <f t="shared" si="5"/>
        <v>0.67000000000000037</v>
      </c>
      <c r="I69" s="1">
        <f t="shared" si="9"/>
        <v>586.59034545676639</v>
      </c>
    </row>
    <row r="70" spans="2:9" x14ac:dyDescent="0.45">
      <c r="B70" s="2">
        <f t="shared" si="10"/>
        <v>0.68000000000000038</v>
      </c>
      <c r="C70" s="2">
        <f t="shared" si="8"/>
        <v>352.88054860715192</v>
      </c>
      <c r="H70" s="1">
        <f t="shared" si="5"/>
        <v>0.68000000000000038</v>
      </c>
      <c r="I70" s="1">
        <f t="shared" si="9"/>
        <v>587.88282785147612</v>
      </c>
    </row>
    <row r="71" spans="2:9" x14ac:dyDescent="0.45">
      <c r="B71" s="2">
        <f t="shared" si="10"/>
        <v>0.69000000000000039</v>
      </c>
      <c r="C71" s="2">
        <f t="shared" si="8"/>
        <v>354.17336154677014</v>
      </c>
      <c r="H71" s="1">
        <f t="shared" si="5"/>
        <v>0.69000000000000039</v>
      </c>
      <c r="I71" s="1">
        <f t="shared" si="9"/>
        <v>589.17529531055879</v>
      </c>
    </row>
    <row r="72" spans="2:9" x14ac:dyDescent="0.45">
      <c r="B72" s="2">
        <f t="shared" si="10"/>
        <v>0.7000000000000004</v>
      </c>
      <c r="C72" s="2">
        <f t="shared" si="8"/>
        <v>355.46611017335067</v>
      </c>
      <c r="H72" s="1">
        <f t="shared" si="5"/>
        <v>0.7000000000000004</v>
      </c>
      <c r="I72" s="1">
        <f t="shared" si="9"/>
        <v>590.46775054138436</v>
      </c>
    </row>
    <row r="73" spans="2:9" x14ac:dyDescent="0.45">
      <c r="B73" s="2">
        <f t="shared" si="10"/>
        <v>0.71000000000000041</v>
      </c>
      <c r="C73" s="2">
        <f t="shared" si="8"/>
        <v>356.75880450328958</v>
      </c>
      <c r="H73" s="1">
        <f t="shared" si="5"/>
        <v>0.71000000000000041</v>
      </c>
      <c r="I73" s="1">
        <f t="shared" si="9"/>
        <v>591.76019576055978</v>
      </c>
    </row>
    <row r="74" spans="2:9" x14ac:dyDescent="0.45">
      <c r="B74" s="2">
        <f t="shared" si="10"/>
        <v>0.72000000000000042</v>
      </c>
      <c r="C74" s="2">
        <f t="shared" si="8"/>
        <v>358.0514529929855</v>
      </c>
      <c r="H74" s="1">
        <f t="shared" si="5"/>
        <v>0.72000000000000042</v>
      </c>
      <c r="I74" s="1">
        <f t="shared" si="9"/>
        <v>593.0526327828893</v>
      </c>
    </row>
    <row r="75" spans="2:9" x14ac:dyDescent="0.45">
      <c r="B75" s="2">
        <f t="shared" si="10"/>
        <v>0.73000000000000043</v>
      </c>
      <c r="C75" s="2">
        <f t="shared" si="8"/>
        <v>359.34406278179995</v>
      </c>
      <c r="H75" s="1">
        <f t="shared" si="5"/>
        <v>0.73000000000000043</v>
      </c>
      <c r="I75" s="1">
        <f t="shared" si="9"/>
        <v>594.34506309420908</v>
      </c>
    </row>
    <row r="76" spans="2:9" x14ac:dyDescent="0.45">
      <c r="B76" s="2">
        <f t="shared" si="10"/>
        <v>0.74000000000000044</v>
      </c>
      <c r="C76" s="2">
        <f t="shared" si="8"/>
        <v>360.63663989717907</v>
      </c>
      <c r="H76" s="1">
        <f t="shared" si="5"/>
        <v>0.74000000000000044</v>
      </c>
      <c r="I76" s="1">
        <f t="shared" si="9"/>
        <v>595.63748791101875</v>
      </c>
    </row>
    <row r="77" spans="2:9" x14ac:dyDescent="0.45">
      <c r="B77" s="2">
        <f t="shared" si="10"/>
        <v>0.75000000000000044</v>
      </c>
      <c r="C77" s="2">
        <f t="shared" si="8"/>
        <v>361.92918942782768</v>
      </c>
      <c r="H77" s="1">
        <f t="shared" si="5"/>
        <v>0.75000000000000044</v>
      </c>
      <c r="I77" s="1">
        <f t="shared" si="9"/>
        <v>596.92990822930392</v>
      </c>
    </row>
    <row r="78" spans="2:9" x14ac:dyDescent="0.45">
      <c r="B78" s="2">
        <f t="shared" si="10"/>
        <v>0.76000000000000045</v>
      </c>
      <c r="C78" s="2">
        <f t="shared" si="8"/>
        <v>363.22171566991346</v>
      </c>
      <c r="H78" s="1">
        <f t="shared" si="5"/>
        <v>0.76000000000000045</v>
      </c>
      <c r="I78" s="1">
        <f t="shared" si="9"/>
        <v>598.22232486450889</v>
      </c>
    </row>
    <row r="79" spans="2:9" x14ac:dyDescent="0.45">
      <c r="B79" s="2">
        <f t="shared" si="10"/>
        <v>0.77000000000000046</v>
      </c>
      <c r="C79" s="2">
        <f t="shared" si="8"/>
        <v>364.51422225049987</v>
      </c>
      <c r="H79" s="1">
        <f t="shared" si="5"/>
        <v>0.77000000000000046</v>
      </c>
      <c r="I79" s="1">
        <f t="shared" si="9"/>
        <v>599.51473848426281</v>
      </c>
    </row>
    <row r="80" spans="2:9" x14ac:dyDescent="0.45">
      <c r="B80" s="2">
        <f t="shared" si="10"/>
        <v>0.78000000000000047</v>
      </c>
      <c r="C80" s="2">
        <f t="shared" si="8"/>
        <v>365.80671223175574</v>
      </c>
      <c r="H80" s="1">
        <f t="shared" si="5"/>
        <v>0.78000000000000047</v>
      </c>
      <c r="I80" s="1">
        <f t="shared" si="9"/>
        <v>600.80714963517414</v>
      </c>
    </row>
    <row r="81" spans="2:9" x14ac:dyDescent="0.45">
      <c r="B81" s="2">
        <f t="shared" si="10"/>
        <v>0.79000000000000048</v>
      </c>
      <c r="C81" s="2">
        <f t="shared" si="8"/>
        <v>367.0991881989338</v>
      </c>
      <c r="H81" s="1">
        <f t="shared" si="5"/>
        <v>0.79000000000000048</v>
      </c>
      <c r="I81" s="1">
        <f t="shared" si="9"/>
        <v>602.09955876476829</v>
      </c>
    </row>
    <row r="82" spans="2:9" x14ac:dyDescent="0.45">
      <c r="B82" s="2">
        <f t="shared" si="10"/>
        <v>0.80000000000000049</v>
      </c>
      <c r="C82" s="2">
        <f t="shared" si="8"/>
        <v>368.39165233464837</v>
      </c>
      <c r="H82" s="1">
        <f t="shared" si="5"/>
        <v>0.80000000000000049</v>
      </c>
      <c r="I82" s="1">
        <f t="shared" si="9"/>
        <v>603.39196623944758</v>
      </c>
    </row>
    <row r="83" spans="2:9" x14ac:dyDescent="0.45">
      <c r="B83" s="2">
        <f t="shared" si="10"/>
        <v>0.8100000000000005</v>
      </c>
      <c r="C83" s="2">
        <f t="shared" si="8"/>
        <v>369.68410648158397</v>
      </c>
      <c r="H83" s="1">
        <f t="shared" si="5"/>
        <v>0.8100000000000005</v>
      </c>
      <c r="I83" s="1">
        <f t="shared" si="9"/>
        <v>604.6843723591976</v>
      </c>
    </row>
    <row r="84" spans="2:9" x14ac:dyDescent="0.45">
      <c r="B84" s="2">
        <f t="shared" si="10"/>
        <v>0.82000000000000051</v>
      </c>
      <c r="C84" s="2">
        <f t="shared" si="8"/>
        <v>370.97655219543685</v>
      </c>
      <c r="H84" s="1">
        <f t="shared" si="5"/>
        <v>0.82000000000000051</v>
      </c>
      <c r="I84" s="1">
        <f t="shared" si="9"/>
        <v>605.9767773696251</v>
      </c>
    </row>
    <row r="85" spans="2:9" x14ac:dyDescent="0.45">
      <c r="B85" s="2">
        <f t="shared" si="10"/>
        <v>0.83000000000000052</v>
      </c>
      <c r="C85" s="2">
        <f t="shared" si="8"/>
        <v>372.26899078961264</v>
      </c>
      <c r="H85" s="1">
        <f t="shared" si="5"/>
        <v>0.83000000000000052</v>
      </c>
      <c r="I85" s="1">
        <f t="shared" si="9"/>
        <v>607.26918147181607</v>
      </c>
    </row>
    <row r="86" spans="2:9" x14ac:dyDescent="0.45">
      <c r="B86" s="2">
        <f t="shared" si="10"/>
        <v>0.84000000000000052</v>
      </c>
      <c r="C86" s="2">
        <f t="shared" si="8"/>
        <v>373.56142337296126</v>
      </c>
      <c r="H86" s="1">
        <f t="shared" si="5"/>
        <v>0.84000000000000052</v>
      </c>
      <c r="I86" s="1">
        <f t="shared" si="9"/>
        <v>608.56158483040599</v>
      </c>
    </row>
    <row r="87" spans="2:9" x14ac:dyDescent="0.45">
      <c r="B87" s="2">
        <f t="shared" si="10"/>
        <v>0.85000000000000053</v>
      </c>
      <c r="C87" s="2">
        <f t="shared" si="8"/>
        <v>374.85385088163548</v>
      </c>
      <c r="H87" s="1">
        <f t="shared" si="5"/>
        <v>0.85000000000000053</v>
      </c>
      <c r="I87" s="1">
        <f t="shared" si="9"/>
        <v>609.85398758018698</v>
      </c>
    </row>
    <row r="88" spans="2:9" x14ac:dyDescent="0.45">
      <c r="B88" s="2">
        <f t="shared" si="10"/>
        <v>0.86000000000000054</v>
      </c>
      <c r="C88" s="2">
        <f t="shared" si="8"/>
        <v>376.1462741059874</v>
      </c>
      <c r="H88" s="1">
        <f t="shared" si="5"/>
        <v>0.86000000000000054</v>
      </c>
      <c r="I88" s="1">
        <f t="shared" si="9"/>
        <v>611.14638983151713</v>
      </c>
    </row>
    <row r="89" spans="2:9" x14ac:dyDescent="0.45">
      <c r="B89" s="2">
        <f t="shared" ref="B89:B100" si="11">B88+0.01</f>
        <v>0.87000000000000055</v>
      </c>
      <c r="C89" s="2">
        <f t="shared" si="8"/>
        <v>377.43869371327628</v>
      </c>
      <c r="H89" s="1">
        <f t="shared" si="5"/>
        <v>0.87000000000000055</v>
      </c>
      <c r="I89" s="1">
        <f t="shared" si="9"/>
        <v>612.43879167475029</v>
      </c>
    </row>
    <row r="90" spans="2:9" x14ac:dyDescent="0.45">
      <c r="B90" s="2">
        <f t="shared" si="11"/>
        <v>0.88000000000000056</v>
      </c>
      <c r="C90" s="2">
        <f t="shared" si="8"/>
        <v>378.73111026683944</v>
      </c>
      <c r="H90" s="1">
        <f t="shared" si="5"/>
        <v>0.88000000000000056</v>
      </c>
      <c r="I90" s="1">
        <f t="shared" si="9"/>
        <v>613.73119318386205</v>
      </c>
    </row>
    <row r="91" spans="2:9" x14ac:dyDescent="0.45">
      <c r="B91" s="2">
        <f t="shared" si="11"/>
        <v>0.89000000000000057</v>
      </c>
      <c r="C91" s="2">
        <f t="shared" si="8"/>
        <v>380.0235242422778</v>
      </c>
      <c r="H91" s="1">
        <f t="shared" si="5"/>
        <v>0.89000000000000057</v>
      </c>
      <c r="I91" s="1">
        <f t="shared" si="9"/>
        <v>615.02359441941826</v>
      </c>
    </row>
    <row r="92" spans="2:9" x14ac:dyDescent="0.45">
      <c r="B92" s="2">
        <f t="shared" si="11"/>
        <v>0.90000000000000058</v>
      </c>
      <c r="C92" s="2">
        <f t="shared" si="8"/>
        <v>381.31593604111964</v>
      </c>
      <c r="H92" s="1">
        <f t="shared" si="5"/>
        <v>0.90000000000000058</v>
      </c>
      <c r="I92" s="1">
        <f t="shared" si="9"/>
        <v>616.31599543100617</v>
      </c>
    </row>
    <row r="93" spans="2:9" x14ac:dyDescent="0.45">
      <c r="B93" s="2">
        <f t="shared" si="11"/>
        <v>0.91000000000000059</v>
      </c>
      <c r="C93" s="2">
        <f t="shared" si="8"/>
        <v>382.60834600235779</v>
      </c>
      <c r="H93" s="1">
        <f t="shared" si="5"/>
        <v>0.91000000000000059</v>
      </c>
      <c r="I93" s="1">
        <f t="shared" si="9"/>
        <v>617.60839625922426</v>
      </c>
    </row>
    <row r="94" spans="2:9" x14ac:dyDescent="0.45">
      <c r="B94" s="2">
        <f t="shared" si="11"/>
        <v>0.9200000000000006</v>
      </c>
      <c r="C94" s="2">
        <f t="shared" si="8"/>
        <v>383.9007544121888</v>
      </c>
      <c r="H94" s="1">
        <f t="shared" si="5"/>
        <v>0.9200000000000006</v>
      </c>
      <c r="I94" s="1">
        <f t="shared" si="9"/>
        <v>618.90079693731184</v>
      </c>
    </row>
    <row r="95" spans="2:9" x14ac:dyDescent="0.45">
      <c r="B95" s="2">
        <f t="shared" si="11"/>
        <v>0.9300000000000006</v>
      </c>
      <c r="C95" s="2">
        <f t="shared" si="8"/>
        <v>385.19316151223569</v>
      </c>
      <c r="H95" s="1">
        <f t="shared" si="5"/>
        <v>0.9300000000000006</v>
      </c>
      <c r="I95" s="1">
        <f t="shared" si="9"/>
        <v>620.19319749248302</v>
      </c>
    </row>
    <row r="96" spans="2:9" x14ac:dyDescent="0.45">
      <c r="B96" s="2">
        <f t="shared" si="11"/>
        <v>0.94000000000000061</v>
      </c>
      <c r="C96" s="2">
        <f t="shared" si="8"/>
        <v>386.48556750648987</v>
      </c>
      <c r="H96" s="1">
        <f t="shared" si="5"/>
        <v>0.94000000000000061</v>
      </c>
      <c r="I96" s="1">
        <f t="shared" si="9"/>
        <v>621.48559794701873</v>
      </c>
    </row>
    <row r="97" spans="2:9" x14ac:dyDescent="0.45">
      <c r="B97" s="2">
        <f t="shared" si="11"/>
        <v>0.95000000000000062</v>
      </c>
      <c r="C97" s="2">
        <f t="shared" si="8"/>
        <v>387.77797256717247</v>
      </c>
      <c r="H97" s="1">
        <f t="shared" si="5"/>
        <v>0.95000000000000062</v>
      </c>
      <c r="I97" s="1">
        <f t="shared" si="9"/>
        <v>622.77799831916116</v>
      </c>
    </row>
    <row r="98" spans="2:9" x14ac:dyDescent="0.45">
      <c r="B98" s="2">
        <f t="shared" si="11"/>
        <v>0.96000000000000063</v>
      </c>
      <c r="C98" s="2">
        <f t="shared" si="8"/>
        <v>389.07037683968201</v>
      </c>
      <c r="H98" s="1">
        <f t="shared" si="5"/>
        <v>0.96000000000000063</v>
      </c>
      <c r="I98" s="1">
        <f t="shared" si="9"/>
        <v>624.07039862384556</v>
      </c>
    </row>
    <row r="99" spans="2:9" x14ac:dyDescent="0.45">
      <c r="B99" s="2">
        <f t="shared" si="11"/>
        <v>0.97000000000000064</v>
      </c>
      <c r="C99" s="2">
        <f t="shared" si="8"/>
        <v>390.36278044677221</v>
      </c>
      <c r="H99" s="1">
        <f t="shared" ref="H99:H102" si="12">H98+0.01</f>
        <v>0.97000000000000064</v>
      </c>
      <c r="I99" s="1">
        <f t="shared" si="9"/>
        <v>625.36279887330011</v>
      </c>
    </row>
    <row r="100" spans="2:9" x14ac:dyDescent="0.45">
      <c r="B100" s="2">
        <f t="shared" si="11"/>
        <v>0.98000000000000065</v>
      </c>
      <c r="C100" s="2">
        <f t="shared" si="8"/>
        <v>391.65518349207815</v>
      </c>
      <c r="H100" s="1">
        <f t="shared" si="12"/>
        <v>0.98000000000000065</v>
      </c>
      <c r="I100" s="1">
        <f t="shared" si="9"/>
        <v>626.65519907753605</v>
      </c>
    </row>
    <row r="101" spans="2:9" x14ac:dyDescent="0.45">
      <c r="B101" s="2">
        <f>B100+0.01</f>
        <v>0.99000000000000066</v>
      </c>
      <c r="C101" s="2">
        <f t="shared" si="8"/>
        <v>392.94758606309472</v>
      </c>
      <c r="H101" s="1">
        <f t="shared" si="12"/>
        <v>0.99000000000000066</v>
      </c>
      <c r="I101" s="1">
        <f t="shared" si="9"/>
        <v>627.94759924475045</v>
      </c>
    </row>
    <row r="102" spans="2:9" x14ac:dyDescent="0.45">
      <c r="B102" s="2">
        <f>B101+0.01</f>
        <v>1.0000000000000007</v>
      </c>
      <c r="C102" s="2">
        <f t="shared" si="8"/>
        <v>394.23998823368981</v>
      </c>
      <c r="H102" s="1">
        <f t="shared" si="12"/>
        <v>1.0000000000000007</v>
      </c>
      <c r="I102" s="1">
        <f t="shared" si="9"/>
        <v>629.239999381654</v>
      </c>
    </row>
    <row r="103" spans="2:9" x14ac:dyDescent="0.45">
      <c r="B103" s="2"/>
    </row>
    <row r="104" spans="2:9" x14ac:dyDescent="0.45">
      <c r="B104" s="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BADB8-91CC-4A89-AE30-02E160A44E70}">
  <dimension ref="B1:F565"/>
  <sheetViews>
    <sheetView tabSelected="1" topLeftCell="A13" zoomScale="130" zoomScaleNormal="130" workbookViewId="0">
      <selection activeCell="F3" sqref="F3"/>
    </sheetView>
  </sheetViews>
  <sheetFormatPr defaultRowHeight="18" x14ac:dyDescent="0.45"/>
  <cols>
    <col min="5" max="5" width="18.796875" bestFit="1" customWidth="1"/>
    <col min="6" max="6" width="20" bestFit="1" customWidth="1"/>
  </cols>
  <sheetData>
    <row r="1" spans="2:6" x14ac:dyDescent="0.45">
      <c r="E1">
        <v>557</v>
      </c>
    </row>
    <row r="2" spans="2:6" x14ac:dyDescent="0.45">
      <c r="B2" t="s">
        <v>7</v>
      </c>
    </row>
    <row r="3" spans="2:6" x14ac:dyDescent="0.45">
      <c r="B3" t="s">
        <v>5</v>
      </c>
      <c r="C3">
        <v>200</v>
      </c>
      <c r="E3" s="3">
        <v>0</v>
      </c>
      <c r="F3" s="4">
        <f>$C$3*(1+E3/$C$5)^$C$4</f>
        <v>200</v>
      </c>
    </row>
    <row r="4" spans="2:6" x14ac:dyDescent="0.45">
      <c r="B4" t="s">
        <v>6</v>
      </c>
      <c r="C4">
        <v>0.15</v>
      </c>
      <c r="E4" s="3">
        <f>E3+0.01</f>
        <v>0.01</v>
      </c>
      <c r="F4" s="4">
        <f t="shared" ref="F4:F67" si="0">$C$3*(1+E4/$C$5)^$C$4</f>
        <v>221.91389441356901</v>
      </c>
    </row>
    <row r="5" spans="2:6" x14ac:dyDescent="0.45">
      <c r="C5">
        <v>0.01</v>
      </c>
      <c r="E5" s="3">
        <f t="shared" ref="E5:E68" si="1">E4+0.01</f>
        <v>0.02</v>
      </c>
      <c r="F5" s="4">
        <f t="shared" si="0"/>
        <v>235.82952913627332</v>
      </c>
    </row>
    <row r="6" spans="2:6" x14ac:dyDescent="0.45">
      <c r="E6" s="3">
        <f t="shared" si="1"/>
        <v>0.03</v>
      </c>
      <c r="F6" s="4">
        <f t="shared" si="0"/>
        <v>246.22888266898326</v>
      </c>
    </row>
    <row r="7" spans="2:6" x14ac:dyDescent="0.45">
      <c r="C7">
        <f>C3/1000</f>
        <v>0.2</v>
      </c>
      <c r="E7" s="3">
        <f t="shared" si="1"/>
        <v>0.04</v>
      </c>
      <c r="F7" s="4">
        <f t="shared" si="0"/>
        <v>254.61002310928473</v>
      </c>
    </row>
    <row r="8" spans="2:6" x14ac:dyDescent="0.45">
      <c r="E8" s="3">
        <f t="shared" si="1"/>
        <v>0.05</v>
      </c>
      <c r="F8" s="4">
        <f t="shared" si="0"/>
        <v>261.6692461417432</v>
      </c>
    </row>
    <row r="9" spans="2:6" x14ac:dyDescent="0.45">
      <c r="E9" s="3">
        <f t="shared" si="1"/>
        <v>6.0000000000000005E-2</v>
      </c>
      <c r="F9" s="4">
        <f t="shared" si="0"/>
        <v>267.79021360169213</v>
      </c>
    </row>
    <row r="10" spans="2:6" x14ac:dyDescent="0.45">
      <c r="E10" s="3">
        <f t="shared" si="1"/>
        <v>7.0000000000000007E-2</v>
      </c>
      <c r="F10" s="4">
        <f t="shared" si="0"/>
        <v>273.20805135087909</v>
      </c>
    </row>
    <row r="11" spans="2:6" x14ac:dyDescent="0.45">
      <c r="E11" s="3">
        <f t="shared" si="1"/>
        <v>0.08</v>
      </c>
      <c r="F11" s="4">
        <f t="shared" si="0"/>
        <v>278.07783406318185</v>
      </c>
    </row>
    <row r="12" spans="2:6" x14ac:dyDescent="0.45">
      <c r="E12" s="3">
        <f t="shared" si="1"/>
        <v>0.09</v>
      </c>
      <c r="F12" s="4">
        <f t="shared" si="0"/>
        <v>282.50750892455085</v>
      </c>
    </row>
    <row r="13" spans="2:6" x14ac:dyDescent="0.45">
      <c r="E13" s="3">
        <f t="shared" si="1"/>
        <v>9.9999999999999992E-2</v>
      </c>
      <c r="F13" s="4">
        <f t="shared" si="0"/>
        <v>286.57539417464608</v>
      </c>
    </row>
    <row r="14" spans="2:6" x14ac:dyDescent="0.45">
      <c r="E14" s="3">
        <f t="shared" si="1"/>
        <v>0.10999999999999999</v>
      </c>
      <c r="F14" s="4">
        <f t="shared" si="0"/>
        <v>290.34020729788506</v>
      </c>
    </row>
    <row r="15" spans="2:6" x14ac:dyDescent="0.45">
      <c r="E15" s="3">
        <f t="shared" si="1"/>
        <v>0.11999999999999998</v>
      </c>
      <c r="F15" s="4">
        <f t="shared" si="0"/>
        <v>293.84716057308293</v>
      </c>
    </row>
    <row r="16" spans="2:6" x14ac:dyDescent="0.45">
      <c r="E16" s="3">
        <f t="shared" si="1"/>
        <v>0.12999999999999998</v>
      </c>
      <c r="F16" s="4">
        <f t="shared" si="0"/>
        <v>297.13184593096497</v>
      </c>
    </row>
    <row r="17" spans="5:6" x14ac:dyDescent="0.45">
      <c r="E17" s="3">
        <f t="shared" si="1"/>
        <v>0.13999999999999999</v>
      </c>
      <c r="F17" s="4">
        <f t="shared" si="0"/>
        <v>300.22280931619139</v>
      </c>
    </row>
    <row r="18" spans="5:6" x14ac:dyDescent="0.45">
      <c r="E18" s="3">
        <f t="shared" si="1"/>
        <v>0.15</v>
      </c>
      <c r="F18" s="4">
        <f t="shared" si="0"/>
        <v>303.1433133020796</v>
      </c>
    </row>
    <row r="19" spans="5:6" x14ac:dyDescent="0.45">
      <c r="E19" s="3">
        <f t="shared" si="1"/>
        <v>0.16</v>
      </c>
      <c r="F19" s="4">
        <f t="shared" si="0"/>
        <v>305.9125779487631</v>
      </c>
    </row>
    <row r="20" spans="5:6" x14ac:dyDescent="0.45">
      <c r="E20" s="3">
        <f t="shared" si="1"/>
        <v>0.17</v>
      </c>
      <c r="F20" s="4">
        <f t="shared" si="0"/>
        <v>308.54667553525451</v>
      </c>
    </row>
    <row r="21" spans="5:6" x14ac:dyDescent="0.45">
      <c r="E21" s="3">
        <f t="shared" si="1"/>
        <v>0.18000000000000002</v>
      </c>
      <c r="F21" s="4">
        <f t="shared" si="0"/>
        <v>311.05918931853387</v>
      </c>
    </row>
    <row r="22" spans="5:6" x14ac:dyDescent="0.45">
      <c r="E22" s="3">
        <f t="shared" si="1"/>
        <v>0.19000000000000003</v>
      </c>
      <c r="F22" s="4">
        <f t="shared" si="0"/>
        <v>313.46170753261589</v>
      </c>
    </row>
    <row r="23" spans="5:6" x14ac:dyDescent="0.45">
      <c r="E23" s="3">
        <f t="shared" si="1"/>
        <v>0.20000000000000004</v>
      </c>
      <c r="F23" s="4">
        <f t="shared" si="0"/>
        <v>315.76419990494549</v>
      </c>
    </row>
    <row r="24" spans="5:6" x14ac:dyDescent="0.45">
      <c r="E24" s="3">
        <f t="shared" si="1"/>
        <v>0.21000000000000005</v>
      </c>
      <c r="F24" s="4">
        <f t="shared" si="0"/>
        <v>317.97530882199663</v>
      </c>
    </row>
    <row r="25" spans="5:6" x14ac:dyDescent="0.45">
      <c r="E25" s="3">
        <f t="shared" si="1"/>
        <v>0.22000000000000006</v>
      </c>
      <c r="F25" s="4">
        <f t="shared" si="0"/>
        <v>320.10257744328226</v>
      </c>
    </row>
    <row r="26" spans="5:6" x14ac:dyDescent="0.45">
      <c r="E26" s="3">
        <f t="shared" si="1"/>
        <v>0.23000000000000007</v>
      </c>
      <c r="F26" s="4">
        <f t="shared" si="0"/>
        <v>322.15263053158299</v>
      </c>
    </row>
    <row r="27" spans="5:6" x14ac:dyDescent="0.45">
      <c r="E27" s="3">
        <f t="shared" si="1"/>
        <v>0.24000000000000007</v>
      </c>
      <c r="F27" s="4">
        <f t="shared" si="0"/>
        <v>324.13131933855249</v>
      </c>
    </row>
    <row r="28" spans="5:6" x14ac:dyDescent="0.45">
      <c r="E28" s="3">
        <f t="shared" si="1"/>
        <v>0.25000000000000006</v>
      </c>
      <c r="F28" s="4">
        <f t="shared" si="0"/>
        <v>326.04383882571091</v>
      </c>
    </row>
    <row r="29" spans="5:6" x14ac:dyDescent="0.45">
      <c r="E29" s="3">
        <f t="shared" si="1"/>
        <v>0.26000000000000006</v>
      </c>
      <c r="F29" s="4">
        <f t="shared" si="0"/>
        <v>327.89482335177456</v>
      </c>
    </row>
    <row r="30" spans="5:6" x14ac:dyDescent="0.45">
      <c r="E30" s="3">
        <f t="shared" si="1"/>
        <v>0.27000000000000007</v>
      </c>
      <c r="F30" s="4">
        <f t="shared" si="0"/>
        <v>329.68842542416508</v>
      </c>
    </row>
    <row r="31" spans="5:6" x14ac:dyDescent="0.45">
      <c r="E31" s="3">
        <f t="shared" si="1"/>
        <v>0.28000000000000008</v>
      </c>
      <c r="F31" s="4">
        <f t="shared" si="0"/>
        <v>331.42838100334615</v>
      </c>
    </row>
    <row r="32" spans="5:6" x14ac:dyDescent="0.45">
      <c r="E32" s="3">
        <f t="shared" si="1"/>
        <v>0.29000000000000009</v>
      </c>
      <c r="F32" s="4">
        <f t="shared" si="0"/>
        <v>333.11806403569182</v>
      </c>
    </row>
    <row r="33" spans="5:6" x14ac:dyDescent="0.45">
      <c r="E33" s="3">
        <f t="shared" si="1"/>
        <v>0.3000000000000001</v>
      </c>
      <c r="F33" s="4">
        <f t="shared" si="0"/>
        <v>334.76053228761504</v>
      </c>
    </row>
    <row r="34" spans="5:6" x14ac:dyDescent="0.45">
      <c r="E34" s="3">
        <f t="shared" si="1"/>
        <v>0.31000000000000011</v>
      </c>
      <c r="F34" s="4">
        <f t="shared" si="0"/>
        <v>336.35856610148585</v>
      </c>
    </row>
    <row r="35" spans="5:6" x14ac:dyDescent="0.45">
      <c r="E35" s="3">
        <f t="shared" si="1"/>
        <v>0.32000000000000012</v>
      </c>
      <c r="F35" s="4">
        <f t="shared" si="0"/>
        <v>337.91470135124348</v>
      </c>
    </row>
    <row r="36" spans="5:6" x14ac:dyDescent="0.45">
      <c r="E36" s="3">
        <f t="shared" si="1"/>
        <v>0.33000000000000013</v>
      </c>
      <c r="F36" s="4">
        <f t="shared" si="0"/>
        <v>339.43125761352258</v>
      </c>
    </row>
    <row r="37" spans="5:6" x14ac:dyDescent="0.45">
      <c r="E37" s="3">
        <f t="shared" si="1"/>
        <v>0.34000000000000014</v>
      </c>
      <c r="F37" s="4">
        <f t="shared" si="0"/>
        <v>340.9103623678356</v>
      </c>
    </row>
    <row r="38" spans="5:6" x14ac:dyDescent="0.45">
      <c r="E38" s="3">
        <f t="shared" si="1"/>
        <v>0.35000000000000014</v>
      </c>
      <c r="F38" s="4">
        <f t="shared" si="0"/>
        <v>342.35397188194099</v>
      </c>
    </row>
    <row r="39" spans="5:6" x14ac:dyDescent="0.45">
      <c r="E39" s="3">
        <f t="shared" si="1"/>
        <v>0.36000000000000015</v>
      </c>
      <c r="F39" s="4">
        <f t="shared" si="0"/>
        <v>343.76388931505522</v>
      </c>
    </row>
    <row r="40" spans="5:6" x14ac:dyDescent="0.45">
      <c r="E40" s="3">
        <f t="shared" si="1"/>
        <v>0.37000000000000016</v>
      </c>
      <c r="F40" s="4">
        <f t="shared" si="0"/>
        <v>345.14178047401754</v>
      </c>
    </row>
    <row r="41" spans="5:6" x14ac:dyDescent="0.45">
      <c r="E41" s="3">
        <f t="shared" si="1"/>
        <v>0.38000000000000017</v>
      </c>
      <c r="F41" s="4">
        <f t="shared" si="0"/>
        <v>346.48918757990521</v>
      </c>
    </row>
    <row r="42" spans="5:6" x14ac:dyDescent="0.45">
      <c r="E42" s="3">
        <f t="shared" si="1"/>
        <v>0.39000000000000018</v>
      </c>
      <c r="F42" s="4">
        <f t="shared" si="0"/>
        <v>347.80754134044986</v>
      </c>
    </row>
    <row r="43" spans="5:6" x14ac:dyDescent="0.45">
      <c r="E43" s="3">
        <f t="shared" si="1"/>
        <v>0.40000000000000019</v>
      </c>
      <c r="F43" s="4">
        <f t="shared" si="0"/>
        <v>349.09817157353223</v>
      </c>
    </row>
    <row r="44" spans="5:6" x14ac:dyDescent="0.45">
      <c r="E44" s="3">
        <f t="shared" si="1"/>
        <v>0.4100000000000002</v>
      </c>
      <c r="F44" s="4">
        <f t="shared" si="0"/>
        <v>350.36231658645585</v>
      </c>
    </row>
    <row r="45" spans="5:6" x14ac:dyDescent="0.45">
      <c r="E45" s="3">
        <f t="shared" si="1"/>
        <v>0.42000000000000021</v>
      </c>
      <c r="F45" s="4">
        <f t="shared" si="0"/>
        <v>351.60113148263349</v>
      </c>
    </row>
    <row r="46" spans="5:6" x14ac:dyDescent="0.45">
      <c r="E46" s="3">
        <f t="shared" si="1"/>
        <v>0.43000000000000022</v>
      </c>
      <c r="F46" s="4">
        <f t="shared" si="0"/>
        <v>352.81569554023281</v>
      </c>
    </row>
    <row r="47" spans="5:6" x14ac:dyDescent="0.45">
      <c r="E47" s="3">
        <f t="shared" si="1"/>
        <v>0.44000000000000022</v>
      </c>
      <c r="F47" s="4">
        <f t="shared" si="0"/>
        <v>354.00701878503287</v>
      </c>
    </row>
    <row r="48" spans="5:6" x14ac:dyDescent="0.45">
      <c r="E48" s="3">
        <f t="shared" si="1"/>
        <v>0.45000000000000023</v>
      </c>
      <c r="F48" s="4">
        <f t="shared" si="0"/>
        <v>355.1760478612992</v>
      </c>
    </row>
    <row r="49" spans="5:6" x14ac:dyDescent="0.45">
      <c r="E49" s="3">
        <f t="shared" si="1"/>
        <v>0.46000000000000024</v>
      </c>
      <c r="F49" s="4">
        <f t="shared" si="0"/>
        <v>356.32367128916144</v>
      </c>
    </row>
    <row r="50" spans="5:6" x14ac:dyDescent="0.45">
      <c r="E50" s="3">
        <f t="shared" si="1"/>
        <v>0.47000000000000025</v>
      </c>
      <c r="F50" s="4">
        <f t="shared" si="0"/>
        <v>357.45072418419608</v>
      </c>
    </row>
    <row r="51" spans="5:6" x14ac:dyDescent="0.45">
      <c r="E51" s="3">
        <f t="shared" si="1"/>
        <v>0.48000000000000026</v>
      </c>
      <c r="F51" s="4">
        <f t="shared" si="0"/>
        <v>358.55799250419949</v>
      </c>
    </row>
    <row r="52" spans="5:6" x14ac:dyDescent="0.45">
      <c r="E52" s="3">
        <f t="shared" si="1"/>
        <v>0.49000000000000027</v>
      </c>
      <c r="F52" s="4">
        <f t="shared" si="0"/>
        <v>359.64621687913183</v>
      </c>
    </row>
    <row r="53" spans="5:6" x14ac:dyDescent="0.45">
      <c r="E53" s="3">
        <f t="shared" si="1"/>
        <v>0.50000000000000022</v>
      </c>
      <c r="F53" s="4">
        <f t="shared" si="0"/>
        <v>360.71609607260149</v>
      </c>
    </row>
    <row r="54" spans="5:6" x14ac:dyDescent="0.45">
      <c r="E54" s="3">
        <f t="shared" si="1"/>
        <v>0.51000000000000023</v>
      </c>
      <c r="F54" s="4">
        <f t="shared" si="0"/>
        <v>361.76829011681764</v>
      </c>
    </row>
    <row r="55" spans="5:6" x14ac:dyDescent="0.45">
      <c r="E55" s="3">
        <f t="shared" si="1"/>
        <v>0.52000000000000024</v>
      </c>
      <c r="F55" s="4">
        <f t="shared" si="0"/>
        <v>362.80342315745537</v>
      </c>
    </row>
    <row r="56" spans="5:6" x14ac:dyDescent="0.45">
      <c r="E56" s="3">
        <f t="shared" si="1"/>
        <v>0.53000000000000025</v>
      </c>
      <c r="F56" s="4">
        <f t="shared" si="0"/>
        <v>363.82208604020786</v>
      </c>
    </row>
    <row r="57" spans="5:6" x14ac:dyDescent="0.45">
      <c r="E57" s="3">
        <f t="shared" si="1"/>
        <v>0.54000000000000026</v>
      </c>
      <c r="F57" s="4">
        <f t="shared" si="0"/>
        <v>364.82483866679507</v>
      </c>
    </row>
    <row r="58" spans="5:6" x14ac:dyDescent="0.45">
      <c r="E58" s="3">
        <f t="shared" si="1"/>
        <v>0.55000000000000027</v>
      </c>
      <c r="F58" s="4">
        <f t="shared" si="0"/>
        <v>365.81221214476994</v>
      </c>
    </row>
    <row r="59" spans="5:6" x14ac:dyDescent="0.45">
      <c r="E59" s="3">
        <f t="shared" si="1"/>
        <v>0.56000000000000028</v>
      </c>
      <c r="F59" s="4">
        <f t="shared" si="0"/>
        <v>366.78471075250366</v>
      </c>
    </row>
    <row r="60" spans="5:6" x14ac:dyDescent="0.45">
      <c r="E60" s="3">
        <f t="shared" si="1"/>
        <v>0.57000000000000028</v>
      </c>
      <c r="F60" s="4">
        <f t="shared" si="0"/>
        <v>367.74281373818332</v>
      </c>
    </row>
    <row r="61" spans="5:6" x14ac:dyDescent="0.45">
      <c r="E61" s="3">
        <f t="shared" si="1"/>
        <v>0.58000000000000029</v>
      </c>
      <c r="F61" s="4">
        <f t="shared" si="0"/>
        <v>368.68697696944429</v>
      </c>
    </row>
    <row r="62" spans="5:6" x14ac:dyDescent="0.45">
      <c r="E62" s="3">
        <f t="shared" si="1"/>
        <v>0.5900000000000003</v>
      </c>
      <c r="F62" s="4">
        <f t="shared" si="0"/>
        <v>369.61763444834509</v>
      </c>
    </row>
    <row r="63" spans="5:6" x14ac:dyDescent="0.45">
      <c r="E63" s="3">
        <f t="shared" si="1"/>
        <v>0.60000000000000031</v>
      </c>
      <c r="F63" s="4">
        <f t="shared" si="0"/>
        <v>370.53519970472377</v>
      </c>
    </row>
    <row r="64" spans="5:6" x14ac:dyDescent="0.45">
      <c r="E64" s="3">
        <f t="shared" si="1"/>
        <v>0.61000000000000032</v>
      </c>
      <c r="F64" s="4">
        <f t="shared" si="0"/>
        <v>371.44006707951979</v>
      </c>
    </row>
    <row r="65" spans="5:6" x14ac:dyDescent="0.45">
      <c r="E65" s="3">
        <f t="shared" si="1"/>
        <v>0.62000000000000033</v>
      </c>
      <c r="F65" s="4">
        <f t="shared" si="0"/>
        <v>372.33261290837686</v>
      </c>
    </row>
    <row r="66" spans="5:6" x14ac:dyDescent="0.45">
      <c r="E66" s="3">
        <f t="shared" si="1"/>
        <v>0.63000000000000034</v>
      </c>
      <c r="F66" s="4">
        <f t="shared" si="0"/>
        <v>373.21319661472302</v>
      </c>
    </row>
    <row r="67" spans="5:6" x14ac:dyDescent="0.45">
      <c r="E67" s="3">
        <f t="shared" si="1"/>
        <v>0.64000000000000035</v>
      </c>
      <c r="F67" s="4">
        <f t="shared" si="0"/>
        <v>374.08216172055177</v>
      </c>
    </row>
    <row r="68" spans="5:6" x14ac:dyDescent="0.45">
      <c r="E68" s="3">
        <f t="shared" si="1"/>
        <v>0.65000000000000036</v>
      </c>
      <c r="F68" s="4">
        <f t="shared" ref="F68:F131" si="2">$C$3*(1+E68/$C$5)^$C$4</f>
        <v>374.93983678226277</v>
      </c>
    </row>
    <row r="69" spans="5:6" x14ac:dyDescent="0.45">
      <c r="E69" s="3">
        <f t="shared" ref="E69:E132" si="3">E68+0.01</f>
        <v>0.66000000000000036</v>
      </c>
      <c r="F69" s="4">
        <f t="shared" si="2"/>
        <v>375.78653625816332</v>
      </c>
    </row>
    <row r="70" spans="5:6" x14ac:dyDescent="0.45">
      <c r="E70" s="3">
        <f t="shared" si="3"/>
        <v>0.67000000000000037</v>
      </c>
      <c r="F70" s="4">
        <f t="shared" si="2"/>
        <v>376.62256131356088</v>
      </c>
    </row>
    <row r="71" spans="5:6" x14ac:dyDescent="0.45">
      <c r="E71" s="3">
        <f t="shared" si="3"/>
        <v>0.68000000000000038</v>
      </c>
      <c r="F71" s="4">
        <f t="shared" si="2"/>
        <v>377.44820056878353</v>
      </c>
    </row>
    <row r="72" spans="5:6" x14ac:dyDescent="0.45">
      <c r="E72" s="3">
        <f t="shared" si="3"/>
        <v>0.69000000000000039</v>
      </c>
      <c r="F72" s="4">
        <f t="shared" si="2"/>
        <v>378.26373079493709</v>
      </c>
    </row>
    <row r="73" spans="5:6" x14ac:dyDescent="0.45">
      <c r="E73" s="3">
        <f t="shared" si="3"/>
        <v>0.7000000000000004</v>
      </c>
      <c r="F73" s="4">
        <f t="shared" si="2"/>
        <v>379.06941756174211</v>
      </c>
    </row>
    <row r="74" spans="5:6" x14ac:dyDescent="0.45">
      <c r="E74" s="3">
        <f t="shared" si="3"/>
        <v>0.71000000000000041</v>
      </c>
      <c r="F74" s="4">
        <f t="shared" si="2"/>
        <v>379.86551584137521</v>
      </c>
    </row>
    <row r="75" spans="5:6" x14ac:dyDescent="0.45">
      <c r="E75" s="3">
        <f t="shared" si="3"/>
        <v>0.72000000000000042</v>
      </c>
      <c r="F75" s="4">
        <f t="shared" si="2"/>
        <v>380.65227057186928</v>
      </c>
    </row>
    <row r="76" spans="5:6" x14ac:dyDescent="0.45">
      <c r="E76" s="3">
        <f t="shared" si="3"/>
        <v>0.73000000000000043</v>
      </c>
      <c r="F76" s="4">
        <f t="shared" si="2"/>
        <v>381.42991718329495</v>
      </c>
    </row>
    <row r="77" spans="5:6" x14ac:dyDescent="0.45">
      <c r="E77" s="3">
        <f t="shared" si="3"/>
        <v>0.74000000000000044</v>
      </c>
      <c r="F77" s="4">
        <f t="shared" si="2"/>
        <v>382.19868208964937</v>
      </c>
    </row>
    <row r="78" spans="5:6" x14ac:dyDescent="0.45">
      <c r="E78" s="3">
        <f t="shared" si="3"/>
        <v>0.75000000000000044</v>
      </c>
      <c r="F78" s="4">
        <f t="shared" si="2"/>
        <v>382.9587831491117</v>
      </c>
    </row>
    <row r="79" spans="5:6" x14ac:dyDescent="0.45">
      <c r="E79" s="3">
        <f t="shared" si="3"/>
        <v>0.76000000000000045</v>
      </c>
      <c r="F79" s="4">
        <f t="shared" si="2"/>
        <v>383.71043009508787</v>
      </c>
    </row>
    <row r="80" spans="5:6" x14ac:dyDescent="0.45">
      <c r="E80" s="3">
        <f t="shared" si="3"/>
        <v>0.77000000000000046</v>
      </c>
      <c r="F80" s="4">
        <f t="shared" si="2"/>
        <v>384.45382494025199</v>
      </c>
    </row>
    <row r="81" spans="5:6" x14ac:dyDescent="0.45">
      <c r="E81" s="3">
        <f t="shared" si="3"/>
        <v>0.78000000000000047</v>
      </c>
      <c r="F81" s="4">
        <f t="shared" si="2"/>
        <v>385.18916235559686</v>
      </c>
    </row>
    <row r="82" spans="5:6" x14ac:dyDescent="0.45">
      <c r="E82" s="3">
        <f t="shared" si="3"/>
        <v>0.79000000000000048</v>
      </c>
      <c r="F82" s="4">
        <f t="shared" si="2"/>
        <v>385.91663002633817</v>
      </c>
    </row>
    <row r="83" spans="5:6" x14ac:dyDescent="0.45">
      <c r="E83" s="3">
        <f t="shared" si="3"/>
        <v>0.80000000000000049</v>
      </c>
      <c r="F83" s="4">
        <f t="shared" si="2"/>
        <v>386.63640898635254</v>
      </c>
    </row>
    <row r="84" spans="5:6" x14ac:dyDescent="0.45">
      <c r="E84" s="3">
        <f t="shared" si="3"/>
        <v>0.8100000000000005</v>
      </c>
      <c r="F84" s="4">
        <f t="shared" si="2"/>
        <v>387.34867393269411</v>
      </c>
    </row>
    <row r="85" spans="5:6" x14ac:dyDescent="0.45">
      <c r="E85" s="3">
        <f t="shared" si="3"/>
        <v>0.82000000000000051</v>
      </c>
      <c r="F85" s="4">
        <f t="shared" si="2"/>
        <v>388.05359352160252</v>
      </c>
    </row>
    <row r="86" spans="5:6" x14ac:dyDescent="0.45">
      <c r="E86" s="3">
        <f t="shared" si="3"/>
        <v>0.83000000000000052</v>
      </c>
      <c r="F86" s="4">
        <f t="shared" si="2"/>
        <v>388.75133064730102</v>
      </c>
    </row>
    <row r="87" spans="5:6" x14ac:dyDescent="0.45">
      <c r="E87" s="3">
        <f t="shared" si="3"/>
        <v>0.84000000000000052</v>
      </c>
      <c r="F87" s="4">
        <f t="shared" si="2"/>
        <v>389.44204270477718</v>
      </c>
    </row>
    <row r="88" spans="5:6" x14ac:dyDescent="0.45">
      <c r="E88" s="3">
        <f t="shared" si="3"/>
        <v>0.85000000000000053</v>
      </c>
      <c r="F88" s="4">
        <f t="shared" si="2"/>
        <v>390.12588183764262</v>
      </c>
    </row>
    <row r="89" spans="5:6" x14ac:dyDescent="0.45">
      <c r="E89" s="3">
        <f t="shared" si="3"/>
        <v>0.86000000000000054</v>
      </c>
      <c r="F89" s="4">
        <f t="shared" si="2"/>
        <v>390.80299517208255</v>
      </c>
    </row>
    <row r="90" spans="5:6" x14ac:dyDescent="0.45">
      <c r="E90" s="3">
        <f t="shared" si="3"/>
        <v>0.87000000000000055</v>
      </c>
      <c r="F90" s="4">
        <f t="shared" si="2"/>
        <v>391.4735250378256</v>
      </c>
    </row>
    <row r="91" spans="5:6" x14ac:dyDescent="0.45">
      <c r="E91" s="3">
        <f t="shared" si="3"/>
        <v>0.88000000000000056</v>
      </c>
      <c r="F91" s="4">
        <f t="shared" si="2"/>
        <v>392.13760917699329</v>
      </c>
    </row>
    <row r="92" spans="5:6" x14ac:dyDescent="0.45">
      <c r="E92" s="3">
        <f t="shared" si="3"/>
        <v>0.89000000000000057</v>
      </c>
      <c r="F92" s="4">
        <f t="shared" si="2"/>
        <v>392.79538094162064</v>
      </c>
    </row>
    <row r="93" spans="5:6" x14ac:dyDescent="0.45">
      <c r="E93" s="3">
        <f t="shared" si="3"/>
        <v>0.90000000000000058</v>
      </c>
      <c r="F93" s="4">
        <f t="shared" si="2"/>
        <v>393.44696948058299</v>
      </c>
    </row>
    <row r="94" spans="5:6" x14ac:dyDescent="0.45">
      <c r="E94" s="3">
        <f t="shared" si="3"/>
        <v>0.91000000000000059</v>
      </c>
      <c r="F94" s="4">
        <f t="shared" si="2"/>
        <v>394.09249991660539</v>
      </c>
    </row>
    <row r="95" spans="5:6" x14ac:dyDescent="0.45">
      <c r="E95" s="3">
        <f t="shared" si="3"/>
        <v>0.9200000000000006</v>
      </c>
      <c r="F95" s="4">
        <f t="shared" si="2"/>
        <v>394.73209351398231</v>
      </c>
    </row>
    <row r="96" spans="5:6" x14ac:dyDescent="0.45">
      <c r="E96" s="3">
        <f t="shared" si="3"/>
        <v>0.9300000000000006</v>
      </c>
      <c r="F96" s="4">
        <f t="shared" si="2"/>
        <v>395.36586783759122</v>
      </c>
    </row>
    <row r="97" spans="5:6" x14ac:dyDescent="0.45">
      <c r="E97" s="3">
        <f t="shared" si="3"/>
        <v>0.94000000000000061</v>
      </c>
      <c r="F97" s="4">
        <f t="shared" si="2"/>
        <v>395.99393690373643</v>
      </c>
    </row>
    <row r="98" spans="5:6" x14ac:dyDescent="0.45">
      <c r="E98" s="3">
        <f t="shared" si="3"/>
        <v>0.95000000000000062</v>
      </c>
      <c r="F98" s="4">
        <f t="shared" si="2"/>
        <v>396.61641132332733</v>
      </c>
    </row>
    <row r="99" spans="5:6" x14ac:dyDescent="0.45">
      <c r="E99" s="3">
        <f t="shared" si="3"/>
        <v>0.96000000000000063</v>
      </c>
      <c r="F99" s="4">
        <f t="shared" si="2"/>
        <v>397.23339843785351</v>
      </c>
    </row>
    <row r="100" spans="5:6" x14ac:dyDescent="0.45">
      <c r="E100" s="3">
        <f t="shared" si="3"/>
        <v>0.97000000000000064</v>
      </c>
      <c r="F100" s="4">
        <f t="shared" si="2"/>
        <v>397.84500244859089</v>
      </c>
    </row>
    <row r="101" spans="5:6" x14ac:dyDescent="0.45">
      <c r="E101" s="3">
        <f t="shared" si="3"/>
        <v>0.98000000000000065</v>
      </c>
      <c r="F101" s="4">
        <f t="shared" si="2"/>
        <v>398.45132453944086</v>
      </c>
    </row>
    <row r="102" spans="5:6" x14ac:dyDescent="0.45">
      <c r="E102" s="3">
        <f t="shared" si="3"/>
        <v>0.99000000000000066</v>
      </c>
      <c r="F102" s="4">
        <f t="shared" si="2"/>
        <v>399.05246299377598</v>
      </c>
    </row>
    <row r="103" spans="5:6" x14ac:dyDescent="0.45">
      <c r="E103" s="3">
        <f t="shared" si="3"/>
        <v>1.0000000000000007</v>
      </c>
      <c r="F103" s="4">
        <f t="shared" si="2"/>
        <v>399.64851330564358</v>
      </c>
    </row>
    <row r="104" spans="5:6" x14ac:dyDescent="0.45">
      <c r="E104" s="3">
        <f t="shared" si="3"/>
        <v>1.0100000000000007</v>
      </c>
      <c r="F104" s="4">
        <f t="shared" si="2"/>
        <v>400.23956828565053</v>
      </c>
    </row>
    <row r="105" spans="5:6" x14ac:dyDescent="0.45">
      <c r="E105" s="3">
        <f t="shared" si="3"/>
        <v>1.0200000000000007</v>
      </c>
      <c r="F105" s="4">
        <f t="shared" si="2"/>
        <v>400.82571816183457</v>
      </c>
    </row>
    <row r="106" spans="5:6" x14ac:dyDescent="0.45">
      <c r="E106" s="3">
        <f t="shared" si="3"/>
        <v>1.0300000000000007</v>
      </c>
      <c r="F106" s="4">
        <f t="shared" si="2"/>
        <v>401.40705067580427</v>
      </c>
    </row>
    <row r="107" spans="5:6" x14ac:dyDescent="0.45">
      <c r="E107" s="3">
        <f t="shared" si="3"/>
        <v>1.0400000000000007</v>
      </c>
      <c r="F107" s="4">
        <f t="shared" si="2"/>
        <v>401.98365117441489</v>
      </c>
    </row>
    <row r="108" spans="5:6" x14ac:dyDescent="0.45">
      <c r="E108" s="3">
        <f t="shared" si="3"/>
        <v>1.0500000000000007</v>
      </c>
      <c r="F108" s="4">
        <f t="shared" si="2"/>
        <v>402.55560269722474</v>
      </c>
    </row>
    <row r="109" spans="5:6" x14ac:dyDescent="0.45">
      <c r="E109" s="3">
        <f t="shared" si="3"/>
        <v>1.0600000000000007</v>
      </c>
      <c r="F109" s="4">
        <f t="shared" si="2"/>
        <v>403.12298605996767</v>
      </c>
    </row>
    <row r="110" spans="5:6" x14ac:dyDescent="0.45">
      <c r="E110" s="3">
        <f t="shared" si="3"/>
        <v>1.0700000000000007</v>
      </c>
      <c r="F110" s="4">
        <f t="shared" si="2"/>
        <v>403.68587993425552</v>
      </c>
    </row>
    <row r="111" spans="5:6" x14ac:dyDescent="0.45">
      <c r="E111" s="3">
        <f t="shared" si="3"/>
        <v>1.0800000000000007</v>
      </c>
      <c r="F111" s="4">
        <f t="shared" si="2"/>
        <v>404.24436092371536</v>
      </c>
    </row>
    <row r="112" spans="5:6" x14ac:dyDescent="0.45">
      <c r="E112" s="3">
        <f t="shared" si="3"/>
        <v>1.0900000000000007</v>
      </c>
      <c r="F112" s="4">
        <f t="shared" si="2"/>
        <v>404.79850363675257</v>
      </c>
    </row>
    <row r="113" spans="5:6" x14ac:dyDescent="0.45">
      <c r="E113" s="3">
        <f t="shared" si="3"/>
        <v>1.1000000000000008</v>
      </c>
      <c r="F113" s="4">
        <f t="shared" si="2"/>
        <v>405.34838075611725</v>
      </c>
    </row>
    <row r="114" spans="5:6" x14ac:dyDescent="0.45">
      <c r="E114" s="3">
        <f t="shared" si="3"/>
        <v>1.1100000000000008</v>
      </c>
      <c r="F114" s="4">
        <f t="shared" si="2"/>
        <v>405.89406310544291</v>
      </c>
    </row>
    <row r="115" spans="5:6" x14ac:dyDescent="0.45">
      <c r="E115" s="3">
        <f t="shared" si="3"/>
        <v>1.1200000000000008</v>
      </c>
      <c r="F115" s="4">
        <f t="shared" si="2"/>
        <v>406.43561971291422</v>
      </c>
    </row>
    <row r="116" spans="5:6" x14ac:dyDescent="0.45">
      <c r="E116" s="3">
        <f t="shared" si="3"/>
        <v>1.1300000000000008</v>
      </c>
      <c r="F116" s="4">
        <f t="shared" si="2"/>
        <v>406.9731178722127</v>
      </c>
    </row>
    <row r="117" spans="5:6" x14ac:dyDescent="0.45">
      <c r="E117" s="3">
        <f t="shared" si="3"/>
        <v>1.1400000000000008</v>
      </c>
      <c r="F117" s="4">
        <f t="shared" si="2"/>
        <v>407.50662320087849</v>
      </c>
    </row>
    <row r="118" spans="5:6" x14ac:dyDescent="0.45">
      <c r="E118" s="3">
        <f t="shared" si="3"/>
        <v>1.1500000000000008</v>
      </c>
      <c r="F118" s="4">
        <f t="shared" si="2"/>
        <v>408.03619969621997</v>
      </c>
    </row>
    <row r="119" spans="5:6" x14ac:dyDescent="0.45">
      <c r="E119" s="3">
        <f t="shared" si="3"/>
        <v>1.1600000000000008</v>
      </c>
      <c r="F119" s="4">
        <f t="shared" si="2"/>
        <v>408.56190978889464</v>
      </c>
    </row>
    <row r="120" spans="5:6" x14ac:dyDescent="0.45">
      <c r="E120" s="3">
        <f t="shared" si="3"/>
        <v>1.1700000000000008</v>
      </c>
      <c r="F120" s="4">
        <f t="shared" si="2"/>
        <v>409.08381439427603</v>
      </c>
    </row>
    <row r="121" spans="5:6" x14ac:dyDescent="0.45">
      <c r="E121" s="3">
        <f t="shared" si="3"/>
        <v>1.1800000000000008</v>
      </c>
      <c r="F121" s="4">
        <f t="shared" si="2"/>
        <v>409.60197296171782</v>
      </c>
    </row>
    <row r="122" spans="5:6" x14ac:dyDescent="0.45">
      <c r="E122" s="3">
        <f t="shared" si="3"/>
        <v>1.1900000000000008</v>
      </c>
      <c r="F122" s="4">
        <f t="shared" si="2"/>
        <v>410.116443521816</v>
      </c>
    </row>
    <row r="123" spans="5:6" x14ac:dyDescent="0.45">
      <c r="E123" s="3">
        <f t="shared" si="3"/>
        <v>1.2000000000000008</v>
      </c>
      <c r="F123" s="4">
        <f t="shared" si="2"/>
        <v>410.6272827317689</v>
      </c>
    </row>
    <row r="124" spans="5:6" x14ac:dyDescent="0.45">
      <c r="E124" s="3">
        <f t="shared" si="3"/>
        <v>1.2100000000000009</v>
      </c>
      <c r="F124" s="4">
        <f t="shared" si="2"/>
        <v>411.13454591892389</v>
      </c>
    </row>
    <row r="125" spans="5:6" x14ac:dyDescent="0.45">
      <c r="E125" s="3">
        <f t="shared" si="3"/>
        <v>1.2200000000000009</v>
      </c>
      <c r="F125" s="4">
        <f t="shared" si="2"/>
        <v>411.63828712260022</v>
      </c>
    </row>
    <row r="126" spans="5:6" x14ac:dyDescent="0.45">
      <c r="E126" s="3">
        <f t="shared" si="3"/>
        <v>1.2300000000000009</v>
      </c>
      <c r="F126" s="4">
        <f t="shared" si="2"/>
        <v>412.13855913426778</v>
      </c>
    </row>
    <row r="127" spans="5:6" x14ac:dyDescent="0.45">
      <c r="E127" s="3">
        <f t="shared" si="3"/>
        <v>1.2400000000000009</v>
      </c>
      <c r="F127" s="4">
        <f t="shared" si="2"/>
        <v>412.63541353615898</v>
      </c>
    </row>
    <row r="128" spans="5:6" x14ac:dyDescent="0.45">
      <c r="E128" s="3">
        <f t="shared" si="3"/>
        <v>1.2500000000000009</v>
      </c>
      <c r="F128" s="4">
        <f t="shared" si="2"/>
        <v>413.12890073838895</v>
      </c>
    </row>
    <row r="129" spans="5:6" x14ac:dyDescent="0.45">
      <c r="E129" s="3">
        <f t="shared" si="3"/>
        <v>1.2600000000000009</v>
      </c>
      <c r="F129" s="4">
        <f t="shared" si="2"/>
        <v>413.61907001465062</v>
      </c>
    </row>
    <row r="130" spans="5:6" x14ac:dyDescent="0.45">
      <c r="E130" s="3">
        <f t="shared" si="3"/>
        <v>1.2700000000000009</v>
      </c>
      <c r="F130" s="4">
        <f t="shared" si="2"/>
        <v>414.10596953655102</v>
      </c>
    </row>
    <row r="131" spans="5:6" x14ac:dyDescent="0.45">
      <c r="E131" s="3">
        <f t="shared" si="3"/>
        <v>1.2800000000000009</v>
      </c>
      <c r="F131" s="4">
        <f t="shared" si="2"/>
        <v>414.58964640665192</v>
      </c>
    </row>
    <row r="132" spans="5:6" x14ac:dyDescent="0.45">
      <c r="E132" s="3">
        <f t="shared" si="3"/>
        <v>1.2900000000000009</v>
      </c>
      <c r="F132" s="4">
        <f t="shared" ref="F132:F195" si="4">$C$3*(1+E132/$C$5)^$C$4</f>
        <v>415.0701466902708</v>
      </c>
    </row>
    <row r="133" spans="5:6" x14ac:dyDescent="0.45">
      <c r="E133" s="3">
        <f t="shared" ref="E133:E196" si="5">E132+0.01</f>
        <v>1.3000000000000009</v>
      </c>
      <c r="F133" s="4">
        <f t="shared" si="4"/>
        <v>415.54751544610087</v>
      </c>
    </row>
    <row r="134" spans="5:6" x14ac:dyDescent="0.45">
      <c r="E134" s="3">
        <f t="shared" si="5"/>
        <v>1.3100000000000009</v>
      </c>
      <c r="F134" s="4">
        <f t="shared" si="4"/>
        <v>416.02179675569931</v>
      </c>
    </row>
    <row r="135" spans="5:6" x14ac:dyDescent="0.45">
      <c r="E135" s="3">
        <f t="shared" si="5"/>
        <v>1.320000000000001</v>
      </c>
      <c r="F135" s="4">
        <f t="shared" si="4"/>
        <v>416.49303375189692</v>
      </c>
    </row>
    <row r="136" spans="5:6" x14ac:dyDescent="0.45">
      <c r="E136" s="3">
        <f t="shared" si="5"/>
        <v>1.330000000000001</v>
      </c>
      <c r="F136" s="4">
        <f t="shared" si="4"/>
        <v>416.96126864617435</v>
      </c>
    </row>
    <row r="137" spans="5:6" x14ac:dyDescent="0.45">
      <c r="E137" s="3">
        <f t="shared" si="5"/>
        <v>1.340000000000001</v>
      </c>
      <c r="F137" s="4">
        <f t="shared" si="4"/>
        <v>417.42654275505078</v>
      </c>
    </row>
    <row r="138" spans="5:6" x14ac:dyDescent="0.45">
      <c r="E138" s="3">
        <f t="shared" si="5"/>
        <v>1.350000000000001</v>
      </c>
      <c r="F138" s="4">
        <f t="shared" si="4"/>
        <v>417.88889652552734</v>
      </c>
    </row>
    <row r="139" spans="5:6" x14ac:dyDescent="0.45">
      <c r="E139" s="3">
        <f t="shared" si="5"/>
        <v>1.360000000000001</v>
      </c>
      <c r="F139" s="4">
        <f t="shared" si="4"/>
        <v>418.34836955962624</v>
      </c>
    </row>
    <row r="140" spans="5:6" x14ac:dyDescent="0.45">
      <c r="E140" s="3">
        <f t="shared" si="5"/>
        <v>1.370000000000001</v>
      </c>
      <c r="F140" s="4">
        <f t="shared" si="4"/>
        <v>418.80500063806323</v>
      </c>
    </row>
    <row r="141" spans="5:6" x14ac:dyDescent="0.45">
      <c r="E141" s="3">
        <f t="shared" si="5"/>
        <v>1.380000000000001</v>
      </c>
      <c r="F141" s="4">
        <f t="shared" si="4"/>
        <v>419.2588277430919</v>
      </c>
    </row>
    <row r="142" spans="5:6" x14ac:dyDescent="0.45">
      <c r="E142" s="3">
        <f t="shared" si="5"/>
        <v>1.390000000000001</v>
      </c>
      <c r="F142" s="4">
        <f t="shared" si="4"/>
        <v>419.70988808055176</v>
      </c>
    </row>
    <row r="143" spans="5:6" x14ac:dyDescent="0.45">
      <c r="E143" s="3">
        <f t="shared" si="5"/>
        <v>1.400000000000001</v>
      </c>
      <c r="F143" s="4">
        <f t="shared" si="4"/>
        <v>420.15821810115585</v>
      </c>
    </row>
    <row r="144" spans="5:6" x14ac:dyDescent="0.45">
      <c r="E144" s="3">
        <f t="shared" si="5"/>
        <v>1.410000000000001</v>
      </c>
      <c r="F144" s="4">
        <f t="shared" si="4"/>
        <v>420.60385352104771</v>
      </c>
    </row>
    <row r="145" spans="5:6" x14ac:dyDescent="0.45">
      <c r="E145" s="3">
        <f t="shared" si="5"/>
        <v>1.420000000000001</v>
      </c>
      <c r="F145" s="4">
        <f t="shared" si="4"/>
        <v>421.04682934165885</v>
      </c>
    </row>
    <row r="146" spans="5:6" x14ac:dyDescent="0.45">
      <c r="E146" s="3">
        <f t="shared" si="5"/>
        <v>1.430000000000001</v>
      </c>
      <c r="F146" s="4">
        <f t="shared" si="4"/>
        <v>421.48717986889432</v>
      </c>
    </row>
    <row r="147" spans="5:6" x14ac:dyDescent="0.45">
      <c r="E147" s="3">
        <f t="shared" si="5"/>
        <v>1.4400000000000011</v>
      </c>
      <c r="F147" s="4">
        <f t="shared" si="4"/>
        <v>421.92493873167393</v>
      </c>
    </row>
    <row r="148" spans="5:6" x14ac:dyDescent="0.45">
      <c r="E148" s="3">
        <f t="shared" si="5"/>
        <v>1.4500000000000011</v>
      </c>
      <c r="F148" s="4">
        <f t="shared" si="4"/>
        <v>422.36013889985549</v>
      </c>
    </row>
    <row r="149" spans="5:6" x14ac:dyDescent="0.45">
      <c r="E149" s="3">
        <f t="shared" si="5"/>
        <v>1.4600000000000011</v>
      </c>
      <c r="F149" s="4">
        <f t="shared" si="4"/>
        <v>422.79281270156383</v>
      </c>
    </row>
    <row r="150" spans="5:6" x14ac:dyDescent="0.45">
      <c r="E150" s="3">
        <f t="shared" si="5"/>
        <v>1.4700000000000011</v>
      </c>
      <c r="F150" s="4">
        <f t="shared" si="4"/>
        <v>423.2229918399504</v>
      </c>
    </row>
    <row r="151" spans="5:6" x14ac:dyDescent="0.45">
      <c r="E151" s="3">
        <f t="shared" si="5"/>
        <v>1.4800000000000011</v>
      </c>
      <c r="F151" s="4">
        <f t="shared" si="4"/>
        <v>423.65070740940445</v>
      </c>
    </row>
    <row r="152" spans="5:6" x14ac:dyDescent="0.45">
      <c r="E152" s="3">
        <f t="shared" si="5"/>
        <v>1.4900000000000011</v>
      </c>
      <c r="F152" s="4">
        <f t="shared" si="4"/>
        <v>424.07598991123842</v>
      </c>
    </row>
    <row r="153" spans="5:6" x14ac:dyDescent="0.45">
      <c r="E153" s="3">
        <f t="shared" si="5"/>
        <v>1.5000000000000011</v>
      </c>
      <c r="F153" s="4">
        <f t="shared" si="4"/>
        <v>424.49886926886774</v>
      </c>
    </row>
    <row r="154" spans="5:6" x14ac:dyDescent="0.45">
      <c r="E154" s="3">
        <f t="shared" si="5"/>
        <v>1.5100000000000011</v>
      </c>
      <c r="F154" s="4">
        <f t="shared" si="4"/>
        <v>424.91937484250417</v>
      </c>
    </row>
    <row r="155" spans="5:6" x14ac:dyDescent="0.45">
      <c r="E155" s="3">
        <f t="shared" si="5"/>
        <v>1.5200000000000011</v>
      </c>
      <c r="F155" s="4">
        <f t="shared" si="4"/>
        <v>425.33753544338168</v>
      </c>
    </row>
    <row r="156" spans="5:6" x14ac:dyDescent="0.45">
      <c r="E156" s="3">
        <f t="shared" si="5"/>
        <v>1.5300000000000011</v>
      </c>
      <c r="F156" s="4">
        <f t="shared" si="4"/>
        <v>425.75337934753242</v>
      </c>
    </row>
    <row r="157" spans="5:6" x14ac:dyDescent="0.45">
      <c r="E157" s="3">
        <f t="shared" si="5"/>
        <v>1.5400000000000011</v>
      </c>
      <c r="F157" s="4">
        <f t="shared" si="4"/>
        <v>426.16693430913068</v>
      </c>
    </row>
    <row r="158" spans="5:6" x14ac:dyDescent="0.45">
      <c r="E158" s="3">
        <f t="shared" si="5"/>
        <v>1.5500000000000012</v>
      </c>
      <c r="F158" s="4">
        <f t="shared" si="4"/>
        <v>426.5782275734191</v>
      </c>
    </row>
    <row r="159" spans="5:6" x14ac:dyDescent="0.45">
      <c r="E159" s="3">
        <f t="shared" si="5"/>
        <v>1.5600000000000012</v>
      </c>
      <c r="F159" s="4">
        <f t="shared" si="4"/>
        <v>426.98728588923603</v>
      </c>
    </row>
    <row r="160" spans="5:6" x14ac:dyDescent="0.45">
      <c r="E160" s="3">
        <f t="shared" si="5"/>
        <v>1.5700000000000012</v>
      </c>
      <c r="F160" s="4">
        <f t="shared" si="4"/>
        <v>427.39413552115508</v>
      </c>
    </row>
    <row r="161" spans="5:6" x14ac:dyDescent="0.45">
      <c r="E161" s="3">
        <f t="shared" si="5"/>
        <v>1.5800000000000012</v>
      </c>
      <c r="F161" s="4">
        <f t="shared" si="4"/>
        <v>427.79880226125408</v>
      </c>
    </row>
    <row r="162" spans="5:6" x14ac:dyDescent="0.45">
      <c r="E162" s="3">
        <f t="shared" si="5"/>
        <v>1.5900000000000012</v>
      </c>
      <c r="F162" s="4">
        <f t="shared" si="4"/>
        <v>428.20131144052584</v>
      </c>
    </row>
    <row r="163" spans="5:6" x14ac:dyDescent="0.45">
      <c r="E163" s="3">
        <f t="shared" si="5"/>
        <v>1.6000000000000012</v>
      </c>
      <c r="F163" s="4">
        <f t="shared" si="4"/>
        <v>428.60168793994376</v>
      </c>
    </row>
    <row r="164" spans="5:6" x14ac:dyDescent="0.45">
      <c r="E164" s="3">
        <f t="shared" si="5"/>
        <v>1.6100000000000012</v>
      </c>
      <c r="F164" s="4">
        <f t="shared" si="4"/>
        <v>428.99995620119461</v>
      </c>
    </row>
    <row r="165" spans="5:6" x14ac:dyDescent="0.45">
      <c r="E165" s="3">
        <f t="shared" si="5"/>
        <v>1.6200000000000012</v>
      </c>
      <c r="F165" s="4">
        <f t="shared" si="4"/>
        <v>429.39614023709203</v>
      </c>
    </row>
    <row r="166" spans="5:6" x14ac:dyDescent="0.45">
      <c r="E166" s="3">
        <f t="shared" si="5"/>
        <v>1.6300000000000012</v>
      </c>
      <c r="F166" s="4">
        <f t="shared" si="4"/>
        <v>429.79026364167925</v>
      </c>
    </row>
    <row r="167" spans="5:6" x14ac:dyDescent="0.45">
      <c r="E167" s="3">
        <f t="shared" si="5"/>
        <v>1.6400000000000012</v>
      </c>
      <c r="F167" s="4">
        <f t="shared" si="4"/>
        <v>430.18234960003576</v>
      </c>
    </row>
    <row r="168" spans="5:6" x14ac:dyDescent="0.45">
      <c r="E168" s="3">
        <f t="shared" si="5"/>
        <v>1.6500000000000012</v>
      </c>
      <c r="F168" s="4">
        <f t="shared" si="4"/>
        <v>430.57242089779459</v>
      </c>
    </row>
    <row r="169" spans="5:6" x14ac:dyDescent="0.45">
      <c r="E169" s="3">
        <f t="shared" si="5"/>
        <v>1.6600000000000013</v>
      </c>
      <c r="F169" s="4">
        <f t="shared" si="4"/>
        <v>430.96049993038355</v>
      </c>
    </row>
    <row r="170" spans="5:6" x14ac:dyDescent="0.45">
      <c r="E170" s="3">
        <f t="shared" si="5"/>
        <v>1.6700000000000013</v>
      </c>
      <c r="F170" s="4">
        <f t="shared" si="4"/>
        <v>431.34660871199804</v>
      </c>
    </row>
    <row r="171" spans="5:6" x14ac:dyDescent="0.45">
      <c r="E171" s="3">
        <f t="shared" si="5"/>
        <v>1.6800000000000013</v>
      </c>
      <c r="F171" s="4">
        <f t="shared" si="4"/>
        <v>431.73076888431598</v>
      </c>
    </row>
    <row r="172" spans="5:6" x14ac:dyDescent="0.45">
      <c r="E172" s="3">
        <f t="shared" si="5"/>
        <v>1.6900000000000013</v>
      </c>
      <c r="F172" s="4">
        <f t="shared" si="4"/>
        <v>432.11300172496277</v>
      </c>
    </row>
    <row r="173" spans="5:6" x14ac:dyDescent="0.45">
      <c r="E173" s="3">
        <f t="shared" si="5"/>
        <v>1.7000000000000013</v>
      </c>
      <c r="F173" s="4">
        <f t="shared" si="4"/>
        <v>432.49332815573575</v>
      </c>
    </row>
    <row r="174" spans="5:6" x14ac:dyDescent="0.45">
      <c r="E174" s="3">
        <f t="shared" si="5"/>
        <v>1.7100000000000013</v>
      </c>
      <c r="F174" s="4">
        <f t="shared" si="4"/>
        <v>432.87176875059561</v>
      </c>
    </row>
    <row r="175" spans="5:6" x14ac:dyDescent="0.45">
      <c r="E175" s="3">
        <f t="shared" si="5"/>
        <v>1.7200000000000013</v>
      </c>
      <c r="F175" s="4">
        <f t="shared" si="4"/>
        <v>433.2483437434334</v>
      </c>
    </row>
    <row r="176" spans="5:6" x14ac:dyDescent="0.45">
      <c r="E176" s="3">
        <f t="shared" si="5"/>
        <v>1.7300000000000013</v>
      </c>
      <c r="F176" s="4">
        <f t="shared" si="4"/>
        <v>433.62307303562017</v>
      </c>
    </row>
    <row r="177" spans="5:6" x14ac:dyDescent="0.45">
      <c r="E177" s="3">
        <f t="shared" si="5"/>
        <v>1.7400000000000013</v>
      </c>
      <c r="F177" s="4">
        <f t="shared" si="4"/>
        <v>433.99597620334623</v>
      </c>
    </row>
    <row r="178" spans="5:6" x14ac:dyDescent="0.45">
      <c r="E178" s="3">
        <f t="shared" si="5"/>
        <v>1.7500000000000013</v>
      </c>
      <c r="F178" s="4">
        <f t="shared" si="4"/>
        <v>434.36707250475848</v>
      </c>
    </row>
    <row r="179" spans="5:6" x14ac:dyDescent="0.45">
      <c r="E179" s="3">
        <f t="shared" si="5"/>
        <v>1.7600000000000013</v>
      </c>
      <c r="F179" s="4">
        <f t="shared" si="4"/>
        <v>434.73638088690041</v>
      </c>
    </row>
    <row r="180" spans="5:6" x14ac:dyDescent="0.45">
      <c r="E180" s="3">
        <f t="shared" si="5"/>
        <v>1.7700000000000014</v>
      </c>
      <c r="F180" s="4">
        <f t="shared" si="4"/>
        <v>435.10391999246343</v>
      </c>
    </row>
    <row r="181" spans="5:6" x14ac:dyDescent="0.45">
      <c r="E181" s="3">
        <f t="shared" si="5"/>
        <v>1.7800000000000014</v>
      </c>
      <c r="F181" s="4">
        <f t="shared" si="4"/>
        <v>435.4697081663536</v>
      </c>
    </row>
    <row r="182" spans="5:6" x14ac:dyDescent="0.45">
      <c r="E182" s="3">
        <f t="shared" si="5"/>
        <v>1.7900000000000014</v>
      </c>
      <c r="F182" s="4">
        <f t="shared" si="4"/>
        <v>435.83376346208212</v>
      </c>
    </row>
    <row r="183" spans="5:6" x14ac:dyDescent="0.45">
      <c r="E183" s="3">
        <f t="shared" si="5"/>
        <v>1.8000000000000014</v>
      </c>
      <c r="F183" s="4">
        <f t="shared" si="4"/>
        <v>436.1961036479828</v>
      </c>
    </row>
    <row r="184" spans="5:6" x14ac:dyDescent="0.45">
      <c r="E184" s="3">
        <f t="shared" si="5"/>
        <v>1.8100000000000014</v>
      </c>
      <c r="F184" s="4">
        <f t="shared" si="4"/>
        <v>436.55674621326403</v>
      </c>
    </row>
    <row r="185" spans="5:6" x14ac:dyDescent="0.45">
      <c r="E185" s="3">
        <f t="shared" si="5"/>
        <v>1.8200000000000014</v>
      </c>
      <c r="F185" s="4">
        <f t="shared" si="4"/>
        <v>436.91570837389992</v>
      </c>
    </row>
    <row r="186" spans="5:6" x14ac:dyDescent="0.45">
      <c r="E186" s="3">
        <f t="shared" si="5"/>
        <v>1.8300000000000014</v>
      </c>
      <c r="F186" s="4">
        <f t="shared" si="4"/>
        <v>437.27300707836508</v>
      </c>
    </row>
    <row r="187" spans="5:6" x14ac:dyDescent="0.45">
      <c r="E187" s="3">
        <f t="shared" si="5"/>
        <v>1.8400000000000014</v>
      </c>
      <c r="F187" s="4">
        <f t="shared" si="4"/>
        <v>437.62865901321908</v>
      </c>
    </row>
    <row r="188" spans="5:6" x14ac:dyDescent="0.45">
      <c r="E188" s="3">
        <f t="shared" si="5"/>
        <v>1.8500000000000014</v>
      </c>
      <c r="F188" s="4">
        <f t="shared" si="4"/>
        <v>437.98268060854457</v>
      </c>
    </row>
    <row r="189" spans="5:6" x14ac:dyDescent="0.45">
      <c r="E189" s="3">
        <f t="shared" si="5"/>
        <v>1.8600000000000014</v>
      </c>
      <c r="F189" s="4">
        <f t="shared" si="4"/>
        <v>438.33508804324464</v>
      </c>
    </row>
    <row r="190" spans="5:6" x14ac:dyDescent="0.45">
      <c r="E190" s="3">
        <f t="shared" si="5"/>
        <v>1.8700000000000014</v>
      </c>
      <c r="F190" s="4">
        <f t="shared" si="4"/>
        <v>438.68589725020149</v>
      </c>
    </row>
    <row r="191" spans="5:6" x14ac:dyDescent="0.45">
      <c r="E191" s="3">
        <f t="shared" si="5"/>
        <v>1.8800000000000014</v>
      </c>
      <c r="F191" s="4">
        <f t="shared" si="4"/>
        <v>439.0351239213042</v>
      </c>
    </row>
    <row r="192" spans="5:6" x14ac:dyDescent="0.45">
      <c r="E192" s="3">
        <f t="shared" si="5"/>
        <v>1.8900000000000015</v>
      </c>
      <c r="F192" s="4">
        <f t="shared" si="4"/>
        <v>439.38278351234635</v>
      </c>
    </row>
    <row r="193" spans="5:6" x14ac:dyDescent="0.45">
      <c r="E193" s="3">
        <f t="shared" si="5"/>
        <v>1.9000000000000015</v>
      </c>
      <c r="F193" s="4">
        <f t="shared" si="4"/>
        <v>439.72889124780005</v>
      </c>
    </row>
    <row r="194" spans="5:6" x14ac:dyDescent="0.45">
      <c r="E194" s="3">
        <f t="shared" si="5"/>
        <v>1.9100000000000015</v>
      </c>
      <c r="F194" s="4">
        <f t="shared" si="4"/>
        <v>440.07346212546753</v>
      </c>
    </row>
    <row r="195" spans="5:6" x14ac:dyDescent="0.45">
      <c r="E195" s="3">
        <f t="shared" si="5"/>
        <v>1.9200000000000015</v>
      </c>
      <c r="F195" s="4">
        <f t="shared" si="4"/>
        <v>440.41651092101733</v>
      </c>
    </row>
    <row r="196" spans="5:6" x14ac:dyDescent="0.45">
      <c r="E196" s="3">
        <f t="shared" si="5"/>
        <v>1.9300000000000015</v>
      </c>
      <c r="F196" s="4">
        <f t="shared" ref="F196:F259" si="6">$C$3*(1+E196/$C$5)^$C$4</f>
        <v>440.7580521924051</v>
      </c>
    </row>
    <row r="197" spans="5:6" x14ac:dyDescent="0.45">
      <c r="E197" s="3">
        <f t="shared" ref="E197:E260" si="7">E196+0.01</f>
        <v>1.9400000000000015</v>
      </c>
      <c r="F197" s="4">
        <f t="shared" si="6"/>
        <v>441.0981002841848</v>
      </c>
    </row>
    <row r="198" spans="5:6" x14ac:dyDescent="0.45">
      <c r="E198" s="3">
        <f t="shared" si="7"/>
        <v>1.9500000000000015</v>
      </c>
      <c r="F198" s="4">
        <f t="shared" si="6"/>
        <v>441.43666933171357</v>
      </c>
    </row>
    <row r="199" spans="5:6" x14ac:dyDescent="0.45">
      <c r="E199" s="3">
        <f t="shared" si="7"/>
        <v>1.9600000000000015</v>
      </c>
      <c r="F199" s="4">
        <f t="shared" si="6"/>
        <v>441.77377326525135</v>
      </c>
    </row>
    <row r="200" spans="5:6" x14ac:dyDescent="0.45">
      <c r="E200" s="3">
        <f t="shared" si="7"/>
        <v>1.9700000000000015</v>
      </c>
      <c r="F200" s="4">
        <f t="shared" si="6"/>
        <v>442.10942581396091</v>
      </c>
    </row>
    <row r="201" spans="5:6" x14ac:dyDescent="0.45">
      <c r="E201" s="3">
        <f t="shared" si="7"/>
        <v>1.9800000000000015</v>
      </c>
      <c r="F201" s="4">
        <f t="shared" si="6"/>
        <v>442.44364050980994</v>
      </c>
    </row>
    <row r="202" spans="5:6" x14ac:dyDescent="0.45">
      <c r="E202" s="3">
        <f t="shared" si="7"/>
        <v>1.9900000000000015</v>
      </c>
      <c r="F202" s="4">
        <f t="shared" si="6"/>
        <v>442.77643069137724</v>
      </c>
    </row>
    <row r="203" spans="5:6" x14ac:dyDescent="0.45">
      <c r="E203" s="3">
        <f t="shared" si="7"/>
        <v>2.0000000000000013</v>
      </c>
      <c r="F203" s="4">
        <f t="shared" si="6"/>
        <v>443.10780950756873</v>
      </c>
    </row>
    <row r="204" spans="5:6" x14ac:dyDescent="0.45">
      <c r="E204" s="3">
        <f t="shared" si="7"/>
        <v>2.0100000000000011</v>
      </c>
      <c r="F204" s="4">
        <f t="shared" si="6"/>
        <v>443.43778992124197</v>
      </c>
    </row>
    <row r="205" spans="5:6" x14ac:dyDescent="0.45">
      <c r="E205" s="3">
        <f t="shared" si="7"/>
        <v>2.0200000000000009</v>
      </c>
      <c r="F205" s="4">
        <f t="shared" si="6"/>
        <v>443.76638471274532</v>
      </c>
    </row>
    <row r="206" spans="5:6" x14ac:dyDescent="0.45">
      <c r="E206" s="3">
        <f t="shared" si="7"/>
        <v>2.0300000000000007</v>
      </c>
      <c r="F206" s="4">
        <f t="shared" si="6"/>
        <v>444.0936064833715</v>
      </c>
    </row>
    <row r="207" spans="5:6" x14ac:dyDescent="0.45">
      <c r="E207" s="3">
        <f t="shared" si="7"/>
        <v>2.0400000000000005</v>
      </c>
      <c r="F207" s="4">
        <f t="shared" si="6"/>
        <v>444.41946765873041</v>
      </c>
    </row>
    <row r="208" spans="5:6" x14ac:dyDescent="0.45">
      <c r="E208" s="3">
        <f t="shared" si="7"/>
        <v>2.0500000000000003</v>
      </c>
      <c r="F208" s="4">
        <f t="shared" si="6"/>
        <v>444.7439804920416</v>
      </c>
    </row>
    <row r="209" spans="5:6" x14ac:dyDescent="0.45">
      <c r="E209" s="3">
        <f t="shared" si="7"/>
        <v>2.06</v>
      </c>
      <c r="F209" s="4">
        <f t="shared" si="6"/>
        <v>445.06715706734934</v>
      </c>
    </row>
    <row r="210" spans="5:6" x14ac:dyDescent="0.45">
      <c r="E210" s="3">
        <f t="shared" si="7"/>
        <v>2.0699999999999998</v>
      </c>
      <c r="F210" s="4">
        <f t="shared" si="6"/>
        <v>445.38900930266283</v>
      </c>
    </row>
    <row r="211" spans="5:6" x14ac:dyDescent="0.45">
      <c r="E211" s="3">
        <f t="shared" si="7"/>
        <v>2.0799999999999996</v>
      </c>
      <c r="F211" s="4">
        <f t="shared" si="6"/>
        <v>445.7095489530235</v>
      </c>
    </row>
    <row r="212" spans="5:6" x14ac:dyDescent="0.45">
      <c r="E212" s="3">
        <f t="shared" si="7"/>
        <v>2.0899999999999994</v>
      </c>
      <c r="F212" s="4">
        <f t="shared" si="6"/>
        <v>446.02878761350019</v>
      </c>
    </row>
    <row r="213" spans="5:6" x14ac:dyDescent="0.45">
      <c r="E213" s="3">
        <f t="shared" si="7"/>
        <v>2.0999999999999992</v>
      </c>
      <c r="F213" s="4">
        <f t="shared" si="6"/>
        <v>446.34673672211704</v>
      </c>
    </row>
    <row r="214" spans="5:6" x14ac:dyDescent="0.45">
      <c r="E214" s="3">
        <f t="shared" si="7"/>
        <v>2.109999999999999</v>
      </c>
      <c r="F214" s="4">
        <f t="shared" si="6"/>
        <v>446.66340756271279</v>
      </c>
    </row>
    <row r="215" spans="5:6" x14ac:dyDescent="0.45">
      <c r="E215" s="3">
        <f t="shared" si="7"/>
        <v>2.1199999999999988</v>
      </c>
      <c r="F215" s="4">
        <f t="shared" si="6"/>
        <v>446.97881126773495</v>
      </c>
    </row>
    <row r="216" spans="5:6" x14ac:dyDescent="0.45">
      <c r="E216" s="3">
        <f t="shared" si="7"/>
        <v>2.1299999999999986</v>
      </c>
      <c r="F216" s="4">
        <f t="shared" si="6"/>
        <v>447.29295882097153</v>
      </c>
    </row>
    <row r="217" spans="5:6" x14ac:dyDescent="0.45">
      <c r="E217" s="3">
        <f t="shared" si="7"/>
        <v>2.1399999999999983</v>
      </c>
      <c r="F217" s="4">
        <f t="shared" si="6"/>
        <v>447.60586106021981</v>
      </c>
    </row>
    <row r="218" spans="5:6" x14ac:dyDescent="0.45">
      <c r="E218" s="3">
        <f t="shared" si="7"/>
        <v>2.1499999999999981</v>
      </c>
      <c r="F218" s="4">
        <f t="shared" si="6"/>
        <v>447.91752867989533</v>
      </c>
    </row>
    <row r="219" spans="5:6" x14ac:dyDescent="0.45">
      <c r="E219" s="3">
        <f t="shared" si="7"/>
        <v>2.1599999999999979</v>
      </c>
      <c r="F219" s="4">
        <f t="shared" si="6"/>
        <v>448.22797223358288</v>
      </c>
    </row>
    <row r="220" spans="5:6" x14ac:dyDescent="0.45">
      <c r="E220" s="3">
        <f t="shared" si="7"/>
        <v>2.1699999999999977</v>
      </c>
      <c r="F220" s="4">
        <f t="shared" si="6"/>
        <v>448.53720213653003</v>
      </c>
    </row>
    <row r="221" spans="5:6" x14ac:dyDescent="0.45">
      <c r="E221" s="3">
        <f t="shared" si="7"/>
        <v>2.1799999999999975</v>
      </c>
      <c r="F221" s="4">
        <f t="shared" si="6"/>
        <v>448.84522866808601</v>
      </c>
    </row>
    <row r="222" spans="5:6" x14ac:dyDescent="0.45">
      <c r="E222" s="3">
        <f t="shared" si="7"/>
        <v>2.1899999999999973</v>
      </c>
      <c r="F222" s="4">
        <f t="shared" si="6"/>
        <v>449.15206197408503</v>
      </c>
    </row>
    <row r="223" spans="5:6" x14ac:dyDescent="0.45">
      <c r="E223" s="3">
        <f t="shared" si="7"/>
        <v>2.1999999999999971</v>
      </c>
      <c r="F223" s="4">
        <f t="shared" si="6"/>
        <v>449.45771206917965</v>
      </c>
    </row>
    <row r="224" spans="5:6" x14ac:dyDescent="0.45">
      <c r="E224" s="3">
        <f t="shared" si="7"/>
        <v>2.2099999999999969</v>
      </c>
      <c r="F224" s="4">
        <f t="shared" si="6"/>
        <v>449.76218883912071</v>
      </c>
    </row>
    <row r="225" spans="5:6" x14ac:dyDescent="0.45">
      <c r="E225" s="3">
        <f t="shared" si="7"/>
        <v>2.2199999999999966</v>
      </c>
      <c r="F225" s="4">
        <f t="shared" si="6"/>
        <v>450.06550204298918</v>
      </c>
    </row>
    <row r="226" spans="5:6" x14ac:dyDescent="0.45">
      <c r="E226" s="3">
        <f t="shared" si="7"/>
        <v>2.2299999999999964</v>
      </c>
      <c r="F226" s="4">
        <f t="shared" si="6"/>
        <v>450.36766131537871</v>
      </c>
    </row>
    <row r="227" spans="5:6" x14ac:dyDescent="0.45">
      <c r="E227" s="3">
        <f t="shared" si="7"/>
        <v>2.2399999999999962</v>
      </c>
      <c r="F227" s="4">
        <f t="shared" si="6"/>
        <v>450.66867616853085</v>
      </c>
    </row>
    <row r="228" spans="5:6" x14ac:dyDescent="0.45">
      <c r="E228" s="3">
        <f t="shared" si="7"/>
        <v>2.249999999999996</v>
      </c>
      <c r="F228" s="4">
        <f t="shared" si="6"/>
        <v>450.96855599442557</v>
      </c>
    </row>
    <row r="229" spans="5:6" x14ac:dyDescent="0.45">
      <c r="E229" s="3">
        <f t="shared" si="7"/>
        <v>2.2599999999999958</v>
      </c>
      <c r="F229" s="4">
        <f t="shared" si="6"/>
        <v>451.26731006682502</v>
      </c>
    </row>
    <row r="230" spans="5:6" x14ac:dyDescent="0.45">
      <c r="E230" s="3">
        <f t="shared" si="7"/>
        <v>2.2699999999999956</v>
      </c>
      <c r="F230" s="4">
        <f t="shared" si="6"/>
        <v>451.56494754327576</v>
      </c>
    </row>
    <row r="231" spans="5:6" x14ac:dyDescent="0.45">
      <c r="E231" s="3">
        <f t="shared" si="7"/>
        <v>2.2799999999999954</v>
      </c>
      <c r="F231" s="4">
        <f t="shared" si="6"/>
        <v>451.86147746706717</v>
      </c>
    </row>
    <row r="232" spans="5:6" x14ac:dyDescent="0.45">
      <c r="E232" s="3">
        <f t="shared" si="7"/>
        <v>2.2899999999999952</v>
      </c>
      <c r="F232" s="4">
        <f t="shared" si="6"/>
        <v>452.1569087691488</v>
      </c>
    </row>
    <row r="233" spans="5:6" x14ac:dyDescent="0.45">
      <c r="E233" s="3">
        <f t="shared" si="7"/>
        <v>2.2999999999999949</v>
      </c>
      <c r="F233" s="4">
        <f t="shared" si="6"/>
        <v>452.45125027000734</v>
      </c>
    </row>
    <row r="234" spans="5:6" x14ac:dyDescent="0.45">
      <c r="E234" s="3">
        <f t="shared" si="7"/>
        <v>2.3099999999999947</v>
      </c>
      <c r="F234" s="4">
        <f t="shared" si="6"/>
        <v>452.74451068150438</v>
      </c>
    </row>
    <row r="235" spans="5:6" x14ac:dyDescent="0.45">
      <c r="E235" s="3">
        <f t="shared" si="7"/>
        <v>2.3199999999999945</v>
      </c>
      <c r="F235" s="4">
        <f t="shared" si="6"/>
        <v>453.03669860867598</v>
      </c>
    </row>
    <row r="236" spans="5:6" x14ac:dyDescent="0.45">
      <c r="E236" s="3">
        <f t="shared" si="7"/>
        <v>2.3299999999999943</v>
      </c>
      <c r="F236" s="4">
        <f t="shared" si="6"/>
        <v>453.32782255149414</v>
      </c>
    </row>
    <row r="237" spans="5:6" x14ac:dyDescent="0.45">
      <c r="E237" s="3">
        <f t="shared" si="7"/>
        <v>2.3399999999999941</v>
      </c>
      <c r="F237" s="4">
        <f t="shared" si="6"/>
        <v>453.61789090659261</v>
      </c>
    </row>
    <row r="238" spans="5:6" x14ac:dyDescent="0.45">
      <c r="E238" s="3">
        <f t="shared" si="7"/>
        <v>2.3499999999999939</v>
      </c>
      <c r="F238" s="4">
        <f t="shared" si="6"/>
        <v>453.90691196895699</v>
      </c>
    </row>
    <row r="239" spans="5:6" x14ac:dyDescent="0.45">
      <c r="E239" s="3">
        <f t="shared" si="7"/>
        <v>2.3599999999999937</v>
      </c>
      <c r="F239" s="4">
        <f t="shared" si="6"/>
        <v>454.19489393357946</v>
      </c>
    </row>
    <row r="240" spans="5:6" x14ac:dyDescent="0.45">
      <c r="E240" s="3">
        <f t="shared" si="7"/>
        <v>2.3699999999999934</v>
      </c>
      <c r="F240" s="4">
        <f t="shared" si="6"/>
        <v>454.48184489708075</v>
      </c>
    </row>
    <row r="241" spans="5:6" x14ac:dyDescent="0.45">
      <c r="E241" s="3">
        <f t="shared" si="7"/>
        <v>2.3799999999999932</v>
      </c>
      <c r="F241" s="4">
        <f t="shared" si="6"/>
        <v>454.76777285929842</v>
      </c>
    </row>
    <row r="242" spans="5:6" x14ac:dyDescent="0.45">
      <c r="E242" s="3">
        <f t="shared" si="7"/>
        <v>2.389999999999993</v>
      </c>
      <c r="F242" s="4">
        <f t="shared" si="6"/>
        <v>455.05268572484334</v>
      </c>
    </row>
    <row r="243" spans="5:6" x14ac:dyDescent="0.45">
      <c r="E243" s="3">
        <f t="shared" si="7"/>
        <v>2.3999999999999928</v>
      </c>
      <c r="F243" s="4">
        <f t="shared" si="6"/>
        <v>455.33659130462422</v>
      </c>
    </row>
    <row r="244" spans="5:6" x14ac:dyDescent="0.45">
      <c r="E244" s="3">
        <f t="shared" si="7"/>
        <v>2.4099999999999926</v>
      </c>
      <c r="F244" s="4">
        <f t="shared" si="6"/>
        <v>455.61949731734222</v>
      </c>
    </row>
    <row r="245" spans="5:6" x14ac:dyDescent="0.45">
      <c r="E245" s="3">
        <f t="shared" si="7"/>
        <v>2.4199999999999924</v>
      </c>
      <c r="F245" s="4">
        <f t="shared" si="6"/>
        <v>455.90141139095533</v>
      </c>
    </row>
    <row r="246" spans="5:6" x14ac:dyDescent="0.45">
      <c r="E246" s="3">
        <f t="shared" si="7"/>
        <v>2.4299999999999922</v>
      </c>
      <c r="F246" s="4">
        <f t="shared" si="6"/>
        <v>456.18234106411319</v>
      </c>
    </row>
    <row r="247" spans="5:6" x14ac:dyDescent="0.45">
      <c r="E247" s="3">
        <f t="shared" si="7"/>
        <v>2.439999999999992</v>
      </c>
      <c r="F247" s="4">
        <f t="shared" si="6"/>
        <v>456.46229378756453</v>
      </c>
    </row>
    <row r="248" spans="5:6" x14ac:dyDescent="0.45">
      <c r="E248" s="3">
        <f t="shared" si="7"/>
        <v>2.4499999999999917</v>
      </c>
      <c r="F248" s="4">
        <f t="shared" si="6"/>
        <v>456.74127692553537</v>
      </c>
    </row>
    <row r="249" spans="5:6" x14ac:dyDescent="0.45">
      <c r="E249" s="3">
        <f t="shared" si="7"/>
        <v>2.4599999999999915</v>
      </c>
      <c r="F249" s="4">
        <f t="shared" si="6"/>
        <v>457.01929775708095</v>
      </c>
    </row>
    <row r="250" spans="5:6" x14ac:dyDescent="0.45">
      <c r="E250" s="3">
        <f t="shared" si="7"/>
        <v>2.4699999999999913</v>
      </c>
      <c r="F250" s="4">
        <f t="shared" si="6"/>
        <v>457.29636347741155</v>
      </c>
    </row>
    <row r="251" spans="5:6" x14ac:dyDescent="0.45">
      <c r="E251" s="3">
        <f t="shared" si="7"/>
        <v>2.4799999999999911</v>
      </c>
      <c r="F251" s="4">
        <f t="shared" si="6"/>
        <v>457.5724811991912</v>
      </c>
    </row>
    <row r="252" spans="5:6" x14ac:dyDescent="0.45">
      <c r="E252" s="3">
        <f t="shared" si="7"/>
        <v>2.4899999999999909</v>
      </c>
      <c r="F252" s="4">
        <f t="shared" si="6"/>
        <v>457.84765795381253</v>
      </c>
    </row>
    <row r="253" spans="5:6" x14ac:dyDescent="0.45">
      <c r="E253" s="3">
        <f t="shared" si="7"/>
        <v>2.4999999999999907</v>
      </c>
      <c r="F253" s="4">
        <f t="shared" si="6"/>
        <v>458.12190069264551</v>
      </c>
    </row>
    <row r="254" spans="5:6" x14ac:dyDescent="0.45">
      <c r="E254" s="3">
        <f t="shared" si="7"/>
        <v>2.5099999999999905</v>
      </c>
      <c r="F254" s="4">
        <f t="shared" si="6"/>
        <v>458.3952162882631</v>
      </c>
    </row>
    <row r="255" spans="5:6" x14ac:dyDescent="0.45">
      <c r="E255" s="3">
        <f t="shared" si="7"/>
        <v>2.5199999999999902</v>
      </c>
      <c r="F255" s="4">
        <f t="shared" si="6"/>
        <v>458.66761153564363</v>
      </c>
    </row>
    <row r="256" spans="5:6" x14ac:dyDescent="0.45">
      <c r="E256" s="3">
        <f t="shared" si="7"/>
        <v>2.52999999999999</v>
      </c>
      <c r="F256" s="4">
        <f t="shared" si="6"/>
        <v>458.93909315334855</v>
      </c>
    </row>
    <row r="257" spans="5:6" x14ac:dyDescent="0.45">
      <c r="E257" s="3">
        <f t="shared" si="7"/>
        <v>2.5399999999999898</v>
      </c>
      <c r="F257" s="4">
        <f t="shared" si="6"/>
        <v>459.20966778467988</v>
      </c>
    </row>
    <row r="258" spans="5:6" x14ac:dyDescent="0.45">
      <c r="E258" s="3">
        <f t="shared" si="7"/>
        <v>2.5499999999999896</v>
      </c>
      <c r="F258" s="4">
        <f t="shared" si="6"/>
        <v>459.47934199881377</v>
      </c>
    </row>
    <row r="259" spans="5:6" x14ac:dyDescent="0.45">
      <c r="E259" s="3">
        <f t="shared" si="7"/>
        <v>2.5599999999999894</v>
      </c>
      <c r="F259" s="4">
        <f t="shared" si="6"/>
        <v>459.74812229191377</v>
      </c>
    </row>
    <row r="260" spans="5:6" x14ac:dyDescent="0.45">
      <c r="E260" s="3">
        <f t="shared" si="7"/>
        <v>2.5699999999999892</v>
      </c>
      <c r="F260" s="4">
        <f t="shared" ref="F260:F323" si="8">$C$3*(1+E260/$C$5)^$C$4</f>
        <v>460.0160150882229</v>
      </c>
    </row>
    <row r="261" spans="5:6" x14ac:dyDescent="0.45">
      <c r="E261" s="3">
        <f t="shared" ref="E261:E324" si="9">E260+0.01</f>
        <v>2.579999999999989</v>
      </c>
      <c r="F261" s="4">
        <f t="shared" si="8"/>
        <v>460.28302674113507</v>
      </c>
    </row>
    <row r="262" spans="5:6" x14ac:dyDescent="0.45">
      <c r="E262" s="3">
        <f t="shared" si="9"/>
        <v>2.5899999999999888</v>
      </c>
      <c r="F262" s="4">
        <f t="shared" si="8"/>
        <v>460.54916353424636</v>
      </c>
    </row>
    <row r="263" spans="5:6" x14ac:dyDescent="0.45">
      <c r="E263" s="3">
        <f t="shared" si="9"/>
        <v>2.5999999999999885</v>
      </c>
      <c r="F263" s="4">
        <f t="shared" si="8"/>
        <v>460.81443168238724</v>
      </c>
    </row>
    <row r="264" spans="5:6" x14ac:dyDescent="0.45">
      <c r="E264" s="3">
        <f t="shared" si="9"/>
        <v>2.6099999999999883</v>
      </c>
      <c r="F264" s="4">
        <f t="shared" si="8"/>
        <v>461.07883733263446</v>
      </c>
    </row>
    <row r="265" spans="5:6" x14ac:dyDescent="0.45">
      <c r="E265" s="3">
        <f t="shared" si="9"/>
        <v>2.6199999999999881</v>
      </c>
      <c r="F265" s="4">
        <f t="shared" si="8"/>
        <v>461.3423865653063</v>
      </c>
    </row>
    <row r="266" spans="5:6" x14ac:dyDescent="0.45">
      <c r="E266" s="3">
        <f t="shared" si="9"/>
        <v>2.6299999999999879</v>
      </c>
      <c r="F266" s="4">
        <f t="shared" si="8"/>
        <v>461.60508539493719</v>
      </c>
    </row>
    <row r="267" spans="5:6" x14ac:dyDescent="0.45">
      <c r="E267" s="3">
        <f t="shared" si="9"/>
        <v>2.6399999999999877</v>
      </c>
      <c r="F267" s="4">
        <f t="shared" si="8"/>
        <v>461.86693977123622</v>
      </c>
    </row>
    <row r="268" spans="5:6" x14ac:dyDescent="0.45">
      <c r="E268" s="3">
        <f t="shared" si="9"/>
        <v>2.6499999999999875</v>
      </c>
      <c r="F268" s="4">
        <f t="shared" si="8"/>
        <v>462.12795558002699</v>
      </c>
    </row>
    <row r="269" spans="5:6" x14ac:dyDescent="0.45">
      <c r="E269" s="3">
        <f t="shared" si="9"/>
        <v>2.6599999999999873</v>
      </c>
      <c r="F269" s="4">
        <f t="shared" si="8"/>
        <v>462.38813864417108</v>
      </c>
    </row>
    <row r="270" spans="5:6" x14ac:dyDescent="0.45">
      <c r="E270" s="3">
        <f t="shared" si="9"/>
        <v>2.6699999999999871</v>
      </c>
      <c r="F270" s="4">
        <f t="shared" si="8"/>
        <v>462.6474947244742</v>
      </c>
    </row>
    <row r="271" spans="5:6" x14ac:dyDescent="0.45">
      <c r="E271" s="3">
        <f t="shared" si="9"/>
        <v>2.6799999999999868</v>
      </c>
      <c r="F271" s="4">
        <f t="shared" si="8"/>
        <v>462.90602952057674</v>
      </c>
    </row>
    <row r="272" spans="5:6" x14ac:dyDescent="0.45">
      <c r="E272" s="3">
        <f t="shared" si="9"/>
        <v>2.6899999999999866</v>
      </c>
      <c r="F272" s="4">
        <f t="shared" si="8"/>
        <v>463.16374867182708</v>
      </c>
    </row>
    <row r="273" spans="5:6" x14ac:dyDescent="0.45">
      <c r="E273" s="3">
        <f t="shared" si="9"/>
        <v>2.6999999999999864</v>
      </c>
      <c r="F273" s="4">
        <f t="shared" si="8"/>
        <v>463.42065775814092</v>
      </c>
    </row>
    <row r="274" spans="5:6" x14ac:dyDescent="0.45">
      <c r="E274" s="3">
        <f t="shared" si="9"/>
        <v>2.7099999999999862</v>
      </c>
      <c r="F274" s="4">
        <f t="shared" si="8"/>
        <v>463.67676230084334</v>
      </c>
    </row>
    <row r="275" spans="5:6" x14ac:dyDescent="0.45">
      <c r="E275" s="3">
        <f t="shared" si="9"/>
        <v>2.719999999999986</v>
      </c>
      <c r="F275" s="4">
        <f t="shared" si="8"/>
        <v>463.93206776349751</v>
      </c>
    </row>
    <row r="276" spans="5:6" x14ac:dyDescent="0.45">
      <c r="E276" s="3">
        <f t="shared" si="9"/>
        <v>2.7299999999999858</v>
      </c>
      <c r="F276" s="4">
        <f t="shared" si="8"/>
        <v>464.18657955271777</v>
      </c>
    </row>
    <row r="277" spans="5:6" x14ac:dyDescent="0.45">
      <c r="E277" s="3">
        <f t="shared" si="9"/>
        <v>2.7399999999999856</v>
      </c>
      <c r="F277" s="4">
        <f t="shared" si="8"/>
        <v>464.44030301896839</v>
      </c>
    </row>
    <row r="278" spans="5:6" x14ac:dyDescent="0.45">
      <c r="E278" s="3">
        <f t="shared" si="9"/>
        <v>2.7499999999999853</v>
      </c>
      <c r="F278" s="4">
        <f t="shared" si="8"/>
        <v>464.6932434573489</v>
      </c>
    </row>
    <row r="279" spans="5:6" x14ac:dyDescent="0.45">
      <c r="E279" s="3">
        <f t="shared" si="9"/>
        <v>2.7599999999999851</v>
      </c>
      <c r="F279" s="4">
        <f t="shared" si="8"/>
        <v>464.94540610836486</v>
      </c>
    </row>
    <row r="280" spans="5:6" x14ac:dyDescent="0.45">
      <c r="E280" s="3">
        <f t="shared" si="9"/>
        <v>2.7699999999999849</v>
      </c>
      <c r="F280" s="4">
        <f t="shared" si="8"/>
        <v>465.19679615868574</v>
      </c>
    </row>
    <row r="281" spans="5:6" x14ac:dyDescent="0.45">
      <c r="E281" s="3">
        <f t="shared" si="9"/>
        <v>2.7799999999999847</v>
      </c>
      <c r="F281" s="4">
        <f t="shared" si="8"/>
        <v>465.4474187418889</v>
      </c>
    </row>
    <row r="282" spans="5:6" x14ac:dyDescent="0.45">
      <c r="E282" s="3">
        <f t="shared" si="9"/>
        <v>2.7899999999999845</v>
      </c>
      <c r="F282" s="4">
        <f t="shared" si="8"/>
        <v>465.69727893919179</v>
      </c>
    </row>
    <row r="283" spans="5:6" x14ac:dyDescent="0.45">
      <c r="E283" s="3">
        <f t="shared" si="9"/>
        <v>2.7999999999999843</v>
      </c>
      <c r="F283" s="4">
        <f t="shared" si="8"/>
        <v>465.94638178017033</v>
      </c>
    </row>
    <row r="284" spans="5:6" x14ac:dyDescent="0.45">
      <c r="E284" s="3">
        <f t="shared" si="9"/>
        <v>2.8099999999999841</v>
      </c>
      <c r="F284" s="4">
        <f t="shared" si="8"/>
        <v>466.19473224346547</v>
      </c>
    </row>
    <row r="285" spans="5:6" x14ac:dyDescent="0.45">
      <c r="E285" s="3">
        <f t="shared" si="9"/>
        <v>2.8199999999999839</v>
      </c>
      <c r="F285" s="4">
        <f t="shared" si="8"/>
        <v>466.44233525747785</v>
      </c>
    </row>
    <row r="286" spans="5:6" x14ac:dyDescent="0.45">
      <c r="E286" s="3">
        <f t="shared" si="9"/>
        <v>2.8299999999999836</v>
      </c>
      <c r="F286" s="4">
        <f t="shared" si="8"/>
        <v>466.68919570104964</v>
      </c>
    </row>
    <row r="287" spans="5:6" x14ac:dyDescent="0.45">
      <c r="E287" s="3">
        <f t="shared" si="9"/>
        <v>2.8399999999999834</v>
      </c>
      <c r="F287" s="4">
        <f t="shared" si="8"/>
        <v>466.9353184041359</v>
      </c>
    </row>
    <row r="288" spans="5:6" x14ac:dyDescent="0.45">
      <c r="E288" s="3">
        <f t="shared" si="9"/>
        <v>2.8499999999999832</v>
      </c>
      <c r="F288" s="4">
        <f t="shared" si="8"/>
        <v>467.18070814846396</v>
      </c>
    </row>
    <row r="289" spans="5:6" x14ac:dyDescent="0.45">
      <c r="E289" s="3">
        <f t="shared" si="9"/>
        <v>2.859999999999983</v>
      </c>
      <c r="F289" s="4">
        <f t="shared" si="8"/>
        <v>467.4253696681813</v>
      </c>
    </row>
    <row r="290" spans="5:6" x14ac:dyDescent="0.45">
      <c r="E290" s="3">
        <f t="shared" si="9"/>
        <v>2.8699999999999828</v>
      </c>
      <c r="F290" s="4">
        <f t="shared" si="8"/>
        <v>467.66930765049341</v>
      </c>
    </row>
    <row r="291" spans="5:6" x14ac:dyDescent="0.45">
      <c r="E291" s="3">
        <f t="shared" si="9"/>
        <v>2.8799999999999826</v>
      </c>
      <c r="F291" s="4">
        <f t="shared" si="8"/>
        <v>467.91252673628981</v>
      </c>
    </row>
    <row r="292" spans="5:6" x14ac:dyDescent="0.45">
      <c r="E292" s="3">
        <f t="shared" si="9"/>
        <v>2.8899999999999824</v>
      </c>
      <c r="F292" s="4">
        <f t="shared" si="8"/>
        <v>468.1550315207607</v>
      </c>
    </row>
    <row r="293" spans="5:6" x14ac:dyDescent="0.45">
      <c r="E293" s="3">
        <f t="shared" si="9"/>
        <v>2.8999999999999821</v>
      </c>
      <c r="F293" s="4">
        <f t="shared" si="8"/>
        <v>468.39682655400264</v>
      </c>
    </row>
    <row r="294" spans="5:6" x14ac:dyDescent="0.45">
      <c r="E294" s="3">
        <f t="shared" si="9"/>
        <v>2.9099999999999819</v>
      </c>
      <c r="F294" s="4">
        <f t="shared" si="8"/>
        <v>468.63791634161379</v>
      </c>
    </row>
    <row r="295" spans="5:6" x14ac:dyDescent="0.45">
      <c r="E295" s="3">
        <f t="shared" si="9"/>
        <v>2.9199999999999817</v>
      </c>
      <c r="F295" s="4">
        <f t="shared" si="8"/>
        <v>468.87830534528058</v>
      </c>
    </row>
    <row r="296" spans="5:6" x14ac:dyDescent="0.45">
      <c r="E296" s="3">
        <f t="shared" si="9"/>
        <v>2.9299999999999815</v>
      </c>
      <c r="F296" s="4">
        <f t="shared" si="8"/>
        <v>469.11799798335301</v>
      </c>
    </row>
    <row r="297" spans="5:6" x14ac:dyDescent="0.45">
      <c r="E297" s="3">
        <f t="shared" si="9"/>
        <v>2.9399999999999813</v>
      </c>
      <c r="F297" s="4">
        <f t="shared" si="8"/>
        <v>469.35699863141218</v>
      </c>
    </row>
    <row r="298" spans="5:6" x14ac:dyDescent="0.45">
      <c r="E298" s="3">
        <f t="shared" si="9"/>
        <v>2.9499999999999811</v>
      </c>
      <c r="F298" s="4">
        <f t="shared" si="8"/>
        <v>469.59531162282718</v>
      </c>
    </row>
    <row r="299" spans="5:6" x14ac:dyDescent="0.45">
      <c r="E299" s="3">
        <f t="shared" si="9"/>
        <v>2.9599999999999809</v>
      </c>
      <c r="F299" s="4">
        <f t="shared" si="8"/>
        <v>469.83294124930319</v>
      </c>
    </row>
    <row r="300" spans="5:6" x14ac:dyDescent="0.45">
      <c r="E300" s="3">
        <f t="shared" si="9"/>
        <v>2.9699999999999807</v>
      </c>
      <c r="F300" s="4">
        <f t="shared" si="8"/>
        <v>470.06989176142139</v>
      </c>
    </row>
    <row r="301" spans="5:6" x14ac:dyDescent="0.45">
      <c r="E301" s="3">
        <f t="shared" si="9"/>
        <v>2.9799999999999804</v>
      </c>
      <c r="F301" s="4">
        <f t="shared" si="8"/>
        <v>470.30616736916892</v>
      </c>
    </row>
    <row r="302" spans="5:6" x14ac:dyDescent="0.45">
      <c r="E302" s="3">
        <f t="shared" si="9"/>
        <v>2.9899999999999802</v>
      </c>
      <c r="F302" s="4">
        <f t="shared" si="8"/>
        <v>470.54177224246104</v>
      </c>
    </row>
    <row r="303" spans="5:6" x14ac:dyDescent="0.45">
      <c r="E303" s="3">
        <f t="shared" si="9"/>
        <v>2.99999999999998</v>
      </c>
      <c r="F303" s="4">
        <f t="shared" si="8"/>
        <v>470.77671051165481</v>
      </c>
    </row>
    <row r="304" spans="5:6" x14ac:dyDescent="0.45">
      <c r="E304" s="3">
        <f t="shared" si="9"/>
        <v>3.0099999999999798</v>
      </c>
      <c r="F304" s="4">
        <f t="shared" si="8"/>
        <v>471.01098626805413</v>
      </c>
    </row>
    <row r="305" spans="5:6" x14ac:dyDescent="0.45">
      <c r="E305" s="3">
        <f t="shared" si="9"/>
        <v>3.0199999999999796</v>
      </c>
      <c r="F305" s="4">
        <f t="shared" si="8"/>
        <v>471.24460356440733</v>
      </c>
    </row>
    <row r="306" spans="5:6" x14ac:dyDescent="0.45">
      <c r="E306" s="3">
        <f t="shared" si="9"/>
        <v>3.0299999999999794</v>
      </c>
      <c r="F306" s="4">
        <f t="shared" si="8"/>
        <v>471.47756641539553</v>
      </c>
    </row>
    <row r="307" spans="5:6" x14ac:dyDescent="0.45">
      <c r="E307" s="3">
        <f t="shared" si="9"/>
        <v>3.0399999999999792</v>
      </c>
      <c r="F307" s="4">
        <f t="shared" si="8"/>
        <v>471.70987879811514</v>
      </c>
    </row>
    <row r="308" spans="5:6" x14ac:dyDescent="0.45">
      <c r="E308" s="3">
        <f t="shared" si="9"/>
        <v>3.049999999999979</v>
      </c>
      <c r="F308" s="4">
        <f t="shared" si="8"/>
        <v>471.94154465255076</v>
      </c>
    </row>
    <row r="309" spans="5:6" x14ac:dyDescent="0.45">
      <c r="E309" s="3">
        <f t="shared" si="9"/>
        <v>3.0599999999999787</v>
      </c>
      <c r="F309" s="4">
        <f t="shared" si="8"/>
        <v>472.17256788204196</v>
      </c>
    </row>
    <row r="310" spans="5:6" x14ac:dyDescent="0.45">
      <c r="E310" s="3">
        <f t="shared" si="9"/>
        <v>3.0699999999999785</v>
      </c>
      <c r="F310" s="4">
        <f t="shared" si="8"/>
        <v>472.40295235374202</v>
      </c>
    </row>
    <row r="311" spans="5:6" x14ac:dyDescent="0.45">
      <c r="E311" s="3">
        <f t="shared" si="9"/>
        <v>3.0799999999999783</v>
      </c>
      <c r="F311" s="4">
        <f t="shared" si="8"/>
        <v>472.63270189906967</v>
      </c>
    </row>
    <row r="312" spans="5:6" x14ac:dyDescent="0.45">
      <c r="E312" s="3">
        <f t="shared" si="9"/>
        <v>3.0899999999999781</v>
      </c>
      <c r="F312" s="4">
        <f t="shared" si="8"/>
        <v>472.86182031415348</v>
      </c>
    </row>
    <row r="313" spans="5:6" x14ac:dyDescent="0.45">
      <c r="E313" s="3">
        <f t="shared" si="9"/>
        <v>3.0999999999999779</v>
      </c>
      <c r="F313" s="4">
        <f t="shared" si="8"/>
        <v>473.09031136027028</v>
      </c>
    </row>
    <row r="314" spans="5:6" x14ac:dyDescent="0.45">
      <c r="E314" s="3">
        <f t="shared" si="9"/>
        <v>3.1099999999999777</v>
      </c>
      <c r="F314" s="4">
        <f t="shared" si="8"/>
        <v>473.3181787642751</v>
      </c>
    </row>
    <row r="315" spans="5:6" x14ac:dyDescent="0.45">
      <c r="E315" s="3">
        <f t="shared" si="9"/>
        <v>3.1199999999999775</v>
      </c>
      <c r="F315" s="4">
        <f t="shared" si="8"/>
        <v>473.54542621902584</v>
      </c>
    </row>
    <row r="316" spans="5:6" x14ac:dyDescent="0.45">
      <c r="E316" s="3">
        <f t="shared" si="9"/>
        <v>3.1299999999999772</v>
      </c>
      <c r="F316" s="4">
        <f t="shared" si="8"/>
        <v>473.77205738380104</v>
      </c>
    </row>
    <row r="317" spans="5:6" x14ac:dyDescent="0.45">
      <c r="E317" s="3">
        <f t="shared" si="9"/>
        <v>3.139999999999977</v>
      </c>
      <c r="F317" s="4">
        <f t="shared" si="8"/>
        <v>473.99807588471043</v>
      </c>
    </row>
    <row r="318" spans="5:6" x14ac:dyDescent="0.45">
      <c r="E318" s="3">
        <f t="shared" si="9"/>
        <v>3.1499999999999768</v>
      </c>
      <c r="F318" s="4">
        <f t="shared" si="8"/>
        <v>474.22348531510039</v>
      </c>
    </row>
    <row r="319" spans="5:6" x14ac:dyDescent="0.45">
      <c r="E319" s="3">
        <f t="shared" si="9"/>
        <v>3.1599999999999766</v>
      </c>
      <c r="F319" s="4">
        <f t="shared" si="8"/>
        <v>474.44828923595247</v>
      </c>
    </row>
    <row r="320" spans="5:6" x14ac:dyDescent="0.45">
      <c r="E320" s="3">
        <f t="shared" si="9"/>
        <v>3.1699999999999764</v>
      </c>
      <c r="F320" s="4">
        <f t="shared" si="8"/>
        <v>474.67249117627557</v>
      </c>
    </row>
    <row r="321" spans="5:6" x14ac:dyDescent="0.45">
      <c r="E321" s="3">
        <f t="shared" si="9"/>
        <v>3.1799999999999762</v>
      </c>
      <c r="F321" s="4">
        <f t="shared" si="8"/>
        <v>474.89609463349291</v>
      </c>
    </row>
    <row r="322" spans="5:6" x14ac:dyDescent="0.45">
      <c r="E322" s="3">
        <f t="shared" si="9"/>
        <v>3.189999999999976</v>
      </c>
      <c r="F322" s="4">
        <f t="shared" si="8"/>
        <v>475.11910307382266</v>
      </c>
    </row>
    <row r="323" spans="5:6" x14ac:dyDescent="0.45">
      <c r="E323" s="3">
        <f t="shared" si="9"/>
        <v>3.1999999999999758</v>
      </c>
      <c r="F323" s="4">
        <f t="shared" si="8"/>
        <v>475.34151993265272</v>
      </c>
    </row>
    <row r="324" spans="5:6" x14ac:dyDescent="0.45">
      <c r="E324" s="3">
        <f t="shared" si="9"/>
        <v>3.2099999999999755</v>
      </c>
      <c r="F324" s="4">
        <f t="shared" ref="F324:F387" si="10">$C$3*(1+E324/$C$5)^$C$4</f>
        <v>475.56334861491001</v>
      </c>
    </row>
    <row r="325" spans="5:6" x14ac:dyDescent="0.45">
      <c r="E325" s="3">
        <f t="shared" ref="E325:E388" si="11">E324+0.01</f>
        <v>3.2199999999999753</v>
      </c>
      <c r="F325" s="4">
        <f t="shared" si="10"/>
        <v>475.7845924954247</v>
      </c>
    </row>
    <row r="326" spans="5:6" x14ac:dyDescent="0.45">
      <c r="E326" s="3">
        <f t="shared" si="11"/>
        <v>3.2299999999999751</v>
      </c>
      <c r="F326" s="4">
        <f t="shared" si="10"/>
        <v>476.00525491928761</v>
      </c>
    </row>
    <row r="327" spans="5:6" x14ac:dyDescent="0.45">
      <c r="E327" s="3">
        <f t="shared" si="11"/>
        <v>3.2399999999999749</v>
      </c>
      <c r="F327" s="4">
        <f t="shared" si="10"/>
        <v>476.22533920220371</v>
      </c>
    </row>
    <row r="328" spans="5:6" x14ac:dyDescent="0.45">
      <c r="E328" s="3">
        <f t="shared" si="11"/>
        <v>3.2499999999999747</v>
      </c>
      <c r="F328" s="4">
        <f t="shared" si="10"/>
        <v>476.44484863083989</v>
      </c>
    </row>
    <row r="329" spans="5:6" x14ac:dyDescent="0.45">
      <c r="E329" s="3">
        <f t="shared" si="11"/>
        <v>3.2599999999999745</v>
      </c>
      <c r="F329" s="4">
        <f t="shared" si="10"/>
        <v>476.66378646316684</v>
      </c>
    </row>
    <row r="330" spans="5:6" x14ac:dyDescent="0.45">
      <c r="E330" s="3">
        <f t="shared" si="11"/>
        <v>3.2699999999999743</v>
      </c>
      <c r="F330" s="4">
        <f t="shared" si="10"/>
        <v>476.88215592879743</v>
      </c>
    </row>
    <row r="331" spans="5:6" x14ac:dyDescent="0.45">
      <c r="E331" s="3">
        <f t="shared" si="11"/>
        <v>3.279999999999974</v>
      </c>
      <c r="F331" s="4">
        <f t="shared" si="10"/>
        <v>477.09996022931779</v>
      </c>
    </row>
    <row r="332" spans="5:6" x14ac:dyDescent="0.45">
      <c r="E332" s="3">
        <f t="shared" si="11"/>
        <v>3.2899999999999738</v>
      </c>
      <c r="F332" s="4">
        <f t="shared" si="10"/>
        <v>477.31720253861613</v>
      </c>
    </row>
    <row r="333" spans="5:6" x14ac:dyDescent="0.45">
      <c r="E333" s="3">
        <f t="shared" si="11"/>
        <v>3.2999999999999736</v>
      </c>
      <c r="F333" s="4">
        <f t="shared" si="10"/>
        <v>477.53388600320517</v>
      </c>
    </row>
    <row r="334" spans="5:6" x14ac:dyDescent="0.45">
      <c r="E334" s="3">
        <f t="shared" si="11"/>
        <v>3.3099999999999734</v>
      </c>
      <c r="F334" s="4">
        <f t="shared" si="10"/>
        <v>477.75001374253929</v>
      </c>
    </row>
    <row r="335" spans="5:6" x14ac:dyDescent="0.45">
      <c r="E335" s="3">
        <f t="shared" si="11"/>
        <v>3.3199999999999732</v>
      </c>
      <c r="F335" s="4">
        <f t="shared" si="10"/>
        <v>477.96558884932915</v>
      </c>
    </row>
    <row r="336" spans="5:6" x14ac:dyDescent="0.45">
      <c r="E336" s="3">
        <f t="shared" si="11"/>
        <v>3.329999999999973</v>
      </c>
      <c r="F336" s="4">
        <f t="shared" si="10"/>
        <v>478.18061438984955</v>
      </c>
    </row>
    <row r="337" spans="5:6" x14ac:dyDescent="0.45">
      <c r="E337" s="3">
        <f t="shared" si="11"/>
        <v>3.3399999999999728</v>
      </c>
      <c r="F337" s="4">
        <f t="shared" si="10"/>
        <v>478.39509340424451</v>
      </c>
    </row>
    <row r="338" spans="5:6" x14ac:dyDescent="0.45">
      <c r="E338" s="3">
        <f t="shared" si="11"/>
        <v>3.3499999999999726</v>
      </c>
      <c r="F338" s="4">
        <f t="shared" si="10"/>
        <v>478.60902890682632</v>
      </c>
    </row>
    <row r="339" spans="5:6" x14ac:dyDescent="0.45">
      <c r="E339" s="3">
        <f t="shared" si="11"/>
        <v>3.3599999999999723</v>
      </c>
      <c r="F339" s="4">
        <f t="shared" si="10"/>
        <v>478.82242388637223</v>
      </c>
    </row>
    <row r="340" spans="5:6" x14ac:dyDescent="0.45">
      <c r="E340" s="3">
        <f t="shared" si="11"/>
        <v>3.3699999999999721</v>
      </c>
      <c r="F340" s="4">
        <f t="shared" si="10"/>
        <v>479.03528130641473</v>
      </c>
    </row>
    <row r="341" spans="5:6" x14ac:dyDescent="0.45">
      <c r="E341" s="3">
        <f t="shared" si="11"/>
        <v>3.3799999999999719</v>
      </c>
      <c r="F341" s="4">
        <f t="shared" si="10"/>
        <v>479.24760410552938</v>
      </c>
    </row>
    <row r="342" spans="5:6" x14ac:dyDescent="0.45">
      <c r="E342" s="3">
        <f t="shared" si="11"/>
        <v>3.3899999999999717</v>
      </c>
      <c r="F342" s="4">
        <f t="shared" si="10"/>
        <v>479.45939519761811</v>
      </c>
    </row>
    <row r="343" spans="5:6" x14ac:dyDescent="0.45">
      <c r="E343" s="3">
        <f t="shared" si="11"/>
        <v>3.3999999999999715</v>
      </c>
      <c r="F343" s="4">
        <f t="shared" si="10"/>
        <v>479.67065747218737</v>
      </c>
    </row>
    <row r="344" spans="5:6" x14ac:dyDescent="0.45">
      <c r="E344" s="3">
        <f t="shared" si="11"/>
        <v>3.4099999999999713</v>
      </c>
      <c r="F344" s="4">
        <f t="shared" si="10"/>
        <v>479.88139379462433</v>
      </c>
    </row>
    <row r="345" spans="5:6" x14ac:dyDescent="0.45">
      <c r="E345" s="3">
        <f t="shared" si="11"/>
        <v>3.4199999999999711</v>
      </c>
      <c r="F345" s="4">
        <f t="shared" si="10"/>
        <v>480.0916070064668</v>
      </c>
    </row>
    <row r="346" spans="5:6" x14ac:dyDescent="0.45">
      <c r="E346" s="3">
        <f t="shared" si="11"/>
        <v>3.4299999999999708</v>
      </c>
      <c r="F346" s="4">
        <f t="shared" si="10"/>
        <v>480.30129992567197</v>
      </c>
    </row>
    <row r="347" spans="5:6" x14ac:dyDescent="0.45">
      <c r="E347" s="3">
        <f t="shared" si="11"/>
        <v>3.4399999999999706</v>
      </c>
      <c r="F347" s="4">
        <f t="shared" si="10"/>
        <v>480.51047534687893</v>
      </c>
    </row>
    <row r="348" spans="5:6" x14ac:dyDescent="0.45">
      <c r="E348" s="3">
        <f t="shared" si="11"/>
        <v>3.4499999999999704</v>
      </c>
      <c r="F348" s="4">
        <f t="shared" si="10"/>
        <v>480.719136041669</v>
      </c>
    </row>
    <row r="349" spans="5:6" x14ac:dyDescent="0.45">
      <c r="E349" s="3">
        <f t="shared" si="11"/>
        <v>3.4599999999999702</v>
      </c>
      <c r="F349" s="4">
        <f t="shared" si="10"/>
        <v>480.92728475882211</v>
      </c>
    </row>
    <row r="350" spans="5:6" x14ac:dyDescent="0.45">
      <c r="E350" s="3">
        <f t="shared" si="11"/>
        <v>3.46999999999997</v>
      </c>
      <c r="F350" s="4">
        <f t="shared" si="10"/>
        <v>481.13492422456898</v>
      </c>
    </row>
    <row r="351" spans="5:6" x14ac:dyDescent="0.45">
      <c r="E351" s="3">
        <f t="shared" si="11"/>
        <v>3.4799999999999698</v>
      </c>
      <c r="F351" s="4">
        <f t="shared" si="10"/>
        <v>481.34205714284104</v>
      </c>
    </row>
    <row r="352" spans="5:6" x14ac:dyDescent="0.45">
      <c r="E352" s="3">
        <f t="shared" si="11"/>
        <v>3.4899999999999696</v>
      </c>
      <c r="F352" s="4">
        <f t="shared" si="10"/>
        <v>481.54868619551536</v>
      </c>
    </row>
    <row r="353" spans="5:6" x14ac:dyDescent="0.45">
      <c r="E353" s="3">
        <f t="shared" si="11"/>
        <v>3.4999999999999694</v>
      </c>
      <c r="F353" s="4">
        <f t="shared" si="10"/>
        <v>481.75481404265719</v>
      </c>
    </row>
    <row r="354" spans="5:6" x14ac:dyDescent="0.45">
      <c r="E354" s="3">
        <f t="shared" si="11"/>
        <v>3.5099999999999691</v>
      </c>
      <c r="F354" s="4">
        <f t="shared" si="10"/>
        <v>481.9604433227596</v>
      </c>
    </row>
    <row r="355" spans="5:6" x14ac:dyDescent="0.45">
      <c r="E355" s="3">
        <f t="shared" si="11"/>
        <v>3.5199999999999689</v>
      </c>
      <c r="F355" s="4">
        <f t="shared" si="10"/>
        <v>482.16557665297779</v>
      </c>
    </row>
    <row r="356" spans="5:6" x14ac:dyDescent="0.45">
      <c r="E356" s="3">
        <f t="shared" si="11"/>
        <v>3.5299999999999687</v>
      </c>
      <c r="F356" s="4">
        <f t="shared" si="10"/>
        <v>482.37021662936297</v>
      </c>
    </row>
    <row r="357" spans="5:6" x14ac:dyDescent="0.45">
      <c r="E357" s="3">
        <f t="shared" si="11"/>
        <v>3.5399999999999685</v>
      </c>
      <c r="F357" s="4">
        <f t="shared" si="10"/>
        <v>482.57436582709062</v>
      </c>
    </row>
    <row r="358" spans="5:6" x14ac:dyDescent="0.45">
      <c r="E358" s="3">
        <f t="shared" si="11"/>
        <v>3.5499999999999683</v>
      </c>
      <c r="F358" s="4">
        <f t="shared" si="10"/>
        <v>482.7780268006868</v>
      </c>
    </row>
    <row r="359" spans="5:6" x14ac:dyDescent="0.45">
      <c r="E359" s="3">
        <f t="shared" si="11"/>
        <v>3.5599999999999681</v>
      </c>
      <c r="F359" s="4">
        <f t="shared" si="10"/>
        <v>482.98120208425155</v>
      </c>
    </row>
    <row r="360" spans="5:6" x14ac:dyDescent="0.45">
      <c r="E360" s="3">
        <f t="shared" si="11"/>
        <v>3.5699999999999679</v>
      </c>
      <c r="F360" s="4">
        <f t="shared" si="10"/>
        <v>483.18389419167875</v>
      </c>
    </row>
    <row r="361" spans="5:6" x14ac:dyDescent="0.45">
      <c r="E361" s="3">
        <f t="shared" si="11"/>
        <v>3.5799999999999677</v>
      </c>
      <c r="F361" s="4">
        <f t="shared" si="10"/>
        <v>483.38610561687301</v>
      </c>
    </row>
    <row r="362" spans="5:6" x14ac:dyDescent="0.45">
      <c r="E362" s="3">
        <f t="shared" si="11"/>
        <v>3.5899999999999674</v>
      </c>
      <c r="F362" s="4">
        <f t="shared" si="10"/>
        <v>483.58783883396381</v>
      </c>
    </row>
    <row r="363" spans="5:6" x14ac:dyDescent="0.45">
      <c r="E363" s="3">
        <f t="shared" si="11"/>
        <v>3.5999999999999672</v>
      </c>
      <c r="F363" s="4">
        <f t="shared" si="10"/>
        <v>483.78909629751678</v>
      </c>
    </row>
    <row r="364" spans="5:6" x14ac:dyDescent="0.45">
      <c r="E364" s="3">
        <f t="shared" si="11"/>
        <v>3.609999999999967</v>
      </c>
      <c r="F364" s="4">
        <f t="shared" si="10"/>
        <v>483.9898804427425</v>
      </c>
    </row>
    <row r="365" spans="5:6" x14ac:dyDescent="0.45">
      <c r="E365" s="3">
        <f t="shared" si="11"/>
        <v>3.6199999999999668</v>
      </c>
      <c r="F365" s="4">
        <f t="shared" si="10"/>
        <v>484.19019368570133</v>
      </c>
    </row>
    <row r="366" spans="5:6" x14ac:dyDescent="0.45">
      <c r="E366" s="3">
        <f t="shared" si="11"/>
        <v>3.6299999999999666</v>
      </c>
      <c r="F366" s="4">
        <f t="shared" si="10"/>
        <v>484.39003842350689</v>
      </c>
    </row>
    <row r="367" spans="5:6" x14ac:dyDescent="0.45">
      <c r="E367" s="3">
        <f t="shared" si="11"/>
        <v>3.6399999999999664</v>
      </c>
      <c r="F367" s="4">
        <f t="shared" si="10"/>
        <v>484.58941703452592</v>
      </c>
    </row>
    <row r="368" spans="5:6" x14ac:dyDescent="0.45">
      <c r="E368" s="3">
        <f t="shared" si="11"/>
        <v>3.6499999999999662</v>
      </c>
      <c r="F368" s="4">
        <f t="shared" si="10"/>
        <v>484.788331878576</v>
      </c>
    </row>
    <row r="369" spans="5:6" x14ac:dyDescent="0.45">
      <c r="E369" s="3">
        <f t="shared" si="11"/>
        <v>3.6599999999999659</v>
      </c>
      <c r="F369" s="4">
        <f t="shared" si="10"/>
        <v>484.98678529712026</v>
      </c>
    </row>
    <row r="370" spans="5:6" x14ac:dyDescent="0.45">
      <c r="E370" s="3">
        <f t="shared" si="11"/>
        <v>3.6699999999999657</v>
      </c>
      <c r="F370" s="4">
        <f t="shared" si="10"/>
        <v>485.18477961345985</v>
      </c>
    </row>
    <row r="371" spans="5:6" x14ac:dyDescent="0.45">
      <c r="E371" s="3">
        <f t="shared" si="11"/>
        <v>3.6799999999999655</v>
      </c>
      <c r="F371" s="4">
        <f t="shared" si="10"/>
        <v>485.38231713292373</v>
      </c>
    </row>
    <row r="372" spans="5:6" x14ac:dyDescent="0.45">
      <c r="E372" s="3">
        <f t="shared" si="11"/>
        <v>3.6899999999999653</v>
      </c>
      <c r="F372" s="4">
        <f t="shared" si="10"/>
        <v>485.57940014305575</v>
      </c>
    </row>
    <row r="373" spans="5:6" x14ac:dyDescent="0.45">
      <c r="E373" s="3">
        <f t="shared" si="11"/>
        <v>3.6999999999999651</v>
      </c>
      <c r="F373" s="4">
        <f t="shared" si="10"/>
        <v>485.77603091379962</v>
      </c>
    </row>
    <row r="374" spans="5:6" x14ac:dyDescent="0.45">
      <c r="E374" s="3">
        <f t="shared" si="11"/>
        <v>3.7099999999999649</v>
      </c>
      <c r="F374" s="4">
        <f t="shared" si="10"/>
        <v>485.9722116976817</v>
      </c>
    </row>
    <row r="375" spans="5:6" x14ac:dyDescent="0.45">
      <c r="E375" s="3">
        <f t="shared" si="11"/>
        <v>3.7199999999999647</v>
      </c>
      <c r="F375" s="4">
        <f t="shared" si="10"/>
        <v>486.1679447299905</v>
      </c>
    </row>
    <row r="376" spans="5:6" x14ac:dyDescent="0.45">
      <c r="E376" s="3">
        <f t="shared" si="11"/>
        <v>3.7299999999999645</v>
      </c>
      <c r="F376" s="4">
        <f t="shared" si="10"/>
        <v>486.36323222895459</v>
      </c>
    </row>
    <row r="377" spans="5:6" x14ac:dyDescent="0.45">
      <c r="E377" s="3">
        <f t="shared" si="11"/>
        <v>3.7399999999999642</v>
      </c>
      <c r="F377" s="4">
        <f t="shared" si="10"/>
        <v>486.55807639591819</v>
      </c>
    </row>
    <row r="378" spans="5:6" x14ac:dyDescent="0.45">
      <c r="E378" s="3">
        <f t="shared" si="11"/>
        <v>3.749999999999964</v>
      </c>
      <c r="F378" s="4">
        <f t="shared" si="10"/>
        <v>486.75247941551419</v>
      </c>
    </row>
    <row r="379" spans="5:6" x14ac:dyDescent="0.45">
      <c r="E379" s="3">
        <f t="shared" si="11"/>
        <v>3.7599999999999638</v>
      </c>
      <c r="F379" s="4">
        <f t="shared" si="10"/>
        <v>486.94644345583509</v>
      </c>
    </row>
    <row r="380" spans="5:6" x14ac:dyDescent="0.45">
      <c r="E380" s="3">
        <f t="shared" si="11"/>
        <v>3.7699999999999636</v>
      </c>
      <c r="F380" s="4">
        <f t="shared" si="10"/>
        <v>487.13997066860156</v>
      </c>
    </row>
    <row r="381" spans="5:6" x14ac:dyDescent="0.45">
      <c r="E381" s="3">
        <f t="shared" si="11"/>
        <v>3.7799999999999634</v>
      </c>
      <c r="F381" s="4">
        <f t="shared" si="10"/>
        <v>487.33306318932944</v>
      </c>
    </row>
    <row r="382" spans="5:6" x14ac:dyDescent="0.45">
      <c r="E382" s="3">
        <f t="shared" si="11"/>
        <v>3.7899999999999632</v>
      </c>
      <c r="F382" s="4">
        <f t="shared" si="10"/>
        <v>487.52572313749363</v>
      </c>
    </row>
    <row r="383" spans="5:6" x14ac:dyDescent="0.45">
      <c r="E383" s="3">
        <f t="shared" si="11"/>
        <v>3.799999999999963</v>
      </c>
      <c r="F383" s="4">
        <f t="shared" si="10"/>
        <v>487.71795261669081</v>
      </c>
    </row>
    <row r="384" spans="5:6" x14ac:dyDescent="0.45">
      <c r="E384" s="3">
        <f t="shared" si="11"/>
        <v>3.8099999999999627</v>
      </c>
      <c r="F384" s="4">
        <f t="shared" si="10"/>
        <v>487.90975371479954</v>
      </c>
    </row>
    <row r="385" spans="5:6" x14ac:dyDescent="0.45">
      <c r="E385" s="3">
        <f t="shared" si="11"/>
        <v>3.8199999999999625</v>
      </c>
      <c r="F385" s="4">
        <f t="shared" si="10"/>
        <v>488.1011285041385</v>
      </c>
    </row>
    <row r="386" spans="5:6" x14ac:dyDescent="0.45">
      <c r="E386" s="3">
        <f t="shared" si="11"/>
        <v>3.8299999999999623</v>
      </c>
      <c r="F386" s="4">
        <f t="shared" si="10"/>
        <v>488.29207904162308</v>
      </c>
    </row>
    <row r="387" spans="5:6" x14ac:dyDescent="0.45">
      <c r="E387" s="3">
        <f t="shared" si="11"/>
        <v>3.8399999999999621</v>
      </c>
      <c r="F387" s="4">
        <f t="shared" si="10"/>
        <v>488.48260736891876</v>
      </c>
    </row>
    <row r="388" spans="5:6" x14ac:dyDescent="0.45">
      <c r="E388" s="3">
        <f t="shared" si="11"/>
        <v>3.8499999999999619</v>
      </c>
      <c r="F388" s="4">
        <f t="shared" ref="F388:F451" si="12">$C$3*(1+E388/$C$5)^$C$4</f>
        <v>488.67271551259472</v>
      </c>
    </row>
    <row r="389" spans="5:6" x14ac:dyDescent="0.45">
      <c r="E389" s="3">
        <f t="shared" ref="E389:E452" si="13">E388+0.01</f>
        <v>3.8599999999999617</v>
      </c>
      <c r="F389" s="4">
        <f t="shared" si="12"/>
        <v>488.86240548427293</v>
      </c>
    </row>
    <row r="390" spans="5:6" x14ac:dyDescent="0.45">
      <c r="E390" s="3">
        <f t="shared" si="13"/>
        <v>3.8699999999999615</v>
      </c>
      <c r="F390" s="4">
        <f t="shared" si="12"/>
        <v>489.05167928077776</v>
      </c>
    </row>
    <row r="391" spans="5:6" x14ac:dyDescent="0.45">
      <c r="E391" s="3">
        <f t="shared" si="13"/>
        <v>3.8799999999999613</v>
      </c>
      <c r="F391" s="4">
        <f t="shared" si="12"/>
        <v>489.24053888428188</v>
      </c>
    </row>
    <row r="392" spans="5:6" x14ac:dyDescent="0.45">
      <c r="E392" s="3">
        <f t="shared" si="13"/>
        <v>3.889999999999961</v>
      </c>
      <c r="F392" s="4">
        <f t="shared" si="12"/>
        <v>489.42898626245153</v>
      </c>
    </row>
    <row r="393" spans="5:6" x14ac:dyDescent="0.45">
      <c r="E393" s="3">
        <f t="shared" si="13"/>
        <v>3.8999999999999608</v>
      </c>
      <c r="F393" s="4">
        <f t="shared" si="12"/>
        <v>489.61702336858951</v>
      </c>
    </row>
    <row r="394" spans="5:6" x14ac:dyDescent="0.45">
      <c r="E394" s="3">
        <f t="shared" si="13"/>
        <v>3.9099999999999606</v>
      </c>
      <c r="F394" s="4">
        <f t="shared" si="12"/>
        <v>489.8046521417765</v>
      </c>
    </row>
    <row r="395" spans="5:6" x14ac:dyDescent="0.45">
      <c r="E395" s="3">
        <f t="shared" si="13"/>
        <v>3.9199999999999604</v>
      </c>
      <c r="F395" s="4">
        <f t="shared" si="12"/>
        <v>489.99187450701027</v>
      </c>
    </row>
    <row r="396" spans="5:6" x14ac:dyDescent="0.45">
      <c r="E396" s="3">
        <f t="shared" si="13"/>
        <v>3.9299999999999602</v>
      </c>
      <c r="F396" s="4">
        <f t="shared" si="12"/>
        <v>490.17869237534404</v>
      </c>
    </row>
    <row r="397" spans="5:6" x14ac:dyDescent="0.45">
      <c r="E397" s="3">
        <f t="shared" si="13"/>
        <v>3.93999999999996</v>
      </c>
      <c r="F397" s="4">
        <f t="shared" si="12"/>
        <v>490.36510764402186</v>
      </c>
    </row>
    <row r="398" spans="5:6" x14ac:dyDescent="0.45">
      <c r="E398" s="3">
        <f t="shared" si="13"/>
        <v>3.9499999999999598</v>
      </c>
      <c r="F398" s="4">
        <f t="shared" si="12"/>
        <v>490.55112219661396</v>
      </c>
    </row>
    <row r="399" spans="5:6" x14ac:dyDescent="0.45">
      <c r="E399" s="3">
        <f t="shared" si="13"/>
        <v>3.9599999999999596</v>
      </c>
      <c r="F399" s="4">
        <f t="shared" si="12"/>
        <v>490.73673790314871</v>
      </c>
    </row>
    <row r="400" spans="5:6" x14ac:dyDescent="0.45">
      <c r="E400" s="3">
        <f t="shared" si="13"/>
        <v>3.9699999999999593</v>
      </c>
      <c r="F400" s="4">
        <f t="shared" si="12"/>
        <v>490.92195662024432</v>
      </c>
    </row>
    <row r="401" spans="5:6" x14ac:dyDescent="0.45">
      <c r="E401" s="3">
        <f t="shared" si="13"/>
        <v>3.9799999999999591</v>
      </c>
      <c r="F401" s="4">
        <f t="shared" si="12"/>
        <v>491.10678019123839</v>
      </c>
    </row>
    <row r="402" spans="5:6" x14ac:dyDescent="0.45">
      <c r="E402" s="3">
        <f t="shared" si="13"/>
        <v>3.9899999999999589</v>
      </c>
      <c r="F402" s="4">
        <f t="shared" si="12"/>
        <v>491.2912104463154</v>
      </c>
    </row>
    <row r="403" spans="5:6" x14ac:dyDescent="0.45">
      <c r="E403" s="3">
        <f t="shared" si="13"/>
        <v>3.9999999999999587</v>
      </c>
      <c r="F403" s="4">
        <f t="shared" si="12"/>
        <v>491.47524920263407</v>
      </c>
    </row>
    <row r="404" spans="5:6" x14ac:dyDescent="0.45">
      <c r="E404" s="3">
        <f t="shared" si="13"/>
        <v>4.0099999999999589</v>
      </c>
      <c r="F404" s="4">
        <f t="shared" si="12"/>
        <v>491.65889826445141</v>
      </c>
    </row>
    <row r="405" spans="5:6" x14ac:dyDescent="0.45">
      <c r="E405" s="3">
        <f t="shared" si="13"/>
        <v>4.0199999999999587</v>
      </c>
      <c r="F405" s="4">
        <f t="shared" si="12"/>
        <v>491.84215942324687</v>
      </c>
    </row>
    <row r="406" spans="5:6" x14ac:dyDescent="0.45">
      <c r="E406" s="3">
        <f t="shared" si="13"/>
        <v>4.0299999999999585</v>
      </c>
      <c r="F406" s="4">
        <f t="shared" si="12"/>
        <v>492.02503445784373</v>
      </c>
    </row>
    <row r="407" spans="5:6" x14ac:dyDescent="0.45">
      <c r="E407" s="3">
        <f t="shared" si="13"/>
        <v>4.0399999999999583</v>
      </c>
      <c r="F407" s="4">
        <f t="shared" si="12"/>
        <v>492.20752513452959</v>
      </c>
    </row>
    <row r="408" spans="5:6" x14ac:dyDescent="0.45">
      <c r="E408" s="3">
        <f t="shared" si="13"/>
        <v>4.0499999999999581</v>
      </c>
      <c r="F408" s="4">
        <f t="shared" si="12"/>
        <v>492.38963320717613</v>
      </c>
    </row>
    <row r="409" spans="5:6" x14ac:dyDescent="0.45">
      <c r="E409" s="3">
        <f t="shared" si="13"/>
        <v>4.0599999999999579</v>
      </c>
      <c r="F409" s="4">
        <f t="shared" si="12"/>
        <v>492.571360417356</v>
      </c>
    </row>
    <row r="410" spans="5:6" x14ac:dyDescent="0.45">
      <c r="E410" s="3">
        <f t="shared" si="13"/>
        <v>4.0699999999999577</v>
      </c>
      <c r="F410" s="4">
        <f t="shared" si="12"/>
        <v>492.75270849445894</v>
      </c>
    </row>
    <row r="411" spans="5:6" x14ac:dyDescent="0.45">
      <c r="E411" s="3">
        <f t="shared" si="13"/>
        <v>4.0799999999999574</v>
      </c>
      <c r="F411" s="4">
        <f t="shared" si="12"/>
        <v>492.93367915580745</v>
      </c>
    </row>
    <row r="412" spans="5:6" x14ac:dyDescent="0.45">
      <c r="E412" s="3">
        <f t="shared" si="13"/>
        <v>4.0899999999999572</v>
      </c>
      <c r="F412" s="4">
        <f t="shared" si="12"/>
        <v>493.11427410676936</v>
      </c>
    </row>
    <row r="413" spans="5:6" x14ac:dyDescent="0.45">
      <c r="E413" s="3">
        <f t="shared" si="13"/>
        <v>4.099999999999957</v>
      </c>
      <c r="F413" s="4">
        <f t="shared" si="12"/>
        <v>493.29449504087063</v>
      </c>
    </row>
    <row r="414" spans="5:6" x14ac:dyDescent="0.45">
      <c r="E414" s="3">
        <f t="shared" si="13"/>
        <v>4.1099999999999568</v>
      </c>
      <c r="F414" s="4">
        <f t="shared" si="12"/>
        <v>493.47434363990573</v>
      </c>
    </row>
    <row r="415" spans="5:6" x14ac:dyDescent="0.45">
      <c r="E415" s="3">
        <f t="shared" si="13"/>
        <v>4.1199999999999566</v>
      </c>
      <c r="F415" s="4">
        <f t="shared" si="12"/>
        <v>493.6538215740473</v>
      </c>
    </row>
    <row r="416" spans="5:6" x14ac:dyDescent="0.45">
      <c r="E416" s="3">
        <f t="shared" si="13"/>
        <v>4.1299999999999564</v>
      </c>
      <c r="F416" s="4">
        <f t="shared" si="12"/>
        <v>493.83293050195459</v>
      </c>
    </row>
    <row r="417" spans="5:6" x14ac:dyDescent="0.45">
      <c r="E417" s="3">
        <f t="shared" si="13"/>
        <v>4.1399999999999562</v>
      </c>
      <c r="F417" s="4">
        <f t="shared" si="12"/>
        <v>494.01167207088019</v>
      </c>
    </row>
    <row r="418" spans="5:6" x14ac:dyDescent="0.45">
      <c r="E418" s="3">
        <f t="shared" si="13"/>
        <v>4.1499999999999559</v>
      </c>
      <c r="F418" s="4">
        <f t="shared" si="12"/>
        <v>494.19004791677537</v>
      </c>
    </row>
    <row r="419" spans="5:6" x14ac:dyDescent="0.45">
      <c r="E419" s="3">
        <f t="shared" si="13"/>
        <v>4.1599999999999557</v>
      </c>
      <c r="F419" s="4">
        <f t="shared" si="12"/>
        <v>494.36805966439562</v>
      </c>
    </row>
    <row r="420" spans="5:6" x14ac:dyDescent="0.45">
      <c r="E420" s="3">
        <f t="shared" si="13"/>
        <v>4.1699999999999555</v>
      </c>
      <c r="F420" s="4">
        <f t="shared" si="12"/>
        <v>494.54570892740276</v>
      </c>
    </row>
    <row r="421" spans="5:6" x14ac:dyDescent="0.45">
      <c r="E421" s="3">
        <f t="shared" si="13"/>
        <v>4.1799999999999553</v>
      </c>
      <c r="F421" s="4">
        <f t="shared" si="12"/>
        <v>494.72299730846788</v>
      </c>
    </row>
    <row r="422" spans="5:6" x14ac:dyDescent="0.45">
      <c r="E422" s="3">
        <f t="shared" si="13"/>
        <v>4.1899999999999551</v>
      </c>
      <c r="F422" s="4">
        <f t="shared" si="12"/>
        <v>494.89992639937162</v>
      </c>
    </row>
    <row r="423" spans="5:6" x14ac:dyDescent="0.45">
      <c r="E423" s="3">
        <f t="shared" si="13"/>
        <v>4.1999999999999549</v>
      </c>
      <c r="F423" s="4">
        <f t="shared" si="12"/>
        <v>495.07649778110425</v>
      </c>
    </row>
    <row r="424" spans="5:6" x14ac:dyDescent="0.45">
      <c r="E424" s="3">
        <f t="shared" si="13"/>
        <v>4.2099999999999547</v>
      </c>
      <c r="F424" s="4">
        <f t="shared" si="12"/>
        <v>495.25271302396413</v>
      </c>
    </row>
    <row r="425" spans="5:6" x14ac:dyDescent="0.45">
      <c r="E425" s="3">
        <f t="shared" si="13"/>
        <v>4.2199999999999545</v>
      </c>
      <c r="F425" s="4">
        <f t="shared" si="12"/>
        <v>495.42857368765516</v>
      </c>
    </row>
    <row r="426" spans="5:6" x14ac:dyDescent="0.45">
      <c r="E426" s="3">
        <f t="shared" si="13"/>
        <v>4.2299999999999542</v>
      </c>
      <c r="F426" s="4">
        <f t="shared" si="12"/>
        <v>495.60408132138309</v>
      </c>
    </row>
    <row r="427" spans="5:6" x14ac:dyDescent="0.45">
      <c r="E427" s="3">
        <f t="shared" si="13"/>
        <v>4.239999999999954</v>
      </c>
      <c r="F427" s="4">
        <f t="shared" si="12"/>
        <v>495.77923746395089</v>
      </c>
    </row>
    <row r="428" spans="5:6" x14ac:dyDescent="0.45">
      <c r="E428" s="3">
        <f t="shared" si="13"/>
        <v>4.2499999999999538</v>
      </c>
      <c r="F428" s="4">
        <f t="shared" si="12"/>
        <v>495.95404364385274</v>
      </c>
    </row>
    <row r="429" spans="5:6" x14ac:dyDescent="0.45">
      <c r="E429" s="3">
        <f t="shared" si="13"/>
        <v>4.2599999999999536</v>
      </c>
      <c r="F429" s="4">
        <f t="shared" si="12"/>
        <v>496.12850137936721</v>
      </c>
    </row>
    <row r="430" spans="5:6" x14ac:dyDescent="0.45">
      <c r="E430" s="3">
        <f t="shared" si="13"/>
        <v>4.2699999999999534</v>
      </c>
      <c r="F430" s="4">
        <f t="shared" si="12"/>
        <v>496.30261217864893</v>
      </c>
    </row>
    <row r="431" spans="5:6" x14ac:dyDescent="0.45">
      <c r="E431" s="3">
        <f t="shared" si="13"/>
        <v>4.2799999999999532</v>
      </c>
      <c r="F431" s="4">
        <f t="shared" si="12"/>
        <v>496.47637753982019</v>
      </c>
    </row>
    <row r="432" spans="5:6" x14ac:dyDescent="0.45">
      <c r="E432" s="3">
        <f t="shared" si="13"/>
        <v>4.289999999999953</v>
      </c>
      <c r="F432" s="4">
        <f t="shared" si="12"/>
        <v>496.64979895106046</v>
      </c>
    </row>
    <row r="433" spans="5:6" x14ac:dyDescent="0.45">
      <c r="E433" s="3">
        <f t="shared" si="13"/>
        <v>4.2999999999999527</v>
      </c>
      <c r="F433" s="4">
        <f t="shared" si="12"/>
        <v>496.82287789069528</v>
      </c>
    </row>
    <row r="434" spans="5:6" x14ac:dyDescent="0.45">
      <c r="E434" s="3">
        <f t="shared" si="13"/>
        <v>4.3099999999999525</v>
      </c>
      <c r="F434" s="4">
        <f t="shared" si="12"/>
        <v>496.99561582728444</v>
      </c>
    </row>
    <row r="435" spans="5:6" x14ac:dyDescent="0.45">
      <c r="E435" s="3">
        <f t="shared" si="13"/>
        <v>4.3199999999999523</v>
      </c>
      <c r="F435" s="4">
        <f t="shared" si="12"/>
        <v>497.16801421970888</v>
      </c>
    </row>
    <row r="436" spans="5:6" x14ac:dyDescent="0.45">
      <c r="E436" s="3">
        <f t="shared" si="13"/>
        <v>4.3299999999999521</v>
      </c>
      <c r="F436" s="4">
        <f t="shared" si="12"/>
        <v>497.34007451725643</v>
      </c>
    </row>
    <row r="437" spans="5:6" x14ac:dyDescent="0.45">
      <c r="E437" s="3">
        <f t="shared" si="13"/>
        <v>4.3399999999999519</v>
      </c>
      <c r="F437" s="4">
        <f t="shared" si="12"/>
        <v>497.5117981597071</v>
      </c>
    </row>
    <row r="438" spans="5:6" x14ac:dyDescent="0.45">
      <c r="E438" s="3">
        <f t="shared" si="13"/>
        <v>4.3499999999999517</v>
      </c>
      <c r="F438" s="4">
        <f t="shared" si="12"/>
        <v>497.6831865774173</v>
      </c>
    </row>
    <row r="439" spans="5:6" x14ac:dyDescent="0.45">
      <c r="E439" s="3">
        <f t="shared" si="13"/>
        <v>4.3599999999999515</v>
      </c>
      <c r="F439" s="4">
        <f t="shared" si="12"/>
        <v>497.85424119140214</v>
      </c>
    </row>
    <row r="440" spans="5:6" x14ac:dyDescent="0.45">
      <c r="E440" s="3">
        <f t="shared" si="13"/>
        <v>4.3699999999999513</v>
      </c>
      <c r="F440" s="4">
        <f t="shared" si="12"/>
        <v>498.02496341341856</v>
      </c>
    </row>
    <row r="441" spans="5:6" x14ac:dyDescent="0.45">
      <c r="E441" s="3">
        <f t="shared" si="13"/>
        <v>4.379999999999951</v>
      </c>
      <c r="F441" s="4">
        <f t="shared" si="12"/>
        <v>498.1953546460465</v>
      </c>
    </row>
    <row r="442" spans="5:6" x14ac:dyDescent="0.45">
      <c r="E442" s="3">
        <f t="shared" si="13"/>
        <v>4.3899999999999508</v>
      </c>
      <c r="F442" s="4">
        <f t="shared" si="12"/>
        <v>498.36541628276876</v>
      </c>
    </row>
    <row r="443" spans="5:6" x14ac:dyDescent="0.45">
      <c r="E443" s="3">
        <f t="shared" si="13"/>
        <v>4.3999999999999506</v>
      </c>
      <c r="F443" s="4">
        <f t="shared" si="12"/>
        <v>498.53514970805099</v>
      </c>
    </row>
    <row r="444" spans="5:6" x14ac:dyDescent="0.45">
      <c r="E444" s="3">
        <f t="shared" si="13"/>
        <v>4.4099999999999504</v>
      </c>
      <c r="F444" s="4">
        <f t="shared" si="12"/>
        <v>498.70455629742037</v>
      </c>
    </row>
    <row r="445" spans="5:6" x14ac:dyDescent="0.45">
      <c r="E445" s="3">
        <f t="shared" si="13"/>
        <v>4.4199999999999502</v>
      </c>
      <c r="F445" s="4">
        <f t="shared" si="12"/>
        <v>498.87363741754285</v>
      </c>
    </row>
    <row r="446" spans="5:6" x14ac:dyDescent="0.45">
      <c r="E446" s="3">
        <f t="shared" si="13"/>
        <v>4.42999999999995</v>
      </c>
      <c r="F446" s="4">
        <f t="shared" si="12"/>
        <v>499.0423944263008</v>
      </c>
    </row>
    <row r="447" spans="5:6" x14ac:dyDescent="0.45">
      <c r="E447" s="3">
        <f t="shared" si="13"/>
        <v>4.4399999999999498</v>
      </c>
      <c r="F447" s="4">
        <f t="shared" si="12"/>
        <v>499.21082867286873</v>
      </c>
    </row>
    <row r="448" spans="5:6" x14ac:dyDescent="0.45">
      <c r="E448" s="3">
        <f t="shared" si="13"/>
        <v>4.4499999999999496</v>
      </c>
      <c r="F448" s="4">
        <f t="shared" si="12"/>
        <v>499.37894149778845</v>
      </c>
    </row>
    <row r="449" spans="5:6" x14ac:dyDescent="0.45">
      <c r="E449" s="3">
        <f t="shared" si="13"/>
        <v>4.4599999999999493</v>
      </c>
      <c r="F449" s="4">
        <f t="shared" si="12"/>
        <v>499.54673423304376</v>
      </c>
    </row>
    <row r="450" spans="5:6" x14ac:dyDescent="0.45">
      <c r="E450" s="3">
        <f t="shared" si="13"/>
        <v>4.4699999999999491</v>
      </c>
      <c r="F450" s="4">
        <f t="shared" si="12"/>
        <v>499.71420820213399</v>
      </c>
    </row>
    <row r="451" spans="5:6" x14ac:dyDescent="0.45">
      <c r="E451" s="3">
        <f t="shared" si="13"/>
        <v>4.4799999999999489</v>
      </c>
      <c r="F451" s="4">
        <f t="shared" si="12"/>
        <v>499.88136472014696</v>
      </c>
    </row>
    <row r="452" spans="5:6" x14ac:dyDescent="0.45">
      <c r="E452" s="3">
        <f t="shared" si="13"/>
        <v>4.4899999999999487</v>
      </c>
      <c r="F452" s="4">
        <f t="shared" ref="F452:F515" si="14">$C$3*(1+E452/$C$5)^$C$4</f>
        <v>500.04820509383069</v>
      </c>
    </row>
    <row r="453" spans="5:6" x14ac:dyDescent="0.45">
      <c r="E453" s="3">
        <f t="shared" ref="E453:E516" si="15">E452+0.01</f>
        <v>4.4999999999999485</v>
      </c>
      <c r="F453" s="4">
        <f t="shared" si="14"/>
        <v>500.21473062166518</v>
      </c>
    </row>
    <row r="454" spans="5:6" x14ac:dyDescent="0.45">
      <c r="E454" s="3">
        <f t="shared" si="15"/>
        <v>4.5099999999999483</v>
      </c>
      <c r="F454" s="4">
        <f t="shared" si="14"/>
        <v>500.38094259393245</v>
      </c>
    </row>
    <row r="455" spans="5:6" x14ac:dyDescent="0.45">
      <c r="E455" s="3">
        <f t="shared" si="15"/>
        <v>4.5199999999999481</v>
      </c>
      <c r="F455" s="4">
        <f t="shared" si="14"/>
        <v>500.54684229278655</v>
      </c>
    </row>
    <row r="456" spans="5:6" x14ac:dyDescent="0.45">
      <c r="E456" s="3">
        <f t="shared" si="15"/>
        <v>4.5299999999999478</v>
      </c>
      <c r="F456" s="4">
        <f t="shared" si="14"/>
        <v>500.71243099232288</v>
      </c>
    </row>
    <row r="457" spans="5:6" x14ac:dyDescent="0.45">
      <c r="E457" s="3">
        <f t="shared" si="15"/>
        <v>4.5399999999999476</v>
      </c>
      <c r="F457" s="4">
        <f t="shared" si="14"/>
        <v>500.87770995864548</v>
      </c>
    </row>
    <row r="458" spans="5:6" x14ac:dyDescent="0.45">
      <c r="E458" s="3">
        <f t="shared" si="15"/>
        <v>4.5499999999999474</v>
      </c>
      <c r="F458" s="4">
        <f t="shared" si="14"/>
        <v>501.04268044993592</v>
      </c>
    </row>
    <row r="459" spans="5:6" x14ac:dyDescent="0.45">
      <c r="E459" s="3">
        <f t="shared" si="15"/>
        <v>4.5599999999999472</v>
      </c>
      <c r="F459" s="4">
        <f t="shared" si="14"/>
        <v>501.20734371651901</v>
      </c>
    </row>
    <row r="460" spans="5:6" x14ac:dyDescent="0.45">
      <c r="E460" s="3">
        <f t="shared" si="15"/>
        <v>4.569999999999947</v>
      </c>
      <c r="F460" s="4">
        <f t="shared" si="14"/>
        <v>501.37170100092953</v>
      </c>
    </row>
    <row r="461" spans="5:6" x14ac:dyDescent="0.45">
      <c r="E461" s="3">
        <f t="shared" si="15"/>
        <v>4.5799999999999468</v>
      </c>
      <c r="F461" s="4">
        <f t="shared" si="14"/>
        <v>501.53575353797743</v>
      </c>
    </row>
    <row r="462" spans="5:6" x14ac:dyDescent="0.45">
      <c r="E462" s="3">
        <f t="shared" si="15"/>
        <v>4.5899999999999466</v>
      </c>
      <c r="F462" s="4">
        <f t="shared" si="14"/>
        <v>501.69950255481251</v>
      </c>
    </row>
    <row r="463" spans="5:6" x14ac:dyDescent="0.45">
      <c r="E463" s="3">
        <f t="shared" si="15"/>
        <v>4.5999999999999464</v>
      </c>
      <c r="F463" s="4">
        <f t="shared" si="14"/>
        <v>501.86294927098885</v>
      </c>
    </row>
    <row r="464" spans="5:6" x14ac:dyDescent="0.45">
      <c r="E464" s="3">
        <f t="shared" si="15"/>
        <v>4.6099999999999461</v>
      </c>
      <c r="F464" s="4">
        <f t="shared" si="14"/>
        <v>502.02609489852773</v>
      </c>
    </row>
    <row r="465" spans="5:6" x14ac:dyDescent="0.45">
      <c r="E465" s="3">
        <f t="shared" si="15"/>
        <v>4.6199999999999459</v>
      </c>
      <c r="F465" s="4">
        <f t="shared" si="14"/>
        <v>502.18894064198054</v>
      </c>
    </row>
    <row r="466" spans="5:6" x14ac:dyDescent="0.45">
      <c r="E466" s="3">
        <f t="shared" si="15"/>
        <v>4.6299999999999457</v>
      </c>
      <c r="F466" s="4">
        <f t="shared" si="14"/>
        <v>502.35148769849093</v>
      </c>
    </row>
    <row r="467" spans="5:6" x14ac:dyDescent="0.45">
      <c r="E467" s="3">
        <f t="shared" si="15"/>
        <v>4.6399999999999455</v>
      </c>
      <c r="F467" s="4">
        <f t="shared" si="14"/>
        <v>502.51373725785601</v>
      </c>
    </row>
    <row r="468" spans="5:6" x14ac:dyDescent="0.45">
      <c r="E468" s="3">
        <f t="shared" si="15"/>
        <v>4.6499999999999453</v>
      </c>
      <c r="F468" s="4">
        <f t="shared" si="14"/>
        <v>502.67569050258726</v>
      </c>
    </row>
    <row r="469" spans="5:6" x14ac:dyDescent="0.45">
      <c r="E469" s="3">
        <f t="shared" si="15"/>
        <v>4.6599999999999451</v>
      </c>
      <c r="F469" s="4">
        <f t="shared" si="14"/>
        <v>502.83734860797074</v>
      </c>
    </row>
    <row r="470" spans="5:6" x14ac:dyDescent="0.45">
      <c r="E470" s="3">
        <f t="shared" si="15"/>
        <v>4.6699999999999449</v>
      </c>
      <c r="F470" s="4">
        <f t="shared" si="14"/>
        <v>502.99871274212632</v>
      </c>
    </row>
    <row r="471" spans="5:6" x14ac:dyDescent="0.45">
      <c r="E471" s="3">
        <f t="shared" si="15"/>
        <v>4.6799999999999446</v>
      </c>
      <c r="F471" s="4">
        <f t="shared" si="14"/>
        <v>503.15978406606695</v>
      </c>
    </row>
    <row r="472" spans="5:6" x14ac:dyDescent="0.45">
      <c r="E472" s="3">
        <f t="shared" si="15"/>
        <v>4.6899999999999444</v>
      </c>
      <c r="F472" s="4">
        <f t="shared" si="14"/>
        <v>503.32056373375667</v>
      </c>
    </row>
    <row r="473" spans="5:6" x14ac:dyDescent="0.45">
      <c r="E473" s="3">
        <f t="shared" si="15"/>
        <v>4.6999999999999442</v>
      </c>
      <c r="F473" s="4">
        <f t="shared" si="14"/>
        <v>503.48105289216829</v>
      </c>
    </row>
    <row r="474" spans="5:6" x14ac:dyDescent="0.45">
      <c r="E474" s="3">
        <f t="shared" si="15"/>
        <v>4.709999999999944</v>
      </c>
      <c r="F474" s="4">
        <f t="shared" si="14"/>
        <v>503.64125268134063</v>
      </c>
    </row>
    <row r="475" spans="5:6" x14ac:dyDescent="0.45">
      <c r="E475" s="3">
        <f t="shared" si="15"/>
        <v>4.7199999999999438</v>
      </c>
      <c r="F475" s="4">
        <f t="shared" si="14"/>
        <v>503.8011642344353</v>
      </c>
    </row>
    <row r="476" spans="5:6" x14ac:dyDescent="0.45">
      <c r="E476" s="3">
        <f t="shared" si="15"/>
        <v>4.7299999999999436</v>
      </c>
      <c r="F476" s="4">
        <f t="shared" si="14"/>
        <v>503.96078867779187</v>
      </c>
    </row>
    <row r="477" spans="5:6" x14ac:dyDescent="0.45">
      <c r="E477" s="3">
        <f t="shared" si="15"/>
        <v>4.7399999999999434</v>
      </c>
      <c r="F477" s="4">
        <f t="shared" si="14"/>
        <v>504.12012713098375</v>
      </c>
    </row>
    <row r="478" spans="5:6" x14ac:dyDescent="0.45">
      <c r="E478" s="3">
        <f t="shared" si="15"/>
        <v>4.7499999999999432</v>
      </c>
      <c r="F478" s="4">
        <f t="shared" si="14"/>
        <v>504.27918070687338</v>
      </c>
    </row>
    <row r="479" spans="5:6" x14ac:dyDescent="0.45">
      <c r="E479" s="3">
        <f t="shared" si="15"/>
        <v>4.7599999999999429</v>
      </c>
      <c r="F479" s="4">
        <f t="shared" si="14"/>
        <v>504.43795051166518</v>
      </c>
    </row>
    <row r="480" spans="5:6" x14ac:dyDescent="0.45">
      <c r="E480" s="3">
        <f t="shared" si="15"/>
        <v>4.7699999999999427</v>
      </c>
      <c r="F480" s="4">
        <f t="shared" si="14"/>
        <v>504.5964376449607</v>
      </c>
    </row>
    <row r="481" spans="5:6" x14ac:dyDescent="0.45">
      <c r="E481" s="3">
        <f t="shared" si="15"/>
        <v>4.7799999999999425</v>
      </c>
      <c r="F481" s="4">
        <f t="shared" si="14"/>
        <v>504.75464319981091</v>
      </c>
    </row>
    <row r="482" spans="5:6" x14ac:dyDescent="0.45">
      <c r="E482" s="3">
        <f t="shared" si="15"/>
        <v>4.7899999999999423</v>
      </c>
      <c r="F482" s="4">
        <f t="shared" si="14"/>
        <v>504.91256826276867</v>
      </c>
    </row>
    <row r="483" spans="5:6" x14ac:dyDescent="0.45">
      <c r="E483" s="3">
        <f t="shared" si="15"/>
        <v>4.7999999999999421</v>
      </c>
      <c r="F483" s="4">
        <f t="shared" si="14"/>
        <v>505.07021391394176</v>
      </c>
    </row>
    <row r="484" spans="5:6" x14ac:dyDescent="0.45">
      <c r="E484" s="3">
        <f t="shared" si="15"/>
        <v>4.8099999999999419</v>
      </c>
      <c r="F484" s="4">
        <f t="shared" si="14"/>
        <v>505.2275812270434</v>
      </c>
    </row>
    <row r="485" spans="5:6" x14ac:dyDescent="0.45">
      <c r="E485" s="3">
        <f t="shared" si="15"/>
        <v>4.8199999999999417</v>
      </c>
      <c r="F485" s="4">
        <f t="shared" si="14"/>
        <v>505.3846712694434</v>
      </c>
    </row>
    <row r="486" spans="5:6" x14ac:dyDescent="0.45">
      <c r="E486" s="3">
        <f t="shared" si="15"/>
        <v>4.8299999999999415</v>
      </c>
      <c r="F486" s="4">
        <f t="shared" si="14"/>
        <v>505.54148510221967</v>
      </c>
    </row>
    <row r="487" spans="5:6" x14ac:dyDescent="0.45">
      <c r="E487" s="3">
        <f t="shared" si="15"/>
        <v>4.8399999999999412</v>
      </c>
      <c r="F487" s="4">
        <f t="shared" si="14"/>
        <v>505.69802378020688</v>
      </c>
    </row>
    <row r="488" spans="5:6" x14ac:dyDescent="0.45">
      <c r="E488" s="3">
        <f t="shared" si="15"/>
        <v>4.849999999999941</v>
      </c>
      <c r="F488" s="4">
        <f t="shared" si="14"/>
        <v>505.85428835204692</v>
      </c>
    </row>
    <row r="489" spans="5:6" x14ac:dyDescent="0.45">
      <c r="E489" s="3">
        <f t="shared" si="15"/>
        <v>4.8599999999999408</v>
      </c>
      <c r="F489" s="4">
        <f t="shared" si="14"/>
        <v>506.01027986023769</v>
      </c>
    </row>
    <row r="490" spans="5:6" x14ac:dyDescent="0.45">
      <c r="E490" s="3">
        <f t="shared" si="15"/>
        <v>4.8699999999999406</v>
      </c>
      <c r="F490" s="4">
        <f t="shared" si="14"/>
        <v>506.16599934118113</v>
      </c>
    </row>
    <row r="491" spans="5:6" x14ac:dyDescent="0.45">
      <c r="E491" s="3">
        <f t="shared" si="15"/>
        <v>4.8799999999999404</v>
      </c>
      <c r="F491" s="4">
        <f t="shared" si="14"/>
        <v>506.32144782523187</v>
      </c>
    </row>
    <row r="492" spans="5:6" x14ac:dyDescent="0.45">
      <c r="E492" s="3">
        <f t="shared" si="15"/>
        <v>4.8899999999999402</v>
      </c>
      <c r="F492" s="4">
        <f t="shared" si="14"/>
        <v>506.47662633674491</v>
      </c>
    </row>
    <row r="493" spans="5:6" x14ac:dyDescent="0.45">
      <c r="E493" s="3">
        <f t="shared" si="15"/>
        <v>4.89999999999994</v>
      </c>
      <c r="F493" s="4">
        <f t="shared" si="14"/>
        <v>506.63153589412195</v>
      </c>
    </row>
    <row r="494" spans="5:6" x14ac:dyDescent="0.45">
      <c r="E494" s="3">
        <f t="shared" si="15"/>
        <v>4.9099999999999397</v>
      </c>
      <c r="F494" s="4">
        <f t="shared" si="14"/>
        <v>506.78617750985887</v>
      </c>
    </row>
    <row r="495" spans="5:6" x14ac:dyDescent="0.45">
      <c r="E495" s="3">
        <f t="shared" si="15"/>
        <v>4.9199999999999395</v>
      </c>
      <c r="F495" s="4">
        <f t="shared" si="14"/>
        <v>506.94055219059135</v>
      </c>
    </row>
    <row r="496" spans="5:6" x14ac:dyDescent="0.45">
      <c r="E496" s="3">
        <f t="shared" si="15"/>
        <v>4.9299999999999393</v>
      </c>
      <c r="F496" s="4">
        <f t="shared" si="14"/>
        <v>507.09466093714087</v>
      </c>
    </row>
    <row r="497" spans="5:6" x14ac:dyDescent="0.45">
      <c r="E497" s="3">
        <f t="shared" si="15"/>
        <v>4.9399999999999391</v>
      </c>
      <c r="F497" s="4">
        <f t="shared" si="14"/>
        <v>507.24850474455963</v>
      </c>
    </row>
    <row r="498" spans="5:6" x14ac:dyDescent="0.45">
      <c r="E498" s="3">
        <f t="shared" si="15"/>
        <v>4.9499999999999389</v>
      </c>
      <c r="F498" s="4">
        <f t="shared" si="14"/>
        <v>507.40208460217622</v>
      </c>
    </row>
    <row r="499" spans="5:6" x14ac:dyDescent="0.45">
      <c r="E499" s="3">
        <f t="shared" si="15"/>
        <v>4.9599999999999387</v>
      </c>
      <c r="F499" s="4">
        <f t="shared" si="14"/>
        <v>507.55540149363878</v>
      </c>
    </row>
    <row r="500" spans="5:6" x14ac:dyDescent="0.45">
      <c r="E500" s="3">
        <f t="shared" si="15"/>
        <v>4.9699999999999385</v>
      </c>
      <c r="F500" s="4">
        <f t="shared" si="14"/>
        <v>507.70845639695995</v>
      </c>
    </row>
    <row r="501" spans="5:6" x14ac:dyDescent="0.45">
      <c r="E501" s="3">
        <f t="shared" si="15"/>
        <v>4.9799999999999383</v>
      </c>
      <c r="F501" s="4">
        <f t="shared" si="14"/>
        <v>507.86125028456001</v>
      </c>
    </row>
    <row r="502" spans="5:6" x14ac:dyDescent="0.45">
      <c r="E502" s="3">
        <f t="shared" si="15"/>
        <v>4.989999999999938</v>
      </c>
      <c r="F502" s="4">
        <f t="shared" si="14"/>
        <v>508.0137841233103</v>
      </c>
    </row>
    <row r="503" spans="5:6" x14ac:dyDescent="0.45">
      <c r="E503" s="3">
        <f t="shared" si="15"/>
        <v>4.9999999999999378</v>
      </c>
      <c r="F503" s="4">
        <f t="shared" si="14"/>
        <v>508.16605887457536</v>
      </c>
    </row>
    <row r="504" spans="5:6" x14ac:dyDescent="0.45">
      <c r="E504" s="3">
        <f t="shared" si="15"/>
        <v>5.0099999999999376</v>
      </c>
      <c r="F504" s="4">
        <f t="shared" si="14"/>
        <v>508.3180754942556</v>
      </c>
    </row>
    <row r="505" spans="5:6" x14ac:dyDescent="0.45">
      <c r="E505" s="3">
        <f t="shared" si="15"/>
        <v>5.0199999999999374</v>
      </c>
      <c r="F505" s="4">
        <f t="shared" si="14"/>
        <v>508.4698349328292</v>
      </c>
    </row>
    <row r="506" spans="5:6" x14ac:dyDescent="0.45">
      <c r="E506" s="3">
        <f t="shared" si="15"/>
        <v>5.0299999999999372</v>
      </c>
      <c r="F506" s="4">
        <f t="shared" si="14"/>
        <v>508.62133813539305</v>
      </c>
    </row>
    <row r="507" spans="5:6" x14ac:dyDescent="0.45">
      <c r="E507" s="3">
        <f t="shared" si="15"/>
        <v>5.039999999999937</v>
      </c>
      <c r="F507" s="4">
        <f t="shared" si="14"/>
        <v>508.77258604170487</v>
      </c>
    </row>
    <row r="508" spans="5:6" x14ac:dyDescent="0.45">
      <c r="E508" s="3">
        <f t="shared" si="15"/>
        <v>5.0499999999999368</v>
      </c>
      <c r="F508" s="4">
        <f t="shared" si="14"/>
        <v>508.9235795862229</v>
      </c>
    </row>
    <row r="509" spans="5:6" x14ac:dyDescent="0.45">
      <c r="E509" s="3">
        <f t="shared" si="15"/>
        <v>5.0599999999999365</v>
      </c>
      <c r="F509" s="4">
        <f t="shared" si="14"/>
        <v>509.07431969814638</v>
      </c>
    </row>
    <row r="510" spans="5:6" x14ac:dyDescent="0.45">
      <c r="E510" s="3">
        <f t="shared" si="15"/>
        <v>5.0699999999999363</v>
      </c>
      <c r="F510" s="4">
        <f t="shared" si="14"/>
        <v>509.22480730145583</v>
      </c>
    </row>
    <row r="511" spans="5:6" x14ac:dyDescent="0.45">
      <c r="E511" s="3">
        <f t="shared" si="15"/>
        <v>5.0799999999999361</v>
      </c>
      <c r="F511" s="4">
        <f t="shared" si="14"/>
        <v>509.37504331495251</v>
      </c>
    </row>
    <row r="512" spans="5:6" x14ac:dyDescent="0.45">
      <c r="E512" s="3">
        <f t="shared" si="15"/>
        <v>5.0899999999999359</v>
      </c>
      <c r="F512" s="4">
        <f t="shared" si="14"/>
        <v>509.52502865229707</v>
      </c>
    </row>
    <row r="513" spans="5:6" x14ac:dyDescent="0.45">
      <c r="E513" s="3">
        <f t="shared" si="15"/>
        <v>5.0999999999999357</v>
      </c>
      <c r="F513" s="4">
        <f t="shared" si="14"/>
        <v>509.67476422204879</v>
      </c>
    </row>
    <row r="514" spans="5:6" x14ac:dyDescent="0.45">
      <c r="E514" s="3">
        <f t="shared" si="15"/>
        <v>5.1099999999999355</v>
      </c>
      <c r="F514" s="4">
        <f t="shared" si="14"/>
        <v>509.82425092770393</v>
      </c>
    </row>
    <row r="515" spans="5:6" x14ac:dyDescent="0.45">
      <c r="E515" s="3">
        <f t="shared" si="15"/>
        <v>5.1199999999999353</v>
      </c>
      <c r="F515" s="4">
        <f t="shared" si="14"/>
        <v>509.97348966773342</v>
      </c>
    </row>
    <row r="516" spans="5:6" x14ac:dyDescent="0.45">
      <c r="E516" s="3">
        <f t="shared" si="15"/>
        <v>5.1299999999999351</v>
      </c>
      <c r="F516" s="4">
        <f t="shared" ref="F516:F559" si="16">$C$3*(1+E516/$C$5)^$C$4</f>
        <v>510.1224813356211</v>
      </c>
    </row>
    <row r="517" spans="5:6" x14ac:dyDescent="0.45">
      <c r="E517" s="3">
        <f t="shared" ref="E517:E559" si="17">E516+0.01</f>
        <v>5.1399999999999348</v>
      </c>
      <c r="F517" s="4">
        <f t="shared" si="16"/>
        <v>510.27122681990068</v>
      </c>
    </row>
    <row r="518" spans="5:6" x14ac:dyDescent="0.45">
      <c r="E518" s="3">
        <f t="shared" si="17"/>
        <v>5.1499999999999346</v>
      </c>
      <c r="F518" s="4">
        <f t="shared" si="16"/>
        <v>510.41972700419268</v>
      </c>
    </row>
    <row r="519" spans="5:6" x14ac:dyDescent="0.45">
      <c r="E519" s="3">
        <f t="shared" si="17"/>
        <v>5.1599999999999344</v>
      </c>
      <c r="F519" s="4">
        <f t="shared" si="16"/>
        <v>510.56798276724129</v>
      </c>
    </row>
    <row r="520" spans="5:6" x14ac:dyDescent="0.45">
      <c r="E520" s="3">
        <f t="shared" si="17"/>
        <v>5.1699999999999342</v>
      </c>
      <c r="F520" s="4">
        <f t="shared" si="16"/>
        <v>510.71599498295041</v>
      </c>
    </row>
    <row r="521" spans="5:6" x14ac:dyDescent="0.45">
      <c r="E521" s="3">
        <f t="shared" si="17"/>
        <v>5.179999999999934</v>
      </c>
      <c r="F521" s="4">
        <f t="shared" si="16"/>
        <v>510.86376452041986</v>
      </c>
    </row>
    <row r="522" spans="5:6" x14ac:dyDescent="0.45">
      <c r="E522" s="3">
        <f t="shared" si="17"/>
        <v>5.1899999999999338</v>
      </c>
      <c r="F522" s="4">
        <f t="shared" si="16"/>
        <v>511.01129224398079</v>
      </c>
    </row>
    <row r="523" spans="5:6" x14ac:dyDescent="0.45">
      <c r="E523" s="3">
        <f t="shared" si="17"/>
        <v>5.1999999999999336</v>
      </c>
      <c r="F523" s="4">
        <f t="shared" si="16"/>
        <v>511.15857901323096</v>
      </c>
    </row>
    <row r="524" spans="5:6" x14ac:dyDescent="0.45">
      <c r="E524" s="3">
        <f t="shared" si="17"/>
        <v>5.2099999999999334</v>
      </c>
      <c r="F524" s="4">
        <f t="shared" si="16"/>
        <v>511.30562568306976</v>
      </c>
    </row>
    <row r="525" spans="5:6" x14ac:dyDescent="0.45">
      <c r="E525" s="3">
        <f t="shared" si="17"/>
        <v>5.2199999999999331</v>
      </c>
      <c r="F525" s="4">
        <f t="shared" si="16"/>
        <v>511.45243310373274</v>
      </c>
    </row>
    <row r="526" spans="5:6" x14ac:dyDescent="0.45">
      <c r="E526" s="3">
        <f t="shared" si="17"/>
        <v>5.2299999999999329</v>
      </c>
      <c r="F526" s="4">
        <f t="shared" si="16"/>
        <v>511.59900212082636</v>
      </c>
    </row>
    <row r="527" spans="5:6" x14ac:dyDescent="0.45">
      <c r="E527" s="3">
        <f t="shared" si="17"/>
        <v>5.2399999999999327</v>
      </c>
      <c r="F527" s="4">
        <f t="shared" si="16"/>
        <v>511.74533357536109</v>
      </c>
    </row>
    <row r="528" spans="5:6" x14ac:dyDescent="0.45">
      <c r="E528" s="3">
        <f t="shared" si="17"/>
        <v>5.2499999999999325</v>
      </c>
      <c r="F528" s="4">
        <f t="shared" si="16"/>
        <v>511.89142830378591</v>
      </c>
    </row>
    <row r="529" spans="5:6" x14ac:dyDescent="0.45">
      <c r="E529" s="3">
        <f t="shared" si="17"/>
        <v>5.2599999999999323</v>
      </c>
      <c r="F529" s="4">
        <f t="shared" si="16"/>
        <v>512.03728713802116</v>
      </c>
    </row>
    <row r="530" spans="5:6" x14ac:dyDescent="0.45">
      <c r="E530" s="3">
        <f t="shared" si="17"/>
        <v>5.2699999999999321</v>
      </c>
      <c r="F530" s="4">
        <f t="shared" si="16"/>
        <v>512.18291090549246</v>
      </c>
    </row>
    <row r="531" spans="5:6" x14ac:dyDescent="0.45">
      <c r="E531" s="3">
        <f t="shared" si="17"/>
        <v>5.2799999999999319</v>
      </c>
      <c r="F531" s="4">
        <f t="shared" si="16"/>
        <v>512.32830042916157</v>
      </c>
    </row>
    <row r="532" spans="5:6" x14ac:dyDescent="0.45">
      <c r="E532" s="3">
        <f t="shared" si="17"/>
        <v>5.2899999999999316</v>
      </c>
      <c r="F532" s="4">
        <f t="shared" si="16"/>
        <v>512.4734565275611</v>
      </c>
    </row>
    <row r="533" spans="5:6" x14ac:dyDescent="0.45">
      <c r="E533" s="3">
        <f t="shared" si="17"/>
        <v>5.2999999999999314</v>
      </c>
      <c r="F533" s="4">
        <f t="shared" si="16"/>
        <v>512.61838001482545</v>
      </c>
    </row>
    <row r="534" spans="5:6" x14ac:dyDescent="0.45">
      <c r="E534" s="3">
        <f t="shared" si="17"/>
        <v>5.3099999999999312</v>
      </c>
      <c r="F534" s="4">
        <f t="shared" si="16"/>
        <v>512.76307170072255</v>
      </c>
    </row>
    <row r="535" spans="5:6" x14ac:dyDescent="0.45">
      <c r="E535" s="3">
        <f t="shared" si="17"/>
        <v>5.319999999999931</v>
      </c>
      <c r="F535" s="4">
        <f t="shared" si="16"/>
        <v>512.9075323906859</v>
      </c>
    </row>
    <row r="536" spans="5:6" x14ac:dyDescent="0.45">
      <c r="E536" s="3">
        <f t="shared" si="17"/>
        <v>5.3299999999999308</v>
      </c>
      <c r="F536" s="4">
        <f t="shared" si="16"/>
        <v>513.05176288584585</v>
      </c>
    </row>
    <row r="537" spans="5:6" x14ac:dyDescent="0.45">
      <c r="E537" s="3">
        <f t="shared" si="17"/>
        <v>5.3399999999999306</v>
      </c>
      <c r="F537" s="4">
        <f t="shared" si="16"/>
        <v>513.19576398306015</v>
      </c>
    </row>
    <row r="538" spans="5:6" x14ac:dyDescent="0.45">
      <c r="E538" s="3">
        <f t="shared" si="17"/>
        <v>5.3499999999999304</v>
      </c>
      <c r="F538" s="4">
        <f t="shared" si="16"/>
        <v>513.33953647494536</v>
      </c>
    </row>
    <row r="539" spans="5:6" x14ac:dyDescent="0.45">
      <c r="E539" s="3">
        <f t="shared" si="17"/>
        <v>5.3599999999999302</v>
      </c>
      <c r="F539" s="4">
        <f t="shared" si="16"/>
        <v>513.48308114990641</v>
      </c>
    </row>
    <row r="540" spans="5:6" x14ac:dyDescent="0.45">
      <c r="E540" s="3">
        <f t="shared" si="17"/>
        <v>5.3699999999999299</v>
      </c>
      <c r="F540" s="4">
        <f t="shared" si="16"/>
        <v>513.62639879216783</v>
      </c>
    </row>
    <row r="541" spans="5:6" x14ac:dyDescent="0.45">
      <c r="E541" s="3">
        <f t="shared" si="17"/>
        <v>5.3799999999999297</v>
      </c>
      <c r="F541" s="4">
        <f t="shared" si="16"/>
        <v>513.76949018180267</v>
      </c>
    </row>
    <row r="542" spans="5:6" x14ac:dyDescent="0.45">
      <c r="E542" s="3">
        <f t="shared" si="17"/>
        <v>5.3899999999999295</v>
      </c>
      <c r="F542" s="4">
        <f t="shared" si="16"/>
        <v>513.91235609476257</v>
      </c>
    </row>
    <row r="543" spans="5:6" x14ac:dyDescent="0.45">
      <c r="E543" s="3">
        <f t="shared" si="17"/>
        <v>5.3999999999999293</v>
      </c>
      <c r="F543" s="4">
        <f t="shared" si="16"/>
        <v>514.05499730290728</v>
      </c>
    </row>
    <row r="544" spans="5:6" x14ac:dyDescent="0.45">
      <c r="E544" s="3">
        <f t="shared" si="17"/>
        <v>5.4099999999999291</v>
      </c>
      <c r="F544" s="4">
        <f t="shared" si="16"/>
        <v>514.19741457403325</v>
      </c>
    </row>
    <row r="545" spans="5:6" x14ac:dyDescent="0.45">
      <c r="E545" s="3">
        <f t="shared" si="17"/>
        <v>5.4199999999999289</v>
      </c>
      <c r="F545" s="4">
        <f t="shared" si="16"/>
        <v>514.33960867190308</v>
      </c>
    </row>
    <row r="546" spans="5:6" x14ac:dyDescent="0.45">
      <c r="E546" s="3">
        <f t="shared" si="17"/>
        <v>5.4299999999999287</v>
      </c>
      <c r="F546" s="4">
        <f t="shared" si="16"/>
        <v>514.48158035627375</v>
      </c>
    </row>
    <row r="547" spans="5:6" x14ac:dyDescent="0.45">
      <c r="E547" s="3">
        <f t="shared" si="17"/>
        <v>5.4399999999999284</v>
      </c>
      <c r="F547" s="4">
        <f t="shared" si="16"/>
        <v>514.62333038292491</v>
      </c>
    </row>
    <row r="548" spans="5:6" x14ac:dyDescent="0.45">
      <c r="E548" s="3">
        <f t="shared" si="17"/>
        <v>5.4499999999999282</v>
      </c>
      <c r="F548" s="4">
        <f t="shared" si="16"/>
        <v>514.76485950368692</v>
      </c>
    </row>
    <row r="549" spans="5:6" x14ac:dyDescent="0.45">
      <c r="E549" s="3">
        <f t="shared" si="17"/>
        <v>5.459999999999928</v>
      </c>
      <c r="F549" s="4">
        <f t="shared" si="16"/>
        <v>514.90616846646924</v>
      </c>
    </row>
    <row r="550" spans="5:6" x14ac:dyDescent="0.45">
      <c r="E550" s="3">
        <f t="shared" si="17"/>
        <v>5.4699999999999278</v>
      </c>
      <c r="F550" s="4">
        <f t="shared" si="16"/>
        <v>515.04725801528707</v>
      </c>
    </row>
    <row r="551" spans="5:6" x14ac:dyDescent="0.45">
      <c r="E551" s="3">
        <f t="shared" si="17"/>
        <v>5.4799999999999276</v>
      </c>
      <c r="F551" s="4">
        <f t="shared" si="16"/>
        <v>515.18812889028948</v>
      </c>
    </row>
    <row r="552" spans="5:6" x14ac:dyDescent="0.45">
      <c r="E552" s="3">
        <f t="shared" si="17"/>
        <v>5.4899999999999274</v>
      </c>
      <c r="F552" s="4">
        <f t="shared" si="16"/>
        <v>515.32878182778609</v>
      </c>
    </row>
    <row r="553" spans="5:6" x14ac:dyDescent="0.45">
      <c r="E553" s="3">
        <f t="shared" si="17"/>
        <v>5.4999999999999272</v>
      </c>
      <c r="F553" s="4">
        <f t="shared" si="16"/>
        <v>515.46921756027405</v>
      </c>
    </row>
    <row r="554" spans="5:6" x14ac:dyDescent="0.45">
      <c r="E554" s="3">
        <f t="shared" si="17"/>
        <v>5.509999999999927</v>
      </c>
      <c r="F554" s="4">
        <f t="shared" si="16"/>
        <v>515.60943681646461</v>
      </c>
    </row>
    <row r="555" spans="5:6" x14ac:dyDescent="0.45">
      <c r="E555" s="3">
        <f t="shared" si="17"/>
        <v>5.5199999999999267</v>
      </c>
      <c r="F555" s="4">
        <f t="shared" si="16"/>
        <v>515.74944032130963</v>
      </c>
    </row>
    <row r="556" spans="5:6" x14ac:dyDescent="0.45">
      <c r="E556" s="3">
        <f t="shared" si="17"/>
        <v>5.5299999999999265</v>
      </c>
      <c r="F556" s="4">
        <f t="shared" si="16"/>
        <v>515.88922879602762</v>
      </c>
    </row>
    <row r="557" spans="5:6" x14ac:dyDescent="0.45">
      <c r="E557" s="3">
        <f t="shared" si="17"/>
        <v>5.5399999999999263</v>
      </c>
      <c r="F557" s="4">
        <f t="shared" si="16"/>
        <v>516.02880295812975</v>
      </c>
    </row>
    <row r="558" spans="5:6" x14ac:dyDescent="0.45">
      <c r="E558" s="3">
        <f t="shared" si="17"/>
        <v>5.5499999999999261</v>
      </c>
      <c r="F558" s="4">
        <f t="shared" si="16"/>
        <v>516.16816352144519</v>
      </c>
    </row>
    <row r="559" spans="5:6" x14ac:dyDescent="0.45">
      <c r="E559" s="3">
        <f t="shared" si="17"/>
        <v>5.5599999999999259</v>
      </c>
      <c r="F559" s="4">
        <f t="shared" si="16"/>
        <v>516.30731119614723</v>
      </c>
    </row>
    <row r="560" spans="5:6" x14ac:dyDescent="0.45">
      <c r="E560" s="4"/>
      <c r="F560" s="4"/>
    </row>
    <row r="561" spans="5:6" x14ac:dyDescent="0.45">
      <c r="E561" s="4"/>
      <c r="F561" s="4"/>
    </row>
    <row r="562" spans="5:6" x14ac:dyDescent="0.45">
      <c r="E562" s="4"/>
      <c r="F562" s="4"/>
    </row>
    <row r="563" spans="5:6" x14ac:dyDescent="0.45">
      <c r="E563" s="4"/>
      <c r="F563" s="4"/>
    </row>
    <row r="564" spans="5:6" x14ac:dyDescent="0.45">
      <c r="E564" s="4"/>
      <c r="F564" s="4"/>
    </row>
    <row r="565" spans="5:6" x14ac:dyDescent="0.45">
      <c r="E565" s="4"/>
      <c r="F565" s="4"/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土山　雄飛</dc:creator>
  <cp:lastModifiedBy>土山 土山</cp:lastModifiedBy>
  <dcterms:created xsi:type="dcterms:W3CDTF">2023-12-19T06:50:30Z</dcterms:created>
  <dcterms:modified xsi:type="dcterms:W3CDTF">2025-03-31T15:23:07Z</dcterms:modified>
</cp:coreProperties>
</file>