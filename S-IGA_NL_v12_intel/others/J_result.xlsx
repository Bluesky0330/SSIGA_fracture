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7.xml" ContentType="application/vnd.openxmlformats-officedocument.drawing+xml"/>
  <Override PartName="/xl/charts/chart3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8.xml" ContentType="application/vnd.openxmlformats-officedocument.drawing+xml"/>
  <Override PartName="/xl/charts/chart3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4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9.xml" ContentType="application/vnd.openxmlformats-officedocument.drawing+xml"/>
  <Override PartName="/xl/charts/chart4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10_intel\"/>
    </mc:Choice>
  </mc:AlternateContent>
  <xr:revisionPtr revIDLastSave="0" documentId="13_ncr:1_{B42BCBC3-BCD8-49F1-898D-805C70249850}" xr6:coauthVersionLast="47" xr6:coauthVersionMax="47" xr10:uidLastSave="{00000000-0000-0000-0000-000000000000}"/>
  <bookViews>
    <workbookView xWindow="-108" yWindow="-108" windowWidth="23256" windowHeight="12456" firstSheet="4" activeTab="8" xr2:uid="{A27F8CE3-2FFB-49CF-B5D4-99F800179056}"/>
  </bookViews>
  <sheets>
    <sheet name="補間なし線形IGA" sheetId="1" r:id="rId1"/>
    <sheet name="補間あり線形IGA" sheetId="2" r:id="rId2"/>
    <sheet name="Sheet1" sheetId="3" r:id="rId3"/>
    <sheet name="nonlinear, t16, 1p" sheetId="4" r:id="rId4"/>
    <sheet name="nonlinear, t16, 2p" sheetId="5" r:id="rId5"/>
    <sheet name="100step" sheetId="6" r:id="rId6"/>
    <sheet name="final" sheetId="7" r:id="rId7"/>
    <sheet name="final2" sheetId="8" r:id="rId8"/>
    <sheet name="final3" sheetId="9" r:id="rId9"/>
  </sheets>
  <definedNames>
    <definedName name="_xlnm._FilterDatabase" localSheetId="2" hidden="1">Sheet1!$AR$2:$BD$33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1" i="9" l="1"/>
  <c r="AM61" i="9"/>
  <c r="AN60" i="9"/>
  <c r="AM60" i="9"/>
  <c r="AN59" i="9"/>
  <c r="AM59" i="9"/>
  <c r="AN58" i="9"/>
  <c r="AM58" i="9"/>
  <c r="AN57" i="9"/>
  <c r="AM57" i="9"/>
  <c r="AN56" i="9"/>
  <c r="AM56" i="9"/>
  <c r="AN55" i="9"/>
  <c r="AM55" i="9"/>
  <c r="AN54" i="9"/>
  <c r="AM54" i="9"/>
  <c r="AN53" i="9"/>
  <c r="AM53" i="9"/>
  <c r="AN52" i="9"/>
  <c r="AM52" i="9"/>
  <c r="AN51" i="9"/>
  <c r="AM51" i="9"/>
  <c r="M51" i="9"/>
  <c r="L51" i="9"/>
  <c r="AN50" i="9"/>
  <c r="AM50" i="9"/>
  <c r="M50" i="9"/>
  <c r="L50" i="9"/>
  <c r="AN49" i="9"/>
  <c r="AM49" i="9"/>
  <c r="M49" i="9"/>
  <c r="L49" i="9"/>
  <c r="AN48" i="9"/>
  <c r="AM48" i="9"/>
  <c r="M48" i="9"/>
  <c r="L48" i="9"/>
  <c r="AN47" i="9"/>
  <c r="AM47" i="9"/>
  <c r="M47" i="9"/>
  <c r="L47" i="9"/>
  <c r="AN46" i="9"/>
  <c r="AM46" i="9"/>
  <c r="M46" i="9"/>
  <c r="L46" i="9"/>
  <c r="AN45" i="9"/>
  <c r="AM45" i="9"/>
  <c r="AG45" i="9"/>
  <c r="AF45" i="9"/>
  <c r="M45" i="9"/>
  <c r="L45" i="9"/>
  <c r="AN44" i="9"/>
  <c r="AM44" i="9"/>
  <c r="AG44" i="9"/>
  <c r="AF44" i="9"/>
  <c r="M44" i="9"/>
  <c r="L44" i="9"/>
  <c r="AN43" i="9"/>
  <c r="AM43" i="9"/>
  <c r="AG43" i="9"/>
  <c r="AF43" i="9"/>
  <c r="M43" i="9"/>
  <c r="L43" i="9"/>
  <c r="AN42" i="9"/>
  <c r="AM42" i="9"/>
  <c r="AG42" i="9"/>
  <c r="AF42" i="9"/>
  <c r="M42" i="9"/>
  <c r="L42" i="9"/>
  <c r="AN41" i="9"/>
  <c r="AM41" i="9"/>
  <c r="AG41" i="9"/>
  <c r="AF41" i="9"/>
  <c r="M41" i="9"/>
  <c r="L41" i="9"/>
  <c r="AN40" i="9"/>
  <c r="AM40" i="9"/>
  <c r="AG40" i="9"/>
  <c r="AF40" i="9"/>
  <c r="M40" i="9"/>
  <c r="L40" i="9"/>
  <c r="AN39" i="9"/>
  <c r="AM39" i="9"/>
  <c r="AG39" i="9"/>
  <c r="AF39" i="9"/>
  <c r="M39" i="9"/>
  <c r="L39" i="9"/>
  <c r="AN38" i="9"/>
  <c r="AM38" i="9"/>
  <c r="AG38" i="9"/>
  <c r="AF38" i="9"/>
  <c r="M38" i="9"/>
  <c r="L38" i="9"/>
  <c r="AN37" i="9"/>
  <c r="AM37" i="9"/>
  <c r="AG37" i="9"/>
  <c r="AF37" i="9"/>
  <c r="M37" i="9"/>
  <c r="L37" i="9"/>
  <c r="AN36" i="9"/>
  <c r="AM36" i="9"/>
  <c r="AG36" i="9"/>
  <c r="AF36" i="9"/>
  <c r="M36" i="9"/>
  <c r="L36" i="9"/>
  <c r="AN35" i="9"/>
  <c r="AM35" i="9"/>
  <c r="AG35" i="9"/>
  <c r="AF35" i="9"/>
  <c r="AN34" i="9"/>
  <c r="AM34" i="9"/>
  <c r="AG34" i="9"/>
  <c r="AF34" i="9"/>
  <c r="M34" i="9"/>
  <c r="L34" i="9"/>
  <c r="AN33" i="9"/>
  <c r="AM33" i="9"/>
  <c r="AG33" i="9"/>
  <c r="AF33" i="9"/>
  <c r="M33" i="9"/>
  <c r="L33" i="9"/>
  <c r="AN32" i="9"/>
  <c r="AM32" i="9"/>
  <c r="AG32" i="9"/>
  <c r="AF32" i="9"/>
  <c r="M32" i="9"/>
  <c r="L32" i="9"/>
  <c r="AN31" i="9"/>
  <c r="AM31" i="9"/>
  <c r="AG31" i="9"/>
  <c r="AF31" i="9"/>
  <c r="M31" i="9"/>
  <c r="L31" i="9"/>
  <c r="AN30" i="9"/>
  <c r="AM30" i="9"/>
  <c r="AG30" i="9"/>
  <c r="AF30" i="9"/>
  <c r="M30" i="9"/>
  <c r="L30" i="9"/>
  <c r="AN29" i="9"/>
  <c r="AM29" i="9"/>
  <c r="AG29" i="9"/>
  <c r="AF29" i="9"/>
  <c r="M29" i="9"/>
  <c r="L29" i="9"/>
  <c r="AN28" i="9"/>
  <c r="AM28" i="9"/>
  <c r="AG28" i="9"/>
  <c r="AF28" i="9"/>
  <c r="M28" i="9"/>
  <c r="L28" i="9"/>
  <c r="AN27" i="9"/>
  <c r="AM27" i="9"/>
  <c r="AG27" i="9"/>
  <c r="AF27" i="9"/>
  <c r="M27" i="9"/>
  <c r="L27" i="9"/>
  <c r="AN26" i="9"/>
  <c r="AM26" i="9"/>
  <c r="AG26" i="9"/>
  <c r="AF26" i="9"/>
  <c r="M26" i="9"/>
  <c r="L26" i="9"/>
  <c r="AN25" i="9"/>
  <c r="AM25" i="9"/>
  <c r="AG25" i="9"/>
  <c r="AF25" i="9"/>
  <c r="M25" i="9"/>
  <c r="L25" i="9"/>
  <c r="AN24" i="9"/>
  <c r="AM24" i="9"/>
  <c r="AG24" i="9"/>
  <c r="AF24" i="9"/>
  <c r="M24" i="9"/>
  <c r="L24" i="9"/>
  <c r="AN23" i="9"/>
  <c r="AM23" i="9"/>
  <c r="AG23" i="9"/>
  <c r="AF23" i="9"/>
  <c r="M23" i="9"/>
  <c r="L23" i="9"/>
  <c r="AN22" i="9"/>
  <c r="AM22" i="9"/>
  <c r="AG22" i="9"/>
  <c r="AF22" i="9"/>
  <c r="M22" i="9"/>
  <c r="L22" i="9"/>
  <c r="AN21" i="9"/>
  <c r="AM21" i="9"/>
  <c r="AG21" i="9"/>
  <c r="AF21" i="9"/>
  <c r="M21" i="9"/>
  <c r="L21" i="9"/>
  <c r="AN20" i="9"/>
  <c r="AM20" i="9"/>
  <c r="AG20" i="9"/>
  <c r="AF20" i="9"/>
  <c r="M20" i="9"/>
  <c r="L20" i="9"/>
  <c r="AN19" i="9"/>
  <c r="AM19" i="9"/>
  <c r="AG19" i="9"/>
  <c r="AF19" i="9"/>
  <c r="M19" i="9"/>
  <c r="L19" i="9"/>
  <c r="AN18" i="9"/>
  <c r="AM18" i="9"/>
  <c r="AG18" i="9"/>
  <c r="AF18" i="9"/>
  <c r="AN17" i="9"/>
  <c r="AM17" i="9"/>
  <c r="AG17" i="9"/>
  <c r="AF17" i="9"/>
  <c r="M17" i="9"/>
  <c r="L17" i="9"/>
  <c r="AN16" i="9"/>
  <c r="AM16" i="9"/>
  <c r="AG16" i="9"/>
  <c r="AF16" i="9"/>
  <c r="M16" i="9"/>
  <c r="L16" i="9"/>
  <c r="AN15" i="9"/>
  <c r="AM15" i="9"/>
  <c r="AG15" i="9"/>
  <c r="AF15" i="9"/>
  <c r="M15" i="9"/>
  <c r="L15" i="9"/>
  <c r="AN14" i="9"/>
  <c r="AM14" i="9"/>
  <c r="AG14" i="9"/>
  <c r="AF14" i="9"/>
  <c r="M14" i="9"/>
  <c r="L14" i="9"/>
  <c r="AN13" i="9"/>
  <c r="AM13" i="9"/>
  <c r="AG13" i="9"/>
  <c r="AF13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4" i="9"/>
  <c r="L4" i="9"/>
  <c r="M3" i="9"/>
  <c r="L3" i="9"/>
  <c r="M2" i="9"/>
  <c r="L2" i="9"/>
  <c r="AN61" i="8"/>
  <c r="AM61" i="8"/>
  <c r="AN60" i="8"/>
  <c r="AM60" i="8"/>
  <c r="AN59" i="8"/>
  <c r="AM59" i="8"/>
  <c r="AN58" i="8"/>
  <c r="AM58" i="8"/>
  <c r="AN57" i="8"/>
  <c r="AM57" i="8"/>
  <c r="AN56" i="8"/>
  <c r="AM56" i="8"/>
  <c r="AN55" i="8"/>
  <c r="AM55" i="8"/>
  <c r="AN54" i="8"/>
  <c r="AM54" i="8"/>
  <c r="AN53" i="8"/>
  <c r="AM53" i="8"/>
  <c r="AN52" i="8"/>
  <c r="AM52" i="8"/>
  <c r="AN51" i="8"/>
  <c r="AM51" i="8"/>
  <c r="M51" i="8"/>
  <c r="L51" i="8"/>
  <c r="AN50" i="8"/>
  <c r="AM50" i="8"/>
  <c r="M50" i="8"/>
  <c r="L50" i="8"/>
  <c r="AN49" i="8"/>
  <c r="AM49" i="8"/>
  <c r="M49" i="8"/>
  <c r="L49" i="8"/>
  <c r="AN48" i="8"/>
  <c r="AM48" i="8"/>
  <c r="M48" i="8"/>
  <c r="L48" i="8"/>
  <c r="AN47" i="8"/>
  <c r="AM47" i="8"/>
  <c r="M47" i="8"/>
  <c r="L47" i="8"/>
  <c r="AN46" i="8"/>
  <c r="AM46" i="8"/>
  <c r="M46" i="8"/>
  <c r="L46" i="8"/>
  <c r="AN45" i="8"/>
  <c r="AM45" i="8"/>
  <c r="AG45" i="8"/>
  <c r="AF45" i="8"/>
  <c r="M45" i="8"/>
  <c r="L45" i="8"/>
  <c r="AN44" i="8"/>
  <c r="AM44" i="8"/>
  <c r="AG44" i="8"/>
  <c r="AF44" i="8"/>
  <c r="M44" i="8"/>
  <c r="L44" i="8"/>
  <c r="AN43" i="8"/>
  <c r="AM43" i="8"/>
  <c r="AG43" i="8"/>
  <c r="AF43" i="8"/>
  <c r="M43" i="8"/>
  <c r="L43" i="8"/>
  <c r="AN42" i="8"/>
  <c r="AM42" i="8"/>
  <c r="AG42" i="8"/>
  <c r="AF42" i="8"/>
  <c r="M42" i="8"/>
  <c r="L42" i="8"/>
  <c r="AN41" i="8"/>
  <c r="AM41" i="8"/>
  <c r="AG41" i="8"/>
  <c r="AF41" i="8"/>
  <c r="M41" i="8"/>
  <c r="L41" i="8"/>
  <c r="AN40" i="8"/>
  <c r="AM40" i="8"/>
  <c r="AG40" i="8"/>
  <c r="AF40" i="8"/>
  <c r="M40" i="8"/>
  <c r="L40" i="8"/>
  <c r="AN39" i="8"/>
  <c r="AM39" i="8"/>
  <c r="AG39" i="8"/>
  <c r="AF39" i="8"/>
  <c r="M39" i="8"/>
  <c r="L39" i="8"/>
  <c r="AN38" i="8"/>
  <c r="AM38" i="8"/>
  <c r="AG38" i="8"/>
  <c r="AF38" i="8"/>
  <c r="M38" i="8"/>
  <c r="L38" i="8"/>
  <c r="AN37" i="8"/>
  <c r="AM37" i="8"/>
  <c r="AG37" i="8"/>
  <c r="AF37" i="8"/>
  <c r="M37" i="8"/>
  <c r="L37" i="8"/>
  <c r="AN36" i="8"/>
  <c r="AM36" i="8"/>
  <c r="AG36" i="8"/>
  <c r="AF36" i="8"/>
  <c r="M36" i="8"/>
  <c r="L36" i="8"/>
  <c r="AN35" i="8"/>
  <c r="AM35" i="8"/>
  <c r="AG35" i="8"/>
  <c r="AF35" i="8"/>
  <c r="AN34" i="8"/>
  <c r="AM34" i="8"/>
  <c r="AG34" i="8"/>
  <c r="AF34" i="8"/>
  <c r="M34" i="8"/>
  <c r="L34" i="8"/>
  <c r="AN33" i="8"/>
  <c r="AM33" i="8"/>
  <c r="AG33" i="8"/>
  <c r="AF33" i="8"/>
  <c r="M33" i="8"/>
  <c r="L33" i="8"/>
  <c r="AN32" i="8"/>
  <c r="AM32" i="8"/>
  <c r="AG32" i="8"/>
  <c r="AF32" i="8"/>
  <c r="M32" i="8"/>
  <c r="L32" i="8"/>
  <c r="AN31" i="8"/>
  <c r="AM31" i="8"/>
  <c r="AG31" i="8"/>
  <c r="AF31" i="8"/>
  <c r="M31" i="8"/>
  <c r="L31" i="8"/>
  <c r="AN30" i="8"/>
  <c r="AM30" i="8"/>
  <c r="AG30" i="8"/>
  <c r="AF30" i="8"/>
  <c r="M30" i="8"/>
  <c r="L30" i="8"/>
  <c r="AN29" i="8"/>
  <c r="AM29" i="8"/>
  <c r="AG29" i="8"/>
  <c r="AF29" i="8"/>
  <c r="M29" i="8"/>
  <c r="L29" i="8"/>
  <c r="AN28" i="8"/>
  <c r="AM28" i="8"/>
  <c r="AG28" i="8"/>
  <c r="AF28" i="8"/>
  <c r="M28" i="8"/>
  <c r="L28" i="8"/>
  <c r="AN27" i="8"/>
  <c r="AM27" i="8"/>
  <c r="AG27" i="8"/>
  <c r="AF27" i="8"/>
  <c r="M27" i="8"/>
  <c r="L27" i="8"/>
  <c r="AN26" i="8"/>
  <c r="AM26" i="8"/>
  <c r="AG26" i="8"/>
  <c r="AF26" i="8"/>
  <c r="M26" i="8"/>
  <c r="L26" i="8"/>
  <c r="AN25" i="8"/>
  <c r="AM25" i="8"/>
  <c r="AG25" i="8"/>
  <c r="AF25" i="8"/>
  <c r="M25" i="8"/>
  <c r="L25" i="8"/>
  <c r="AN24" i="8"/>
  <c r="AM24" i="8"/>
  <c r="AG24" i="8"/>
  <c r="AF24" i="8"/>
  <c r="M24" i="8"/>
  <c r="L24" i="8"/>
  <c r="AN23" i="8"/>
  <c r="AM23" i="8"/>
  <c r="AG23" i="8"/>
  <c r="AF23" i="8"/>
  <c r="M23" i="8"/>
  <c r="L23" i="8"/>
  <c r="AN22" i="8"/>
  <c r="AM22" i="8"/>
  <c r="AG22" i="8"/>
  <c r="AF22" i="8"/>
  <c r="M22" i="8"/>
  <c r="L22" i="8"/>
  <c r="AN21" i="8"/>
  <c r="AM21" i="8"/>
  <c r="AG21" i="8"/>
  <c r="AF21" i="8"/>
  <c r="M21" i="8"/>
  <c r="L21" i="8"/>
  <c r="AN20" i="8"/>
  <c r="AM20" i="8"/>
  <c r="AG20" i="8"/>
  <c r="AF20" i="8"/>
  <c r="M20" i="8"/>
  <c r="L20" i="8"/>
  <c r="AN19" i="8"/>
  <c r="AM19" i="8"/>
  <c r="AG19" i="8"/>
  <c r="AF19" i="8"/>
  <c r="M19" i="8"/>
  <c r="L19" i="8"/>
  <c r="AN18" i="8"/>
  <c r="AM18" i="8"/>
  <c r="AG18" i="8"/>
  <c r="AF18" i="8"/>
  <c r="AN17" i="8"/>
  <c r="AM17" i="8"/>
  <c r="AG17" i="8"/>
  <c r="AF17" i="8"/>
  <c r="M17" i="8"/>
  <c r="L17" i="8"/>
  <c r="AN16" i="8"/>
  <c r="AM16" i="8"/>
  <c r="AG16" i="8"/>
  <c r="AF16" i="8"/>
  <c r="M16" i="8"/>
  <c r="L16" i="8"/>
  <c r="AN15" i="8"/>
  <c r="AM15" i="8"/>
  <c r="AG15" i="8"/>
  <c r="AF15" i="8"/>
  <c r="M15" i="8"/>
  <c r="L15" i="8"/>
  <c r="AN14" i="8"/>
  <c r="AM14" i="8"/>
  <c r="AG14" i="8"/>
  <c r="AF14" i="8"/>
  <c r="M14" i="8"/>
  <c r="L14" i="8"/>
  <c r="AN13" i="8"/>
  <c r="AM13" i="8"/>
  <c r="AG13" i="8"/>
  <c r="AF13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4" i="8"/>
  <c r="L4" i="8"/>
  <c r="M3" i="8"/>
  <c r="L3" i="8"/>
  <c r="M2" i="8"/>
  <c r="L2" i="8"/>
  <c r="AM14" i="7"/>
  <c r="AN14" i="7"/>
  <c r="AM15" i="7"/>
  <c r="AN15" i="7"/>
  <c r="AM16" i="7"/>
  <c r="AN16" i="7"/>
  <c r="AM17" i="7"/>
  <c r="AN17" i="7"/>
  <c r="AM18" i="7"/>
  <c r="AN18" i="7"/>
  <c r="AM19" i="7"/>
  <c r="AN19" i="7"/>
  <c r="AM20" i="7"/>
  <c r="AN20" i="7"/>
  <c r="AM21" i="7"/>
  <c r="AN21" i="7"/>
  <c r="AM22" i="7"/>
  <c r="AN22" i="7"/>
  <c r="AM23" i="7"/>
  <c r="AN23" i="7"/>
  <c r="AM24" i="7"/>
  <c r="AN24" i="7"/>
  <c r="AM25" i="7"/>
  <c r="AN25" i="7"/>
  <c r="AM26" i="7"/>
  <c r="AN26" i="7"/>
  <c r="AM27" i="7"/>
  <c r="AN27" i="7"/>
  <c r="AM28" i="7"/>
  <c r="AN28" i="7"/>
  <c r="AM29" i="7"/>
  <c r="AN29" i="7"/>
  <c r="AM30" i="7"/>
  <c r="AN30" i="7"/>
  <c r="AM31" i="7"/>
  <c r="AN31" i="7"/>
  <c r="AM32" i="7"/>
  <c r="AN32" i="7"/>
  <c r="AM33" i="7"/>
  <c r="AN33" i="7"/>
  <c r="AM34" i="7"/>
  <c r="AN34" i="7"/>
  <c r="AM35" i="7"/>
  <c r="AN35" i="7"/>
  <c r="AM36" i="7"/>
  <c r="AN36" i="7"/>
  <c r="AM37" i="7"/>
  <c r="AN37" i="7"/>
  <c r="AM38" i="7"/>
  <c r="AN38" i="7"/>
  <c r="AM39" i="7"/>
  <c r="AN39" i="7"/>
  <c r="AM40" i="7"/>
  <c r="AN40" i="7"/>
  <c r="AM41" i="7"/>
  <c r="AN41" i="7"/>
  <c r="AM42" i="7"/>
  <c r="AN42" i="7"/>
  <c r="AM43" i="7"/>
  <c r="AN43" i="7"/>
  <c r="AM44" i="7"/>
  <c r="AN44" i="7"/>
  <c r="AM45" i="7"/>
  <c r="AN45" i="7"/>
  <c r="AM46" i="7"/>
  <c r="AN46" i="7"/>
  <c r="AM47" i="7"/>
  <c r="AN47" i="7"/>
  <c r="AM48" i="7"/>
  <c r="AN48" i="7"/>
  <c r="AM49" i="7"/>
  <c r="AN49" i="7"/>
  <c r="AM50" i="7"/>
  <c r="AN50" i="7"/>
  <c r="AM51" i="7"/>
  <c r="AN51" i="7"/>
  <c r="AM52" i="7"/>
  <c r="AN52" i="7"/>
  <c r="AM53" i="7"/>
  <c r="AN53" i="7"/>
  <c r="AM54" i="7"/>
  <c r="AN54" i="7"/>
  <c r="AM55" i="7"/>
  <c r="AN55" i="7"/>
  <c r="AM56" i="7"/>
  <c r="AN56" i="7"/>
  <c r="AM57" i="7"/>
  <c r="AN57" i="7"/>
  <c r="AM58" i="7"/>
  <c r="AN58" i="7"/>
  <c r="AM59" i="7"/>
  <c r="AN59" i="7"/>
  <c r="AM60" i="7"/>
  <c r="AN60" i="7"/>
  <c r="AM61" i="7"/>
  <c r="AN61" i="7"/>
  <c r="AN13" i="7"/>
  <c r="AM13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51" i="7"/>
  <c r="L51" i="7"/>
  <c r="M50" i="7"/>
  <c r="L50" i="7"/>
  <c r="M49" i="7"/>
  <c r="L49" i="7"/>
  <c r="M48" i="7"/>
  <c r="L48" i="7"/>
  <c r="M47" i="7"/>
  <c r="L47" i="7"/>
  <c r="M46" i="7"/>
  <c r="L46" i="7"/>
  <c r="AG45" i="7"/>
  <c r="AF45" i="7"/>
  <c r="M45" i="7"/>
  <c r="L45" i="7"/>
  <c r="AG44" i="7"/>
  <c r="AF44" i="7"/>
  <c r="M44" i="7"/>
  <c r="L44" i="7"/>
  <c r="AG43" i="7"/>
  <c r="AF43" i="7"/>
  <c r="M43" i="7"/>
  <c r="L43" i="7"/>
  <c r="AG42" i="7"/>
  <c r="AF42" i="7"/>
  <c r="M42" i="7"/>
  <c r="L42" i="7"/>
  <c r="AG41" i="7"/>
  <c r="AF41" i="7"/>
  <c r="M41" i="7"/>
  <c r="L41" i="7"/>
  <c r="AG40" i="7"/>
  <c r="AF40" i="7"/>
  <c r="M40" i="7"/>
  <c r="L40" i="7"/>
  <c r="AG39" i="7"/>
  <c r="AF39" i="7"/>
  <c r="M39" i="7"/>
  <c r="L39" i="7"/>
  <c r="AG38" i="7"/>
  <c r="AF38" i="7"/>
  <c r="M38" i="7"/>
  <c r="L38" i="7"/>
  <c r="AG37" i="7"/>
  <c r="AF37" i="7"/>
  <c r="M37" i="7"/>
  <c r="L37" i="7"/>
  <c r="AG36" i="7"/>
  <c r="AF36" i="7"/>
  <c r="M36" i="7"/>
  <c r="L36" i="7"/>
  <c r="AG35" i="7"/>
  <c r="AF35" i="7"/>
  <c r="AG34" i="7"/>
  <c r="AF34" i="7"/>
  <c r="M34" i="7"/>
  <c r="L34" i="7"/>
  <c r="AG33" i="7"/>
  <c r="AF33" i="7"/>
  <c r="M33" i="7"/>
  <c r="L33" i="7"/>
  <c r="AG32" i="7"/>
  <c r="AF32" i="7"/>
  <c r="M32" i="7"/>
  <c r="L32" i="7"/>
  <c r="AG31" i="7"/>
  <c r="AF31" i="7"/>
  <c r="M31" i="7"/>
  <c r="L31" i="7"/>
  <c r="AG30" i="7"/>
  <c r="AF30" i="7"/>
  <c r="M30" i="7"/>
  <c r="L30" i="7"/>
  <c r="AG29" i="7"/>
  <c r="AF29" i="7"/>
  <c r="M29" i="7"/>
  <c r="L29" i="7"/>
  <c r="AG28" i="7"/>
  <c r="AF28" i="7"/>
  <c r="M28" i="7"/>
  <c r="L28" i="7"/>
  <c r="AG27" i="7"/>
  <c r="AF27" i="7"/>
  <c r="M27" i="7"/>
  <c r="L27" i="7"/>
  <c r="AG26" i="7"/>
  <c r="AF26" i="7"/>
  <c r="M26" i="7"/>
  <c r="L26" i="7"/>
  <c r="AG25" i="7"/>
  <c r="AF25" i="7"/>
  <c r="M25" i="7"/>
  <c r="L25" i="7"/>
  <c r="AG24" i="7"/>
  <c r="AF24" i="7"/>
  <c r="M24" i="7"/>
  <c r="L24" i="7"/>
  <c r="AG23" i="7"/>
  <c r="AF23" i="7"/>
  <c r="M23" i="7"/>
  <c r="L23" i="7"/>
  <c r="AG22" i="7"/>
  <c r="AF22" i="7"/>
  <c r="M22" i="7"/>
  <c r="L22" i="7"/>
  <c r="AG21" i="7"/>
  <c r="AF21" i="7"/>
  <c r="M21" i="7"/>
  <c r="L21" i="7"/>
  <c r="AG20" i="7"/>
  <c r="AF20" i="7"/>
  <c r="M20" i="7"/>
  <c r="L20" i="7"/>
  <c r="AG19" i="7"/>
  <c r="AF19" i="7"/>
  <c r="M19" i="7"/>
  <c r="L19" i="7"/>
  <c r="AG18" i="7"/>
  <c r="AF18" i="7"/>
  <c r="AG17" i="7"/>
  <c r="AF17" i="7"/>
  <c r="M17" i="7"/>
  <c r="AG16" i="7"/>
  <c r="AF16" i="7"/>
  <c r="M16" i="7"/>
  <c r="AG15" i="7"/>
  <c r="AF15" i="7"/>
  <c r="M15" i="7"/>
  <c r="AG14" i="7"/>
  <c r="AF14" i="7"/>
  <c r="M14" i="7"/>
  <c r="AG13" i="7"/>
  <c r="AF13" i="7"/>
  <c r="M13" i="7"/>
  <c r="M12" i="7"/>
  <c r="M11" i="7"/>
  <c r="M10" i="7"/>
  <c r="M9" i="7"/>
  <c r="M8" i="7"/>
  <c r="M7" i="7"/>
  <c r="M6" i="7"/>
  <c r="M5" i="7"/>
  <c r="M4" i="7"/>
  <c r="M3" i="7"/>
  <c r="M2" i="7"/>
  <c r="AG13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2" i="4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25" i="1"/>
  <c r="M51" i="6"/>
  <c r="L51" i="6"/>
  <c r="M50" i="6"/>
  <c r="L50" i="6"/>
  <c r="M49" i="6"/>
  <c r="L49" i="6"/>
  <c r="M48" i="6"/>
  <c r="L48" i="6"/>
  <c r="M47" i="6"/>
  <c r="L47" i="6"/>
  <c r="M46" i="6"/>
  <c r="L46" i="6"/>
  <c r="AG45" i="6"/>
  <c r="AF45" i="6"/>
  <c r="M45" i="6"/>
  <c r="L45" i="6"/>
  <c r="AG44" i="6"/>
  <c r="AF44" i="6"/>
  <c r="M44" i="6"/>
  <c r="L44" i="6"/>
  <c r="AG43" i="6"/>
  <c r="AF43" i="6"/>
  <c r="M43" i="6"/>
  <c r="L43" i="6"/>
  <c r="AG42" i="6"/>
  <c r="AF42" i="6"/>
  <c r="M42" i="6"/>
  <c r="L42" i="6"/>
  <c r="AG41" i="6"/>
  <c r="AF41" i="6"/>
  <c r="M41" i="6"/>
  <c r="L41" i="6"/>
  <c r="AG40" i="6"/>
  <c r="AF40" i="6"/>
  <c r="M40" i="6"/>
  <c r="L40" i="6"/>
  <c r="AG39" i="6"/>
  <c r="AF39" i="6"/>
  <c r="M39" i="6"/>
  <c r="L39" i="6"/>
  <c r="AG38" i="6"/>
  <c r="AF38" i="6"/>
  <c r="M38" i="6"/>
  <c r="L38" i="6"/>
  <c r="AG37" i="6"/>
  <c r="AF37" i="6"/>
  <c r="M37" i="6"/>
  <c r="L37" i="6"/>
  <c r="AG36" i="6"/>
  <c r="AF36" i="6"/>
  <c r="M36" i="6"/>
  <c r="L36" i="6"/>
  <c r="AG35" i="6"/>
  <c r="AF35" i="6"/>
  <c r="AG34" i="6"/>
  <c r="AF34" i="6"/>
  <c r="M34" i="6"/>
  <c r="L34" i="6"/>
  <c r="AG33" i="6"/>
  <c r="AF33" i="6"/>
  <c r="M33" i="6"/>
  <c r="L33" i="6"/>
  <c r="AG32" i="6"/>
  <c r="AF32" i="6"/>
  <c r="M32" i="6"/>
  <c r="L32" i="6"/>
  <c r="AG31" i="6"/>
  <c r="AF31" i="6"/>
  <c r="M31" i="6"/>
  <c r="L31" i="6"/>
  <c r="AG30" i="6"/>
  <c r="AF30" i="6"/>
  <c r="M30" i="6"/>
  <c r="L30" i="6"/>
  <c r="AG29" i="6"/>
  <c r="AF29" i="6"/>
  <c r="M29" i="6"/>
  <c r="L29" i="6"/>
  <c r="AG28" i="6"/>
  <c r="AF28" i="6"/>
  <c r="M28" i="6"/>
  <c r="L28" i="6"/>
  <c r="AG27" i="6"/>
  <c r="AF27" i="6"/>
  <c r="M27" i="6"/>
  <c r="L27" i="6"/>
  <c r="AG26" i="6"/>
  <c r="AF26" i="6"/>
  <c r="M26" i="6"/>
  <c r="L26" i="6"/>
  <c r="AG25" i="6"/>
  <c r="AF25" i="6"/>
  <c r="M25" i="6"/>
  <c r="L25" i="6"/>
  <c r="AG24" i="6"/>
  <c r="AF24" i="6"/>
  <c r="M24" i="6"/>
  <c r="L24" i="6"/>
  <c r="AG23" i="6"/>
  <c r="AF23" i="6"/>
  <c r="M23" i="6"/>
  <c r="L23" i="6"/>
  <c r="AG22" i="6"/>
  <c r="AF22" i="6"/>
  <c r="M22" i="6"/>
  <c r="L22" i="6"/>
  <c r="AG21" i="6"/>
  <c r="AF21" i="6"/>
  <c r="M21" i="6"/>
  <c r="L21" i="6"/>
  <c r="AG20" i="6"/>
  <c r="AF20" i="6"/>
  <c r="M20" i="6"/>
  <c r="L20" i="6"/>
  <c r="AG19" i="6"/>
  <c r="AF19" i="6"/>
  <c r="M19" i="6"/>
  <c r="L19" i="6"/>
  <c r="AG18" i="6"/>
  <c r="AF18" i="6"/>
  <c r="AG17" i="6"/>
  <c r="AF17" i="6"/>
  <c r="M17" i="6"/>
  <c r="L17" i="6"/>
  <c r="AG16" i="6"/>
  <c r="AF16" i="6"/>
  <c r="M16" i="6"/>
  <c r="L16" i="6"/>
  <c r="AG15" i="6"/>
  <c r="AF15" i="6"/>
  <c r="M15" i="6"/>
  <c r="L15" i="6"/>
  <c r="AG14" i="6"/>
  <c r="AF14" i="6"/>
  <c r="M14" i="6"/>
  <c r="L14" i="6"/>
  <c r="AG13" i="6"/>
  <c r="AF13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13" i="4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2" i="4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2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18" i="3"/>
  <c r="BC17" i="3"/>
  <c r="BC16" i="3"/>
  <c r="BC15" i="3"/>
  <c r="BC14" i="3"/>
  <c r="BC13" i="3"/>
  <c r="BC12" i="3"/>
  <c r="BC11" i="3"/>
  <c r="BC10" i="3"/>
  <c r="BC9" i="3"/>
  <c r="BC8" i="3"/>
  <c r="BC7" i="3"/>
  <c r="BC6" i="3"/>
  <c r="BC5" i="3"/>
  <c r="BC4" i="3"/>
  <c r="BC3" i="3"/>
  <c r="BC2" i="3"/>
</calcChain>
</file>

<file path=xl/sharedStrings.xml><?xml version="1.0" encoding="utf-8"?>
<sst xmlns="http://schemas.openxmlformats.org/spreadsheetml/2006/main" count="5109" uniqueCount="36">
  <si>
    <t>弾性IGA</t>
    <rPh sb="0" eb="2">
      <t>ダンセイ</t>
    </rPh>
    <phoneticPr fontId="1"/>
  </si>
  <si>
    <t>subdiv1</t>
    <phoneticPr fontId="1"/>
  </si>
  <si>
    <t>start</t>
  </si>
  <si>
    <t>calc_J</t>
  </si>
  <si>
    <t>i:</t>
  </si>
  <si>
    <t>j:</t>
  </si>
  <si>
    <t>x:</t>
  </si>
  <si>
    <t>y:</t>
  </si>
  <si>
    <t>z:</t>
  </si>
  <si>
    <t>補間なし</t>
    <rPh sb="0" eb="2">
      <t>ホカン</t>
    </rPh>
    <phoneticPr fontId="1"/>
  </si>
  <si>
    <t>subdiv7</t>
    <phoneticPr fontId="1"/>
  </si>
  <si>
    <t>補間あり</t>
    <rPh sb="0" eb="2">
      <t>ホカン</t>
    </rPh>
    <phoneticPr fontId="1"/>
  </si>
  <si>
    <t>補間点数1</t>
    <rPh sb="0" eb="2">
      <t>ホカン</t>
    </rPh>
    <rPh sb="2" eb="4">
      <t>テンスウ</t>
    </rPh>
    <phoneticPr fontId="1"/>
  </si>
  <si>
    <t>補間点数4</t>
    <rPh sb="0" eb="2">
      <t>ホカン</t>
    </rPh>
    <rPh sb="2" eb="4">
      <t>テンスウ</t>
    </rPh>
    <phoneticPr fontId="1"/>
  </si>
  <si>
    <t>square patchのデバッグ-&gt;特異パッチと精度の比較</t>
    <rPh sb="19" eb="21">
      <t>トクイ</t>
    </rPh>
    <rPh sb="25" eb="27">
      <t>セイド</t>
    </rPh>
    <rPh sb="28" eb="30">
      <t>ヒカク</t>
    </rPh>
    <phoneticPr fontId="1"/>
  </si>
  <si>
    <t>a</t>
    <phoneticPr fontId="1"/>
  </si>
  <si>
    <t>IGA</t>
    <phoneticPr fontId="1"/>
  </si>
  <si>
    <t>SIGA bf0</t>
    <phoneticPr fontId="1"/>
  </si>
  <si>
    <t>SIGA bf1</t>
    <phoneticPr fontId="1"/>
  </si>
  <si>
    <t>PATH</t>
  </si>
  <si>
    <t>PLOT</t>
  </si>
  <si>
    <t>lcase1</t>
  </si>
  <si>
    <t>Inc</t>
  </si>
  <si>
    <t>:</t>
  </si>
  <si>
    <t>Time</t>
  </si>
  <si>
    <t>Pres</t>
  </si>
  <si>
    <t>Curve</t>
  </si>
  <si>
    <t>X</t>
  </si>
  <si>
    <t>Arc</t>
  </si>
  <si>
    <t>Length</t>
  </si>
  <si>
    <t>Y</t>
  </si>
  <si>
    <t>J-Integral</t>
  </si>
  <si>
    <t>Node</t>
  </si>
  <si>
    <t>----------------------------------------</t>
  </si>
  <si>
    <t>Stress</t>
  </si>
  <si>
    <t>job2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</si>
</sst>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333333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left" vertical="center" indent="3"/>
    </xf>
    <xf numFmtId="0" fontId="2" fillId="0" borderId="0" xfId="0" applyFont="1" applyAlignment="1">
      <alignment horizontal="left" vertical="center" indent="3"/>
    </xf>
    <xf numFmtId="0" fontId="2" fillId="2" borderId="0" xfId="0" applyFont="1" applyFill="1" applyAlignment="1">
      <alignment horizontal="left" vertical="center" indent="3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19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57-4D79-919A-6CEBE6328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3551"/>
        <c:axId val="1085700351"/>
      </c:scatterChart>
      <c:valAx>
        <c:axId val="10856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0351"/>
        <c:crosses val="autoZero"/>
        <c:crossBetween val="midCat"/>
      </c:valAx>
      <c:valAx>
        <c:axId val="108570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8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補間なし線形IGA!$AA$3:$AA$219</c:f>
              <c:numCache>
                <c:formatCode>0.00E+00</c:formatCode>
                <c:ptCount val="217"/>
                <c:pt idx="0">
                  <c:v>1.1520739999999999E-3</c:v>
                </c:pt>
                <c:pt idx="1">
                  <c:v>3.4562210000000002E-3</c:v>
                </c:pt>
                <c:pt idx="2">
                  <c:v>5.7603690000000004E-3</c:v>
                </c:pt>
                <c:pt idx="3">
                  <c:v>8.0645160000000007E-3</c:v>
                </c:pt>
                <c:pt idx="4">
                  <c:v>1.036866E-2</c:v>
                </c:pt>
                <c:pt idx="5">
                  <c:v>1.267281E-2</c:v>
                </c:pt>
                <c:pt idx="6">
                  <c:v>1.4976959999999999E-2</c:v>
                </c:pt>
                <c:pt idx="7">
                  <c:v>1.7281109999999999E-2</c:v>
                </c:pt>
                <c:pt idx="8">
                  <c:v>1.9585249999999998E-2</c:v>
                </c:pt>
                <c:pt idx="9">
                  <c:v>2.18894E-2</c:v>
                </c:pt>
                <c:pt idx="10">
                  <c:v>2.4193550000000001E-2</c:v>
                </c:pt>
                <c:pt idx="11">
                  <c:v>2.6497699999999999E-2</c:v>
                </c:pt>
                <c:pt idx="12">
                  <c:v>2.8801839999999999E-2</c:v>
                </c:pt>
                <c:pt idx="13">
                  <c:v>3.110599E-2</c:v>
                </c:pt>
                <c:pt idx="14">
                  <c:v>3.3410139999999998E-2</c:v>
                </c:pt>
                <c:pt idx="15">
                  <c:v>3.5714290000000003E-2</c:v>
                </c:pt>
                <c:pt idx="16">
                  <c:v>3.8018429999999999E-2</c:v>
                </c:pt>
                <c:pt idx="17">
                  <c:v>4.0322579999999997E-2</c:v>
                </c:pt>
                <c:pt idx="18">
                  <c:v>4.2626730000000002E-2</c:v>
                </c:pt>
                <c:pt idx="19">
                  <c:v>4.4930879999999999E-2</c:v>
                </c:pt>
                <c:pt idx="20">
                  <c:v>4.7235020000000003E-2</c:v>
                </c:pt>
                <c:pt idx="21">
                  <c:v>4.953917E-2</c:v>
                </c:pt>
                <c:pt idx="22">
                  <c:v>5.1843319999999998E-2</c:v>
                </c:pt>
                <c:pt idx="23">
                  <c:v>5.4147470000000003E-2</c:v>
                </c:pt>
                <c:pt idx="24">
                  <c:v>5.6451609999999999E-2</c:v>
                </c:pt>
                <c:pt idx="25">
                  <c:v>5.8755759999999997E-2</c:v>
                </c:pt>
                <c:pt idx="26">
                  <c:v>6.1059910000000002E-2</c:v>
                </c:pt>
                <c:pt idx="27">
                  <c:v>6.336406E-2</c:v>
                </c:pt>
                <c:pt idx="28">
                  <c:v>6.5668199999999996E-2</c:v>
                </c:pt>
                <c:pt idx="29">
                  <c:v>6.7972350000000001E-2</c:v>
                </c:pt>
                <c:pt idx="30">
                  <c:v>7.0276500000000006E-2</c:v>
                </c:pt>
                <c:pt idx="31">
                  <c:v>7.2580649999999997E-2</c:v>
                </c:pt>
                <c:pt idx="32">
                  <c:v>7.4884790000000007E-2</c:v>
                </c:pt>
                <c:pt idx="33">
                  <c:v>7.7188939999999998E-2</c:v>
                </c:pt>
                <c:pt idx="34">
                  <c:v>7.9493090000000002E-2</c:v>
                </c:pt>
                <c:pt idx="35">
                  <c:v>8.1797239999999993E-2</c:v>
                </c:pt>
                <c:pt idx="36">
                  <c:v>8.4101380000000003E-2</c:v>
                </c:pt>
                <c:pt idx="37">
                  <c:v>8.6405529999999994E-2</c:v>
                </c:pt>
                <c:pt idx="38">
                  <c:v>8.8709679999999999E-2</c:v>
                </c:pt>
                <c:pt idx="39">
                  <c:v>9.1013819999999995E-2</c:v>
                </c:pt>
                <c:pt idx="40">
                  <c:v>9.331797E-2</c:v>
                </c:pt>
                <c:pt idx="41">
                  <c:v>9.5622120000000005E-2</c:v>
                </c:pt>
                <c:pt idx="42">
                  <c:v>9.7926269999999996E-2</c:v>
                </c:pt>
                <c:pt idx="43">
                  <c:v>0.1002304</c:v>
                </c:pt>
                <c:pt idx="44">
                  <c:v>0.1025346</c:v>
                </c:pt>
                <c:pt idx="45">
                  <c:v>0.10483870000000001</c:v>
                </c:pt>
                <c:pt idx="46">
                  <c:v>0.1071429</c:v>
                </c:pt>
                <c:pt idx="47">
                  <c:v>0.109447</c:v>
                </c:pt>
                <c:pt idx="48">
                  <c:v>0.11175119999999999</c:v>
                </c:pt>
                <c:pt idx="49">
                  <c:v>0.1140553</c:v>
                </c:pt>
                <c:pt idx="50">
                  <c:v>0.1163594</c:v>
                </c:pt>
                <c:pt idx="51">
                  <c:v>0.11866359999999999</c:v>
                </c:pt>
                <c:pt idx="52">
                  <c:v>0.1209677</c:v>
                </c:pt>
                <c:pt idx="53">
                  <c:v>0.1232719</c:v>
                </c:pt>
                <c:pt idx="54">
                  <c:v>0.12557599999999999</c:v>
                </c:pt>
                <c:pt idx="55">
                  <c:v>0.1278802</c:v>
                </c:pt>
                <c:pt idx="56">
                  <c:v>0.1301843</c:v>
                </c:pt>
                <c:pt idx="57">
                  <c:v>0.13248850000000001</c:v>
                </c:pt>
                <c:pt idx="58">
                  <c:v>0.13479260000000001</c:v>
                </c:pt>
                <c:pt idx="59">
                  <c:v>0.13709679999999999</c:v>
                </c:pt>
                <c:pt idx="60">
                  <c:v>0.13940089999999999</c:v>
                </c:pt>
                <c:pt idx="61">
                  <c:v>0.1417051</c:v>
                </c:pt>
                <c:pt idx="62">
                  <c:v>0.1440092</c:v>
                </c:pt>
                <c:pt idx="63">
                  <c:v>0.14631340000000001</c:v>
                </c:pt>
                <c:pt idx="64">
                  <c:v>0.14861750000000001</c:v>
                </c:pt>
                <c:pt idx="65">
                  <c:v>0.15092169999999999</c:v>
                </c:pt>
                <c:pt idx="66">
                  <c:v>0.1532258</c:v>
                </c:pt>
                <c:pt idx="67">
                  <c:v>0.15553</c:v>
                </c:pt>
                <c:pt idx="68">
                  <c:v>0.1578341</c:v>
                </c:pt>
                <c:pt idx="69">
                  <c:v>0.16013820000000001</c:v>
                </c:pt>
                <c:pt idx="70">
                  <c:v>0.16244239999999999</c:v>
                </c:pt>
                <c:pt idx="71">
                  <c:v>0.16474649999999999</c:v>
                </c:pt>
                <c:pt idx="72">
                  <c:v>0.1670507</c:v>
                </c:pt>
                <c:pt idx="73">
                  <c:v>0.1693548</c:v>
                </c:pt>
                <c:pt idx="74">
                  <c:v>0.17165900000000001</c:v>
                </c:pt>
                <c:pt idx="75">
                  <c:v>0.17396310000000001</c:v>
                </c:pt>
                <c:pt idx="76">
                  <c:v>0.17626729999999999</c:v>
                </c:pt>
                <c:pt idx="77">
                  <c:v>0.17857139999999999</c:v>
                </c:pt>
                <c:pt idx="78">
                  <c:v>0.1808756</c:v>
                </c:pt>
                <c:pt idx="79">
                  <c:v>0.1831797</c:v>
                </c:pt>
                <c:pt idx="80">
                  <c:v>0.18548390000000001</c:v>
                </c:pt>
                <c:pt idx="81">
                  <c:v>0.18778800000000001</c:v>
                </c:pt>
                <c:pt idx="82">
                  <c:v>0.19009219999999999</c:v>
                </c:pt>
                <c:pt idx="83">
                  <c:v>0.19239629999999999</c:v>
                </c:pt>
                <c:pt idx="84">
                  <c:v>0.1947005</c:v>
                </c:pt>
                <c:pt idx="85">
                  <c:v>0.1970046</c:v>
                </c:pt>
                <c:pt idx="86">
                  <c:v>0.19930880000000001</c:v>
                </c:pt>
                <c:pt idx="87">
                  <c:v>0.20161290000000001</c:v>
                </c:pt>
                <c:pt idx="88">
                  <c:v>0.20391709999999999</c:v>
                </c:pt>
                <c:pt idx="89">
                  <c:v>0.20622119999999999</c:v>
                </c:pt>
                <c:pt idx="90">
                  <c:v>0.2085253</c:v>
                </c:pt>
                <c:pt idx="91">
                  <c:v>0.2108295</c:v>
                </c:pt>
                <c:pt idx="92">
                  <c:v>0.21313360000000001</c:v>
                </c:pt>
                <c:pt idx="93">
                  <c:v>0.21543780000000001</c:v>
                </c:pt>
                <c:pt idx="94">
                  <c:v>0.21774189999999999</c:v>
                </c:pt>
                <c:pt idx="95">
                  <c:v>0.22004609999999999</c:v>
                </c:pt>
                <c:pt idx="96">
                  <c:v>0.2223502</c:v>
                </c:pt>
                <c:pt idx="97">
                  <c:v>0.2246544</c:v>
                </c:pt>
                <c:pt idx="98">
                  <c:v>0.22695850000000001</c:v>
                </c:pt>
                <c:pt idx="99">
                  <c:v>0.22926270000000001</c:v>
                </c:pt>
                <c:pt idx="100">
                  <c:v>0.23156679999999999</c:v>
                </c:pt>
                <c:pt idx="101">
                  <c:v>0.233871</c:v>
                </c:pt>
                <c:pt idx="102">
                  <c:v>0.2361751</c:v>
                </c:pt>
                <c:pt idx="103">
                  <c:v>0.23847930000000001</c:v>
                </c:pt>
                <c:pt idx="104">
                  <c:v>0.24078340000000001</c:v>
                </c:pt>
                <c:pt idx="105">
                  <c:v>0.24308759999999999</c:v>
                </c:pt>
                <c:pt idx="106">
                  <c:v>0.24539169999999999</c:v>
                </c:pt>
                <c:pt idx="107">
                  <c:v>0.2476959</c:v>
                </c:pt>
                <c:pt idx="108">
                  <c:v>0.25</c:v>
                </c:pt>
                <c:pt idx="109">
                  <c:v>0.25230409999999998</c:v>
                </c:pt>
                <c:pt idx="110">
                  <c:v>0.25460830000000001</c:v>
                </c:pt>
                <c:pt idx="111">
                  <c:v>0.25691239999999999</c:v>
                </c:pt>
                <c:pt idx="112">
                  <c:v>0.25921660000000002</c:v>
                </c:pt>
                <c:pt idx="113">
                  <c:v>0.26152069999999999</c:v>
                </c:pt>
                <c:pt idx="114">
                  <c:v>0.26382489999999997</c:v>
                </c:pt>
                <c:pt idx="115">
                  <c:v>0.266129</c:v>
                </c:pt>
                <c:pt idx="116">
                  <c:v>0.26843319999999998</c:v>
                </c:pt>
                <c:pt idx="117">
                  <c:v>0.27073730000000001</c:v>
                </c:pt>
                <c:pt idx="118">
                  <c:v>0.27304149999999999</c:v>
                </c:pt>
                <c:pt idx="119">
                  <c:v>0.27534560000000002</c:v>
                </c:pt>
                <c:pt idx="120">
                  <c:v>0.2776498</c:v>
                </c:pt>
                <c:pt idx="121">
                  <c:v>0.27995389999999998</c:v>
                </c:pt>
                <c:pt idx="122">
                  <c:v>0.28225810000000001</c:v>
                </c:pt>
                <c:pt idx="123">
                  <c:v>0.28456219999999999</c:v>
                </c:pt>
                <c:pt idx="124">
                  <c:v>0.28686640000000002</c:v>
                </c:pt>
                <c:pt idx="125">
                  <c:v>0.2891705</c:v>
                </c:pt>
                <c:pt idx="126">
                  <c:v>0.29147469999999998</c:v>
                </c:pt>
                <c:pt idx="127">
                  <c:v>0.29377880000000001</c:v>
                </c:pt>
                <c:pt idx="128">
                  <c:v>0.29608289999999998</c:v>
                </c:pt>
                <c:pt idx="129">
                  <c:v>0.29838710000000002</c:v>
                </c:pt>
                <c:pt idx="130">
                  <c:v>0.30069119999999999</c:v>
                </c:pt>
                <c:pt idx="131">
                  <c:v>0.30299540000000003</c:v>
                </c:pt>
                <c:pt idx="132">
                  <c:v>0.3052995</c:v>
                </c:pt>
                <c:pt idx="133">
                  <c:v>0.30760369999999998</c:v>
                </c:pt>
                <c:pt idx="134">
                  <c:v>0.30990780000000001</c:v>
                </c:pt>
                <c:pt idx="135">
                  <c:v>0.31221199999999999</c:v>
                </c:pt>
                <c:pt idx="136">
                  <c:v>0.31451610000000002</c:v>
                </c:pt>
                <c:pt idx="137">
                  <c:v>0.3168203</c:v>
                </c:pt>
                <c:pt idx="138">
                  <c:v>0.31912439999999997</c:v>
                </c:pt>
                <c:pt idx="139">
                  <c:v>0.32142860000000001</c:v>
                </c:pt>
                <c:pt idx="140">
                  <c:v>0.32373269999999998</c:v>
                </c:pt>
                <c:pt idx="141">
                  <c:v>0.32603690000000002</c:v>
                </c:pt>
                <c:pt idx="142">
                  <c:v>0.32834099999999999</c:v>
                </c:pt>
                <c:pt idx="143">
                  <c:v>0.33064519999999997</c:v>
                </c:pt>
                <c:pt idx="144">
                  <c:v>0.3329493</c:v>
                </c:pt>
                <c:pt idx="145">
                  <c:v>0.33525349999999998</c:v>
                </c:pt>
                <c:pt idx="146">
                  <c:v>0.33755760000000001</c:v>
                </c:pt>
                <c:pt idx="147">
                  <c:v>0.33986179999999999</c:v>
                </c:pt>
                <c:pt idx="148">
                  <c:v>0.34216590000000002</c:v>
                </c:pt>
                <c:pt idx="149">
                  <c:v>0.34447</c:v>
                </c:pt>
                <c:pt idx="150">
                  <c:v>0.34677419999999998</c:v>
                </c:pt>
                <c:pt idx="151">
                  <c:v>0.34907830000000001</c:v>
                </c:pt>
                <c:pt idx="152">
                  <c:v>0.35138249999999999</c:v>
                </c:pt>
                <c:pt idx="153">
                  <c:v>0.35368660000000002</c:v>
                </c:pt>
                <c:pt idx="154">
                  <c:v>0.3559908</c:v>
                </c:pt>
                <c:pt idx="155">
                  <c:v>0.35829490000000003</c:v>
                </c:pt>
                <c:pt idx="156">
                  <c:v>0.36059910000000001</c:v>
                </c:pt>
                <c:pt idx="157">
                  <c:v>0.36290319999999998</c:v>
                </c:pt>
                <c:pt idx="158">
                  <c:v>0.36520740000000002</c:v>
                </c:pt>
                <c:pt idx="159">
                  <c:v>0.36751149999999999</c:v>
                </c:pt>
                <c:pt idx="160">
                  <c:v>0.36981570000000002</c:v>
                </c:pt>
                <c:pt idx="161">
                  <c:v>0.3721198</c:v>
                </c:pt>
                <c:pt idx="162">
                  <c:v>0.37442399999999998</c:v>
                </c:pt>
                <c:pt idx="163">
                  <c:v>0.37672810000000001</c:v>
                </c:pt>
                <c:pt idx="164">
                  <c:v>0.37903229999999999</c:v>
                </c:pt>
                <c:pt idx="165">
                  <c:v>0.38133640000000002</c:v>
                </c:pt>
                <c:pt idx="166">
                  <c:v>0.3836406</c:v>
                </c:pt>
                <c:pt idx="167">
                  <c:v>0.38594469999999997</c:v>
                </c:pt>
                <c:pt idx="168">
                  <c:v>0.38824880000000001</c:v>
                </c:pt>
                <c:pt idx="169">
                  <c:v>0.39055299999999998</c:v>
                </c:pt>
                <c:pt idx="170">
                  <c:v>0.39285710000000001</c:v>
                </c:pt>
                <c:pt idx="171">
                  <c:v>0.39516129999999999</c:v>
                </c:pt>
                <c:pt idx="172">
                  <c:v>0.39746540000000002</c:v>
                </c:pt>
                <c:pt idx="173">
                  <c:v>0.3997696</c:v>
                </c:pt>
                <c:pt idx="174">
                  <c:v>0.40207369999999998</c:v>
                </c:pt>
                <c:pt idx="175">
                  <c:v>0.40437790000000001</c:v>
                </c:pt>
                <c:pt idx="176">
                  <c:v>0.40668199999999999</c:v>
                </c:pt>
                <c:pt idx="177">
                  <c:v>0.40898620000000002</c:v>
                </c:pt>
                <c:pt idx="178">
                  <c:v>0.4112903</c:v>
                </c:pt>
                <c:pt idx="179">
                  <c:v>0.41359449999999998</c:v>
                </c:pt>
                <c:pt idx="180">
                  <c:v>0.41589860000000001</c:v>
                </c:pt>
                <c:pt idx="181">
                  <c:v>0.41820279999999999</c:v>
                </c:pt>
                <c:pt idx="182">
                  <c:v>0.42050690000000002</c:v>
                </c:pt>
                <c:pt idx="183">
                  <c:v>0.4228111</c:v>
                </c:pt>
                <c:pt idx="184">
                  <c:v>0.42511520000000003</c:v>
                </c:pt>
                <c:pt idx="185">
                  <c:v>0.4274194</c:v>
                </c:pt>
                <c:pt idx="186">
                  <c:v>0.42972349999999998</c:v>
                </c:pt>
                <c:pt idx="187">
                  <c:v>0.43202760000000001</c:v>
                </c:pt>
                <c:pt idx="188">
                  <c:v>0.43433179999999999</c:v>
                </c:pt>
                <c:pt idx="189">
                  <c:v>0.43663590000000002</c:v>
                </c:pt>
                <c:pt idx="190">
                  <c:v>0.4389401</c:v>
                </c:pt>
                <c:pt idx="191">
                  <c:v>0.44124419999999998</c:v>
                </c:pt>
                <c:pt idx="192">
                  <c:v>0.44354840000000001</c:v>
                </c:pt>
                <c:pt idx="193">
                  <c:v>0.44585249999999998</c:v>
                </c:pt>
                <c:pt idx="194">
                  <c:v>0.44815670000000002</c:v>
                </c:pt>
                <c:pt idx="195">
                  <c:v>0.45046079999999999</c:v>
                </c:pt>
                <c:pt idx="196">
                  <c:v>0.45276499999999997</c:v>
                </c:pt>
                <c:pt idx="197">
                  <c:v>0.4550691</c:v>
                </c:pt>
                <c:pt idx="198">
                  <c:v>0.45737329999999998</c:v>
                </c:pt>
                <c:pt idx="199">
                  <c:v>0.45967740000000001</c:v>
                </c:pt>
                <c:pt idx="200">
                  <c:v>0.46198159999999999</c:v>
                </c:pt>
                <c:pt idx="201">
                  <c:v>0.46428570000000002</c:v>
                </c:pt>
                <c:pt idx="202">
                  <c:v>0.4665899</c:v>
                </c:pt>
                <c:pt idx="203">
                  <c:v>0.46889399999999998</c:v>
                </c:pt>
                <c:pt idx="204">
                  <c:v>0.47119820000000001</c:v>
                </c:pt>
                <c:pt idx="205">
                  <c:v>0.47350229999999999</c:v>
                </c:pt>
                <c:pt idx="206">
                  <c:v>0.47580650000000002</c:v>
                </c:pt>
                <c:pt idx="207">
                  <c:v>0.4781106</c:v>
                </c:pt>
                <c:pt idx="208">
                  <c:v>0.48041469999999997</c:v>
                </c:pt>
                <c:pt idx="209">
                  <c:v>0.48271890000000001</c:v>
                </c:pt>
                <c:pt idx="210">
                  <c:v>0.48502299999999998</c:v>
                </c:pt>
                <c:pt idx="211">
                  <c:v>0.48732720000000002</c:v>
                </c:pt>
                <c:pt idx="212">
                  <c:v>0.48963129999999999</c:v>
                </c:pt>
                <c:pt idx="213">
                  <c:v>0.49193550000000003</c:v>
                </c:pt>
                <c:pt idx="214">
                  <c:v>0.4942396</c:v>
                </c:pt>
                <c:pt idx="215">
                  <c:v>0.49654379999999998</c:v>
                </c:pt>
                <c:pt idx="216">
                  <c:v>0.49884790000000001</c:v>
                </c:pt>
              </c:numCache>
            </c:numRef>
          </c:xVal>
          <c:yVal>
            <c:numRef>
              <c:f>補間なし線形IGA!$AD$3:$AD$219</c:f>
              <c:numCache>
                <c:formatCode>0.00E+00</c:formatCode>
                <c:ptCount val="217"/>
                <c:pt idx="0">
                  <c:v>0.20073634490167</c:v>
                </c:pt>
                <c:pt idx="1">
                  <c:v>0.20073712038941999</c:v>
                </c:pt>
                <c:pt idx="2">
                  <c:v>0.20073832654898399</c:v>
                </c:pt>
                <c:pt idx="3">
                  <c:v>0.20073996341824099</c:v>
                </c:pt>
                <c:pt idx="4">
                  <c:v>0.20074203105626801</c:v>
                </c:pt>
                <c:pt idx="5">
                  <c:v>0.20074452954347</c:v>
                </c:pt>
                <c:pt idx="6">
                  <c:v>0.200747458981238</c:v>
                </c:pt>
                <c:pt idx="7">
                  <c:v>0.20075113027401401</c:v>
                </c:pt>
                <c:pt idx="8">
                  <c:v>0.200755542375575</c:v>
                </c:pt>
                <c:pt idx="9">
                  <c:v>0.20076038416736899</c:v>
                </c:pt>
                <c:pt idx="10">
                  <c:v>0.20076565582080499</c:v>
                </c:pt>
                <c:pt idx="11">
                  <c:v>0.20077135752867301</c:v>
                </c:pt>
                <c:pt idx="12">
                  <c:v>0.20077748950548299</c:v>
                </c:pt>
                <c:pt idx="13">
                  <c:v>0.200784051987239</c:v>
                </c:pt>
                <c:pt idx="14">
                  <c:v>0.20079137466362401</c:v>
                </c:pt>
                <c:pt idx="15">
                  <c:v>0.20079945532459301</c:v>
                </c:pt>
                <c:pt idx="16">
                  <c:v>0.20080796378450799</c:v>
                </c:pt>
                <c:pt idx="17">
                  <c:v>0.200816900329299</c:v>
                </c:pt>
                <c:pt idx="18">
                  <c:v>0.20082626526678901</c:v>
                </c:pt>
                <c:pt idx="19">
                  <c:v>0.200836058927332</c:v>
                </c:pt>
                <c:pt idx="20">
                  <c:v>0.20084628166344301</c:v>
                </c:pt>
                <c:pt idx="21">
                  <c:v>0.20085726168200799</c:v>
                </c:pt>
                <c:pt idx="22">
                  <c:v>0.200868995693052</c:v>
                </c:pt>
                <c:pt idx="23">
                  <c:v>0.20088115470714701</c:v>
                </c:pt>
                <c:pt idx="24">
                  <c:v>0.20089373909296901</c:v>
                </c:pt>
                <c:pt idx="25">
                  <c:v>0.20090674924214499</c:v>
                </c:pt>
                <c:pt idx="26">
                  <c:v>0.20092018556987101</c:v>
                </c:pt>
                <c:pt idx="27">
                  <c:v>0.200934048514612</c:v>
                </c:pt>
                <c:pt idx="28">
                  <c:v>0.200948673631896</c:v>
                </c:pt>
                <c:pt idx="29">
                  <c:v>0.20096405647752399</c:v>
                </c:pt>
                <c:pt idx="30">
                  <c:v>0.200979860333689</c:v>
                </c:pt>
                <c:pt idx="31">
                  <c:v>0.20099608560368701</c:v>
                </c:pt>
                <c:pt idx="32">
                  <c:v>0.20101273271527201</c:v>
                </c:pt>
                <c:pt idx="33">
                  <c:v>0.20102980212114199</c:v>
                </c:pt>
                <c:pt idx="34">
                  <c:v>0.20104729429865101</c:v>
                </c:pt>
                <c:pt idx="35">
                  <c:v>0.20106555116176</c:v>
                </c:pt>
                <c:pt idx="36">
                  <c:v>0.20108456711359801</c:v>
                </c:pt>
                <c:pt idx="37">
                  <c:v>0.201103998611211</c:v>
                </c:pt>
                <c:pt idx="38">
                  <c:v>0.201123846028884</c:v>
                </c:pt>
                <c:pt idx="39">
                  <c:v>0.20114410976736699</c:v>
                </c:pt>
                <c:pt idx="40">
                  <c:v>0.20116479025408701</c:v>
                </c:pt>
                <c:pt idx="41">
                  <c:v>0.201185887943026</c:v>
                </c:pt>
                <c:pt idx="42">
                  <c:v>0.20120775467079699</c:v>
                </c:pt>
                <c:pt idx="43">
                  <c:v>0.20123038361479001</c:v>
                </c:pt>
                <c:pt idx="44">
                  <c:v>0.201253420690505</c:v>
                </c:pt>
                <c:pt idx="45">
                  <c:v>0.201276866152758</c:v>
                </c:pt>
                <c:pt idx="46">
                  <c:v>0.201300720284951</c:v>
                </c:pt>
                <c:pt idx="47">
                  <c:v>0.20132498339937199</c:v>
                </c:pt>
                <c:pt idx="48">
                  <c:v>0.20134965583718401</c:v>
                </c:pt>
                <c:pt idx="49">
                  <c:v>0.201375101646215</c:v>
                </c:pt>
                <c:pt idx="50">
                  <c:v>0.20140131276461401</c:v>
                </c:pt>
                <c:pt idx="51">
                  <c:v>0.201427922116201</c:v>
                </c:pt>
                <c:pt idx="52">
                  <c:v>0.20145492972866599</c:v>
                </c:pt>
                <c:pt idx="53">
                  <c:v>0.20148233566076701</c:v>
                </c:pt>
                <c:pt idx="54">
                  <c:v>0.20151014000314799</c:v>
                </c:pt>
                <c:pt idx="55">
                  <c:v>0.20153834287776201</c:v>
                </c:pt>
                <c:pt idx="56">
                  <c:v>0.201567324165566</c:v>
                </c:pt>
                <c:pt idx="57">
                  <c:v>0.201597074414605</c:v>
                </c:pt>
                <c:pt idx="58">
                  <c:v>0.20162720965946501</c:v>
                </c:pt>
                <c:pt idx="59">
                  <c:v>0.20165772953802</c:v>
                </c:pt>
                <c:pt idx="60">
                  <c:v>0.20168863372249701</c:v>
                </c:pt>
                <c:pt idx="61">
                  <c:v>0.201719921919912</c:v>
                </c:pt>
                <c:pt idx="62">
                  <c:v>0.201751593872008</c:v>
                </c:pt>
                <c:pt idx="63">
                  <c:v>0.201784049621793</c:v>
                </c:pt>
                <c:pt idx="64">
                  <c:v>0.201817278370863</c:v>
                </c:pt>
                <c:pt idx="65">
                  <c:v>0.20185087469341501</c:v>
                </c:pt>
                <c:pt idx="66">
                  <c:v>0.201884837671365</c:v>
                </c:pt>
                <c:pt idx="67">
                  <c:v>0.20191916642458499</c:v>
                </c:pt>
                <c:pt idx="68">
                  <c:v>0.201953860111589</c:v>
                </c:pt>
                <c:pt idx="69">
                  <c:v>0.20198891792918799</c:v>
                </c:pt>
                <c:pt idx="70">
                  <c:v>0.20202476521464599</c:v>
                </c:pt>
                <c:pt idx="71">
                  <c:v>0.20206138942714499</c:v>
                </c:pt>
                <c:pt idx="72">
                  <c:v>0.20209835801522699</c:v>
                </c:pt>
                <c:pt idx="73">
                  <c:v>0.20213566920364701</c:v>
                </c:pt>
                <c:pt idx="74">
                  <c:v>0.202173321259281</c:v>
                </c:pt>
                <c:pt idx="75">
                  <c:v>0.20221131249202601</c:v>
                </c:pt>
                <c:pt idx="76">
                  <c:v>0.20224964125407799</c:v>
                </c:pt>
                <c:pt idx="77">
                  <c:v>0.20228876567213</c:v>
                </c:pt>
                <c:pt idx="78">
                  <c:v>0.20232867175382299</c:v>
                </c:pt>
                <c:pt idx="79">
                  <c:v>0.20236889202997599</c:v>
                </c:pt>
                <c:pt idx="80">
                  <c:v>0.20240942364280201</c:v>
                </c:pt>
                <c:pt idx="81">
                  <c:v>0.20245026378185599</c:v>
                </c:pt>
                <c:pt idx="82">
                  <c:v>0.202491409684183</c:v>
                </c:pt>
                <c:pt idx="83">
                  <c:v>0.20253285863458101</c:v>
                </c:pt>
                <c:pt idx="84">
                  <c:v>0.20257510879872501</c:v>
                </c:pt>
                <c:pt idx="85">
                  <c:v>0.20261814365801201</c:v>
                </c:pt>
                <c:pt idx="86">
                  <c:v>0.20266145247762901</c:v>
                </c:pt>
                <c:pt idx="87">
                  <c:v>0.20270503071516499</c:v>
                </c:pt>
                <c:pt idx="88">
                  <c:v>0.20274887388104401</c:v>
                </c:pt>
                <c:pt idx="89">
                  <c:v>0.20279297753897199</c:v>
                </c:pt>
                <c:pt idx="90">
                  <c:v>0.20283733730594</c:v>
                </c:pt>
                <c:pt idx="91">
                  <c:v>0.202882505319046</c:v>
                </c:pt>
                <c:pt idx="92">
                  <c:v>0.20292846353277699</c:v>
                </c:pt>
                <c:pt idx="93">
                  <c:v>0.20297464378062199</c:v>
                </c:pt>
                <c:pt idx="94">
                  <c:v>0.203021039622508</c:v>
                </c:pt>
                <c:pt idx="95">
                  <c:v>0.20306764467809901</c:v>
                </c:pt>
                <c:pt idx="96">
                  <c:v>0.203114452626974</c:v>
                </c:pt>
                <c:pt idx="97">
                  <c:v>0.20316145720870199</c:v>
                </c:pt>
                <c:pt idx="98">
                  <c:v>0.203209273232169</c:v>
                </c:pt>
                <c:pt idx="99">
                  <c:v>0.203257878468277</c:v>
                </c:pt>
                <c:pt idx="100">
                  <c:v>0.20330663631402299</c:v>
                </c:pt>
                <c:pt idx="101">
                  <c:v>0.20335553711829399</c:v>
                </c:pt>
                <c:pt idx="102">
                  <c:v>0.203404571297332</c:v>
                </c:pt>
                <c:pt idx="103">
                  <c:v>0.20345372933549399</c:v>
                </c:pt>
                <c:pt idx="104">
                  <c:v>0.20350300178490799</c:v>
                </c:pt>
                <c:pt idx="105">
                  <c:v>0.20355309355864801</c:v>
                </c:pt>
                <c:pt idx="106">
                  <c:v>0.20360398055045101</c:v>
                </c:pt>
                <c:pt idx="107">
                  <c:v>0.203654930281045</c:v>
                </c:pt>
                <c:pt idx="108">
                  <c:v>0.203705929992719</c:v>
                </c:pt>
                <c:pt idx="109">
                  <c:v>0.20375696700504201</c:v>
                </c:pt>
                <c:pt idx="110">
                  <c:v>0.20380802871506401</c:v>
                </c:pt>
                <c:pt idx="111">
                  <c:v>0.20385910259749901</c:v>
                </c:pt>
                <c:pt idx="112">
                  <c:v>0.20391099165342</c:v>
                </c:pt>
                <c:pt idx="113">
                  <c:v>0.203963664796218</c:v>
                </c:pt>
                <c:pt idx="114">
                  <c:v>0.20401628124536</c:v>
                </c:pt>
                <c:pt idx="115">
                  <c:v>0.20406882208111199</c:v>
                </c:pt>
                <c:pt idx="116">
                  <c:v>0.20412126847319501</c:v>
                </c:pt>
                <c:pt idx="117">
                  <c:v>0.20417360168156601</c:v>
                </c:pt>
                <c:pt idx="118">
                  <c:v>0.204225803056369</c:v>
                </c:pt>
                <c:pt idx="119">
                  <c:v>0.204278822097061</c:v>
                </c:pt>
                <c:pt idx="120">
                  <c:v>0.204332622890913</c:v>
                </c:pt>
                <c:pt idx="121">
                  <c:v>0.20438620749667399</c:v>
                </c:pt>
                <c:pt idx="122">
                  <c:v>0.20443955219756901</c:v>
                </c:pt>
                <c:pt idx="123">
                  <c:v>0.204492633382483</c:v>
                </c:pt>
                <c:pt idx="124">
                  <c:v>0.204545427546761</c:v>
                </c:pt>
                <c:pt idx="125">
                  <c:v>0.204597911292487</c:v>
                </c:pt>
                <c:pt idx="126">
                  <c:v>0.20465120164504699</c:v>
                </c:pt>
                <c:pt idx="127">
                  <c:v>0.204705253588396</c:v>
                </c:pt>
                <c:pt idx="128">
                  <c:v>0.20475888443026999</c:v>
                </c:pt>
                <c:pt idx="129">
                  <c:v>0.20481205823607801</c:v>
                </c:pt>
                <c:pt idx="130">
                  <c:v>0.20486473919971801</c:v>
                </c:pt>
                <c:pt idx="131">
                  <c:v>0.204916891644607</c:v>
                </c:pt>
                <c:pt idx="132">
                  <c:v>0.20496848002491599</c:v>
                </c:pt>
                <c:pt idx="133">
                  <c:v>0.20502081347723999</c:v>
                </c:pt>
                <c:pt idx="134">
                  <c:v>0.20507382736780799</c:v>
                </c:pt>
                <c:pt idx="135">
                  <c:v>0.20512612384762199</c:v>
                </c:pt>
                <c:pt idx="136">
                  <c:v>0.205177660291497</c:v>
                </c:pt>
                <c:pt idx="137">
                  <c:v>0.20522839423918601</c:v>
                </c:pt>
                <c:pt idx="138">
                  <c:v>0.20527828339812701</c:v>
                </c:pt>
                <c:pt idx="139">
                  <c:v>0.20532728564489799</c:v>
                </c:pt>
                <c:pt idx="140">
                  <c:v>0.20537709853514499</c:v>
                </c:pt>
                <c:pt idx="141">
                  <c:v>0.20542765301729601</c:v>
                </c:pt>
                <c:pt idx="142">
                  <c:v>0.20547713468947101</c:v>
                </c:pt>
                <c:pt idx="143">
                  <c:v>0.20552547436628199</c:v>
                </c:pt>
                <c:pt idx="144">
                  <c:v>0.20557260306915401</c:v>
                </c:pt>
                <c:pt idx="145">
                  <c:v>0.20561845203215301</c:v>
                </c:pt>
                <c:pt idx="146">
                  <c:v>0.20566295270662599</c:v>
                </c:pt>
                <c:pt idx="147">
                  <c:v>0.205707784367161</c:v>
                </c:pt>
                <c:pt idx="148">
                  <c:v>0.205752812991809</c:v>
                </c:pt>
                <c:pt idx="149">
                  <c:v>0.205796191254811</c:v>
                </c:pt>
                <c:pt idx="150">
                  <c:v>0.205837845664432</c:v>
                </c:pt>
                <c:pt idx="151">
                  <c:v>0.20587770306522199</c:v>
                </c:pt>
                <c:pt idx="152">
                  <c:v>0.205915690651058</c:v>
                </c:pt>
                <c:pt idx="153">
                  <c:v>0.20595173597817801</c:v>
                </c:pt>
                <c:pt idx="154">
                  <c:v>0.20598882056562301</c:v>
                </c:pt>
                <c:pt idx="155">
                  <c:v>0.20602679972424701</c:v>
                </c:pt>
                <c:pt idx="156">
                  <c:v>0.20606245804093801</c:v>
                </c:pt>
                <c:pt idx="157">
                  <c:v>0.20609564842264</c:v>
                </c:pt>
                <c:pt idx="158">
                  <c:v>0.206126224143626</c:v>
                </c:pt>
                <c:pt idx="159">
                  <c:v>0.206154038877014</c:v>
                </c:pt>
                <c:pt idx="160">
                  <c:v>0.206178946726432</c:v>
                </c:pt>
                <c:pt idx="161">
                  <c:v>0.20620234109118499</c:v>
                </c:pt>
                <c:pt idx="162">
                  <c:v>0.206223975699828</c:v>
                </c:pt>
                <c:pt idx="163">
                  <c:v>0.206242155382063</c:v>
                </c:pt>
                <c:pt idx="164">
                  <c:v>0.20625677410472701</c:v>
                </c:pt>
                <c:pt idx="165">
                  <c:v>0.20626772683382</c:v>
                </c:pt>
                <c:pt idx="166">
                  <c:v>0.206274909640035</c:v>
                </c:pt>
                <c:pt idx="167">
                  <c:v>0.206278219812012</c:v>
                </c:pt>
                <c:pt idx="168">
                  <c:v>0.20628385774775199</c:v>
                </c:pt>
                <c:pt idx="169">
                  <c:v>0.206291250739292</c:v>
                </c:pt>
                <c:pt idx="170">
                  <c:v>0.206293564948974</c:v>
                </c:pt>
                <c:pt idx="171">
                  <c:v>0.20629040159286899</c:v>
                </c:pt>
                <c:pt idx="172">
                  <c:v>0.20628136249139201</c:v>
                </c:pt>
                <c:pt idx="173">
                  <c:v>0.20626605035370499</c:v>
                </c:pt>
                <c:pt idx="174">
                  <c:v>0.20624406909287199</c:v>
                </c:pt>
                <c:pt idx="175">
                  <c:v>0.206213562046481</c:v>
                </c:pt>
                <c:pt idx="176">
                  <c:v>0.206174397609972</c:v>
                </c:pt>
                <c:pt idx="177">
                  <c:v>0.206128049621251</c:v>
                </c:pt>
                <c:pt idx="178">
                  <c:v>0.20607450176897399</c:v>
                </c:pt>
                <c:pt idx="179">
                  <c:v>0.206013741872863</c:v>
                </c:pt>
                <c:pt idx="180">
                  <c:v>0.20594576307412399</c:v>
                </c:pt>
                <c:pt idx="181">
                  <c:v>0.20587056517219099</c:v>
                </c:pt>
                <c:pt idx="182">
                  <c:v>0.20580134705731501</c:v>
                </c:pt>
                <c:pt idx="183">
                  <c:v>0.205735087306185</c:v>
                </c:pt>
                <c:pt idx="184">
                  <c:v>0.205656171169768</c:v>
                </c:pt>
                <c:pt idx="185">
                  <c:v>0.205563114648151</c:v>
                </c:pt>
                <c:pt idx="186">
                  <c:v>0.20545443420499501</c:v>
                </c:pt>
                <c:pt idx="187">
                  <c:v>0.20532865049816401</c:v>
                </c:pt>
                <c:pt idx="188">
                  <c:v>0.20518429262339899</c:v>
                </c:pt>
                <c:pt idx="189">
                  <c:v>0.205007662718141</c:v>
                </c:pt>
                <c:pt idx="190">
                  <c:v>0.204800107200165</c:v>
                </c:pt>
                <c:pt idx="191">
                  <c:v>0.204575393444868</c:v>
                </c:pt>
                <c:pt idx="192">
                  <c:v>0.204334382038146</c:v>
                </c:pt>
                <c:pt idx="193">
                  <c:v>0.20407796043731799</c:v>
                </c:pt>
                <c:pt idx="194">
                  <c:v>0.203807060935352</c:v>
                </c:pt>
                <c:pt idx="195">
                  <c:v>0.20352268071273899</c:v>
                </c:pt>
                <c:pt idx="196">
                  <c:v>0.20323864402226599</c:v>
                </c:pt>
                <c:pt idx="197">
                  <c:v>0.20293855643876699</c:v>
                </c:pt>
                <c:pt idx="198">
                  <c:v>0.20259682937744999</c:v>
                </c:pt>
                <c:pt idx="199">
                  <c:v>0.202206042554777</c:v>
                </c:pt>
                <c:pt idx="200">
                  <c:v>0.20175877423515401</c:v>
                </c:pt>
                <c:pt idx="201">
                  <c:v>0.20124765939651301</c:v>
                </c:pt>
                <c:pt idx="202">
                  <c:v>0.20066545511654199</c:v>
                </c:pt>
                <c:pt idx="203">
                  <c:v>0.19994440000036601</c:v>
                </c:pt>
                <c:pt idx="204">
                  <c:v>0.19908192575502101</c:v>
                </c:pt>
                <c:pt idx="205">
                  <c:v>0.19814275837130299</c:v>
                </c:pt>
                <c:pt idx="206">
                  <c:v>0.197132083244108</c:v>
                </c:pt>
                <c:pt idx="207">
                  <c:v>0.19605649063726199</c:v>
                </c:pt>
                <c:pt idx="208">
                  <c:v>0.19492481931757499</c:v>
                </c:pt>
                <c:pt idx="209">
                  <c:v>0.193749037069505</c:v>
                </c:pt>
                <c:pt idx="210">
                  <c:v>0.192126460228875</c:v>
                </c:pt>
                <c:pt idx="211">
                  <c:v>0.189756199029534</c:v>
                </c:pt>
                <c:pt idx="212">
                  <c:v>0.18679185194341</c:v>
                </c:pt>
                <c:pt idx="213">
                  <c:v>0.183070467690091</c:v>
                </c:pt>
                <c:pt idx="214">
                  <c:v>0.17845709469892801</c:v>
                </c:pt>
                <c:pt idx="215">
                  <c:v>0.17286499990902199</c:v>
                </c:pt>
                <c:pt idx="216">
                  <c:v>0.16627773679514299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B9-4E37-AD05-16C366578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711391"/>
        <c:axId val="1085707551"/>
      </c:scatterChart>
      <c:valAx>
        <c:axId val="108571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7551"/>
        <c:crosses val="autoZero"/>
        <c:crossBetween val="midCat"/>
      </c:valAx>
      <c:valAx>
        <c:axId val="10857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11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補間なし線形IGA!$AA$3:$AA$219</c:f>
              <c:numCache>
                <c:formatCode>0.00E+00</c:formatCode>
                <c:ptCount val="217"/>
                <c:pt idx="0">
                  <c:v>1.1520739999999999E-3</c:v>
                </c:pt>
                <c:pt idx="1">
                  <c:v>3.4562210000000002E-3</c:v>
                </c:pt>
                <c:pt idx="2">
                  <c:v>5.7603690000000004E-3</c:v>
                </c:pt>
                <c:pt idx="3">
                  <c:v>8.0645160000000007E-3</c:v>
                </c:pt>
                <c:pt idx="4">
                  <c:v>1.036866E-2</c:v>
                </c:pt>
                <c:pt idx="5">
                  <c:v>1.267281E-2</c:v>
                </c:pt>
                <c:pt idx="6">
                  <c:v>1.4976959999999999E-2</c:v>
                </c:pt>
                <c:pt idx="7">
                  <c:v>1.7281109999999999E-2</c:v>
                </c:pt>
                <c:pt idx="8">
                  <c:v>1.9585249999999998E-2</c:v>
                </c:pt>
                <c:pt idx="9">
                  <c:v>2.18894E-2</c:v>
                </c:pt>
                <c:pt idx="10">
                  <c:v>2.4193550000000001E-2</c:v>
                </c:pt>
                <c:pt idx="11">
                  <c:v>2.6497699999999999E-2</c:v>
                </c:pt>
                <c:pt idx="12">
                  <c:v>2.8801839999999999E-2</c:v>
                </c:pt>
                <c:pt idx="13">
                  <c:v>3.110599E-2</c:v>
                </c:pt>
                <c:pt idx="14">
                  <c:v>3.3410139999999998E-2</c:v>
                </c:pt>
                <c:pt idx="15">
                  <c:v>3.5714290000000003E-2</c:v>
                </c:pt>
                <c:pt idx="16">
                  <c:v>3.8018429999999999E-2</c:v>
                </c:pt>
                <c:pt idx="17">
                  <c:v>4.0322579999999997E-2</c:v>
                </c:pt>
                <c:pt idx="18">
                  <c:v>4.2626730000000002E-2</c:v>
                </c:pt>
                <c:pt idx="19">
                  <c:v>4.4930879999999999E-2</c:v>
                </c:pt>
                <c:pt idx="20">
                  <c:v>4.7235020000000003E-2</c:v>
                </c:pt>
                <c:pt idx="21">
                  <c:v>4.953917E-2</c:v>
                </c:pt>
                <c:pt idx="22">
                  <c:v>5.1843319999999998E-2</c:v>
                </c:pt>
                <c:pt idx="23">
                  <c:v>5.4147470000000003E-2</c:v>
                </c:pt>
                <c:pt idx="24">
                  <c:v>5.6451609999999999E-2</c:v>
                </c:pt>
                <c:pt idx="25">
                  <c:v>5.8755759999999997E-2</c:v>
                </c:pt>
                <c:pt idx="26">
                  <c:v>6.1059910000000002E-2</c:v>
                </c:pt>
                <c:pt idx="27">
                  <c:v>6.336406E-2</c:v>
                </c:pt>
                <c:pt idx="28">
                  <c:v>6.5668199999999996E-2</c:v>
                </c:pt>
                <c:pt idx="29">
                  <c:v>6.7972350000000001E-2</c:v>
                </c:pt>
                <c:pt idx="30">
                  <c:v>7.0276500000000006E-2</c:v>
                </c:pt>
                <c:pt idx="31">
                  <c:v>7.2580649999999997E-2</c:v>
                </c:pt>
                <c:pt idx="32">
                  <c:v>7.4884790000000007E-2</c:v>
                </c:pt>
                <c:pt idx="33">
                  <c:v>7.7188939999999998E-2</c:v>
                </c:pt>
                <c:pt idx="34">
                  <c:v>7.9493090000000002E-2</c:v>
                </c:pt>
                <c:pt idx="35">
                  <c:v>8.1797239999999993E-2</c:v>
                </c:pt>
                <c:pt idx="36">
                  <c:v>8.4101380000000003E-2</c:v>
                </c:pt>
                <c:pt idx="37">
                  <c:v>8.6405529999999994E-2</c:v>
                </c:pt>
                <c:pt idx="38">
                  <c:v>8.8709679999999999E-2</c:v>
                </c:pt>
                <c:pt idx="39">
                  <c:v>9.1013819999999995E-2</c:v>
                </c:pt>
                <c:pt idx="40">
                  <c:v>9.331797E-2</c:v>
                </c:pt>
                <c:pt idx="41">
                  <c:v>9.5622120000000005E-2</c:v>
                </c:pt>
                <c:pt idx="42">
                  <c:v>9.7926269999999996E-2</c:v>
                </c:pt>
                <c:pt idx="43">
                  <c:v>0.1002304</c:v>
                </c:pt>
                <c:pt idx="44">
                  <c:v>0.1025346</c:v>
                </c:pt>
                <c:pt idx="45">
                  <c:v>0.10483870000000001</c:v>
                </c:pt>
                <c:pt idx="46">
                  <c:v>0.1071429</c:v>
                </c:pt>
                <c:pt idx="47">
                  <c:v>0.109447</c:v>
                </c:pt>
                <c:pt idx="48">
                  <c:v>0.11175119999999999</c:v>
                </c:pt>
                <c:pt idx="49">
                  <c:v>0.1140553</c:v>
                </c:pt>
                <c:pt idx="50">
                  <c:v>0.1163594</c:v>
                </c:pt>
                <c:pt idx="51">
                  <c:v>0.11866359999999999</c:v>
                </c:pt>
                <c:pt idx="52">
                  <c:v>0.1209677</c:v>
                </c:pt>
                <c:pt idx="53">
                  <c:v>0.1232719</c:v>
                </c:pt>
                <c:pt idx="54">
                  <c:v>0.12557599999999999</c:v>
                </c:pt>
                <c:pt idx="55">
                  <c:v>0.1278802</c:v>
                </c:pt>
                <c:pt idx="56">
                  <c:v>0.1301843</c:v>
                </c:pt>
                <c:pt idx="57">
                  <c:v>0.13248850000000001</c:v>
                </c:pt>
                <c:pt idx="58">
                  <c:v>0.13479260000000001</c:v>
                </c:pt>
                <c:pt idx="59">
                  <c:v>0.13709679999999999</c:v>
                </c:pt>
                <c:pt idx="60">
                  <c:v>0.13940089999999999</c:v>
                </c:pt>
                <c:pt idx="61">
                  <c:v>0.1417051</c:v>
                </c:pt>
                <c:pt idx="62">
                  <c:v>0.1440092</c:v>
                </c:pt>
                <c:pt idx="63">
                  <c:v>0.14631340000000001</c:v>
                </c:pt>
                <c:pt idx="64">
                  <c:v>0.14861750000000001</c:v>
                </c:pt>
                <c:pt idx="65">
                  <c:v>0.15092169999999999</c:v>
                </c:pt>
                <c:pt idx="66">
                  <c:v>0.1532258</c:v>
                </c:pt>
                <c:pt idx="67">
                  <c:v>0.15553</c:v>
                </c:pt>
                <c:pt idx="68">
                  <c:v>0.1578341</c:v>
                </c:pt>
                <c:pt idx="69">
                  <c:v>0.16013820000000001</c:v>
                </c:pt>
                <c:pt idx="70">
                  <c:v>0.16244239999999999</c:v>
                </c:pt>
                <c:pt idx="71">
                  <c:v>0.16474649999999999</c:v>
                </c:pt>
                <c:pt idx="72">
                  <c:v>0.1670507</c:v>
                </c:pt>
                <c:pt idx="73">
                  <c:v>0.1693548</c:v>
                </c:pt>
                <c:pt idx="74">
                  <c:v>0.17165900000000001</c:v>
                </c:pt>
                <c:pt idx="75">
                  <c:v>0.17396310000000001</c:v>
                </c:pt>
                <c:pt idx="76">
                  <c:v>0.17626729999999999</c:v>
                </c:pt>
                <c:pt idx="77">
                  <c:v>0.17857139999999999</c:v>
                </c:pt>
                <c:pt idx="78">
                  <c:v>0.1808756</c:v>
                </c:pt>
                <c:pt idx="79">
                  <c:v>0.1831797</c:v>
                </c:pt>
                <c:pt idx="80">
                  <c:v>0.18548390000000001</c:v>
                </c:pt>
                <c:pt idx="81">
                  <c:v>0.18778800000000001</c:v>
                </c:pt>
                <c:pt idx="82">
                  <c:v>0.19009219999999999</c:v>
                </c:pt>
                <c:pt idx="83">
                  <c:v>0.19239629999999999</c:v>
                </c:pt>
                <c:pt idx="84">
                  <c:v>0.1947005</c:v>
                </c:pt>
                <c:pt idx="85">
                  <c:v>0.1970046</c:v>
                </c:pt>
                <c:pt idx="86">
                  <c:v>0.19930880000000001</c:v>
                </c:pt>
                <c:pt idx="87">
                  <c:v>0.20161290000000001</c:v>
                </c:pt>
                <c:pt idx="88">
                  <c:v>0.20391709999999999</c:v>
                </c:pt>
                <c:pt idx="89">
                  <c:v>0.20622119999999999</c:v>
                </c:pt>
                <c:pt idx="90">
                  <c:v>0.2085253</c:v>
                </c:pt>
                <c:pt idx="91">
                  <c:v>0.2108295</c:v>
                </c:pt>
                <c:pt idx="92">
                  <c:v>0.21313360000000001</c:v>
                </c:pt>
                <c:pt idx="93">
                  <c:v>0.21543780000000001</c:v>
                </c:pt>
                <c:pt idx="94">
                  <c:v>0.21774189999999999</c:v>
                </c:pt>
                <c:pt idx="95">
                  <c:v>0.22004609999999999</c:v>
                </c:pt>
                <c:pt idx="96">
                  <c:v>0.2223502</c:v>
                </c:pt>
                <c:pt idx="97">
                  <c:v>0.2246544</c:v>
                </c:pt>
                <c:pt idx="98">
                  <c:v>0.22695850000000001</c:v>
                </c:pt>
                <c:pt idx="99">
                  <c:v>0.22926270000000001</c:v>
                </c:pt>
                <c:pt idx="100">
                  <c:v>0.23156679999999999</c:v>
                </c:pt>
                <c:pt idx="101">
                  <c:v>0.233871</c:v>
                </c:pt>
                <c:pt idx="102">
                  <c:v>0.2361751</c:v>
                </c:pt>
                <c:pt idx="103">
                  <c:v>0.23847930000000001</c:v>
                </c:pt>
                <c:pt idx="104">
                  <c:v>0.24078340000000001</c:v>
                </c:pt>
                <c:pt idx="105">
                  <c:v>0.24308759999999999</c:v>
                </c:pt>
                <c:pt idx="106">
                  <c:v>0.24539169999999999</c:v>
                </c:pt>
                <c:pt idx="107">
                  <c:v>0.2476959</c:v>
                </c:pt>
                <c:pt idx="108">
                  <c:v>0.25</c:v>
                </c:pt>
                <c:pt idx="109">
                  <c:v>0.25230409999999998</c:v>
                </c:pt>
                <c:pt idx="110">
                  <c:v>0.25460830000000001</c:v>
                </c:pt>
                <c:pt idx="111">
                  <c:v>0.25691239999999999</c:v>
                </c:pt>
                <c:pt idx="112">
                  <c:v>0.25921660000000002</c:v>
                </c:pt>
                <c:pt idx="113">
                  <c:v>0.26152069999999999</c:v>
                </c:pt>
                <c:pt idx="114">
                  <c:v>0.26382489999999997</c:v>
                </c:pt>
                <c:pt idx="115">
                  <c:v>0.266129</c:v>
                </c:pt>
                <c:pt idx="116">
                  <c:v>0.26843319999999998</c:v>
                </c:pt>
                <c:pt idx="117">
                  <c:v>0.27073730000000001</c:v>
                </c:pt>
                <c:pt idx="118">
                  <c:v>0.27304149999999999</c:v>
                </c:pt>
                <c:pt idx="119">
                  <c:v>0.27534560000000002</c:v>
                </c:pt>
                <c:pt idx="120">
                  <c:v>0.2776498</c:v>
                </c:pt>
                <c:pt idx="121">
                  <c:v>0.27995389999999998</c:v>
                </c:pt>
                <c:pt idx="122">
                  <c:v>0.28225810000000001</c:v>
                </c:pt>
                <c:pt idx="123">
                  <c:v>0.28456219999999999</c:v>
                </c:pt>
                <c:pt idx="124">
                  <c:v>0.28686640000000002</c:v>
                </c:pt>
                <c:pt idx="125">
                  <c:v>0.2891705</c:v>
                </c:pt>
                <c:pt idx="126">
                  <c:v>0.29147469999999998</c:v>
                </c:pt>
                <c:pt idx="127">
                  <c:v>0.29377880000000001</c:v>
                </c:pt>
                <c:pt idx="128">
                  <c:v>0.29608289999999998</c:v>
                </c:pt>
                <c:pt idx="129">
                  <c:v>0.29838710000000002</c:v>
                </c:pt>
                <c:pt idx="130">
                  <c:v>0.30069119999999999</c:v>
                </c:pt>
                <c:pt idx="131">
                  <c:v>0.30299540000000003</c:v>
                </c:pt>
                <c:pt idx="132">
                  <c:v>0.3052995</c:v>
                </c:pt>
                <c:pt idx="133">
                  <c:v>0.30760369999999998</c:v>
                </c:pt>
                <c:pt idx="134">
                  <c:v>0.30990780000000001</c:v>
                </c:pt>
                <c:pt idx="135">
                  <c:v>0.31221199999999999</c:v>
                </c:pt>
                <c:pt idx="136">
                  <c:v>0.31451610000000002</c:v>
                </c:pt>
                <c:pt idx="137">
                  <c:v>0.3168203</c:v>
                </c:pt>
                <c:pt idx="138">
                  <c:v>0.31912439999999997</c:v>
                </c:pt>
                <c:pt idx="139">
                  <c:v>0.32142860000000001</c:v>
                </c:pt>
                <c:pt idx="140">
                  <c:v>0.32373269999999998</c:v>
                </c:pt>
                <c:pt idx="141">
                  <c:v>0.32603690000000002</c:v>
                </c:pt>
                <c:pt idx="142">
                  <c:v>0.32834099999999999</c:v>
                </c:pt>
                <c:pt idx="143">
                  <c:v>0.33064519999999997</c:v>
                </c:pt>
                <c:pt idx="144">
                  <c:v>0.3329493</c:v>
                </c:pt>
                <c:pt idx="145">
                  <c:v>0.33525349999999998</c:v>
                </c:pt>
                <c:pt idx="146">
                  <c:v>0.33755760000000001</c:v>
                </c:pt>
                <c:pt idx="147">
                  <c:v>0.33986179999999999</c:v>
                </c:pt>
                <c:pt idx="148">
                  <c:v>0.34216590000000002</c:v>
                </c:pt>
                <c:pt idx="149">
                  <c:v>0.34447</c:v>
                </c:pt>
                <c:pt idx="150">
                  <c:v>0.34677419999999998</c:v>
                </c:pt>
                <c:pt idx="151">
                  <c:v>0.34907830000000001</c:v>
                </c:pt>
                <c:pt idx="152">
                  <c:v>0.35138249999999999</c:v>
                </c:pt>
                <c:pt idx="153">
                  <c:v>0.35368660000000002</c:v>
                </c:pt>
                <c:pt idx="154">
                  <c:v>0.3559908</c:v>
                </c:pt>
                <c:pt idx="155">
                  <c:v>0.35829490000000003</c:v>
                </c:pt>
                <c:pt idx="156">
                  <c:v>0.36059910000000001</c:v>
                </c:pt>
                <c:pt idx="157">
                  <c:v>0.36290319999999998</c:v>
                </c:pt>
                <c:pt idx="158">
                  <c:v>0.36520740000000002</c:v>
                </c:pt>
                <c:pt idx="159">
                  <c:v>0.36751149999999999</c:v>
                </c:pt>
                <c:pt idx="160">
                  <c:v>0.36981570000000002</c:v>
                </c:pt>
                <c:pt idx="161">
                  <c:v>0.3721198</c:v>
                </c:pt>
                <c:pt idx="162">
                  <c:v>0.37442399999999998</c:v>
                </c:pt>
                <c:pt idx="163">
                  <c:v>0.37672810000000001</c:v>
                </c:pt>
                <c:pt idx="164">
                  <c:v>0.37903229999999999</c:v>
                </c:pt>
                <c:pt idx="165">
                  <c:v>0.38133640000000002</c:v>
                </c:pt>
                <c:pt idx="166">
                  <c:v>0.3836406</c:v>
                </c:pt>
                <c:pt idx="167">
                  <c:v>0.38594469999999997</c:v>
                </c:pt>
                <c:pt idx="168">
                  <c:v>0.38824880000000001</c:v>
                </c:pt>
                <c:pt idx="169">
                  <c:v>0.39055299999999998</c:v>
                </c:pt>
                <c:pt idx="170">
                  <c:v>0.39285710000000001</c:v>
                </c:pt>
                <c:pt idx="171">
                  <c:v>0.39516129999999999</c:v>
                </c:pt>
                <c:pt idx="172">
                  <c:v>0.39746540000000002</c:v>
                </c:pt>
                <c:pt idx="173">
                  <c:v>0.3997696</c:v>
                </c:pt>
                <c:pt idx="174">
                  <c:v>0.40207369999999998</c:v>
                </c:pt>
                <c:pt idx="175">
                  <c:v>0.40437790000000001</c:v>
                </c:pt>
                <c:pt idx="176">
                  <c:v>0.40668199999999999</c:v>
                </c:pt>
                <c:pt idx="177">
                  <c:v>0.40898620000000002</c:v>
                </c:pt>
                <c:pt idx="178">
                  <c:v>0.4112903</c:v>
                </c:pt>
                <c:pt idx="179">
                  <c:v>0.41359449999999998</c:v>
                </c:pt>
                <c:pt idx="180">
                  <c:v>0.41589860000000001</c:v>
                </c:pt>
                <c:pt idx="181">
                  <c:v>0.41820279999999999</c:v>
                </c:pt>
                <c:pt idx="182">
                  <c:v>0.42050690000000002</c:v>
                </c:pt>
                <c:pt idx="183">
                  <c:v>0.4228111</c:v>
                </c:pt>
                <c:pt idx="184">
                  <c:v>0.42511520000000003</c:v>
                </c:pt>
                <c:pt idx="185">
                  <c:v>0.4274194</c:v>
                </c:pt>
                <c:pt idx="186">
                  <c:v>0.42972349999999998</c:v>
                </c:pt>
                <c:pt idx="187">
                  <c:v>0.43202760000000001</c:v>
                </c:pt>
                <c:pt idx="188">
                  <c:v>0.43433179999999999</c:v>
                </c:pt>
                <c:pt idx="189">
                  <c:v>0.43663590000000002</c:v>
                </c:pt>
                <c:pt idx="190">
                  <c:v>0.4389401</c:v>
                </c:pt>
                <c:pt idx="191">
                  <c:v>0.44124419999999998</c:v>
                </c:pt>
                <c:pt idx="192">
                  <c:v>0.44354840000000001</c:v>
                </c:pt>
                <c:pt idx="193">
                  <c:v>0.44585249999999998</c:v>
                </c:pt>
                <c:pt idx="194">
                  <c:v>0.44815670000000002</c:v>
                </c:pt>
                <c:pt idx="195">
                  <c:v>0.45046079999999999</c:v>
                </c:pt>
                <c:pt idx="196">
                  <c:v>0.45276499999999997</c:v>
                </c:pt>
                <c:pt idx="197">
                  <c:v>0.4550691</c:v>
                </c:pt>
                <c:pt idx="198">
                  <c:v>0.45737329999999998</c:v>
                </c:pt>
                <c:pt idx="199">
                  <c:v>0.45967740000000001</c:v>
                </c:pt>
                <c:pt idx="200">
                  <c:v>0.46198159999999999</c:v>
                </c:pt>
                <c:pt idx="201">
                  <c:v>0.46428570000000002</c:v>
                </c:pt>
                <c:pt idx="202">
                  <c:v>0.4665899</c:v>
                </c:pt>
                <c:pt idx="203">
                  <c:v>0.46889399999999998</c:v>
                </c:pt>
                <c:pt idx="204">
                  <c:v>0.47119820000000001</c:v>
                </c:pt>
                <c:pt idx="205">
                  <c:v>0.47350229999999999</c:v>
                </c:pt>
                <c:pt idx="206">
                  <c:v>0.47580650000000002</c:v>
                </c:pt>
                <c:pt idx="207">
                  <c:v>0.4781106</c:v>
                </c:pt>
                <c:pt idx="208">
                  <c:v>0.48041469999999997</c:v>
                </c:pt>
                <c:pt idx="209">
                  <c:v>0.48271890000000001</c:v>
                </c:pt>
                <c:pt idx="210">
                  <c:v>0.48502299999999998</c:v>
                </c:pt>
                <c:pt idx="211">
                  <c:v>0.48732720000000002</c:v>
                </c:pt>
                <c:pt idx="212">
                  <c:v>0.48963129999999999</c:v>
                </c:pt>
                <c:pt idx="213">
                  <c:v>0.49193550000000003</c:v>
                </c:pt>
                <c:pt idx="214">
                  <c:v>0.4942396</c:v>
                </c:pt>
                <c:pt idx="215">
                  <c:v>0.49654379999999998</c:v>
                </c:pt>
                <c:pt idx="216">
                  <c:v>0.49884790000000001</c:v>
                </c:pt>
              </c:numCache>
            </c:numRef>
          </c:xVal>
          <c:yVal>
            <c:numRef>
              <c:f>補間なし線形IGA!$AD$3:$AD$219</c:f>
              <c:numCache>
                <c:formatCode>0.00E+00</c:formatCode>
                <c:ptCount val="217"/>
                <c:pt idx="0">
                  <c:v>0.20073634490167</c:v>
                </c:pt>
                <c:pt idx="1">
                  <c:v>0.20073712038941999</c:v>
                </c:pt>
                <c:pt idx="2">
                  <c:v>0.20073832654898399</c:v>
                </c:pt>
                <c:pt idx="3">
                  <c:v>0.20073996341824099</c:v>
                </c:pt>
                <c:pt idx="4">
                  <c:v>0.20074203105626801</c:v>
                </c:pt>
                <c:pt idx="5">
                  <c:v>0.20074452954347</c:v>
                </c:pt>
                <c:pt idx="6">
                  <c:v>0.200747458981238</c:v>
                </c:pt>
                <c:pt idx="7">
                  <c:v>0.20075113027401401</c:v>
                </c:pt>
                <c:pt idx="8">
                  <c:v>0.200755542375575</c:v>
                </c:pt>
                <c:pt idx="9">
                  <c:v>0.20076038416736899</c:v>
                </c:pt>
                <c:pt idx="10">
                  <c:v>0.20076565582080499</c:v>
                </c:pt>
                <c:pt idx="11">
                  <c:v>0.20077135752867301</c:v>
                </c:pt>
                <c:pt idx="12">
                  <c:v>0.20077748950548299</c:v>
                </c:pt>
                <c:pt idx="13">
                  <c:v>0.200784051987239</c:v>
                </c:pt>
                <c:pt idx="14">
                  <c:v>0.20079137466362401</c:v>
                </c:pt>
                <c:pt idx="15">
                  <c:v>0.20079945532459301</c:v>
                </c:pt>
                <c:pt idx="16">
                  <c:v>0.20080796378450799</c:v>
                </c:pt>
                <c:pt idx="17">
                  <c:v>0.200816900329299</c:v>
                </c:pt>
                <c:pt idx="18">
                  <c:v>0.20082626526678901</c:v>
                </c:pt>
                <c:pt idx="19">
                  <c:v>0.200836058927332</c:v>
                </c:pt>
                <c:pt idx="20">
                  <c:v>0.20084628166344301</c:v>
                </c:pt>
                <c:pt idx="21">
                  <c:v>0.20085726168200799</c:v>
                </c:pt>
                <c:pt idx="22">
                  <c:v>0.200868995693052</c:v>
                </c:pt>
                <c:pt idx="23">
                  <c:v>0.20088115470714701</c:v>
                </c:pt>
                <c:pt idx="24">
                  <c:v>0.20089373909296901</c:v>
                </c:pt>
                <c:pt idx="25">
                  <c:v>0.20090674924214499</c:v>
                </c:pt>
                <c:pt idx="26">
                  <c:v>0.20092018556987101</c:v>
                </c:pt>
                <c:pt idx="27">
                  <c:v>0.200934048514612</c:v>
                </c:pt>
                <c:pt idx="28">
                  <c:v>0.200948673631896</c:v>
                </c:pt>
                <c:pt idx="29">
                  <c:v>0.20096405647752399</c:v>
                </c:pt>
                <c:pt idx="30">
                  <c:v>0.200979860333689</c:v>
                </c:pt>
                <c:pt idx="31">
                  <c:v>0.20099608560368701</c:v>
                </c:pt>
                <c:pt idx="32">
                  <c:v>0.20101273271527201</c:v>
                </c:pt>
                <c:pt idx="33">
                  <c:v>0.20102980212114199</c:v>
                </c:pt>
                <c:pt idx="34">
                  <c:v>0.20104729429865101</c:v>
                </c:pt>
                <c:pt idx="35">
                  <c:v>0.20106555116176</c:v>
                </c:pt>
                <c:pt idx="36">
                  <c:v>0.20108456711359801</c:v>
                </c:pt>
                <c:pt idx="37">
                  <c:v>0.201103998611211</c:v>
                </c:pt>
                <c:pt idx="38">
                  <c:v>0.201123846028884</c:v>
                </c:pt>
                <c:pt idx="39">
                  <c:v>0.20114410976736699</c:v>
                </c:pt>
                <c:pt idx="40">
                  <c:v>0.20116479025408701</c:v>
                </c:pt>
                <c:pt idx="41">
                  <c:v>0.201185887943026</c:v>
                </c:pt>
                <c:pt idx="42">
                  <c:v>0.20120775467079699</c:v>
                </c:pt>
                <c:pt idx="43">
                  <c:v>0.20123038361479001</c:v>
                </c:pt>
                <c:pt idx="44">
                  <c:v>0.201253420690505</c:v>
                </c:pt>
                <c:pt idx="45">
                  <c:v>0.201276866152758</c:v>
                </c:pt>
                <c:pt idx="46">
                  <c:v>0.201300720284951</c:v>
                </c:pt>
                <c:pt idx="47">
                  <c:v>0.20132498339937199</c:v>
                </c:pt>
                <c:pt idx="48">
                  <c:v>0.20134965583718401</c:v>
                </c:pt>
                <c:pt idx="49">
                  <c:v>0.201375101646215</c:v>
                </c:pt>
                <c:pt idx="50">
                  <c:v>0.20140131276461401</c:v>
                </c:pt>
                <c:pt idx="51">
                  <c:v>0.201427922116201</c:v>
                </c:pt>
                <c:pt idx="52">
                  <c:v>0.20145492972866599</c:v>
                </c:pt>
                <c:pt idx="53">
                  <c:v>0.20148233566076701</c:v>
                </c:pt>
                <c:pt idx="54">
                  <c:v>0.20151014000314799</c:v>
                </c:pt>
                <c:pt idx="55">
                  <c:v>0.20153834287776201</c:v>
                </c:pt>
                <c:pt idx="56">
                  <c:v>0.201567324165566</c:v>
                </c:pt>
                <c:pt idx="57">
                  <c:v>0.201597074414605</c:v>
                </c:pt>
                <c:pt idx="58">
                  <c:v>0.20162720965946501</c:v>
                </c:pt>
                <c:pt idx="59">
                  <c:v>0.20165772953802</c:v>
                </c:pt>
                <c:pt idx="60">
                  <c:v>0.20168863372249701</c:v>
                </c:pt>
                <c:pt idx="61">
                  <c:v>0.201719921919912</c:v>
                </c:pt>
                <c:pt idx="62">
                  <c:v>0.201751593872008</c:v>
                </c:pt>
                <c:pt idx="63">
                  <c:v>0.201784049621793</c:v>
                </c:pt>
                <c:pt idx="64">
                  <c:v>0.201817278370863</c:v>
                </c:pt>
                <c:pt idx="65">
                  <c:v>0.20185087469341501</c:v>
                </c:pt>
                <c:pt idx="66">
                  <c:v>0.201884837671365</c:v>
                </c:pt>
                <c:pt idx="67">
                  <c:v>0.20191916642458499</c:v>
                </c:pt>
                <c:pt idx="68">
                  <c:v>0.201953860111589</c:v>
                </c:pt>
                <c:pt idx="69">
                  <c:v>0.20198891792918799</c:v>
                </c:pt>
                <c:pt idx="70">
                  <c:v>0.20202476521464599</c:v>
                </c:pt>
                <c:pt idx="71">
                  <c:v>0.20206138942714499</c:v>
                </c:pt>
                <c:pt idx="72">
                  <c:v>0.20209835801522699</c:v>
                </c:pt>
                <c:pt idx="73">
                  <c:v>0.20213566920364701</c:v>
                </c:pt>
                <c:pt idx="74">
                  <c:v>0.202173321259281</c:v>
                </c:pt>
                <c:pt idx="75">
                  <c:v>0.20221131249202601</c:v>
                </c:pt>
                <c:pt idx="76">
                  <c:v>0.20224964125407799</c:v>
                </c:pt>
                <c:pt idx="77">
                  <c:v>0.20228876567213</c:v>
                </c:pt>
                <c:pt idx="78">
                  <c:v>0.20232867175382299</c:v>
                </c:pt>
                <c:pt idx="79">
                  <c:v>0.20236889202997599</c:v>
                </c:pt>
                <c:pt idx="80">
                  <c:v>0.20240942364280201</c:v>
                </c:pt>
                <c:pt idx="81">
                  <c:v>0.20245026378185599</c:v>
                </c:pt>
                <c:pt idx="82">
                  <c:v>0.202491409684183</c:v>
                </c:pt>
                <c:pt idx="83">
                  <c:v>0.20253285863458101</c:v>
                </c:pt>
                <c:pt idx="84">
                  <c:v>0.20257510879872501</c:v>
                </c:pt>
                <c:pt idx="85">
                  <c:v>0.20261814365801201</c:v>
                </c:pt>
                <c:pt idx="86">
                  <c:v>0.20266145247762901</c:v>
                </c:pt>
                <c:pt idx="87">
                  <c:v>0.20270503071516499</c:v>
                </c:pt>
                <c:pt idx="88">
                  <c:v>0.20274887388104401</c:v>
                </c:pt>
                <c:pt idx="89">
                  <c:v>0.20279297753897199</c:v>
                </c:pt>
                <c:pt idx="90">
                  <c:v>0.20283733730594</c:v>
                </c:pt>
                <c:pt idx="91">
                  <c:v>0.202882505319046</c:v>
                </c:pt>
                <c:pt idx="92">
                  <c:v>0.20292846353277699</c:v>
                </c:pt>
                <c:pt idx="93">
                  <c:v>0.20297464378062199</c:v>
                </c:pt>
                <c:pt idx="94">
                  <c:v>0.203021039622508</c:v>
                </c:pt>
                <c:pt idx="95">
                  <c:v>0.20306764467809901</c:v>
                </c:pt>
                <c:pt idx="96">
                  <c:v>0.203114452626974</c:v>
                </c:pt>
                <c:pt idx="97">
                  <c:v>0.20316145720870199</c:v>
                </c:pt>
                <c:pt idx="98">
                  <c:v>0.203209273232169</c:v>
                </c:pt>
                <c:pt idx="99">
                  <c:v>0.203257878468277</c:v>
                </c:pt>
                <c:pt idx="100">
                  <c:v>0.20330663631402299</c:v>
                </c:pt>
                <c:pt idx="101">
                  <c:v>0.20335553711829399</c:v>
                </c:pt>
                <c:pt idx="102">
                  <c:v>0.203404571297332</c:v>
                </c:pt>
                <c:pt idx="103">
                  <c:v>0.20345372933549399</c:v>
                </c:pt>
                <c:pt idx="104">
                  <c:v>0.20350300178490799</c:v>
                </c:pt>
                <c:pt idx="105">
                  <c:v>0.20355309355864801</c:v>
                </c:pt>
                <c:pt idx="106">
                  <c:v>0.20360398055045101</c:v>
                </c:pt>
                <c:pt idx="107">
                  <c:v>0.203654930281045</c:v>
                </c:pt>
                <c:pt idx="108">
                  <c:v>0.203705929992719</c:v>
                </c:pt>
                <c:pt idx="109">
                  <c:v>0.20375696700504201</c:v>
                </c:pt>
                <c:pt idx="110">
                  <c:v>0.20380802871506401</c:v>
                </c:pt>
                <c:pt idx="111">
                  <c:v>0.20385910259749901</c:v>
                </c:pt>
                <c:pt idx="112">
                  <c:v>0.20391099165342</c:v>
                </c:pt>
                <c:pt idx="113">
                  <c:v>0.203963664796218</c:v>
                </c:pt>
                <c:pt idx="114">
                  <c:v>0.20401628124536</c:v>
                </c:pt>
                <c:pt idx="115">
                  <c:v>0.20406882208111199</c:v>
                </c:pt>
                <c:pt idx="116">
                  <c:v>0.20412126847319501</c:v>
                </c:pt>
                <c:pt idx="117">
                  <c:v>0.20417360168156601</c:v>
                </c:pt>
                <c:pt idx="118">
                  <c:v>0.204225803056369</c:v>
                </c:pt>
                <c:pt idx="119">
                  <c:v>0.204278822097061</c:v>
                </c:pt>
                <c:pt idx="120">
                  <c:v>0.204332622890913</c:v>
                </c:pt>
                <c:pt idx="121">
                  <c:v>0.20438620749667399</c:v>
                </c:pt>
                <c:pt idx="122">
                  <c:v>0.20443955219756901</c:v>
                </c:pt>
                <c:pt idx="123">
                  <c:v>0.204492633382483</c:v>
                </c:pt>
                <c:pt idx="124">
                  <c:v>0.204545427546761</c:v>
                </c:pt>
                <c:pt idx="125">
                  <c:v>0.204597911292487</c:v>
                </c:pt>
                <c:pt idx="126">
                  <c:v>0.20465120164504699</c:v>
                </c:pt>
                <c:pt idx="127">
                  <c:v>0.204705253588396</c:v>
                </c:pt>
                <c:pt idx="128">
                  <c:v>0.20475888443026999</c:v>
                </c:pt>
                <c:pt idx="129">
                  <c:v>0.20481205823607801</c:v>
                </c:pt>
                <c:pt idx="130">
                  <c:v>0.20486473919971801</c:v>
                </c:pt>
                <c:pt idx="131">
                  <c:v>0.204916891644607</c:v>
                </c:pt>
                <c:pt idx="132">
                  <c:v>0.20496848002491599</c:v>
                </c:pt>
                <c:pt idx="133">
                  <c:v>0.20502081347723999</c:v>
                </c:pt>
                <c:pt idx="134">
                  <c:v>0.20507382736780799</c:v>
                </c:pt>
                <c:pt idx="135">
                  <c:v>0.20512612384762199</c:v>
                </c:pt>
                <c:pt idx="136">
                  <c:v>0.205177660291497</c:v>
                </c:pt>
                <c:pt idx="137">
                  <c:v>0.20522839423918601</c:v>
                </c:pt>
                <c:pt idx="138">
                  <c:v>0.20527828339812701</c:v>
                </c:pt>
                <c:pt idx="139">
                  <c:v>0.20532728564489799</c:v>
                </c:pt>
                <c:pt idx="140">
                  <c:v>0.20537709853514499</c:v>
                </c:pt>
                <c:pt idx="141">
                  <c:v>0.20542765301729601</c:v>
                </c:pt>
                <c:pt idx="142">
                  <c:v>0.20547713468947101</c:v>
                </c:pt>
                <c:pt idx="143">
                  <c:v>0.20552547436628199</c:v>
                </c:pt>
                <c:pt idx="144">
                  <c:v>0.20557260306915401</c:v>
                </c:pt>
                <c:pt idx="145">
                  <c:v>0.20561845203215301</c:v>
                </c:pt>
                <c:pt idx="146">
                  <c:v>0.20566295270662599</c:v>
                </c:pt>
                <c:pt idx="147">
                  <c:v>0.205707784367161</c:v>
                </c:pt>
                <c:pt idx="148">
                  <c:v>0.205752812991809</c:v>
                </c:pt>
                <c:pt idx="149">
                  <c:v>0.205796191254811</c:v>
                </c:pt>
                <c:pt idx="150">
                  <c:v>0.205837845664432</c:v>
                </c:pt>
                <c:pt idx="151">
                  <c:v>0.20587770306522199</c:v>
                </c:pt>
                <c:pt idx="152">
                  <c:v>0.205915690651058</c:v>
                </c:pt>
                <c:pt idx="153">
                  <c:v>0.20595173597817801</c:v>
                </c:pt>
                <c:pt idx="154">
                  <c:v>0.20598882056562301</c:v>
                </c:pt>
                <c:pt idx="155">
                  <c:v>0.20602679972424701</c:v>
                </c:pt>
                <c:pt idx="156">
                  <c:v>0.20606245804093801</c:v>
                </c:pt>
                <c:pt idx="157">
                  <c:v>0.20609564842264</c:v>
                </c:pt>
                <c:pt idx="158">
                  <c:v>0.206126224143626</c:v>
                </c:pt>
                <c:pt idx="159">
                  <c:v>0.206154038877014</c:v>
                </c:pt>
                <c:pt idx="160">
                  <c:v>0.206178946726432</c:v>
                </c:pt>
                <c:pt idx="161">
                  <c:v>0.20620234109118499</c:v>
                </c:pt>
                <c:pt idx="162">
                  <c:v>0.206223975699828</c:v>
                </c:pt>
                <c:pt idx="163">
                  <c:v>0.206242155382063</c:v>
                </c:pt>
                <c:pt idx="164">
                  <c:v>0.20625677410472701</c:v>
                </c:pt>
                <c:pt idx="165">
                  <c:v>0.20626772683382</c:v>
                </c:pt>
                <c:pt idx="166">
                  <c:v>0.206274909640035</c:v>
                </c:pt>
                <c:pt idx="167">
                  <c:v>0.206278219812012</c:v>
                </c:pt>
                <c:pt idx="168">
                  <c:v>0.20628385774775199</c:v>
                </c:pt>
                <c:pt idx="169">
                  <c:v>0.206291250739292</c:v>
                </c:pt>
                <c:pt idx="170">
                  <c:v>0.206293564948974</c:v>
                </c:pt>
                <c:pt idx="171">
                  <c:v>0.20629040159286899</c:v>
                </c:pt>
                <c:pt idx="172">
                  <c:v>0.20628136249139201</c:v>
                </c:pt>
                <c:pt idx="173">
                  <c:v>0.20626605035370499</c:v>
                </c:pt>
                <c:pt idx="174">
                  <c:v>0.20624406909287199</c:v>
                </c:pt>
                <c:pt idx="175">
                  <c:v>0.206213562046481</c:v>
                </c:pt>
                <c:pt idx="176">
                  <c:v>0.206174397609972</c:v>
                </c:pt>
                <c:pt idx="177">
                  <c:v>0.206128049621251</c:v>
                </c:pt>
                <c:pt idx="178">
                  <c:v>0.20607450176897399</c:v>
                </c:pt>
                <c:pt idx="179">
                  <c:v>0.206013741872863</c:v>
                </c:pt>
                <c:pt idx="180">
                  <c:v>0.20594576307412399</c:v>
                </c:pt>
                <c:pt idx="181">
                  <c:v>0.20587056517219099</c:v>
                </c:pt>
                <c:pt idx="182">
                  <c:v>0.20580134705731501</c:v>
                </c:pt>
                <c:pt idx="183">
                  <c:v>0.205735087306185</c:v>
                </c:pt>
                <c:pt idx="184">
                  <c:v>0.205656171169768</c:v>
                </c:pt>
                <c:pt idx="185">
                  <c:v>0.205563114648151</c:v>
                </c:pt>
                <c:pt idx="186">
                  <c:v>0.20545443420499501</c:v>
                </c:pt>
                <c:pt idx="187">
                  <c:v>0.20532865049816401</c:v>
                </c:pt>
                <c:pt idx="188">
                  <c:v>0.20518429262339899</c:v>
                </c:pt>
                <c:pt idx="189">
                  <c:v>0.205007662718141</c:v>
                </c:pt>
                <c:pt idx="190">
                  <c:v>0.204800107200165</c:v>
                </c:pt>
                <c:pt idx="191">
                  <c:v>0.204575393444868</c:v>
                </c:pt>
                <c:pt idx="192">
                  <c:v>0.204334382038146</c:v>
                </c:pt>
                <c:pt idx="193">
                  <c:v>0.20407796043731799</c:v>
                </c:pt>
                <c:pt idx="194">
                  <c:v>0.203807060935352</c:v>
                </c:pt>
                <c:pt idx="195">
                  <c:v>0.20352268071273899</c:v>
                </c:pt>
                <c:pt idx="196">
                  <c:v>0.20323864402226599</c:v>
                </c:pt>
                <c:pt idx="197">
                  <c:v>0.20293855643876699</c:v>
                </c:pt>
                <c:pt idx="198">
                  <c:v>0.20259682937744999</c:v>
                </c:pt>
                <c:pt idx="199">
                  <c:v>0.202206042554777</c:v>
                </c:pt>
                <c:pt idx="200">
                  <c:v>0.20175877423515401</c:v>
                </c:pt>
                <c:pt idx="201">
                  <c:v>0.20124765939651301</c:v>
                </c:pt>
                <c:pt idx="202">
                  <c:v>0.20066545511654199</c:v>
                </c:pt>
                <c:pt idx="203">
                  <c:v>0.19994440000036601</c:v>
                </c:pt>
                <c:pt idx="204">
                  <c:v>0.19908192575502101</c:v>
                </c:pt>
                <c:pt idx="205">
                  <c:v>0.19814275837130299</c:v>
                </c:pt>
                <c:pt idx="206">
                  <c:v>0.197132083244108</c:v>
                </c:pt>
                <c:pt idx="207">
                  <c:v>0.19605649063726199</c:v>
                </c:pt>
                <c:pt idx="208">
                  <c:v>0.19492481931757499</c:v>
                </c:pt>
                <c:pt idx="209">
                  <c:v>0.193749037069505</c:v>
                </c:pt>
                <c:pt idx="210">
                  <c:v>0.192126460228875</c:v>
                </c:pt>
                <c:pt idx="211">
                  <c:v>0.189756199029534</c:v>
                </c:pt>
                <c:pt idx="212">
                  <c:v>0.18679185194341</c:v>
                </c:pt>
                <c:pt idx="213">
                  <c:v>0.183070467690091</c:v>
                </c:pt>
                <c:pt idx="214">
                  <c:v>0.17845709469892801</c:v>
                </c:pt>
                <c:pt idx="215">
                  <c:v>0.17286499990902199</c:v>
                </c:pt>
                <c:pt idx="216">
                  <c:v>0.16627773679514299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76-49D7-AD3B-CFB5363250C2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76-49D7-AD3B-CFB536325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3551"/>
        <c:axId val="1085700351"/>
      </c:scatterChart>
      <c:valAx>
        <c:axId val="10856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0351"/>
        <c:crosses val="autoZero"/>
        <c:crossBetween val="midCat"/>
      </c:valAx>
      <c:valAx>
        <c:axId val="108570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835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補間なし線形IGA!$AA$3:$AA$219</c:f>
              <c:numCache>
                <c:formatCode>0.00E+00</c:formatCode>
                <c:ptCount val="217"/>
                <c:pt idx="0">
                  <c:v>1.1520739999999999E-3</c:v>
                </c:pt>
                <c:pt idx="1">
                  <c:v>3.4562210000000002E-3</c:v>
                </c:pt>
                <c:pt idx="2">
                  <c:v>5.7603690000000004E-3</c:v>
                </c:pt>
                <c:pt idx="3">
                  <c:v>8.0645160000000007E-3</c:v>
                </c:pt>
                <c:pt idx="4">
                  <c:v>1.036866E-2</c:v>
                </c:pt>
                <c:pt idx="5">
                  <c:v>1.267281E-2</c:v>
                </c:pt>
                <c:pt idx="6">
                  <c:v>1.4976959999999999E-2</c:v>
                </c:pt>
                <c:pt idx="7">
                  <c:v>1.7281109999999999E-2</c:v>
                </c:pt>
                <c:pt idx="8">
                  <c:v>1.9585249999999998E-2</c:v>
                </c:pt>
                <c:pt idx="9">
                  <c:v>2.18894E-2</c:v>
                </c:pt>
                <c:pt idx="10">
                  <c:v>2.4193550000000001E-2</c:v>
                </c:pt>
                <c:pt idx="11">
                  <c:v>2.6497699999999999E-2</c:v>
                </c:pt>
                <c:pt idx="12">
                  <c:v>2.8801839999999999E-2</c:v>
                </c:pt>
                <c:pt idx="13">
                  <c:v>3.110599E-2</c:v>
                </c:pt>
                <c:pt idx="14">
                  <c:v>3.3410139999999998E-2</c:v>
                </c:pt>
                <c:pt idx="15">
                  <c:v>3.5714290000000003E-2</c:v>
                </c:pt>
                <c:pt idx="16">
                  <c:v>3.8018429999999999E-2</c:v>
                </c:pt>
                <c:pt idx="17">
                  <c:v>4.0322579999999997E-2</c:v>
                </c:pt>
                <c:pt idx="18">
                  <c:v>4.2626730000000002E-2</c:v>
                </c:pt>
                <c:pt idx="19">
                  <c:v>4.4930879999999999E-2</c:v>
                </c:pt>
                <c:pt idx="20">
                  <c:v>4.7235020000000003E-2</c:v>
                </c:pt>
                <c:pt idx="21">
                  <c:v>4.953917E-2</c:v>
                </c:pt>
                <c:pt idx="22">
                  <c:v>5.1843319999999998E-2</c:v>
                </c:pt>
                <c:pt idx="23">
                  <c:v>5.4147470000000003E-2</c:v>
                </c:pt>
                <c:pt idx="24">
                  <c:v>5.6451609999999999E-2</c:v>
                </c:pt>
                <c:pt idx="25">
                  <c:v>5.8755759999999997E-2</c:v>
                </c:pt>
                <c:pt idx="26">
                  <c:v>6.1059910000000002E-2</c:v>
                </c:pt>
                <c:pt idx="27">
                  <c:v>6.336406E-2</c:v>
                </c:pt>
                <c:pt idx="28">
                  <c:v>6.5668199999999996E-2</c:v>
                </c:pt>
                <c:pt idx="29">
                  <c:v>6.7972350000000001E-2</c:v>
                </c:pt>
                <c:pt idx="30">
                  <c:v>7.0276500000000006E-2</c:v>
                </c:pt>
                <c:pt idx="31">
                  <c:v>7.2580649999999997E-2</c:v>
                </c:pt>
                <c:pt idx="32">
                  <c:v>7.4884790000000007E-2</c:v>
                </c:pt>
                <c:pt idx="33">
                  <c:v>7.7188939999999998E-2</c:v>
                </c:pt>
                <c:pt idx="34">
                  <c:v>7.9493090000000002E-2</c:v>
                </c:pt>
                <c:pt idx="35">
                  <c:v>8.1797239999999993E-2</c:v>
                </c:pt>
                <c:pt idx="36">
                  <c:v>8.4101380000000003E-2</c:v>
                </c:pt>
                <c:pt idx="37">
                  <c:v>8.6405529999999994E-2</c:v>
                </c:pt>
                <c:pt idx="38">
                  <c:v>8.8709679999999999E-2</c:v>
                </c:pt>
                <c:pt idx="39">
                  <c:v>9.1013819999999995E-2</c:v>
                </c:pt>
                <c:pt idx="40">
                  <c:v>9.331797E-2</c:v>
                </c:pt>
                <c:pt idx="41">
                  <c:v>9.5622120000000005E-2</c:v>
                </c:pt>
                <c:pt idx="42">
                  <c:v>9.7926269999999996E-2</c:v>
                </c:pt>
                <c:pt idx="43">
                  <c:v>0.1002304</c:v>
                </c:pt>
                <c:pt idx="44">
                  <c:v>0.1025346</c:v>
                </c:pt>
                <c:pt idx="45">
                  <c:v>0.10483870000000001</c:v>
                </c:pt>
                <c:pt idx="46">
                  <c:v>0.1071429</c:v>
                </c:pt>
                <c:pt idx="47">
                  <c:v>0.109447</c:v>
                </c:pt>
                <c:pt idx="48">
                  <c:v>0.11175119999999999</c:v>
                </c:pt>
                <c:pt idx="49">
                  <c:v>0.1140553</c:v>
                </c:pt>
                <c:pt idx="50">
                  <c:v>0.1163594</c:v>
                </c:pt>
                <c:pt idx="51">
                  <c:v>0.11866359999999999</c:v>
                </c:pt>
                <c:pt idx="52">
                  <c:v>0.1209677</c:v>
                </c:pt>
                <c:pt idx="53">
                  <c:v>0.1232719</c:v>
                </c:pt>
                <c:pt idx="54">
                  <c:v>0.12557599999999999</c:v>
                </c:pt>
                <c:pt idx="55">
                  <c:v>0.1278802</c:v>
                </c:pt>
                <c:pt idx="56">
                  <c:v>0.1301843</c:v>
                </c:pt>
                <c:pt idx="57">
                  <c:v>0.13248850000000001</c:v>
                </c:pt>
                <c:pt idx="58">
                  <c:v>0.13479260000000001</c:v>
                </c:pt>
                <c:pt idx="59">
                  <c:v>0.13709679999999999</c:v>
                </c:pt>
                <c:pt idx="60">
                  <c:v>0.13940089999999999</c:v>
                </c:pt>
                <c:pt idx="61">
                  <c:v>0.1417051</c:v>
                </c:pt>
                <c:pt idx="62">
                  <c:v>0.1440092</c:v>
                </c:pt>
                <c:pt idx="63">
                  <c:v>0.14631340000000001</c:v>
                </c:pt>
                <c:pt idx="64">
                  <c:v>0.14861750000000001</c:v>
                </c:pt>
                <c:pt idx="65">
                  <c:v>0.15092169999999999</c:v>
                </c:pt>
                <c:pt idx="66">
                  <c:v>0.1532258</c:v>
                </c:pt>
                <c:pt idx="67">
                  <c:v>0.15553</c:v>
                </c:pt>
                <c:pt idx="68">
                  <c:v>0.1578341</c:v>
                </c:pt>
                <c:pt idx="69">
                  <c:v>0.16013820000000001</c:v>
                </c:pt>
                <c:pt idx="70">
                  <c:v>0.16244239999999999</c:v>
                </c:pt>
                <c:pt idx="71">
                  <c:v>0.16474649999999999</c:v>
                </c:pt>
                <c:pt idx="72">
                  <c:v>0.1670507</c:v>
                </c:pt>
                <c:pt idx="73">
                  <c:v>0.1693548</c:v>
                </c:pt>
                <c:pt idx="74">
                  <c:v>0.17165900000000001</c:v>
                </c:pt>
                <c:pt idx="75">
                  <c:v>0.17396310000000001</c:v>
                </c:pt>
                <c:pt idx="76">
                  <c:v>0.17626729999999999</c:v>
                </c:pt>
                <c:pt idx="77">
                  <c:v>0.17857139999999999</c:v>
                </c:pt>
                <c:pt idx="78">
                  <c:v>0.1808756</c:v>
                </c:pt>
                <c:pt idx="79">
                  <c:v>0.1831797</c:v>
                </c:pt>
                <c:pt idx="80">
                  <c:v>0.18548390000000001</c:v>
                </c:pt>
                <c:pt idx="81">
                  <c:v>0.18778800000000001</c:v>
                </c:pt>
                <c:pt idx="82">
                  <c:v>0.19009219999999999</c:v>
                </c:pt>
                <c:pt idx="83">
                  <c:v>0.19239629999999999</c:v>
                </c:pt>
                <c:pt idx="84">
                  <c:v>0.1947005</c:v>
                </c:pt>
                <c:pt idx="85">
                  <c:v>0.1970046</c:v>
                </c:pt>
                <c:pt idx="86">
                  <c:v>0.19930880000000001</c:v>
                </c:pt>
                <c:pt idx="87">
                  <c:v>0.20161290000000001</c:v>
                </c:pt>
                <c:pt idx="88">
                  <c:v>0.20391709999999999</c:v>
                </c:pt>
                <c:pt idx="89">
                  <c:v>0.20622119999999999</c:v>
                </c:pt>
                <c:pt idx="90">
                  <c:v>0.2085253</c:v>
                </c:pt>
                <c:pt idx="91">
                  <c:v>0.2108295</c:v>
                </c:pt>
                <c:pt idx="92">
                  <c:v>0.21313360000000001</c:v>
                </c:pt>
                <c:pt idx="93">
                  <c:v>0.21543780000000001</c:v>
                </c:pt>
                <c:pt idx="94">
                  <c:v>0.21774189999999999</c:v>
                </c:pt>
                <c:pt idx="95">
                  <c:v>0.22004609999999999</c:v>
                </c:pt>
                <c:pt idx="96">
                  <c:v>0.2223502</c:v>
                </c:pt>
                <c:pt idx="97">
                  <c:v>0.2246544</c:v>
                </c:pt>
                <c:pt idx="98">
                  <c:v>0.22695850000000001</c:v>
                </c:pt>
                <c:pt idx="99">
                  <c:v>0.22926270000000001</c:v>
                </c:pt>
                <c:pt idx="100">
                  <c:v>0.23156679999999999</c:v>
                </c:pt>
                <c:pt idx="101">
                  <c:v>0.233871</c:v>
                </c:pt>
                <c:pt idx="102">
                  <c:v>0.2361751</c:v>
                </c:pt>
                <c:pt idx="103">
                  <c:v>0.23847930000000001</c:v>
                </c:pt>
                <c:pt idx="104">
                  <c:v>0.24078340000000001</c:v>
                </c:pt>
                <c:pt idx="105">
                  <c:v>0.24308759999999999</c:v>
                </c:pt>
                <c:pt idx="106">
                  <c:v>0.24539169999999999</c:v>
                </c:pt>
                <c:pt idx="107">
                  <c:v>0.2476959</c:v>
                </c:pt>
                <c:pt idx="108">
                  <c:v>0.25</c:v>
                </c:pt>
                <c:pt idx="109">
                  <c:v>0.25230409999999998</c:v>
                </c:pt>
                <c:pt idx="110">
                  <c:v>0.25460830000000001</c:v>
                </c:pt>
                <c:pt idx="111">
                  <c:v>0.25691239999999999</c:v>
                </c:pt>
                <c:pt idx="112">
                  <c:v>0.25921660000000002</c:v>
                </c:pt>
                <c:pt idx="113">
                  <c:v>0.26152069999999999</c:v>
                </c:pt>
                <c:pt idx="114">
                  <c:v>0.26382489999999997</c:v>
                </c:pt>
                <c:pt idx="115">
                  <c:v>0.266129</c:v>
                </c:pt>
                <c:pt idx="116">
                  <c:v>0.26843319999999998</c:v>
                </c:pt>
                <c:pt idx="117">
                  <c:v>0.27073730000000001</c:v>
                </c:pt>
                <c:pt idx="118">
                  <c:v>0.27304149999999999</c:v>
                </c:pt>
                <c:pt idx="119">
                  <c:v>0.27534560000000002</c:v>
                </c:pt>
                <c:pt idx="120">
                  <c:v>0.2776498</c:v>
                </c:pt>
                <c:pt idx="121">
                  <c:v>0.27995389999999998</c:v>
                </c:pt>
                <c:pt idx="122">
                  <c:v>0.28225810000000001</c:v>
                </c:pt>
                <c:pt idx="123">
                  <c:v>0.28456219999999999</c:v>
                </c:pt>
                <c:pt idx="124">
                  <c:v>0.28686640000000002</c:v>
                </c:pt>
                <c:pt idx="125">
                  <c:v>0.2891705</c:v>
                </c:pt>
                <c:pt idx="126">
                  <c:v>0.29147469999999998</c:v>
                </c:pt>
                <c:pt idx="127">
                  <c:v>0.29377880000000001</c:v>
                </c:pt>
                <c:pt idx="128">
                  <c:v>0.29608289999999998</c:v>
                </c:pt>
                <c:pt idx="129">
                  <c:v>0.29838710000000002</c:v>
                </c:pt>
                <c:pt idx="130">
                  <c:v>0.30069119999999999</c:v>
                </c:pt>
                <c:pt idx="131">
                  <c:v>0.30299540000000003</c:v>
                </c:pt>
                <c:pt idx="132">
                  <c:v>0.3052995</c:v>
                </c:pt>
                <c:pt idx="133">
                  <c:v>0.30760369999999998</c:v>
                </c:pt>
                <c:pt idx="134">
                  <c:v>0.30990780000000001</c:v>
                </c:pt>
                <c:pt idx="135">
                  <c:v>0.31221199999999999</c:v>
                </c:pt>
                <c:pt idx="136">
                  <c:v>0.31451610000000002</c:v>
                </c:pt>
                <c:pt idx="137">
                  <c:v>0.3168203</c:v>
                </c:pt>
                <c:pt idx="138">
                  <c:v>0.31912439999999997</c:v>
                </c:pt>
                <c:pt idx="139">
                  <c:v>0.32142860000000001</c:v>
                </c:pt>
                <c:pt idx="140">
                  <c:v>0.32373269999999998</c:v>
                </c:pt>
                <c:pt idx="141">
                  <c:v>0.32603690000000002</c:v>
                </c:pt>
                <c:pt idx="142">
                  <c:v>0.32834099999999999</c:v>
                </c:pt>
                <c:pt idx="143">
                  <c:v>0.33064519999999997</c:v>
                </c:pt>
                <c:pt idx="144">
                  <c:v>0.3329493</c:v>
                </c:pt>
                <c:pt idx="145">
                  <c:v>0.33525349999999998</c:v>
                </c:pt>
                <c:pt idx="146">
                  <c:v>0.33755760000000001</c:v>
                </c:pt>
                <c:pt idx="147">
                  <c:v>0.33986179999999999</c:v>
                </c:pt>
                <c:pt idx="148">
                  <c:v>0.34216590000000002</c:v>
                </c:pt>
                <c:pt idx="149">
                  <c:v>0.34447</c:v>
                </c:pt>
                <c:pt idx="150">
                  <c:v>0.34677419999999998</c:v>
                </c:pt>
                <c:pt idx="151">
                  <c:v>0.34907830000000001</c:v>
                </c:pt>
                <c:pt idx="152">
                  <c:v>0.35138249999999999</c:v>
                </c:pt>
                <c:pt idx="153">
                  <c:v>0.35368660000000002</c:v>
                </c:pt>
                <c:pt idx="154">
                  <c:v>0.3559908</c:v>
                </c:pt>
                <c:pt idx="155">
                  <c:v>0.35829490000000003</c:v>
                </c:pt>
                <c:pt idx="156">
                  <c:v>0.36059910000000001</c:v>
                </c:pt>
                <c:pt idx="157">
                  <c:v>0.36290319999999998</c:v>
                </c:pt>
                <c:pt idx="158">
                  <c:v>0.36520740000000002</c:v>
                </c:pt>
                <c:pt idx="159">
                  <c:v>0.36751149999999999</c:v>
                </c:pt>
                <c:pt idx="160">
                  <c:v>0.36981570000000002</c:v>
                </c:pt>
                <c:pt idx="161">
                  <c:v>0.3721198</c:v>
                </c:pt>
                <c:pt idx="162">
                  <c:v>0.37442399999999998</c:v>
                </c:pt>
                <c:pt idx="163">
                  <c:v>0.37672810000000001</c:v>
                </c:pt>
                <c:pt idx="164">
                  <c:v>0.37903229999999999</c:v>
                </c:pt>
                <c:pt idx="165">
                  <c:v>0.38133640000000002</c:v>
                </c:pt>
                <c:pt idx="166">
                  <c:v>0.3836406</c:v>
                </c:pt>
                <c:pt idx="167">
                  <c:v>0.38594469999999997</c:v>
                </c:pt>
                <c:pt idx="168">
                  <c:v>0.38824880000000001</c:v>
                </c:pt>
                <c:pt idx="169">
                  <c:v>0.39055299999999998</c:v>
                </c:pt>
                <c:pt idx="170">
                  <c:v>0.39285710000000001</c:v>
                </c:pt>
                <c:pt idx="171">
                  <c:v>0.39516129999999999</c:v>
                </c:pt>
                <c:pt idx="172">
                  <c:v>0.39746540000000002</c:v>
                </c:pt>
                <c:pt idx="173">
                  <c:v>0.3997696</c:v>
                </c:pt>
                <c:pt idx="174">
                  <c:v>0.40207369999999998</c:v>
                </c:pt>
                <c:pt idx="175">
                  <c:v>0.40437790000000001</c:v>
                </c:pt>
                <c:pt idx="176">
                  <c:v>0.40668199999999999</c:v>
                </c:pt>
                <c:pt idx="177">
                  <c:v>0.40898620000000002</c:v>
                </c:pt>
                <c:pt idx="178">
                  <c:v>0.4112903</c:v>
                </c:pt>
                <c:pt idx="179">
                  <c:v>0.41359449999999998</c:v>
                </c:pt>
                <c:pt idx="180">
                  <c:v>0.41589860000000001</c:v>
                </c:pt>
                <c:pt idx="181">
                  <c:v>0.41820279999999999</c:v>
                </c:pt>
                <c:pt idx="182">
                  <c:v>0.42050690000000002</c:v>
                </c:pt>
                <c:pt idx="183">
                  <c:v>0.4228111</c:v>
                </c:pt>
                <c:pt idx="184">
                  <c:v>0.42511520000000003</c:v>
                </c:pt>
                <c:pt idx="185">
                  <c:v>0.4274194</c:v>
                </c:pt>
                <c:pt idx="186">
                  <c:v>0.42972349999999998</c:v>
                </c:pt>
                <c:pt idx="187">
                  <c:v>0.43202760000000001</c:v>
                </c:pt>
                <c:pt idx="188">
                  <c:v>0.43433179999999999</c:v>
                </c:pt>
                <c:pt idx="189">
                  <c:v>0.43663590000000002</c:v>
                </c:pt>
                <c:pt idx="190">
                  <c:v>0.4389401</c:v>
                </c:pt>
                <c:pt idx="191">
                  <c:v>0.44124419999999998</c:v>
                </c:pt>
                <c:pt idx="192">
                  <c:v>0.44354840000000001</c:v>
                </c:pt>
                <c:pt idx="193">
                  <c:v>0.44585249999999998</c:v>
                </c:pt>
                <c:pt idx="194">
                  <c:v>0.44815670000000002</c:v>
                </c:pt>
                <c:pt idx="195">
                  <c:v>0.45046079999999999</c:v>
                </c:pt>
                <c:pt idx="196">
                  <c:v>0.45276499999999997</c:v>
                </c:pt>
                <c:pt idx="197">
                  <c:v>0.4550691</c:v>
                </c:pt>
                <c:pt idx="198">
                  <c:v>0.45737329999999998</c:v>
                </c:pt>
                <c:pt idx="199">
                  <c:v>0.45967740000000001</c:v>
                </c:pt>
                <c:pt idx="200">
                  <c:v>0.46198159999999999</c:v>
                </c:pt>
                <c:pt idx="201">
                  <c:v>0.46428570000000002</c:v>
                </c:pt>
                <c:pt idx="202">
                  <c:v>0.4665899</c:v>
                </c:pt>
                <c:pt idx="203">
                  <c:v>0.46889399999999998</c:v>
                </c:pt>
                <c:pt idx="204">
                  <c:v>0.47119820000000001</c:v>
                </c:pt>
                <c:pt idx="205">
                  <c:v>0.47350229999999999</c:v>
                </c:pt>
                <c:pt idx="206">
                  <c:v>0.47580650000000002</c:v>
                </c:pt>
                <c:pt idx="207">
                  <c:v>0.4781106</c:v>
                </c:pt>
                <c:pt idx="208">
                  <c:v>0.48041469999999997</c:v>
                </c:pt>
                <c:pt idx="209">
                  <c:v>0.48271890000000001</c:v>
                </c:pt>
                <c:pt idx="210">
                  <c:v>0.48502299999999998</c:v>
                </c:pt>
                <c:pt idx="211">
                  <c:v>0.48732720000000002</c:v>
                </c:pt>
                <c:pt idx="212">
                  <c:v>0.48963129999999999</c:v>
                </c:pt>
                <c:pt idx="213">
                  <c:v>0.49193550000000003</c:v>
                </c:pt>
                <c:pt idx="214">
                  <c:v>0.4942396</c:v>
                </c:pt>
                <c:pt idx="215">
                  <c:v>0.49654379999999998</c:v>
                </c:pt>
                <c:pt idx="216">
                  <c:v>0.49884790000000001</c:v>
                </c:pt>
              </c:numCache>
            </c:numRef>
          </c:xVal>
          <c:yVal>
            <c:numRef>
              <c:f>補間なし線形IGA!$AD$3:$AD$219</c:f>
              <c:numCache>
                <c:formatCode>0.00E+00</c:formatCode>
                <c:ptCount val="217"/>
                <c:pt idx="0">
                  <c:v>0.20073634490167</c:v>
                </c:pt>
                <c:pt idx="1">
                  <c:v>0.20073712038941999</c:v>
                </c:pt>
                <c:pt idx="2">
                  <c:v>0.20073832654898399</c:v>
                </c:pt>
                <c:pt idx="3">
                  <c:v>0.20073996341824099</c:v>
                </c:pt>
                <c:pt idx="4">
                  <c:v>0.20074203105626801</c:v>
                </c:pt>
                <c:pt idx="5">
                  <c:v>0.20074452954347</c:v>
                </c:pt>
                <c:pt idx="6">
                  <c:v>0.200747458981238</c:v>
                </c:pt>
                <c:pt idx="7">
                  <c:v>0.20075113027401401</c:v>
                </c:pt>
                <c:pt idx="8">
                  <c:v>0.200755542375575</c:v>
                </c:pt>
                <c:pt idx="9">
                  <c:v>0.20076038416736899</c:v>
                </c:pt>
                <c:pt idx="10">
                  <c:v>0.20076565582080499</c:v>
                </c:pt>
                <c:pt idx="11">
                  <c:v>0.20077135752867301</c:v>
                </c:pt>
                <c:pt idx="12">
                  <c:v>0.20077748950548299</c:v>
                </c:pt>
                <c:pt idx="13">
                  <c:v>0.200784051987239</c:v>
                </c:pt>
                <c:pt idx="14">
                  <c:v>0.20079137466362401</c:v>
                </c:pt>
                <c:pt idx="15">
                  <c:v>0.20079945532459301</c:v>
                </c:pt>
                <c:pt idx="16">
                  <c:v>0.20080796378450799</c:v>
                </c:pt>
                <c:pt idx="17">
                  <c:v>0.200816900329299</c:v>
                </c:pt>
                <c:pt idx="18">
                  <c:v>0.20082626526678901</c:v>
                </c:pt>
                <c:pt idx="19">
                  <c:v>0.200836058927332</c:v>
                </c:pt>
                <c:pt idx="20">
                  <c:v>0.20084628166344301</c:v>
                </c:pt>
                <c:pt idx="21">
                  <c:v>0.20085726168200799</c:v>
                </c:pt>
                <c:pt idx="22">
                  <c:v>0.200868995693052</c:v>
                </c:pt>
                <c:pt idx="23">
                  <c:v>0.20088115470714701</c:v>
                </c:pt>
                <c:pt idx="24">
                  <c:v>0.20089373909296901</c:v>
                </c:pt>
                <c:pt idx="25">
                  <c:v>0.20090674924214499</c:v>
                </c:pt>
                <c:pt idx="26">
                  <c:v>0.20092018556987101</c:v>
                </c:pt>
                <c:pt idx="27">
                  <c:v>0.200934048514612</c:v>
                </c:pt>
                <c:pt idx="28">
                  <c:v>0.200948673631896</c:v>
                </c:pt>
                <c:pt idx="29">
                  <c:v>0.20096405647752399</c:v>
                </c:pt>
                <c:pt idx="30">
                  <c:v>0.200979860333689</c:v>
                </c:pt>
                <c:pt idx="31">
                  <c:v>0.20099608560368701</c:v>
                </c:pt>
                <c:pt idx="32">
                  <c:v>0.20101273271527201</c:v>
                </c:pt>
                <c:pt idx="33">
                  <c:v>0.20102980212114199</c:v>
                </c:pt>
                <c:pt idx="34">
                  <c:v>0.20104729429865101</c:v>
                </c:pt>
                <c:pt idx="35">
                  <c:v>0.20106555116176</c:v>
                </c:pt>
                <c:pt idx="36">
                  <c:v>0.20108456711359801</c:v>
                </c:pt>
                <c:pt idx="37">
                  <c:v>0.201103998611211</c:v>
                </c:pt>
                <c:pt idx="38">
                  <c:v>0.201123846028884</c:v>
                </c:pt>
                <c:pt idx="39">
                  <c:v>0.20114410976736699</c:v>
                </c:pt>
                <c:pt idx="40">
                  <c:v>0.20116479025408701</c:v>
                </c:pt>
                <c:pt idx="41">
                  <c:v>0.201185887943026</c:v>
                </c:pt>
                <c:pt idx="42">
                  <c:v>0.20120775467079699</c:v>
                </c:pt>
                <c:pt idx="43">
                  <c:v>0.20123038361479001</c:v>
                </c:pt>
                <c:pt idx="44">
                  <c:v>0.201253420690505</c:v>
                </c:pt>
                <c:pt idx="45">
                  <c:v>0.201276866152758</c:v>
                </c:pt>
                <c:pt idx="46">
                  <c:v>0.201300720284951</c:v>
                </c:pt>
                <c:pt idx="47">
                  <c:v>0.20132498339937199</c:v>
                </c:pt>
                <c:pt idx="48">
                  <c:v>0.20134965583718401</c:v>
                </c:pt>
                <c:pt idx="49">
                  <c:v>0.201375101646215</c:v>
                </c:pt>
                <c:pt idx="50">
                  <c:v>0.20140131276461401</c:v>
                </c:pt>
                <c:pt idx="51">
                  <c:v>0.201427922116201</c:v>
                </c:pt>
                <c:pt idx="52">
                  <c:v>0.20145492972866599</c:v>
                </c:pt>
                <c:pt idx="53">
                  <c:v>0.20148233566076701</c:v>
                </c:pt>
                <c:pt idx="54">
                  <c:v>0.20151014000314799</c:v>
                </c:pt>
                <c:pt idx="55">
                  <c:v>0.20153834287776201</c:v>
                </c:pt>
                <c:pt idx="56">
                  <c:v>0.201567324165566</c:v>
                </c:pt>
                <c:pt idx="57">
                  <c:v>0.201597074414605</c:v>
                </c:pt>
                <c:pt idx="58">
                  <c:v>0.20162720965946501</c:v>
                </c:pt>
                <c:pt idx="59">
                  <c:v>0.20165772953802</c:v>
                </c:pt>
                <c:pt idx="60">
                  <c:v>0.20168863372249701</c:v>
                </c:pt>
                <c:pt idx="61">
                  <c:v>0.201719921919912</c:v>
                </c:pt>
                <c:pt idx="62">
                  <c:v>0.201751593872008</c:v>
                </c:pt>
                <c:pt idx="63">
                  <c:v>0.201784049621793</c:v>
                </c:pt>
                <c:pt idx="64">
                  <c:v>0.201817278370863</c:v>
                </c:pt>
                <c:pt idx="65">
                  <c:v>0.20185087469341501</c:v>
                </c:pt>
                <c:pt idx="66">
                  <c:v>0.201884837671365</c:v>
                </c:pt>
                <c:pt idx="67">
                  <c:v>0.20191916642458499</c:v>
                </c:pt>
                <c:pt idx="68">
                  <c:v>0.201953860111589</c:v>
                </c:pt>
                <c:pt idx="69">
                  <c:v>0.20198891792918799</c:v>
                </c:pt>
                <c:pt idx="70">
                  <c:v>0.20202476521464599</c:v>
                </c:pt>
                <c:pt idx="71">
                  <c:v>0.20206138942714499</c:v>
                </c:pt>
                <c:pt idx="72">
                  <c:v>0.20209835801522699</c:v>
                </c:pt>
                <c:pt idx="73">
                  <c:v>0.20213566920364701</c:v>
                </c:pt>
                <c:pt idx="74">
                  <c:v>0.202173321259281</c:v>
                </c:pt>
                <c:pt idx="75">
                  <c:v>0.20221131249202601</c:v>
                </c:pt>
                <c:pt idx="76">
                  <c:v>0.20224964125407799</c:v>
                </c:pt>
                <c:pt idx="77">
                  <c:v>0.20228876567213</c:v>
                </c:pt>
                <c:pt idx="78">
                  <c:v>0.20232867175382299</c:v>
                </c:pt>
                <c:pt idx="79">
                  <c:v>0.20236889202997599</c:v>
                </c:pt>
                <c:pt idx="80">
                  <c:v>0.20240942364280201</c:v>
                </c:pt>
                <c:pt idx="81">
                  <c:v>0.20245026378185599</c:v>
                </c:pt>
                <c:pt idx="82">
                  <c:v>0.202491409684183</c:v>
                </c:pt>
                <c:pt idx="83">
                  <c:v>0.20253285863458101</c:v>
                </c:pt>
                <c:pt idx="84">
                  <c:v>0.20257510879872501</c:v>
                </c:pt>
                <c:pt idx="85">
                  <c:v>0.20261814365801201</c:v>
                </c:pt>
                <c:pt idx="86">
                  <c:v>0.20266145247762901</c:v>
                </c:pt>
                <c:pt idx="87">
                  <c:v>0.20270503071516499</c:v>
                </c:pt>
                <c:pt idx="88">
                  <c:v>0.20274887388104401</c:v>
                </c:pt>
                <c:pt idx="89">
                  <c:v>0.20279297753897199</c:v>
                </c:pt>
                <c:pt idx="90">
                  <c:v>0.20283733730594</c:v>
                </c:pt>
                <c:pt idx="91">
                  <c:v>0.202882505319046</c:v>
                </c:pt>
                <c:pt idx="92">
                  <c:v>0.20292846353277699</c:v>
                </c:pt>
                <c:pt idx="93">
                  <c:v>0.20297464378062199</c:v>
                </c:pt>
                <c:pt idx="94">
                  <c:v>0.203021039622508</c:v>
                </c:pt>
                <c:pt idx="95">
                  <c:v>0.20306764467809901</c:v>
                </c:pt>
                <c:pt idx="96">
                  <c:v>0.203114452626974</c:v>
                </c:pt>
                <c:pt idx="97">
                  <c:v>0.20316145720870199</c:v>
                </c:pt>
                <c:pt idx="98">
                  <c:v>0.203209273232169</c:v>
                </c:pt>
                <c:pt idx="99">
                  <c:v>0.203257878468277</c:v>
                </c:pt>
                <c:pt idx="100">
                  <c:v>0.20330663631402299</c:v>
                </c:pt>
                <c:pt idx="101">
                  <c:v>0.20335553711829399</c:v>
                </c:pt>
                <c:pt idx="102">
                  <c:v>0.203404571297332</c:v>
                </c:pt>
                <c:pt idx="103">
                  <c:v>0.20345372933549399</c:v>
                </c:pt>
                <c:pt idx="104">
                  <c:v>0.20350300178490799</c:v>
                </c:pt>
                <c:pt idx="105">
                  <c:v>0.20355309355864801</c:v>
                </c:pt>
                <c:pt idx="106">
                  <c:v>0.20360398055045101</c:v>
                </c:pt>
                <c:pt idx="107">
                  <c:v>0.203654930281045</c:v>
                </c:pt>
                <c:pt idx="108">
                  <c:v>0.203705929992719</c:v>
                </c:pt>
                <c:pt idx="109">
                  <c:v>0.20375696700504201</c:v>
                </c:pt>
                <c:pt idx="110">
                  <c:v>0.20380802871506401</c:v>
                </c:pt>
                <c:pt idx="111">
                  <c:v>0.20385910259749901</c:v>
                </c:pt>
                <c:pt idx="112">
                  <c:v>0.20391099165342</c:v>
                </c:pt>
                <c:pt idx="113">
                  <c:v>0.203963664796218</c:v>
                </c:pt>
                <c:pt idx="114">
                  <c:v>0.20401628124536</c:v>
                </c:pt>
                <c:pt idx="115">
                  <c:v>0.20406882208111199</c:v>
                </c:pt>
                <c:pt idx="116">
                  <c:v>0.20412126847319501</c:v>
                </c:pt>
                <c:pt idx="117">
                  <c:v>0.20417360168156601</c:v>
                </c:pt>
                <c:pt idx="118">
                  <c:v>0.204225803056369</c:v>
                </c:pt>
                <c:pt idx="119">
                  <c:v>0.204278822097061</c:v>
                </c:pt>
                <c:pt idx="120">
                  <c:v>0.204332622890913</c:v>
                </c:pt>
                <c:pt idx="121">
                  <c:v>0.20438620749667399</c:v>
                </c:pt>
                <c:pt idx="122">
                  <c:v>0.20443955219756901</c:v>
                </c:pt>
                <c:pt idx="123">
                  <c:v>0.204492633382483</c:v>
                </c:pt>
                <c:pt idx="124">
                  <c:v>0.204545427546761</c:v>
                </c:pt>
                <c:pt idx="125">
                  <c:v>0.204597911292487</c:v>
                </c:pt>
                <c:pt idx="126">
                  <c:v>0.20465120164504699</c:v>
                </c:pt>
                <c:pt idx="127">
                  <c:v>0.204705253588396</c:v>
                </c:pt>
                <c:pt idx="128">
                  <c:v>0.20475888443026999</c:v>
                </c:pt>
                <c:pt idx="129">
                  <c:v>0.20481205823607801</c:v>
                </c:pt>
                <c:pt idx="130">
                  <c:v>0.20486473919971801</c:v>
                </c:pt>
                <c:pt idx="131">
                  <c:v>0.204916891644607</c:v>
                </c:pt>
                <c:pt idx="132">
                  <c:v>0.20496848002491599</c:v>
                </c:pt>
                <c:pt idx="133">
                  <c:v>0.20502081347723999</c:v>
                </c:pt>
                <c:pt idx="134">
                  <c:v>0.20507382736780799</c:v>
                </c:pt>
                <c:pt idx="135">
                  <c:v>0.20512612384762199</c:v>
                </c:pt>
                <c:pt idx="136">
                  <c:v>0.205177660291497</c:v>
                </c:pt>
                <c:pt idx="137">
                  <c:v>0.20522839423918601</c:v>
                </c:pt>
                <c:pt idx="138">
                  <c:v>0.20527828339812701</c:v>
                </c:pt>
                <c:pt idx="139">
                  <c:v>0.20532728564489799</c:v>
                </c:pt>
                <c:pt idx="140">
                  <c:v>0.20537709853514499</c:v>
                </c:pt>
                <c:pt idx="141">
                  <c:v>0.20542765301729601</c:v>
                </c:pt>
                <c:pt idx="142">
                  <c:v>0.20547713468947101</c:v>
                </c:pt>
                <c:pt idx="143">
                  <c:v>0.20552547436628199</c:v>
                </c:pt>
                <c:pt idx="144">
                  <c:v>0.20557260306915401</c:v>
                </c:pt>
                <c:pt idx="145">
                  <c:v>0.20561845203215301</c:v>
                </c:pt>
                <c:pt idx="146">
                  <c:v>0.20566295270662599</c:v>
                </c:pt>
                <c:pt idx="147">
                  <c:v>0.205707784367161</c:v>
                </c:pt>
                <c:pt idx="148">
                  <c:v>0.205752812991809</c:v>
                </c:pt>
                <c:pt idx="149">
                  <c:v>0.205796191254811</c:v>
                </c:pt>
                <c:pt idx="150">
                  <c:v>0.205837845664432</c:v>
                </c:pt>
                <c:pt idx="151">
                  <c:v>0.20587770306522199</c:v>
                </c:pt>
                <c:pt idx="152">
                  <c:v>0.205915690651058</c:v>
                </c:pt>
                <c:pt idx="153">
                  <c:v>0.20595173597817801</c:v>
                </c:pt>
                <c:pt idx="154">
                  <c:v>0.20598882056562301</c:v>
                </c:pt>
                <c:pt idx="155">
                  <c:v>0.20602679972424701</c:v>
                </c:pt>
                <c:pt idx="156">
                  <c:v>0.20606245804093801</c:v>
                </c:pt>
                <c:pt idx="157">
                  <c:v>0.20609564842264</c:v>
                </c:pt>
                <c:pt idx="158">
                  <c:v>0.206126224143626</c:v>
                </c:pt>
                <c:pt idx="159">
                  <c:v>0.206154038877014</c:v>
                </c:pt>
                <c:pt idx="160">
                  <c:v>0.206178946726432</c:v>
                </c:pt>
                <c:pt idx="161">
                  <c:v>0.20620234109118499</c:v>
                </c:pt>
                <c:pt idx="162">
                  <c:v>0.206223975699828</c:v>
                </c:pt>
                <c:pt idx="163">
                  <c:v>0.206242155382063</c:v>
                </c:pt>
                <c:pt idx="164">
                  <c:v>0.20625677410472701</c:v>
                </c:pt>
                <c:pt idx="165">
                  <c:v>0.20626772683382</c:v>
                </c:pt>
                <c:pt idx="166">
                  <c:v>0.206274909640035</c:v>
                </c:pt>
                <c:pt idx="167">
                  <c:v>0.206278219812012</c:v>
                </c:pt>
                <c:pt idx="168">
                  <c:v>0.20628385774775199</c:v>
                </c:pt>
                <c:pt idx="169">
                  <c:v>0.206291250739292</c:v>
                </c:pt>
                <c:pt idx="170">
                  <c:v>0.206293564948974</c:v>
                </c:pt>
                <c:pt idx="171">
                  <c:v>0.20629040159286899</c:v>
                </c:pt>
                <c:pt idx="172">
                  <c:v>0.20628136249139201</c:v>
                </c:pt>
                <c:pt idx="173">
                  <c:v>0.20626605035370499</c:v>
                </c:pt>
                <c:pt idx="174">
                  <c:v>0.20624406909287199</c:v>
                </c:pt>
                <c:pt idx="175">
                  <c:v>0.206213562046481</c:v>
                </c:pt>
                <c:pt idx="176">
                  <c:v>0.206174397609972</c:v>
                </c:pt>
                <c:pt idx="177">
                  <c:v>0.206128049621251</c:v>
                </c:pt>
                <c:pt idx="178">
                  <c:v>0.20607450176897399</c:v>
                </c:pt>
                <c:pt idx="179">
                  <c:v>0.206013741872863</c:v>
                </c:pt>
                <c:pt idx="180">
                  <c:v>0.20594576307412399</c:v>
                </c:pt>
                <c:pt idx="181">
                  <c:v>0.20587056517219099</c:v>
                </c:pt>
                <c:pt idx="182">
                  <c:v>0.20580134705731501</c:v>
                </c:pt>
                <c:pt idx="183">
                  <c:v>0.205735087306185</c:v>
                </c:pt>
                <c:pt idx="184">
                  <c:v>0.205656171169768</c:v>
                </c:pt>
                <c:pt idx="185">
                  <c:v>0.205563114648151</c:v>
                </c:pt>
                <c:pt idx="186">
                  <c:v>0.20545443420499501</c:v>
                </c:pt>
                <c:pt idx="187">
                  <c:v>0.20532865049816401</c:v>
                </c:pt>
                <c:pt idx="188">
                  <c:v>0.20518429262339899</c:v>
                </c:pt>
                <c:pt idx="189">
                  <c:v>0.205007662718141</c:v>
                </c:pt>
                <c:pt idx="190">
                  <c:v>0.204800107200165</c:v>
                </c:pt>
                <c:pt idx="191">
                  <c:v>0.204575393444868</c:v>
                </c:pt>
                <c:pt idx="192">
                  <c:v>0.204334382038146</c:v>
                </c:pt>
                <c:pt idx="193">
                  <c:v>0.20407796043731799</c:v>
                </c:pt>
                <c:pt idx="194">
                  <c:v>0.203807060935352</c:v>
                </c:pt>
                <c:pt idx="195">
                  <c:v>0.20352268071273899</c:v>
                </c:pt>
                <c:pt idx="196">
                  <c:v>0.20323864402226599</c:v>
                </c:pt>
                <c:pt idx="197">
                  <c:v>0.20293855643876699</c:v>
                </c:pt>
                <c:pt idx="198">
                  <c:v>0.20259682937744999</c:v>
                </c:pt>
                <c:pt idx="199">
                  <c:v>0.202206042554777</c:v>
                </c:pt>
                <c:pt idx="200">
                  <c:v>0.20175877423515401</c:v>
                </c:pt>
                <c:pt idx="201">
                  <c:v>0.20124765939651301</c:v>
                </c:pt>
                <c:pt idx="202">
                  <c:v>0.20066545511654199</c:v>
                </c:pt>
                <c:pt idx="203">
                  <c:v>0.19994440000036601</c:v>
                </c:pt>
                <c:pt idx="204">
                  <c:v>0.19908192575502101</c:v>
                </c:pt>
                <c:pt idx="205">
                  <c:v>0.19814275837130299</c:v>
                </c:pt>
                <c:pt idx="206">
                  <c:v>0.197132083244108</c:v>
                </c:pt>
                <c:pt idx="207">
                  <c:v>0.19605649063726199</c:v>
                </c:pt>
                <c:pt idx="208">
                  <c:v>0.19492481931757499</c:v>
                </c:pt>
                <c:pt idx="209">
                  <c:v>0.193749037069505</c:v>
                </c:pt>
                <c:pt idx="210">
                  <c:v>0.192126460228875</c:v>
                </c:pt>
                <c:pt idx="211">
                  <c:v>0.189756199029534</c:v>
                </c:pt>
                <c:pt idx="212">
                  <c:v>0.18679185194341</c:v>
                </c:pt>
                <c:pt idx="213">
                  <c:v>0.183070467690091</c:v>
                </c:pt>
                <c:pt idx="214">
                  <c:v>0.17845709469892801</c:v>
                </c:pt>
                <c:pt idx="215">
                  <c:v>0.17286499990902199</c:v>
                </c:pt>
                <c:pt idx="216">
                  <c:v>0.16627773679514299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8-4639-9D67-1B1DFE17C211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8-4639-9D67-1B1DFE17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3551"/>
        <c:axId val="1085700351"/>
      </c:scatterChart>
      <c:valAx>
        <c:axId val="10856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0351"/>
        <c:crosses val="autoZero"/>
        <c:crossBetween val="midCat"/>
      </c:valAx>
      <c:valAx>
        <c:axId val="1085700351"/>
        <c:scaling>
          <c:orientation val="minMax"/>
          <c:min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835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補間なし線形IGA!$AH$14:$AH$110</c:f>
              <c:numCache>
                <c:formatCode>0.00E+00</c:formatCode>
                <c:ptCount val="97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</c:numCache>
            </c:numRef>
          </c:xVal>
          <c:yVal>
            <c:numRef>
              <c:f>補間なし線形IGA!$AI$14:$AI$110</c:f>
              <c:numCache>
                <c:formatCode>0.00E+00</c:formatCode>
                <c:ptCount val="97"/>
                <c:pt idx="0">
                  <c:v>0.398005</c:v>
                </c:pt>
                <c:pt idx="1">
                  <c:v>0.39805299999999999</c:v>
                </c:pt>
                <c:pt idx="2">
                  <c:v>0.39810099999999998</c:v>
                </c:pt>
                <c:pt idx="3">
                  <c:v>0.39824500000000002</c:v>
                </c:pt>
                <c:pt idx="4">
                  <c:v>0.39839000000000002</c:v>
                </c:pt>
                <c:pt idx="5">
                  <c:v>0.39862999999999998</c:v>
                </c:pt>
                <c:pt idx="6">
                  <c:v>0.39887</c:v>
                </c:pt>
                <c:pt idx="7">
                  <c:v>0.399204</c:v>
                </c:pt>
                <c:pt idx="8">
                  <c:v>0.39953899999999998</c:v>
                </c:pt>
                <c:pt idx="9">
                  <c:v>0.39996599999999999</c:v>
                </c:pt>
                <c:pt idx="10">
                  <c:v>0.400393</c:v>
                </c:pt>
                <c:pt idx="11">
                  <c:v>0.40090900000000002</c:v>
                </c:pt>
                <c:pt idx="12">
                  <c:v>0.401424</c:v>
                </c:pt>
                <c:pt idx="13">
                  <c:v>0.40202100000000002</c:v>
                </c:pt>
                <c:pt idx="14">
                  <c:v>0.40261799999999998</c:v>
                </c:pt>
                <c:pt idx="15">
                  <c:v>0.403283</c:v>
                </c:pt>
                <c:pt idx="16">
                  <c:v>0.403949</c:v>
                </c:pt>
                <c:pt idx="17">
                  <c:v>0.40465899999999999</c:v>
                </c:pt>
                <c:pt idx="18">
                  <c:v>0.40537000000000001</c:v>
                </c:pt>
                <c:pt idx="19">
                  <c:v>0.406086</c:v>
                </c:pt>
                <c:pt idx="20">
                  <c:v>0.406802</c:v>
                </c:pt>
                <c:pt idx="21">
                  <c:v>0.407447</c:v>
                </c:pt>
                <c:pt idx="22">
                  <c:v>0.40809200000000001</c:v>
                </c:pt>
                <c:pt idx="23">
                  <c:v>0.40852899999999998</c:v>
                </c:pt>
                <c:pt idx="24">
                  <c:v>0.40896700000000002</c:v>
                </c:pt>
                <c:pt idx="25">
                  <c:v>0.40883399999999998</c:v>
                </c:pt>
                <c:pt idx="26">
                  <c:v>0.40870000000000001</c:v>
                </c:pt>
                <c:pt idx="27">
                  <c:v>0.40736499999999998</c:v>
                </c:pt>
                <c:pt idx="28">
                  <c:v>0.40603</c:v>
                </c:pt>
                <c:pt idx="29">
                  <c:v>0.39985700000000002</c:v>
                </c:pt>
                <c:pt idx="30">
                  <c:v>0.39368500000000001</c:v>
                </c:pt>
                <c:pt idx="31">
                  <c:v>0.376971</c:v>
                </c:pt>
                <c:pt idx="32">
                  <c:v>0.36025699999999999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7-4E64-ACA8-CC778D330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000175"/>
        <c:axId val="1226000655"/>
      </c:scatterChart>
      <c:valAx>
        <c:axId val="122600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6000655"/>
        <c:crosses val="autoZero"/>
        <c:crossBetween val="midCat"/>
      </c:valAx>
      <c:valAx>
        <c:axId val="12260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600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xVal>
            <c:numRef>
              <c:f>補間なし線形IGA!$AH$14:$AH$110</c:f>
              <c:numCache>
                <c:formatCode>0.00E+00</c:formatCode>
                <c:ptCount val="97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</c:numCache>
            </c:numRef>
          </c:xVal>
          <c:yVal>
            <c:numRef>
              <c:f>補間なし線形IGA!$AJ$14:$AJ$110</c:f>
              <c:numCache>
                <c:formatCode>0.00E+00</c:formatCode>
                <c:ptCount val="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87-4FD6-84B2-18749DEFC8DB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87-4FD6-84B2-18749DEFC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3551"/>
        <c:axId val="1085700351"/>
      </c:scatterChart>
      <c:valAx>
        <c:axId val="10856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700351"/>
        <c:crosses val="autoZero"/>
        <c:crossBetween val="midCat"/>
      </c:valAx>
      <c:valAx>
        <c:axId val="1085700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835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補間なし線形IGA!$AR$25:$AR$40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補間なし線形IGA!$AX$25:$AX$40</c:f>
              <c:numCache>
                <c:formatCode>0.00E+00</c:formatCode>
                <c:ptCount val="16"/>
                <c:pt idx="0">
                  <c:v>0.39848243605918199</c:v>
                </c:pt>
                <c:pt idx="1">
                  <c:v>0.39870020152426</c:v>
                </c:pt>
                <c:pt idx="2">
                  <c:v>0.39913045597008801</c:v>
                </c:pt>
                <c:pt idx="3">
                  <c:v>0.399776056789302</c:v>
                </c:pt>
                <c:pt idx="4">
                  <c:v>0.40063221148231998</c:v>
                </c:pt>
                <c:pt idx="5">
                  <c:v>0.40169746809593398</c:v>
                </c:pt>
                <c:pt idx="6">
                  <c:v>0.402953837831382</c:v>
                </c:pt>
                <c:pt idx="7">
                  <c:v>0.40439759549215998</c:v>
                </c:pt>
                <c:pt idx="8">
                  <c:v>0.40596048815159003</c:v>
                </c:pt>
                <c:pt idx="9">
                  <c:v>0.40764274112230803</c:v>
                </c:pt>
                <c:pt idx="10">
                  <c:v>0.40920054467532002</c:v>
                </c:pt>
                <c:pt idx="11">
                  <c:v>0.41063840626099402</c:v>
                </c:pt>
                <c:pt idx="12">
                  <c:v>0.411091033301616</c:v>
                </c:pt>
                <c:pt idx="13">
                  <c:v>0.41014341312552</c:v>
                </c:pt>
                <c:pt idx="14">
                  <c:v>0.40353985128874797</c:v>
                </c:pt>
                <c:pt idx="15">
                  <c:v>0.37701539852122601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96-4FC8-B976-4E8C15685D5A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補間なし線形IGA!$AH$14:$AH$46</c:f>
              <c:numCache>
                <c:formatCode>0.00E+00</c:formatCode>
                <c:ptCount val="33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</c:numCache>
            </c:numRef>
          </c:xVal>
          <c:yVal>
            <c:numRef>
              <c:f>補間なし線形IGA!$AI$14:$AI$46</c:f>
              <c:numCache>
                <c:formatCode>0.00E+00</c:formatCode>
                <c:ptCount val="33"/>
                <c:pt idx="0">
                  <c:v>0.398005</c:v>
                </c:pt>
                <c:pt idx="1">
                  <c:v>0.39805299999999999</c:v>
                </c:pt>
                <c:pt idx="2">
                  <c:v>0.39810099999999998</c:v>
                </c:pt>
                <c:pt idx="3">
                  <c:v>0.39824500000000002</c:v>
                </c:pt>
                <c:pt idx="4">
                  <c:v>0.39839000000000002</c:v>
                </c:pt>
                <c:pt idx="5">
                  <c:v>0.39862999999999998</c:v>
                </c:pt>
                <c:pt idx="6">
                  <c:v>0.39887</c:v>
                </c:pt>
                <c:pt idx="7">
                  <c:v>0.399204</c:v>
                </c:pt>
                <c:pt idx="8">
                  <c:v>0.39953899999999998</c:v>
                </c:pt>
                <c:pt idx="9">
                  <c:v>0.39996599999999999</c:v>
                </c:pt>
                <c:pt idx="10">
                  <c:v>0.400393</c:v>
                </c:pt>
                <c:pt idx="11">
                  <c:v>0.40090900000000002</c:v>
                </c:pt>
                <c:pt idx="12">
                  <c:v>0.401424</c:v>
                </c:pt>
                <c:pt idx="13">
                  <c:v>0.40202100000000002</c:v>
                </c:pt>
                <c:pt idx="14">
                  <c:v>0.40261799999999998</c:v>
                </c:pt>
                <c:pt idx="15">
                  <c:v>0.403283</c:v>
                </c:pt>
                <c:pt idx="16">
                  <c:v>0.403949</c:v>
                </c:pt>
                <c:pt idx="17">
                  <c:v>0.40465899999999999</c:v>
                </c:pt>
                <c:pt idx="18">
                  <c:v>0.40537000000000001</c:v>
                </c:pt>
                <c:pt idx="19">
                  <c:v>0.406086</c:v>
                </c:pt>
                <c:pt idx="20">
                  <c:v>0.406802</c:v>
                </c:pt>
                <c:pt idx="21">
                  <c:v>0.407447</c:v>
                </c:pt>
                <c:pt idx="22">
                  <c:v>0.40809200000000001</c:v>
                </c:pt>
                <c:pt idx="23">
                  <c:v>0.40852899999999998</c:v>
                </c:pt>
                <c:pt idx="24">
                  <c:v>0.40896700000000002</c:v>
                </c:pt>
                <c:pt idx="25">
                  <c:v>0.40883399999999998</c:v>
                </c:pt>
                <c:pt idx="26">
                  <c:v>0.40870000000000001</c:v>
                </c:pt>
                <c:pt idx="27">
                  <c:v>0.40736499999999998</c:v>
                </c:pt>
                <c:pt idx="28">
                  <c:v>0.40603</c:v>
                </c:pt>
                <c:pt idx="29">
                  <c:v>0.39985700000000002</c:v>
                </c:pt>
                <c:pt idx="30">
                  <c:v>0.39368500000000001</c:v>
                </c:pt>
                <c:pt idx="31">
                  <c:v>0.376971</c:v>
                </c:pt>
                <c:pt idx="32">
                  <c:v>0.36025699999999999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96-4FC8-B976-4E8C1568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825311"/>
        <c:axId val="498826271"/>
      </c:scatterChart>
      <c:valAx>
        <c:axId val="49882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8826271"/>
        <c:crosses val="autoZero"/>
        <c:crossBetween val="midCat"/>
      </c:valAx>
      <c:valAx>
        <c:axId val="49882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88253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補間あり線形IGA!$H$3:$H$33</c:f>
              <c:numCache>
                <c:formatCode>0.00E+00</c:formatCode>
                <c:ptCount val="31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補間あり線形IGA!$K$3:$K$33</c:f>
              <c:numCache>
                <c:formatCode>0.00E+00</c:formatCode>
                <c:ptCount val="31"/>
                <c:pt idx="0">
                  <c:v>0.20060054101702199</c:v>
                </c:pt>
                <c:pt idx="1">
                  <c:v>0.20062643210105199</c:v>
                </c:pt>
                <c:pt idx="2">
                  <c:v>0.200678052299265</c:v>
                </c:pt>
                <c:pt idx="3">
                  <c:v>0.20075546697975699</c:v>
                </c:pt>
                <c:pt idx="4">
                  <c:v>0.200858595692814</c:v>
                </c:pt>
                <c:pt idx="5">
                  <c:v>0.20098736097285599</c:v>
                </c:pt>
                <c:pt idx="6">
                  <c:v>0.20114162763211099</c:v>
                </c:pt>
                <c:pt idx="7">
                  <c:v>0.20132120578340301</c:v>
                </c:pt>
                <c:pt idx="8">
                  <c:v>0.20152582168500899</c:v>
                </c:pt>
                <c:pt idx="9">
                  <c:v>0.201755090968121</c:v>
                </c:pt>
                <c:pt idx="10">
                  <c:v>0.20200848360896301</c:v>
                </c:pt>
                <c:pt idx="11">
                  <c:v>0.20228527031417101</c:v>
                </c:pt>
                <c:pt idx="12">
                  <c:v>0.20258446867981</c:v>
                </c:pt>
                <c:pt idx="13">
                  <c:v>0.20290474356765401</c:v>
                </c:pt>
                <c:pt idx="14">
                  <c:v>0.203244319313026</c:v>
                </c:pt>
                <c:pt idx="15">
                  <c:v>0.20360078806780499</c:v>
                </c:pt>
                <c:pt idx="16">
                  <c:v>0.20397096366401801</c:v>
                </c:pt>
                <c:pt idx="17">
                  <c:v>0.20435046699864801</c:v>
                </c:pt>
                <c:pt idx="18">
                  <c:v>0.204733554170344</c:v>
                </c:pt>
                <c:pt idx="19">
                  <c:v>0.20511189719564299</c:v>
                </c:pt>
                <c:pt idx="20">
                  <c:v>0.20547513597259401</c:v>
                </c:pt>
                <c:pt idx="21">
                  <c:v>0.20580570009591201</c:v>
                </c:pt>
                <c:pt idx="22">
                  <c:v>0.20608553678845601</c:v>
                </c:pt>
                <c:pt idx="23">
                  <c:v>0.206270808840119</c:v>
                </c:pt>
                <c:pt idx="24">
                  <c:v>0.20633310284651099</c:v>
                </c:pt>
                <c:pt idx="25">
                  <c:v>0.20614165428023101</c:v>
                </c:pt>
                <c:pt idx="26">
                  <c:v>0.20565213091157</c:v>
                </c:pt>
                <c:pt idx="27">
                  <c:v>0.20441150638585601</c:v>
                </c:pt>
                <c:pt idx="28">
                  <c:v>0.20218738373134801</c:v>
                </c:pt>
                <c:pt idx="29">
                  <c:v>0.19677419531620699</c:v>
                </c:pt>
                <c:pt idx="30">
                  <c:v>0.180016608880116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1-4B70-9391-0A690BF5E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72991"/>
        <c:axId val="1085673471"/>
      </c:scatterChart>
      <c:valAx>
        <c:axId val="108567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73471"/>
        <c:crosses val="autoZero"/>
        <c:crossBetween val="midCat"/>
      </c:valAx>
      <c:valAx>
        <c:axId val="10856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7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補間あり線形IGA!$Z$3:$Z$33</c:f>
              <c:numCache>
                <c:formatCode>0.00E+00</c:formatCode>
                <c:ptCount val="31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補間あり線形IGA!$AC$3:$AC$33</c:f>
              <c:numCache>
                <c:formatCode>0.00E+00</c:formatCode>
                <c:ptCount val="31"/>
                <c:pt idx="0">
                  <c:v>0.20064928331685</c:v>
                </c:pt>
                <c:pt idx="1">
                  <c:v>0.20066914256576199</c:v>
                </c:pt>
                <c:pt idx="2">
                  <c:v>0.20072042771295001</c:v>
                </c:pt>
                <c:pt idx="3">
                  <c:v>0.20079732898764899</c:v>
                </c:pt>
                <c:pt idx="4">
                  <c:v>0.20089975602114299</c:v>
                </c:pt>
                <c:pt idx="5">
                  <c:v>0.20102761466249799</c:v>
                </c:pt>
                <c:pt idx="6">
                  <c:v>0.20118074879970199</c:v>
                </c:pt>
                <c:pt idx="7">
                  <c:v>0.20135894123117601</c:v>
                </c:pt>
                <c:pt idx="8">
                  <c:v>0.201561884074654</c:v>
                </c:pt>
                <c:pt idx="9">
                  <c:v>0.20178915034941999</c:v>
                </c:pt>
                <c:pt idx="10">
                  <c:v>0.202040157673889</c:v>
                </c:pt>
                <c:pt idx="11">
                  <c:v>0.20231411239202701</c:v>
                </c:pt>
                <c:pt idx="12">
                  <c:v>0.202609954300457</c:v>
                </c:pt>
                <c:pt idx="13">
                  <c:v>0.20292625353924501</c:v>
                </c:pt>
                <c:pt idx="14">
                  <c:v>0.203261122709189</c:v>
                </c:pt>
                <c:pt idx="15">
                  <c:v>0.20361201952656099</c:v>
                </c:pt>
                <c:pt idx="16">
                  <c:v>0.20397560699721401</c:v>
                </c:pt>
                <c:pt idx="17">
                  <c:v>0.20434732855304399</c:v>
                </c:pt>
                <c:pt idx="18">
                  <c:v>0.20472126476602201</c:v>
                </c:pt>
                <c:pt idx="19">
                  <c:v>0.20508889298219499</c:v>
                </c:pt>
                <c:pt idx="20">
                  <c:v>0.20543973648583</c:v>
                </c:pt>
                <c:pt idx="21">
                  <c:v>0.20575613856331301</c:v>
                </c:pt>
                <c:pt idx="22">
                  <c:v>0.20602028051628599</c:v>
                </c:pt>
                <c:pt idx="23">
                  <c:v>0.206188767862998</c:v>
                </c:pt>
                <c:pt idx="24">
                  <c:v>0.20623460160555299</c:v>
                </c:pt>
                <c:pt idx="25">
                  <c:v>0.206029100379578</c:v>
                </c:pt>
                <c:pt idx="26">
                  <c:v>0.20553222563939499</c:v>
                </c:pt>
                <c:pt idx="27">
                  <c:v>0.20429612032545699</c:v>
                </c:pt>
                <c:pt idx="28">
                  <c:v>0.202095395697659</c:v>
                </c:pt>
                <c:pt idx="29">
                  <c:v>0.19672752727336201</c:v>
                </c:pt>
                <c:pt idx="30">
                  <c:v>0.180048454743785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D-43C7-87C3-63AF24B95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77311"/>
        <c:axId val="1085677791"/>
      </c:scatterChart>
      <c:valAx>
        <c:axId val="108567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77791"/>
        <c:crosses val="autoZero"/>
        <c:crossBetween val="midCat"/>
      </c:valAx>
      <c:valAx>
        <c:axId val="108567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7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補間あり線形IGA!$AL$3:$AL$219</c:f>
              <c:numCache>
                <c:formatCode>0.00E+00</c:formatCode>
                <c:ptCount val="217"/>
                <c:pt idx="0">
                  <c:v>1.1520739999999999E-3</c:v>
                </c:pt>
                <c:pt idx="1">
                  <c:v>3.4562210000000002E-3</c:v>
                </c:pt>
                <c:pt idx="2">
                  <c:v>5.7603690000000004E-3</c:v>
                </c:pt>
                <c:pt idx="3">
                  <c:v>8.0645160000000007E-3</c:v>
                </c:pt>
                <c:pt idx="4">
                  <c:v>1.036866E-2</c:v>
                </c:pt>
                <c:pt idx="5">
                  <c:v>1.267281E-2</c:v>
                </c:pt>
                <c:pt idx="6">
                  <c:v>1.4976959999999999E-2</c:v>
                </c:pt>
                <c:pt idx="7">
                  <c:v>1.7281109999999999E-2</c:v>
                </c:pt>
                <c:pt idx="8">
                  <c:v>1.9585249999999998E-2</c:v>
                </c:pt>
                <c:pt idx="9">
                  <c:v>2.18894E-2</c:v>
                </c:pt>
                <c:pt idx="10">
                  <c:v>2.4193550000000001E-2</c:v>
                </c:pt>
                <c:pt idx="11">
                  <c:v>2.6497699999999999E-2</c:v>
                </c:pt>
                <c:pt idx="12">
                  <c:v>2.8801839999999999E-2</c:v>
                </c:pt>
                <c:pt idx="13">
                  <c:v>3.110599E-2</c:v>
                </c:pt>
                <c:pt idx="14">
                  <c:v>3.3410139999999998E-2</c:v>
                </c:pt>
                <c:pt idx="15">
                  <c:v>3.5714290000000003E-2</c:v>
                </c:pt>
                <c:pt idx="16">
                  <c:v>3.8018429999999999E-2</c:v>
                </c:pt>
                <c:pt idx="17">
                  <c:v>4.0322579999999997E-2</c:v>
                </c:pt>
                <c:pt idx="18">
                  <c:v>4.2626730000000002E-2</c:v>
                </c:pt>
                <c:pt idx="19">
                  <c:v>4.4930879999999999E-2</c:v>
                </c:pt>
                <c:pt idx="20">
                  <c:v>4.7235020000000003E-2</c:v>
                </c:pt>
                <c:pt idx="21">
                  <c:v>4.953917E-2</c:v>
                </c:pt>
                <c:pt idx="22">
                  <c:v>5.1843319999999998E-2</c:v>
                </c:pt>
                <c:pt idx="23">
                  <c:v>5.4147470000000003E-2</c:v>
                </c:pt>
                <c:pt idx="24">
                  <c:v>5.6451609999999999E-2</c:v>
                </c:pt>
                <c:pt idx="25">
                  <c:v>5.8755759999999997E-2</c:v>
                </c:pt>
                <c:pt idx="26">
                  <c:v>6.1059910000000002E-2</c:v>
                </c:pt>
                <c:pt idx="27">
                  <c:v>6.336406E-2</c:v>
                </c:pt>
                <c:pt idx="28">
                  <c:v>6.5668199999999996E-2</c:v>
                </c:pt>
                <c:pt idx="29">
                  <c:v>6.7972350000000001E-2</c:v>
                </c:pt>
                <c:pt idx="30">
                  <c:v>7.0276500000000006E-2</c:v>
                </c:pt>
                <c:pt idx="31">
                  <c:v>7.2580649999999997E-2</c:v>
                </c:pt>
                <c:pt idx="32">
                  <c:v>7.4884790000000007E-2</c:v>
                </c:pt>
                <c:pt idx="33">
                  <c:v>7.7188939999999998E-2</c:v>
                </c:pt>
                <c:pt idx="34">
                  <c:v>7.9493090000000002E-2</c:v>
                </c:pt>
                <c:pt idx="35">
                  <c:v>8.1797239999999993E-2</c:v>
                </c:pt>
                <c:pt idx="36">
                  <c:v>8.4101380000000003E-2</c:v>
                </c:pt>
                <c:pt idx="37">
                  <c:v>8.6405529999999994E-2</c:v>
                </c:pt>
                <c:pt idx="38">
                  <c:v>8.8709679999999999E-2</c:v>
                </c:pt>
                <c:pt idx="39">
                  <c:v>9.1013819999999995E-2</c:v>
                </c:pt>
                <c:pt idx="40">
                  <c:v>9.331797E-2</c:v>
                </c:pt>
                <c:pt idx="41">
                  <c:v>9.5622120000000005E-2</c:v>
                </c:pt>
                <c:pt idx="42">
                  <c:v>9.7926269999999996E-2</c:v>
                </c:pt>
                <c:pt idx="43">
                  <c:v>0.1002304</c:v>
                </c:pt>
                <c:pt idx="44">
                  <c:v>0.1025346</c:v>
                </c:pt>
                <c:pt idx="45">
                  <c:v>0.10483870000000001</c:v>
                </c:pt>
                <c:pt idx="46">
                  <c:v>0.1071429</c:v>
                </c:pt>
                <c:pt idx="47">
                  <c:v>0.109447</c:v>
                </c:pt>
                <c:pt idx="48">
                  <c:v>0.11175119999999999</c:v>
                </c:pt>
                <c:pt idx="49">
                  <c:v>0.1140553</c:v>
                </c:pt>
                <c:pt idx="50">
                  <c:v>0.1163594</c:v>
                </c:pt>
                <c:pt idx="51">
                  <c:v>0.11866359999999999</c:v>
                </c:pt>
                <c:pt idx="52">
                  <c:v>0.1209677</c:v>
                </c:pt>
                <c:pt idx="53">
                  <c:v>0.1232719</c:v>
                </c:pt>
                <c:pt idx="54">
                  <c:v>0.12557599999999999</c:v>
                </c:pt>
                <c:pt idx="55">
                  <c:v>0.1278802</c:v>
                </c:pt>
                <c:pt idx="56">
                  <c:v>0.1301843</c:v>
                </c:pt>
                <c:pt idx="57">
                  <c:v>0.13248850000000001</c:v>
                </c:pt>
                <c:pt idx="58">
                  <c:v>0.13479260000000001</c:v>
                </c:pt>
                <c:pt idx="59">
                  <c:v>0.13709679999999999</c:v>
                </c:pt>
                <c:pt idx="60">
                  <c:v>0.13940089999999999</c:v>
                </c:pt>
                <c:pt idx="61">
                  <c:v>0.1417051</c:v>
                </c:pt>
                <c:pt idx="62">
                  <c:v>0.1440092</c:v>
                </c:pt>
                <c:pt idx="63">
                  <c:v>0.14631340000000001</c:v>
                </c:pt>
                <c:pt idx="64">
                  <c:v>0.14861750000000001</c:v>
                </c:pt>
                <c:pt idx="65">
                  <c:v>0.15092169999999999</c:v>
                </c:pt>
                <c:pt idx="66">
                  <c:v>0.1532258</c:v>
                </c:pt>
                <c:pt idx="67">
                  <c:v>0.15553</c:v>
                </c:pt>
                <c:pt idx="68">
                  <c:v>0.1578341</c:v>
                </c:pt>
                <c:pt idx="69">
                  <c:v>0.16013820000000001</c:v>
                </c:pt>
                <c:pt idx="70">
                  <c:v>0.16244239999999999</c:v>
                </c:pt>
                <c:pt idx="71">
                  <c:v>0.16474649999999999</c:v>
                </c:pt>
                <c:pt idx="72">
                  <c:v>0.1670507</c:v>
                </c:pt>
                <c:pt idx="73">
                  <c:v>0.1693548</c:v>
                </c:pt>
                <c:pt idx="74">
                  <c:v>0.17165900000000001</c:v>
                </c:pt>
                <c:pt idx="75">
                  <c:v>0.17396310000000001</c:v>
                </c:pt>
                <c:pt idx="76">
                  <c:v>0.17626729999999999</c:v>
                </c:pt>
                <c:pt idx="77">
                  <c:v>0.17857139999999999</c:v>
                </c:pt>
                <c:pt idx="78">
                  <c:v>0.1808756</c:v>
                </c:pt>
                <c:pt idx="79">
                  <c:v>0.1831797</c:v>
                </c:pt>
                <c:pt idx="80">
                  <c:v>0.18548390000000001</c:v>
                </c:pt>
                <c:pt idx="81">
                  <c:v>0.18778800000000001</c:v>
                </c:pt>
                <c:pt idx="82">
                  <c:v>0.19009219999999999</c:v>
                </c:pt>
                <c:pt idx="83">
                  <c:v>0.19239629999999999</c:v>
                </c:pt>
                <c:pt idx="84">
                  <c:v>0.1947005</c:v>
                </c:pt>
                <c:pt idx="85">
                  <c:v>0.1970046</c:v>
                </c:pt>
                <c:pt idx="86">
                  <c:v>0.19930880000000001</c:v>
                </c:pt>
                <c:pt idx="87">
                  <c:v>0.20161290000000001</c:v>
                </c:pt>
                <c:pt idx="88">
                  <c:v>0.20391709999999999</c:v>
                </c:pt>
                <c:pt idx="89">
                  <c:v>0.20622119999999999</c:v>
                </c:pt>
                <c:pt idx="90">
                  <c:v>0.2085253</c:v>
                </c:pt>
                <c:pt idx="91">
                  <c:v>0.2108295</c:v>
                </c:pt>
                <c:pt idx="92">
                  <c:v>0.21313360000000001</c:v>
                </c:pt>
                <c:pt idx="93">
                  <c:v>0.21543780000000001</c:v>
                </c:pt>
                <c:pt idx="94">
                  <c:v>0.21774189999999999</c:v>
                </c:pt>
                <c:pt idx="95">
                  <c:v>0.22004609999999999</c:v>
                </c:pt>
                <c:pt idx="96">
                  <c:v>0.2223502</c:v>
                </c:pt>
                <c:pt idx="97">
                  <c:v>0.2246544</c:v>
                </c:pt>
                <c:pt idx="98">
                  <c:v>0.22695850000000001</c:v>
                </c:pt>
                <c:pt idx="99">
                  <c:v>0.22926270000000001</c:v>
                </c:pt>
                <c:pt idx="100">
                  <c:v>0.23156679999999999</c:v>
                </c:pt>
                <c:pt idx="101">
                  <c:v>0.233871</c:v>
                </c:pt>
                <c:pt idx="102">
                  <c:v>0.2361751</c:v>
                </c:pt>
                <c:pt idx="103">
                  <c:v>0.23847930000000001</c:v>
                </c:pt>
                <c:pt idx="104">
                  <c:v>0.24078340000000001</c:v>
                </c:pt>
                <c:pt idx="105">
                  <c:v>0.24308759999999999</c:v>
                </c:pt>
                <c:pt idx="106">
                  <c:v>0.24539169999999999</c:v>
                </c:pt>
                <c:pt idx="107">
                  <c:v>0.2476959</c:v>
                </c:pt>
                <c:pt idx="108">
                  <c:v>0.25</c:v>
                </c:pt>
                <c:pt idx="109">
                  <c:v>0.25230409999999998</c:v>
                </c:pt>
                <c:pt idx="110">
                  <c:v>0.25460830000000001</c:v>
                </c:pt>
                <c:pt idx="111">
                  <c:v>0.25691239999999999</c:v>
                </c:pt>
                <c:pt idx="112">
                  <c:v>0.25921660000000002</c:v>
                </c:pt>
                <c:pt idx="113">
                  <c:v>0.26152069999999999</c:v>
                </c:pt>
                <c:pt idx="114">
                  <c:v>0.26382489999999997</c:v>
                </c:pt>
                <c:pt idx="115">
                  <c:v>0.266129</c:v>
                </c:pt>
                <c:pt idx="116">
                  <c:v>0.26843319999999998</c:v>
                </c:pt>
                <c:pt idx="117">
                  <c:v>0.27073730000000001</c:v>
                </c:pt>
                <c:pt idx="118">
                  <c:v>0.27304149999999999</c:v>
                </c:pt>
                <c:pt idx="119">
                  <c:v>0.27534560000000002</c:v>
                </c:pt>
                <c:pt idx="120">
                  <c:v>0.2776498</c:v>
                </c:pt>
                <c:pt idx="121">
                  <c:v>0.27995389999999998</c:v>
                </c:pt>
                <c:pt idx="122">
                  <c:v>0.28225810000000001</c:v>
                </c:pt>
                <c:pt idx="123">
                  <c:v>0.28456219999999999</c:v>
                </c:pt>
                <c:pt idx="124">
                  <c:v>0.28686640000000002</c:v>
                </c:pt>
                <c:pt idx="125">
                  <c:v>0.2891705</c:v>
                </c:pt>
                <c:pt idx="126">
                  <c:v>0.29147469999999998</c:v>
                </c:pt>
                <c:pt idx="127">
                  <c:v>0.29377880000000001</c:v>
                </c:pt>
                <c:pt idx="128">
                  <c:v>0.29608289999999998</c:v>
                </c:pt>
                <c:pt idx="129">
                  <c:v>0.29838710000000002</c:v>
                </c:pt>
                <c:pt idx="130">
                  <c:v>0.30069119999999999</c:v>
                </c:pt>
                <c:pt idx="131">
                  <c:v>0.30299540000000003</c:v>
                </c:pt>
                <c:pt idx="132">
                  <c:v>0.3052995</c:v>
                </c:pt>
                <c:pt idx="133">
                  <c:v>0.30760369999999998</c:v>
                </c:pt>
                <c:pt idx="134">
                  <c:v>0.30990780000000001</c:v>
                </c:pt>
                <c:pt idx="135">
                  <c:v>0.31221199999999999</c:v>
                </c:pt>
                <c:pt idx="136">
                  <c:v>0.31451610000000002</c:v>
                </c:pt>
                <c:pt idx="137">
                  <c:v>0.3168203</c:v>
                </c:pt>
                <c:pt idx="138">
                  <c:v>0.31912439999999997</c:v>
                </c:pt>
                <c:pt idx="139">
                  <c:v>0.32142860000000001</c:v>
                </c:pt>
                <c:pt idx="140">
                  <c:v>0.32373269999999998</c:v>
                </c:pt>
                <c:pt idx="141">
                  <c:v>0.32603690000000002</c:v>
                </c:pt>
                <c:pt idx="142">
                  <c:v>0.32834099999999999</c:v>
                </c:pt>
                <c:pt idx="143">
                  <c:v>0.33064519999999997</c:v>
                </c:pt>
                <c:pt idx="144">
                  <c:v>0.3329493</c:v>
                </c:pt>
                <c:pt idx="145">
                  <c:v>0.33525349999999998</c:v>
                </c:pt>
                <c:pt idx="146">
                  <c:v>0.33755760000000001</c:v>
                </c:pt>
                <c:pt idx="147">
                  <c:v>0.33986179999999999</c:v>
                </c:pt>
                <c:pt idx="148">
                  <c:v>0.34216590000000002</c:v>
                </c:pt>
                <c:pt idx="149">
                  <c:v>0.34447</c:v>
                </c:pt>
                <c:pt idx="150">
                  <c:v>0.34677419999999998</c:v>
                </c:pt>
                <c:pt idx="151">
                  <c:v>0.34907830000000001</c:v>
                </c:pt>
                <c:pt idx="152">
                  <c:v>0.35138249999999999</c:v>
                </c:pt>
                <c:pt idx="153">
                  <c:v>0.35368660000000002</c:v>
                </c:pt>
                <c:pt idx="154">
                  <c:v>0.3559908</c:v>
                </c:pt>
                <c:pt idx="155">
                  <c:v>0.35829490000000003</c:v>
                </c:pt>
                <c:pt idx="156">
                  <c:v>0.36059910000000001</c:v>
                </c:pt>
                <c:pt idx="157">
                  <c:v>0.36290319999999998</c:v>
                </c:pt>
                <c:pt idx="158">
                  <c:v>0.36520740000000002</c:v>
                </c:pt>
                <c:pt idx="159">
                  <c:v>0.36751149999999999</c:v>
                </c:pt>
                <c:pt idx="160">
                  <c:v>0.36981570000000002</c:v>
                </c:pt>
                <c:pt idx="161">
                  <c:v>0.3721198</c:v>
                </c:pt>
                <c:pt idx="162">
                  <c:v>0.37442399999999998</c:v>
                </c:pt>
                <c:pt idx="163">
                  <c:v>0.37672810000000001</c:v>
                </c:pt>
                <c:pt idx="164">
                  <c:v>0.37903229999999999</c:v>
                </c:pt>
                <c:pt idx="165">
                  <c:v>0.38133640000000002</c:v>
                </c:pt>
                <c:pt idx="166">
                  <c:v>0.3836406</c:v>
                </c:pt>
                <c:pt idx="167">
                  <c:v>0.38594469999999997</c:v>
                </c:pt>
                <c:pt idx="168">
                  <c:v>0.38824880000000001</c:v>
                </c:pt>
                <c:pt idx="169">
                  <c:v>0.39055299999999998</c:v>
                </c:pt>
                <c:pt idx="170">
                  <c:v>0.39285710000000001</c:v>
                </c:pt>
                <c:pt idx="171">
                  <c:v>0.39516129999999999</c:v>
                </c:pt>
                <c:pt idx="172">
                  <c:v>0.39746540000000002</c:v>
                </c:pt>
                <c:pt idx="173">
                  <c:v>0.3997696</c:v>
                </c:pt>
                <c:pt idx="174">
                  <c:v>0.40207369999999998</c:v>
                </c:pt>
                <c:pt idx="175">
                  <c:v>0.40437790000000001</c:v>
                </c:pt>
                <c:pt idx="176">
                  <c:v>0.40668199999999999</c:v>
                </c:pt>
                <c:pt idx="177">
                  <c:v>0.40898620000000002</c:v>
                </c:pt>
                <c:pt idx="178">
                  <c:v>0.4112903</c:v>
                </c:pt>
                <c:pt idx="179">
                  <c:v>0.41359449999999998</c:v>
                </c:pt>
                <c:pt idx="180">
                  <c:v>0.41589860000000001</c:v>
                </c:pt>
                <c:pt idx="181">
                  <c:v>0.41820279999999999</c:v>
                </c:pt>
                <c:pt idx="182">
                  <c:v>0.42050690000000002</c:v>
                </c:pt>
                <c:pt idx="183">
                  <c:v>0.4228111</c:v>
                </c:pt>
                <c:pt idx="184">
                  <c:v>0.42511520000000003</c:v>
                </c:pt>
                <c:pt idx="185">
                  <c:v>0.4274194</c:v>
                </c:pt>
                <c:pt idx="186">
                  <c:v>0.42972349999999998</c:v>
                </c:pt>
                <c:pt idx="187">
                  <c:v>0.43202760000000001</c:v>
                </c:pt>
                <c:pt idx="188">
                  <c:v>0.43433179999999999</c:v>
                </c:pt>
                <c:pt idx="189">
                  <c:v>0.43663590000000002</c:v>
                </c:pt>
                <c:pt idx="190">
                  <c:v>0.4389401</c:v>
                </c:pt>
                <c:pt idx="191">
                  <c:v>0.44124419999999998</c:v>
                </c:pt>
                <c:pt idx="192">
                  <c:v>0.44354840000000001</c:v>
                </c:pt>
                <c:pt idx="193">
                  <c:v>0.44585249999999998</c:v>
                </c:pt>
                <c:pt idx="194">
                  <c:v>0.44815670000000002</c:v>
                </c:pt>
                <c:pt idx="195">
                  <c:v>0.45046079999999999</c:v>
                </c:pt>
                <c:pt idx="196">
                  <c:v>0.45276499999999997</c:v>
                </c:pt>
                <c:pt idx="197">
                  <c:v>0.4550691</c:v>
                </c:pt>
                <c:pt idx="198">
                  <c:v>0.45737329999999998</c:v>
                </c:pt>
                <c:pt idx="199">
                  <c:v>0.45967740000000001</c:v>
                </c:pt>
                <c:pt idx="200">
                  <c:v>0.46198159999999999</c:v>
                </c:pt>
                <c:pt idx="201">
                  <c:v>0.46428570000000002</c:v>
                </c:pt>
                <c:pt idx="202">
                  <c:v>0.4665899</c:v>
                </c:pt>
                <c:pt idx="203">
                  <c:v>0.46889399999999998</c:v>
                </c:pt>
                <c:pt idx="204">
                  <c:v>0.47119820000000001</c:v>
                </c:pt>
                <c:pt idx="205">
                  <c:v>0.47350229999999999</c:v>
                </c:pt>
                <c:pt idx="206">
                  <c:v>0.47580650000000002</c:v>
                </c:pt>
                <c:pt idx="207">
                  <c:v>0.4781106</c:v>
                </c:pt>
                <c:pt idx="208">
                  <c:v>0.48041469999999997</c:v>
                </c:pt>
                <c:pt idx="209">
                  <c:v>0.48271890000000001</c:v>
                </c:pt>
                <c:pt idx="210">
                  <c:v>0.48502299999999998</c:v>
                </c:pt>
                <c:pt idx="211">
                  <c:v>0.48732720000000002</c:v>
                </c:pt>
                <c:pt idx="212">
                  <c:v>0.48963129999999999</c:v>
                </c:pt>
                <c:pt idx="213">
                  <c:v>0.49193550000000003</c:v>
                </c:pt>
                <c:pt idx="214">
                  <c:v>0.4942396</c:v>
                </c:pt>
                <c:pt idx="215">
                  <c:v>0.49654379999999998</c:v>
                </c:pt>
                <c:pt idx="216">
                  <c:v>0.49884790000000001</c:v>
                </c:pt>
              </c:numCache>
            </c:numRef>
          </c:xVal>
          <c:yVal>
            <c:numRef>
              <c:f>補間あり線形IGA!$AO$3:$AO$219</c:f>
              <c:numCache>
                <c:formatCode>0.00E+00</c:formatCode>
                <c:ptCount val="217"/>
                <c:pt idx="0">
                  <c:v>0.20139351612919201</c:v>
                </c:pt>
                <c:pt idx="1">
                  <c:v>0.19990462831004199</c:v>
                </c:pt>
                <c:pt idx="2">
                  <c:v>0.20139183845563499</c:v>
                </c:pt>
                <c:pt idx="3">
                  <c:v>0.199298906717467</c:v>
                </c:pt>
                <c:pt idx="4">
                  <c:v>0.20139462226992699</c:v>
                </c:pt>
                <c:pt idx="5">
                  <c:v>0.199881155331501</c:v>
                </c:pt>
                <c:pt idx="6">
                  <c:v>0.20124333209199199</c:v>
                </c:pt>
                <c:pt idx="7">
                  <c:v>0.201247719904321</c:v>
                </c:pt>
                <c:pt idx="8">
                  <c:v>0.19989345817225199</c:v>
                </c:pt>
                <c:pt idx="9">
                  <c:v>0.20141397029291999</c:v>
                </c:pt>
                <c:pt idx="10">
                  <c:v>0.199324694807366</c:v>
                </c:pt>
                <c:pt idx="11">
                  <c:v>0.201422307073575</c:v>
                </c:pt>
                <c:pt idx="12">
                  <c:v>0.19991391459909899</c:v>
                </c:pt>
                <c:pt idx="13">
                  <c:v>0.20127879447222599</c:v>
                </c:pt>
                <c:pt idx="14">
                  <c:v>0.20128756864032801</c:v>
                </c:pt>
                <c:pt idx="15">
                  <c:v>0.19993840509014801</c:v>
                </c:pt>
                <c:pt idx="16">
                  <c:v>0.20146098843072699</c:v>
                </c:pt>
                <c:pt idx="17">
                  <c:v>0.199375882487556</c:v>
                </c:pt>
                <c:pt idx="18">
                  <c:v>0.201474844499265</c:v>
                </c:pt>
                <c:pt idx="19">
                  <c:v>0.19997257965427301</c:v>
                </c:pt>
                <c:pt idx="20">
                  <c:v>0.20133933371936899</c:v>
                </c:pt>
                <c:pt idx="21">
                  <c:v>0.20135249713422099</c:v>
                </c:pt>
                <c:pt idx="22">
                  <c:v>0.200009302613915</c:v>
                </c:pt>
                <c:pt idx="23">
                  <c:v>0.20153284763287699</c:v>
                </c:pt>
                <c:pt idx="24">
                  <c:v>0.19945263508524799</c:v>
                </c:pt>
                <c:pt idx="25">
                  <c:v>0.20155216147812599</c:v>
                </c:pt>
                <c:pt idx="26">
                  <c:v>0.200057076425675</c:v>
                </c:pt>
                <c:pt idx="27">
                  <c:v>0.20142486194961401</c:v>
                </c:pt>
                <c:pt idx="28">
                  <c:v>0.20144241524363801</c:v>
                </c:pt>
                <c:pt idx="29">
                  <c:v>0.20010597500079799</c:v>
                </c:pt>
                <c:pt idx="30">
                  <c:v>0.201629454673699</c:v>
                </c:pt>
                <c:pt idx="31">
                  <c:v>0.199554780196878</c:v>
                </c:pt>
                <c:pt idx="32">
                  <c:v>0.201654136093119</c:v>
                </c:pt>
                <c:pt idx="33">
                  <c:v>0.20016734337928399</c:v>
                </c:pt>
                <c:pt idx="34">
                  <c:v>0.20153527543747299</c:v>
                </c:pt>
                <c:pt idx="35">
                  <c:v>0.201557218078429</c:v>
                </c:pt>
                <c:pt idx="36">
                  <c:v>0.20022836535097999</c:v>
                </c:pt>
                <c:pt idx="37">
                  <c:v>0.20175066794657101</c:v>
                </c:pt>
                <c:pt idx="38">
                  <c:v>0.19968217808166999</c:v>
                </c:pt>
                <c:pt idx="39">
                  <c:v>0.201780591759946</c:v>
                </c:pt>
                <c:pt idx="40">
                  <c:v>0.200303249689642</c:v>
                </c:pt>
                <c:pt idx="41">
                  <c:v>0.20167040754815599</c:v>
                </c:pt>
                <c:pt idx="42">
                  <c:v>0.20169673523930601</c:v>
                </c:pt>
                <c:pt idx="43">
                  <c:v>0.200376308236104</c:v>
                </c:pt>
                <c:pt idx="44">
                  <c:v>0.201896278465796</c:v>
                </c:pt>
                <c:pt idx="45">
                  <c:v>0.19983459406531701</c:v>
                </c:pt>
                <c:pt idx="46">
                  <c:v>0.20193127766215799</c:v>
                </c:pt>
                <c:pt idx="47">
                  <c:v>0.20046462512433499</c:v>
                </c:pt>
                <c:pt idx="48">
                  <c:v>0.20183002637030101</c:v>
                </c:pt>
                <c:pt idx="49">
                  <c:v>0.20186072875553601</c:v>
                </c:pt>
                <c:pt idx="50">
                  <c:v>0.20054960380351999</c:v>
                </c:pt>
                <c:pt idx="51">
                  <c:v>0.202065989633016</c:v>
                </c:pt>
                <c:pt idx="52">
                  <c:v>0.20001172891135599</c:v>
                </c:pt>
                <c:pt idx="53">
                  <c:v>0.20210584540069801</c:v>
                </c:pt>
                <c:pt idx="54">
                  <c:v>0.20065122509224401</c:v>
                </c:pt>
                <c:pt idx="55">
                  <c:v>0.20201380474678399</c:v>
                </c:pt>
                <c:pt idx="56">
                  <c:v>0.202048861886648</c:v>
                </c:pt>
                <c:pt idx="57">
                  <c:v>0.20074796431851399</c:v>
                </c:pt>
                <c:pt idx="58">
                  <c:v>0.20225938819536199</c:v>
                </c:pt>
                <c:pt idx="59">
                  <c:v>0.200213183882612</c:v>
                </c:pt>
                <c:pt idx="60">
                  <c:v>0.20230381741837999</c:v>
                </c:pt>
                <c:pt idx="61">
                  <c:v>0.20086271613696499</c:v>
                </c:pt>
                <c:pt idx="62">
                  <c:v>0.20222129305984499</c:v>
                </c:pt>
                <c:pt idx="63">
                  <c:v>0.20226067085107899</c:v>
                </c:pt>
                <c:pt idx="64">
                  <c:v>0.20097099828201101</c:v>
                </c:pt>
                <c:pt idx="65">
                  <c:v>0.20247590646885599</c:v>
                </c:pt>
                <c:pt idx="66">
                  <c:v>0.20043843681965301</c:v>
                </c:pt>
                <c:pt idx="67">
                  <c:v>0.20252454492288499</c:v>
                </c:pt>
                <c:pt idx="68">
                  <c:v>0.2010986477085</c:v>
                </c:pt>
                <c:pt idx="69">
                  <c:v>0.20245187703026901</c:v>
                </c:pt>
                <c:pt idx="70">
                  <c:v>0.20249552145792499</c:v>
                </c:pt>
                <c:pt idx="71">
                  <c:v>0.20121818752878401</c:v>
                </c:pt>
                <c:pt idx="72">
                  <c:v>0.20271477413293801</c:v>
                </c:pt>
                <c:pt idx="73">
                  <c:v>0.20068682289083201</c:v>
                </c:pt>
                <c:pt idx="74">
                  <c:v>0.20276715573367801</c:v>
                </c:pt>
                <c:pt idx="75">
                  <c:v>0.20135841072921301</c:v>
                </c:pt>
                <c:pt idx="76">
                  <c:v>0.202704728938402</c:v>
                </c:pt>
                <c:pt idx="77">
                  <c:v>0.20275255772980899</c:v>
                </c:pt>
                <c:pt idx="78">
                  <c:v>0.20148882070045701</c:v>
                </c:pt>
                <c:pt idx="79">
                  <c:v>0.20297495236037699</c:v>
                </c:pt>
                <c:pt idx="80">
                  <c:v>0.20095747555854501</c:v>
                </c:pt>
                <c:pt idx="81">
                  <c:v>0.203030480591158</c:v>
                </c:pt>
                <c:pt idx="82">
                  <c:v>0.20164120931290799</c:v>
                </c:pt>
                <c:pt idx="83">
                  <c:v>0.20297873574125699</c:v>
                </c:pt>
                <c:pt idx="84">
                  <c:v>0.203030629242032</c:v>
                </c:pt>
                <c:pt idx="85">
                  <c:v>0.201781995326025</c:v>
                </c:pt>
                <c:pt idx="86">
                  <c:v>0.203255055001475</c:v>
                </c:pt>
                <c:pt idx="87">
                  <c:v>0.201249316066061</c:v>
                </c:pt>
                <c:pt idx="88">
                  <c:v>0.20331296915475899</c:v>
                </c:pt>
                <c:pt idx="89">
                  <c:v>0.20194596234807199</c:v>
                </c:pt>
                <c:pt idx="90">
                  <c:v>0.20327242040590299</c:v>
                </c:pt>
                <c:pt idx="91">
                  <c:v>0.20332820551098599</c:v>
                </c:pt>
                <c:pt idx="92">
                  <c:v>0.202096451350462</c:v>
                </c:pt>
                <c:pt idx="93">
                  <c:v>0.203553230657781</c:v>
                </c:pt>
                <c:pt idx="94">
                  <c:v>0.20156094332294</c:v>
                </c:pt>
                <c:pt idx="95">
                  <c:v>0.20361255609689499</c:v>
                </c:pt>
                <c:pt idx="96">
                  <c:v>0.20227130886957401</c:v>
                </c:pt>
                <c:pt idx="97">
                  <c:v>0.20358381130665601</c:v>
                </c:pt>
                <c:pt idx="98">
                  <c:v>0.203643248467683</c:v>
                </c:pt>
                <c:pt idx="99">
                  <c:v>0.202430658313039</c:v>
                </c:pt>
                <c:pt idx="100">
                  <c:v>0.20386703845683801</c:v>
                </c:pt>
                <c:pt idx="101">
                  <c:v>0.20189063050431399</c:v>
                </c:pt>
                <c:pt idx="102">
                  <c:v>0.20392653185017101</c:v>
                </c:pt>
                <c:pt idx="103">
                  <c:v>0.20261534655477001</c:v>
                </c:pt>
                <c:pt idx="104">
                  <c:v>0.203910321125018</c:v>
                </c:pt>
                <c:pt idx="105">
                  <c:v>0.20397307028122399</c:v>
                </c:pt>
                <c:pt idx="106">
                  <c:v>0.202782402301938</c:v>
                </c:pt>
                <c:pt idx="107">
                  <c:v>0.20419322313993599</c:v>
                </c:pt>
                <c:pt idx="108">
                  <c:v>0.20223614264756401</c:v>
                </c:pt>
                <c:pt idx="109">
                  <c:v>0.204251282847809</c:v>
                </c:pt>
                <c:pt idx="110">
                  <c:v>0.20297577673133901</c:v>
                </c:pt>
                <c:pt idx="111">
                  <c:v>0.204248491874087</c:v>
                </c:pt>
                <c:pt idx="112">
                  <c:v>0.20431409864609901</c:v>
                </c:pt>
                <c:pt idx="113">
                  <c:v>0.20314909645617499</c:v>
                </c:pt>
                <c:pt idx="114">
                  <c:v>0.20452753309354499</c:v>
                </c:pt>
                <c:pt idx="115">
                  <c:v>0.20259471138721899</c:v>
                </c:pt>
                <c:pt idx="116">
                  <c:v>0.20458211015453701</c:v>
                </c:pt>
                <c:pt idx="117">
                  <c:v>0.20334927037399</c:v>
                </c:pt>
                <c:pt idx="118">
                  <c:v>0.20459382459756401</c:v>
                </c:pt>
                <c:pt idx="119">
                  <c:v>0.20466164245312299</c:v>
                </c:pt>
                <c:pt idx="120">
                  <c:v>0.20352686748218399</c:v>
                </c:pt>
                <c:pt idx="121">
                  <c:v>0.20486426070844499</c:v>
                </c:pt>
                <c:pt idx="122">
                  <c:v>0.20296270397072599</c:v>
                </c:pt>
                <c:pt idx="123">
                  <c:v>0.20491268851494601</c:v>
                </c:pt>
                <c:pt idx="124">
                  <c:v>0.20373176142306401</c:v>
                </c:pt>
                <c:pt idx="125">
                  <c:v>0.204940231402478</c:v>
                </c:pt>
                <c:pt idx="126">
                  <c:v>0.205009417412504</c:v>
                </c:pt>
                <c:pt idx="127">
                  <c:v>0.20391113413346601</c:v>
                </c:pt>
                <c:pt idx="128">
                  <c:v>0.20519599855014201</c:v>
                </c:pt>
                <c:pt idx="129">
                  <c:v>0.20333573501978799</c:v>
                </c:pt>
                <c:pt idx="130">
                  <c:v>0.205234855676906</c:v>
                </c:pt>
                <c:pt idx="131">
                  <c:v>0.20411773610488201</c:v>
                </c:pt>
                <c:pt idx="132">
                  <c:v>0.20527986520442501</c:v>
                </c:pt>
                <c:pt idx="133">
                  <c:v>0.205349207547355</c:v>
                </c:pt>
                <c:pt idx="134">
                  <c:v>0.204295261425019</c:v>
                </c:pt>
                <c:pt idx="135">
                  <c:v>0.20551268904898301</c:v>
                </c:pt>
                <c:pt idx="136">
                  <c:v>0.20370704255216199</c:v>
                </c:pt>
                <c:pt idx="137">
                  <c:v>0.20553742581214399</c:v>
                </c:pt>
                <c:pt idx="138">
                  <c:v>0.20449853371135801</c:v>
                </c:pt>
                <c:pt idx="139">
                  <c:v>0.20560176892252599</c:v>
                </c:pt>
                <c:pt idx="140">
                  <c:v>0.20566968380573999</c:v>
                </c:pt>
                <c:pt idx="141">
                  <c:v>0.204670044105316</c:v>
                </c:pt>
                <c:pt idx="142">
                  <c:v>0.20580120730451201</c:v>
                </c:pt>
                <c:pt idx="143">
                  <c:v>0.204070801466326</c:v>
                </c:pt>
                <c:pt idx="144">
                  <c:v>0.205806040105249</c:v>
                </c:pt>
                <c:pt idx="145">
                  <c:v>0.20486732959450399</c:v>
                </c:pt>
                <c:pt idx="146">
                  <c:v>0.20589209821030799</c:v>
                </c:pt>
                <c:pt idx="147">
                  <c:v>0.20595634337372301</c:v>
                </c:pt>
                <c:pt idx="148">
                  <c:v>0.20502471715139001</c:v>
                </c:pt>
                <c:pt idx="149">
                  <c:v>0.20604371085979001</c:v>
                </c:pt>
                <c:pt idx="150">
                  <c:v>0.20440912114676299</c:v>
                </c:pt>
                <c:pt idx="151">
                  <c:v>0.20602046760137199</c:v>
                </c:pt>
                <c:pt idx="152">
                  <c:v>0.20519892918876101</c:v>
                </c:pt>
                <c:pt idx="153">
                  <c:v>0.20613005607267099</c:v>
                </c:pt>
                <c:pt idx="154">
                  <c:v>0.206187455108018</c:v>
                </c:pt>
                <c:pt idx="155">
                  <c:v>0.205337348054868</c:v>
                </c:pt>
                <c:pt idx="156">
                  <c:v>0.206215800651398</c:v>
                </c:pt>
                <c:pt idx="157">
                  <c:v>0.204722381394221</c:v>
                </c:pt>
                <c:pt idx="158">
                  <c:v>0.20615479661460001</c:v>
                </c:pt>
                <c:pt idx="159">
                  <c:v>0.205496869167482</c:v>
                </c:pt>
                <c:pt idx="160">
                  <c:v>0.20629089968883199</c:v>
                </c:pt>
                <c:pt idx="161">
                  <c:v>0.20633742415970399</c:v>
                </c:pt>
                <c:pt idx="162">
                  <c:v>0.20559061378406601</c:v>
                </c:pt>
                <c:pt idx="163">
                  <c:v>0.20628583861164401</c:v>
                </c:pt>
                <c:pt idx="164">
                  <c:v>0.20494263567858501</c:v>
                </c:pt>
                <c:pt idx="165">
                  <c:v>0.20617062844689699</c:v>
                </c:pt>
                <c:pt idx="166">
                  <c:v>0.20567051279411699</c:v>
                </c:pt>
                <c:pt idx="167">
                  <c:v>0.20633061737355499</c:v>
                </c:pt>
                <c:pt idx="168">
                  <c:v>0.20635903598737301</c:v>
                </c:pt>
                <c:pt idx="169">
                  <c:v>0.20572670698930101</c:v>
                </c:pt>
                <c:pt idx="170">
                  <c:v>0.20620369189431301</c:v>
                </c:pt>
                <c:pt idx="171">
                  <c:v>0.205120799179068</c:v>
                </c:pt>
                <c:pt idx="172">
                  <c:v>0.20601951235694599</c:v>
                </c:pt>
                <c:pt idx="173">
                  <c:v>0.20578546960473901</c:v>
                </c:pt>
                <c:pt idx="174">
                  <c:v>0.206204875082351</c:v>
                </c:pt>
                <c:pt idx="175">
                  <c:v>0.20620817785394299</c:v>
                </c:pt>
                <c:pt idx="176">
                  <c:v>0.205700407624651</c:v>
                </c:pt>
                <c:pt idx="177">
                  <c:v>0.20591341023544299</c:v>
                </c:pt>
                <c:pt idx="178">
                  <c:v>0.20496681791298599</c:v>
                </c:pt>
                <c:pt idx="179">
                  <c:v>0.205619537929983</c:v>
                </c:pt>
                <c:pt idx="180">
                  <c:v>0.205508569535892</c:v>
                </c:pt>
                <c:pt idx="181">
                  <c:v>0.205801619497544</c:v>
                </c:pt>
                <c:pt idx="182">
                  <c:v>0.205760741563455</c:v>
                </c:pt>
                <c:pt idx="183">
                  <c:v>0.20535903766681199</c:v>
                </c:pt>
                <c:pt idx="184">
                  <c:v>0.20529470966562599</c:v>
                </c:pt>
                <c:pt idx="185">
                  <c:v>0.20473265622689699</c:v>
                </c:pt>
                <c:pt idx="186">
                  <c:v>0.20487636930783801</c:v>
                </c:pt>
                <c:pt idx="187">
                  <c:v>0.20508578365628499</c:v>
                </c:pt>
                <c:pt idx="188">
                  <c:v>0.20503962710767701</c:v>
                </c:pt>
                <c:pt idx="189">
                  <c:v>0.20493963713024799</c:v>
                </c:pt>
                <c:pt idx="190">
                  <c:v>0.20442918465249299</c:v>
                </c:pt>
                <c:pt idx="191">
                  <c:v>0.204236913766212</c:v>
                </c:pt>
                <c:pt idx="192">
                  <c:v>0.20319572738144101</c:v>
                </c:pt>
                <c:pt idx="193">
                  <c:v>0.20356364957235701</c:v>
                </c:pt>
                <c:pt idx="194">
                  <c:v>0.203347453540351</c:v>
                </c:pt>
                <c:pt idx="195">
                  <c:v>0.20355555777295301</c:v>
                </c:pt>
                <c:pt idx="196">
                  <c:v>0.203340065927792</c:v>
                </c:pt>
                <c:pt idx="197">
                  <c:v>0.20241179246082999</c:v>
                </c:pt>
                <c:pt idx="198">
                  <c:v>0.20239208582155399</c:v>
                </c:pt>
                <c:pt idx="199">
                  <c:v>0.20075764324263601</c:v>
                </c:pt>
                <c:pt idx="200">
                  <c:v>0.20146775735057501</c:v>
                </c:pt>
                <c:pt idx="201">
                  <c:v>0.20030805712431901</c:v>
                </c:pt>
                <c:pt idx="202">
                  <c:v>0.201116470380344</c:v>
                </c:pt>
                <c:pt idx="203">
                  <c:v>0.20070294734747901</c:v>
                </c:pt>
                <c:pt idx="204">
                  <c:v>0.19689787577726101</c:v>
                </c:pt>
                <c:pt idx="205">
                  <c:v>0.19931085590070299</c:v>
                </c:pt>
                <c:pt idx="206">
                  <c:v>0.191042101471077</c:v>
                </c:pt>
                <c:pt idx="207">
                  <c:v>0.19756361413360199</c:v>
                </c:pt>
                <c:pt idx="208">
                  <c:v>0.19050966367245101</c:v>
                </c:pt>
                <c:pt idx="209">
                  <c:v>0.19610130821748001</c:v>
                </c:pt>
                <c:pt idx="210">
                  <c:v>0.195304436284432</c:v>
                </c:pt>
                <c:pt idx="211">
                  <c:v>0.180596267577533</c:v>
                </c:pt>
                <c:pt idx="212">
                  <c:v>0.19347760971351399</c:v>
                </c:pt>
                <c:pt idx="213">
                  <c:v>0.15147238253753001</c:v>
                </c:pt>
                <c:pt idx="214">
                  <c:v>0.189460889172505</c:v>
                </c:pt>
                <c:pt idx="215">
                  <c:v>0.14354414722893</c:v>
                </c:pt>
                <c:pt idx="216">
                  <c:v>0.18433904490429001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7-45FE-B3EA-5AFF37958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576079"/>
        <c:axId val="845562159"/>
      </c:scatterChart>
      <c:valAx>
        <c:axId val="8455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5562159"/>
        <c:crosses val="autoZero"/>
        <c:crossBetween val="midCat"/>
      </c:valAx>
      <c:valAx>
        <c:axId val="845562159"/>
        <c:scaling>
          <c:orientation val="minMax"/>
          <c:min val="0.17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557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Sheet1!$K$2:$K$17</c:f>
              <c:numCache>
                <c:formatCode>0.00E+00</c:formatCode>
                <c:ptCount val="16"/>
                <c:pt idx="0">
                  <c:v>0.199878639631451</c:v>
                </c:pt>
                <c:pt idx="1">
                  <c:v>0.19996715117472399</c:v>
                </c:pt>
                <c:pt idx="2">
                  <c:v>0.20012428212191799</c:v>
                </c:pt>
                <c:pt idx="3">
                  <c:v>0.20043016580794201</c:v>
                </c:pt>
                <c:pt idx="4">
                  <c:v>0.20073709624622901</c:v>
                </c:pt>
                <c:pt idx="5">
                  <c:v>0.20118723338237501</c:v>
                </c:pt>
                <c:pt idx="6">
                  <c:v>0.201646576695443</c:v>
                </c:pt>
                <c:pt idx="7">
                  <c:v>0.20232630473097099</c:v>
                </c:pt>
                <c:pt idx="8">
                  <c:v>0.202857744787344</c:v>
                </c:pt>
                <c:pt idx="9">
                  <c:v>0.20352154683951501</c:v>
                </c:pt>
                <c:pt idx="10">
                  <c:v>0.204099756482125</c:v>
                </c:pt>
                <c:pt idx="11">
                  <c:v>0.204740023952829</c:v>
                </c:pt>
                <c:pt idx="12">
                  <c:v>0.20484434001568699</c:v>
                </c:pt>
                <c:pt idx="13">
                  <c:v>0.20423082370818901</c:v>
                </c:pt>
                <c:pt idx="14">
                  <c:v>0.20226773253215499</c:v>
                </c:pt>
                <c:pt idx="15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A-4E9B-8CEA-6DEB6A5FE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76335"/>
        <c:axId val="1324675855"/>
      </c:scatterChart>
      <c:valAx>
        <c:axId val="13246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5855"/>
        <c:crosses val="autoZero"/>
        <c:crossBetween val="midCat"/>
      </c:valAx>
      <c:valAx>
        <c:axId val="13246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38100">
              <a:noFill/>
            </a:ln>
          </c:spPr>
          <c:xVal>
            <c:numRef>
              <c:f>補間なし線形IGA!$H$3:$H$64</c:f>
              <c:numCache>
                <c:formatCode>0.00E+00</c:formatCode>
                <c:ptCount val="62"/>
                <c:pt idx="0">
                  <c:v>8.0645160000000007E-3</c:v>
                </c:pt>
                <c:pt idx="1">
                  <c:v>2.4193550000000001E-2</c:v>
                </c:pt>
                <c:pt idx="2">
                  <c:v>4.0322579999999997E-2</c:v>
                </c:pt>
                <c:pt idx="3">
                  <c:v>5.6451609999999999E-2</c:v>
                </c:pt>
                <c:pt idx="4">
                  <c:v>7.2580649999999997E-2</c:v>
                </c:pt>
                <c:pt idx="5">
                  <c:v>8.8709679999999999E-2</c:v>
                </c:pt>
                <c:pt idx="6">
                  <c:v>0.10483870000000001</c:v>
                </c:pt>
                <c:pt idx="7">
                  <c:v>0.1209677</c:v>
                </c:pt>
                <c:pt idx="8">
                  <c:v>0.13709679999999999</c:v>
                </c:pt>
                <c:pt idx="9">
                  <c:v>0.1532258</c:v>
                </c:pt>
                <c:pt idx="10">
                  <c:v>0.1693548</c:v>
                </c:pt>
                <c:pt idx="11">
                  <c:v>0.18548390000000001</c:v>
                </c:pt>
                <c:pt idx="12">
                  <c:v>0.20161290000000001</c:v>
                </c:pt>
                <c:pt idx="13">
                  <c:v>0.21774189999999999</c:v>
                </c:pt>
                <c:pt idx="14">
                  <c:v>0.233871</c:v>
                </c:pt>
                <c:pt idx="15">
                  <c:v>0.25</c:v>
                </c:pt>
                <c:pt idx="16">
                  <c:v>0.266129</c:v>
                </c:pt>
                <c:pt idx="17">
                  <c:v>0.28225810000000001</c:v>
                </c:pt>
                <c:pt idx="18">
                  <c:v>0.29838710000000002</c:v>
                </c:pt>
                <c:pt idx="19">
                  <c:v>0.31451610000000002</c:v>
                </c:pt>
                <c:pt idx="20">
                  <c:v>0.33064519999999997</c:v>
                </c:pt>
                <c:pt idx="21">
                  <c:v>0.34677419999999998</c:v>
                </c:pt>
                <c:pt idx="22">
                  <c:v>0.36290319999999998</c:v>
                </c:pt>
                <c:pt idx="23">
                  <c:v>0.37903229999999999</c:v>
                </c:pt>
                <c:pt idx="24">
                  <c:v>0.39516129999999999</c:v>
                </c:pt>
                <c:pt idx="25">
                  <c:v>0.4112903</c:v>
                </c:pt>
                <c:pt idx="26">
                  <c:v>0.4274194</c:v>
                </c:pt>
                <c:pt idx="27">
                  <c:v>0.44354840000000001</c:v>
                </c:pt>
                <c:pt idx="28">
                  <c:v>0.45967740000000001</c:v>
                </c:pt>
                <c:pt idx="29">
                  <c:v>0.47580650000000002</c:v>
                </c:pt>
                <c:pt idx="30">
                  <c:v>0.49193550000000003</c:v>
                </c:pt>
              </c:numCache>
            </c:numRef>
          </c:xVal>
          <c:yVal>
            <c:numRef>
              <c:f>補間なし線形IGA!$K$3:$K$64</c:f>
              <c:numCache>
                <c:formatCode>0.00E+00</c:formatCode>
                <c:ptCount val="62"/>
                <c:pt idx="0">
                  <c:v>0.20074039419440201</c:v>
                </c:pt>
                <c:pt idx="1">
                  <c:v>0.20076608588165001</c:v>
                </c:pt>
                <c:pt idx="2">
                  <c:v>0.20081732872900901</c:v>
                </c:pt>
                <c:pt idx="3">
                  <c:v>0.20089416486393</c:v>
                </c:pt>
                <c:pt idx="4">
                  <c:v>0.20099650745277001</c:v>
                </c:pt>
                <c:pt idx="5">
                  <c:v>0.20112426235793601</c:v>
                </c:pt>
                <c:pt idx="6">
                  <c:v>0.20127727483197799</c:v>
                </c:pt>
                <c:pt idx="7">
                  <c:v>0.20145532805821301</c:v>
                </c:pt>
                <c:pt idx="8">
                  <c:v>0.201658113854536</c:v>
                </c:pt>
                <c:pt idx="9">
                  <c:v>0.20188520345871599</c:v>
                </c:pt>
                <c:pt idx="10">
                  <c:v>0.20213601008436799</c:v>
                </c:pt>
                <c:pt idx="11">
                  <c:v>0.20240973218384301</c:v>
                </c:pt>
                <c:pt idx="12">
                  <c:v>0.20270529566025999</c:v>
                </c:pt>
                <c:pt idx="13">
                  <c:v>0.203021248854836</c:v>
                </c:pt>
                <c:pt idx="14">
                  <c:v>0.203355670514489</c:v>
                </c:pt>
                <c:pt idx="15">
                  <c:v>0.20370596731729401</c:v>
                </c:pt>
                <c:pt idx="16">
                  <c:v>0.204068727665288</c:v>
                </c:pt>
                <c:pt idx="17">
                  <c:v>0.20443928871519099</c:v>
                </c:pt>
                <c:pt idx="18">
                  <c:v>0.204811565434252</c:v>
                </c:pt>
                <c:pt idx="19">
                  <c:v>0.205176857847854</c:v>
                </c:pt>
                <c:pt idx="20">
                  <c:v>0.20552426345892899</c:v>
                </c:pt>
                <c:pt idx="21">
                  <c:v>0.20583604876460501</c:v>
                </c:pt>
                <c:pt idx="22">
                  <c:v>0.20609303388632699</c:v>
                </c:pt>
                <c:pt idx="23">
                  <c:v>0.20625310845677999</c:v>
                </c:pt>
                <c:pt idx="24">
                  <c:v>0.206284526126019</c:v>
                </c:pt>
                <c:pt idx="25">
                  <c:v>0.206067291392146</c:v>
                </c:pt>
                <c:pt idx="26">
                  <c:v>0.20554749205137901</c:v>
                </c:pt>
                <c:pt idx="27">
                  <c:v>0.204318985913712</c:v>
                </c:pt>
                <c:pt idx="28">
                  <c:v>0.202149578982349</c:v>
                </c:pt>
                <c:pt idx="29">
                  <c:v>0.19706786945076099</c:v>
                </c:pt>
                <c:pt idx="30">
                  <c:v>0.182193598833092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1D1-4E64-9B97-CEA2C781D7A2}"/>
            </c:ext>
          </c:extLst>
        </c:ser>
        <c:ser>
          <c:idx val="3"/>
          <c:order val="1"/>
          <c:spPr>
            <a:ln w="38100" cap="rnd">
              <a:noFill/>
              <a:round/>
            </a:ln>
            <a:effectLst/>
          </c:spPr>
          <c:xVal>
            <c:numRef>
              <c:f>Sheet1!$F$2:$F$17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Sheet1!$K$2:$K$17</c:f>
              <c:numCache>
                <c:formatCode>0.00E+00</c:formatCode>
                <c:ptCount val="16"/>
                <c:pt idx="0">
                  <c:v>0.199878639631451</c:v>
                </c:pt>
                <c:pt idx="1">
                  <c:v>0.19996715117472399</c:v>
                </c:pt>
                <c:pt idx="2">
                  <c:v>0.20012428212191799</c:v>
                </c:pt>
                <c:pt idx="3">
                  <c:v>0.20043016580794201</c:v>
                </c:pt>
                <c:pt idx="4">
                  <c:v>0.20073709624622901</c:v>
                </c:pt>
                <c:pt idx="5">
                  <c:v>0.20118723338237501</c:v>
                </c:pt>
                <c:pt idx="6">
                  <c:v>0.201646576695443</c:v>
                </c:pt>
                <c:pt idx="7">
                  <c:v>0.20232630473097099</c:v>
                </c:pt>
                <c:pt idx="8">
                  <c:v>0.202857744787344</c:v>
                </c:pt>
                <c:pt idx="9">
                  <c:v>0.20352154683951501</c:v>
                </c:pt>
                <c:pt idx="10">
                  <c:v>0.204099756482125</c:v>
                </c:pt>
                <c:pt idx="11">
                  <c:v>0.204740023952829</c:v>
                </c:pt>
                <c:pt idx="12">
                  <c:v>0.20484434001568699</c:v>
                </c:pt>
                <c:pt idx="13">
                  <c:v>0.20423082370818901</c:v>
                </c:pt>
                <c:pt idx="14">
                  <c:v>0.20226773253215499</c:v>
                </c:pt>
                <c:pt idx="15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1D1-4E64-9B97-CEA2C781D7A2}"/>
            </c:ext>
          </c:extLst>
        </c:ser>
        <c:ser>
          <c:idx val="4"/>
          <c:order val="2"/>
          <c:tx>
            <c:strRef>
              <c:f>Sheet1!$AD$1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Sheet1!$Y$2:$Y$17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Sheet1!$AD$2:$AD$17</c:f>
              <c:numCache>
                <c:formatCode>0.00E+00</c:formatCode>
                <c:ptCount val="16"/>
                <c:pt idx="0">
                  <c:v>0.19987728421887299</c:v>
                </c:pt>
                <c:pt idx="1">
                  <c:v>0.19994515558298501</c:v>
                </c:pt>
                <c:pt idx="2">
                  <c:v>0.20016373950545099</c:v>
                </c:pt>
                <c:pt idx="3">
                  <c:v>0.20041880381239799</c:v>
                </c:pt>
                <c:pt idx="4">
                  <c:v>0.20071156278277699</c:v>
                </c:pt>
                <c:pt idx="5">
                  <c:v>0.20120506145705999</c:v>
                </c:pt>
                <c:pt idx="6">
                  <c:v>0.20167410525061899</c:v>
                </c:pt>
                <c:pt idx="7">
                  <c:v>0.202313020906665</c:v>
                </c:pt>
                <c:pt idx="8">
                  <c:v>0.20284390215953199</c:v>
                </c:pt>
                <c:pt idx="9">
                  <c:v>0.20356842248412699</c:v>
                </c:pt>
                <c:pt idx="10">
                  <c:v>0.20406046700819699</c:v>
                </c:pt>
                <c:pt idx="11">
                  <c:v>0.20477513407895101</c:v>
                </c:pt>
                <c:pt idx="12">
                  <c:v>0.20499643662710099</c:v>
                </c:pt>
                <c:pt idx="13">
                  <c:v>0.204145576311694</c:v>
                </c:pt>
                <c:pt idx="14">
                  <c:v>0.20236646895780699</c:v>
                </c:pt>
                <c:pt idx="15">
                  <c:v>0.192240266331548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1D1-4E64-9B97-CEA2C781D7A2}"/>
            </c:ext>
          </c:extLst>
        </c:ser>
        <c:ser>
          <c:idx val="5"/>
          <c:order val="3"/>
          <c:tx>
            <c:strRef>
              <c:f>Sheet1!$AP$1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Sheet1!$AK$2:$AK$81</c:f>
              <c:numCache>
                <c:formatCode>0.00E+00</c:formatCode>
                <c:ptCount val="80"/>
                <c:pt idx="0">
                  <c:v>3.1250000000000002E-3</c:v>
                </c:pt>
                <c:pt idx="1">
                  <c:v>9.3749999999999997E-3</c:v>
                </c:pt>
                <c:pt idx="2">
                  <c:v>1.5625E-2</c:v>
                </c:pt>
                <c:pt idx="3">
                  <c:v>2.1874999999999999E-2</c:v>
                </c:pt>
                <c:pt idx="4">
                  <c:v>2.8125000000000001E-2</c:v>
                </c:pt>
                <c:pt idx="5">
                  <c:v>3.4375000000000003E-2</c:v>
                </c:pt>
                <c:pt idx="6">
                  <c:v>4.0625000000000001E-2</c:v>
                </c:pt>
                <c:pt idx="7">
                  <c:v>4.6875E-2</c:v>
                </c:pt>
                <c:pt idx="8">
                  <c:v>5.3124999999999999E-2</c:v>
                </c:pt>
                <c:pt idx="9">
                  <c:v>5.9374999999999997E-2</c:v>
                </c:pt>
                <c:pt idx="10">
                  <c:v>6.5625000000000003E-2</c:v>
                </c:pt>
                <c:pt idx="11">
                  <c:v>7.1874999999999994E-2</c:v>
                </c:pt>
                <c:pt idx="12">
                  <c:v>7.8125E-2</c:v>
                </c:pt>
                <c:pt idx="13">
                  <c:v>8.4375000000000006E-2</c:v>
                </c:pt>
                <c:pt idx="14">
                  <c:v>9.0624999999999997E-2</c:v>
                </c:pt>
                <c:pt idx="15">
                  <c:v>9.6875000000000003E-2</c:v>
                </c:pt>
                <c:pt idx="16">
                  <c:v>0.10312499999999999</c:v>
                </c:pt>
                <c:pt idx="17">
                  <c:v>0.109375</c:v>
                </c:pt>
                <c:pt idx="18">
                  <c:v>0.11562500000000001</c:v>
                </c:pt>
                <c:pt idx="19">
                  <c:v>0.121875</c:v>
                </c:pt>
                <c:pt idx="20">
                  <c:v>0.12812499999999999</c:v>
                </c:pt>
                <c:pt idx="21">
                  <c:v>0.13437499999999999</c:v>
                </c:pt>
                <c:pt idx="22">
                  <c:v>0.140625</c:v>
                </c:pt>
                <c:pt idx="23">
                  <c:v>0.14687500000000001</c:v>
                </c:pt>
                <c:pt idx="24">
                  <c:v>0.15312500000000001</c:v>
                </c:pt>
                <c:pt idx="25">
                  <c:v>0.15937499999999999</c:v>
                </c:pt>
                <c:pt idx="26">
                  <c:v>0.16562499999999999</c:v>
                </c:pt>
                <c:pt idx="27">
                  <c:v>0.171875</c:v>
                </c:pt>
                <c:pt idx="28">
                  <c:v>0.17812500000000001</c:v>
                </c:pt>
                <c:pt idx="29">
                  <c:v>0.18437500000000001</c:v>
                </c:pt>
                <c:pt idx="30">
                  <c:v>0.19062499999999999</c:v>
                </c:pt>
                <c:pt idx="31">
                  <c:v>0.19687499999999999</c:v>
                </c:pt>
                <c:pt idx="32">
                  <c:v>0.203125</c:v>
                </c:pt>
                <c:pt idx="33">
                  <c:v>0.20937500000000001</c:v>
                </c:pt>
                <c:pt idx="34">
                  <c:v>0.21562500000000001</c:v>
                </c:pt>
                <c:pt idx="35">
                  <c:v>0.22187499999999999</c:v>
                </c:pt>
                <c:pt idx="36">
                  <c:v>0.22812499999999999</c:v>
                </c:pt>
                <c:pt idx="37">
                  <c:v>0.234375</c:v>
                </c:pt>
                <c:pt idx="38">
                  <c:v>0.24062500000000001</c:v>
                </c:pt>
                <c:pt idx="39">
                  <c:v>0.24687500000000001</c:v>
                </c:pt>
                <c:pt idx="40">
                  <c:v>0.25312499999999999</c:v>
                </c:pt>
                <c:pt idx="41">
                  <c:v>0.25937500000000002</c:v>
                </c:pt>
                <c:pt idx="42">
                  <c:v>0.265625</c:v>
                </c:pt>
                <c:pt idx="43">
                  <c:v>0.27187499999999998</c:v>
                </c:pt>
                <c:pt idx="44">
                  <c:v>0.27812500000000001</c:v>
                </c:pt>
                <c:pt idx="45">
                  <c:v>0.28437499999999999</c:v>
                </c:pt>
                <c:pt idx="46">
                  <c:v>0.29062500000000002</c:v>
                </c:pt>
                <c:pt idx="47">
                  <c:v>0.296875</c:v>
                </c:pt>
                <c:pt idx="48">
                  <c:v>0.30312499999999998</c:v>
                </c:pt>
                <c:pt idx="49">
                  <c:v>0.30937500000000001</c:v>
                </c:pt>
                <c:pt idx="50">
                  <c:v>0.31562499999999999</c:v>
                </c:pt>
                <c:pt idx="51">
                  <c:v>0.32187500000000002</c:v>
                </c:pt>
                <c:pt idx="52">
                  <c:v>0.328125</c:v>
                </c:pt>
                <c:pt idx="53">
                  <c:v>0.33437499999999998</c:v>
                </c:pt>
                <c:pt idx="54">
                  <c:v>0.34062500000000001</c:v>
                </c:pt>
                <c:pt idx="55">
                  <c:v>0.34687499999999999</c:v>
                </c:pt>
                <c:pt idx="56">
                  <c:v>0.35312500000000002</c:v>
                </c:pt>
                <c:pt idx="57">
                  <c:v>0.359375</c:v>
                </c:pt>
                <c:pt idx="58">
                  <c:v>0.36562499999999998</c:v>
                </c:pt>
                <c:pt idx="59">
                  <c:v>0.37187500000000001</c:v>
                </c:pt>
                <c:pt idx="60">
                  <c:v>0.37812499999999999</c:v>
                </c:pt>
                <c:pt idx="61">
                  <c:v>0.38437500000000002</c:v>
                </c:pt>
                <c:pt idx="62">
                  <c:v>0.390625</c:v>
                </c:pt>
                <c:pt idx="63">
                  <c:v>0.39687499999999998</c:v>
                </c:pt>
                <c:pt idx="64">
                  <c:v>0.40312500000000001</c:v>
                </c:pt>
                <c:pt idx="65">
                  <c:v>0.40937499999999999</c:v>
                </c:pt>
                <c:pt idx="66">
                  <c:v>0.41562500000000002</c:v>
                </c:pt>
                <c:pt idx="67">
                  <c:v>0.421875</c:v>
                </c:pt>
                <c:pt idx="68">
                  <c:v>0.42812499999999998</c:v>
                </c:pt>
                <c:pt idx="69">
                  <c:v>0.43437500000000001</c:v>
                </c:pt>
                <c:pt idx="70">
                  <c:v>0.44062499999999999</c:v>
                </c:pt>
                <c:pt idx="71">
                  <c:v>0.44687500000000002</c:v>
                </c:pt>
                <c:pt idx="72">
                  <c:v>0.453125</c:v>
                </c:pt>
                <c:pt idx="73">
                  <c:v>0.45937499999999998</c:v>
                </c:pt>
                <c:pt idx="74">
                  <c:v>0.46562500000000001</c:v>
                </c:pt>
                <c:pt idx="75">
                  <c:v>0.47187499999999999</c:v>
                </c:pt>
                <c:pt idx="76">
                  <c:v>0.47812500000000002</c:v>
                </c:pt>
                <c:pt idx="77">
                  <c:v>0.484375</c:v>
                </c:pt>
                <c:pt idx="78">
                  <c:v>0.49062499999999998</c:v>
                </c:pt>
                <c:pt idx="79">
                  <c:v>0.49687500000000001</c:v>
                </c:pt>
              </c:numCache>
            </c:numRef>
          </c:xVal>
          <c:yVal>
            <c:numRef>
              <c:f>Sheet1!$AP$2:$AP$81</c:f>
              <c:numCache>
                <c:formatCode>0.00E+00</c:formatCode>
                <c:ptCount val="80"/>
                <c:pt idx="0">
                  <c:v>0.199592180405081</c:v>
                </c:pt>
                <c:pt idx="1">
                  <c:v>0.19960705471977</c:v>
                </c:pt>
                <c:pt idx="2">
                  <c:v>0.199622637805417</c:v>
                </c:pt>
                <c:pt idx="3">
                  <c:v>0.19963890718230301</c:v>
                </c:pt>
                <c:pt idx="4">
                  <c:v>0.199655841164571</c:v>
                </c:pt>
                <c:pt idx="5">
                  <c:v>0.19967341919696899</c:v>
                </c:pt>
                <c:pt idx="6">
                  <c:v>0.19969162219033701</c:v>
                </c:pt>
                <c:pt idx="7">
                  <c:v>0.19971043285554099</c:v>
                </c:pt>
                <c:pt idx="8">
                  <c:v>0.19972983603594399</c:v>
                </c:pt>
                <c:pt idx="9">
                  <c:v>0.199749819038499</c:v>
                </c:pt>
                <c:pt idx="10">
                  <c:v>0.19978788598952499</c:v>
                </c:pt>
                <c:pt idx="11">
                  <c:v>0.19984442063830901</c:v>
                </c:pt>
                <c:pt idx="12">
                  <c:v>0.199902027322305</c:v>
                </c:pt>
                <c:pt idx="13">
                  <c:v>0.19996065547443401</c:v>
                </c:pt>
                <c:pt idx="14">
                  <c:v>0.200020256486971</c:v>
                </c:pt>
                <c:pt idx="15">
                  <c:v>0.20008078398370399</c:v>
                </c:pt>
                <c:pt idx="16">
                  <c:v>0.20014219409279699</c:v>
                </c:pt>
                <c:pt idx="17">
                  <c:v>0.20020444572036999</c:v>
                </c:pt>
                <c:pt idx="18">
                  <c:v>0.20026750082486899</c:v>
                </c:pt>
                <c:pt idx="19">
                  <c:v>0.20033132469208301</c:v>
                </c:pt>
                <c:pt idx="20">
                  <c:v>0.20040621590088301</c:v>
                </c:pt>
                <c:pt idx="21">
                  <c:v>0.200492405524588</c:v>
                </c:pt>
                <c:pt idx="22">
                  <c:v>0.20057956892873899</c:v>
                </c:pt>
                <c:pt idx="23">
                  <c:v>0.200667587871316</c:v>
                </c:pt>
                <c:pt idx="24">
                  <c:v>0.20075634786765401</c:v>
                </c:pt>
                <c:pt idx="25">
                  <c:v>0.20084573886612</c:v>
                </c:pt>
                <c:pt idx="26">
                  <c:v>0.20093565592957499</c:v>
                </c:pt>
                <c:pt idx="27">
                  <c:v>0.20102599992320599</c:v>
                </c:pt>
                <c:pt idx="28">
                  <c:v>0.20111667820811299</c:v>
                </c:pt>
                <c:pt idx="29">
                  <c:v>0.20120760534118001</c:v>
                </c:pt>
                <c:pt idx="30">
                  <c:v>0.20132211487822699</c:v>
                </c:pt>
                <c:pt idx="31">
                  <c:v>0.20145989156452401</c:v>
                </c:pt>
                <c:pt idx="32">
                  <c:v>0.201597240245074</c:v>
                </c:pt>
                <c:pt idx="33">
                  <c:v>0.201733950241056</c:v>
                </c:pt>
                <c:pt idx="34">
                  <c:v>0.201869815231142</c:v>
                </c:pt>
                <c:pt idx="35">
                  <c:v>0.202004635100001</c:v>
                </c:pt>
                <c:pt idx="36">
                  <c:v>0.20213821780348801</c:v>
                </c:pt>
                <c:pt idx="37">
                  <c:v>0.20227038125083199</c:v>
                </c:pt>
                <c:pt idx="38">
                  <c:v>0.20240095520350301</c:v>
                </c:pt>
                <c:pt idx="39">
                  <c:v>0.202529783190987</c:v>
                </c:pt>
                <c:pt idx="40">
                  <c:v>0.20266085118402999</c:v>
                </c:pt>
                <c:pt idx="41">
                  <c:v>0.20279584980868001</c:v>
                </c:pt>
                <c:pt idx="42">
                  <c:v>0.202931000217832</c:v>
                </c:pt>
                <c:pt idx="43">
                  <c:v>0.20306583720580601</c:v>
                </c:pt>
                <c:pt idx="44">
                  <c:v>0.203199909981882</c:v>
                </c:pt>
                <c:pt idx="45">
                  <c:v>0.20333278911302399</c:v>
                </c:pt>
                <c:pt idx="46">
                  <c:v>0.20346407356260501</c:v>
                </c:pt>
                <c:pt idx="47">
                  <c:v>0.203593397825617</c:v>
                </c:pt>
                <c:pt idx="48">
                  <c:v>0.20372043915993501</c:v>
                </c:pt>
                <c:pt idx="49">
                  <c:v>0.20384492491391401</c:v>
                </c:pt>
                <c:pt idx="50">
                  <c:v>0.203999460943184</c:v>
                </c:pt>
                <c:pt idx="51">
                  <c:v>0.204178708715957</c:v>
                </c:pt>
                <c:pt idx="52">
                  <c:v>0.20434697004039101</c:v>
                </c:pt>
                <c:pt idx="53">
                  <c:v>0.20450332969093599</c:v>
                </c:pt>
                <c:pt idx="54">
                  <c:v>0.20464687430790299</c:v>
                </c:pt>
                <c:pt idx="55">
                  <c:v>0.20477671449830401</c:v>
                </c:pt>
                <c:pt idx="56">
                  <c:v>0.204892007157739</c:v>
                </c:pt>
                <c:pt idx="57">
                  <c:v>0.20499197801357999</c:v>
                </c:pt>
                <c:pt idx="58">
                  <c:v>0.20507594438930199</c:v>
                </c:pt>
                <c:pt idx="59">
                  <c:v>0.20514333819000899</c:v>
                </c:pt>
                <c:pt idx="60">
                  <c:v>0.205169434244798</c:v>
                </c:pt>
                <c:pt idx="61">
                  <c:v>0.20515346571226101</c:v>
                </c:pt>
                <c:pt idx="62">
                  <c:v>0.20511716270312799</c:v>
                </c:pt>
                <c:pt idx="63">
                  <c:v>0.20505774992292999</c:v>
                </c:pt>
                <c:pt idx="64">
                  <c:v>0.20497284767576901</c:v>
                </c:pt>
                <c:pt idx="65">
                  <c:v>0.20486073373060201</c:v>
                </c:pt>
                <c:pt idx="66">
                  <c:v>0.20472060927809799</c:v>
                </c:pt>
                <c:pt idx="67">
                  <c:v>0.204552868978571</c:v>
                </c:pt>
                <c:pt idx="68">
                  <c:v>0.20435937510049501</c:v>
                </c:pt>
                <c:pt idx="69">
                  <c:v>0.20414373574997599</c:v>
                </c:pt>
                <c:pt idx="70">
                  <c:v>0.20369910174782199</c:v>
                </c:pt>
                <c:pt idx="71">
                  <c:v>0.20289640603092801</c:v>
                </c:pt>
                <c:pt idx="72">
                  <c:v>0.20187008712705801</c:v>
                </c:pt>
                <c:pt idx="73">
                  <c:v>0.200590296680866</c:v>
                </c:pt>
                <c:pt idx="74">
                  <c:v>0.19902984129076601</c:v>
                </c:pt>
                <c:pt idx="75">
                  <c:v>0.197167741012474</c:v>
                </c:pt>
                <c:pt idx="76">
                  <c:v>0.19499288329575301</c:v>
                </c:pt>
                <c:pt idx="77">
                  <c:v>0.19250777235438299</c:v>
                </c:pt>
                <c:pt idx="78">
                  <c:v>0.18973237396920101</c:v>
                </c:pt>
                <c:pt idx="79">
                  <c:v>0.18670805572452001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1D1-4E64-9B97-CEA2C781D7A2}"/>
            </c:ext>
          </c:extLst>
        </c:ser>
        <c:ser>
          <c:idx val="1"/>
          <c:order val="4"/>
          <c:tx>
            <c:strRef>
              <c:f>Sheet1!$AD$1</c:f>
              <c:strCache>
                <c:ptCount val="1"/>
              </c:strCache>
            </c:strRef>
          </c:tx>
          <c:spPr>
            <a:ln w="38100">
              <a:noFill/>
            </a:ln>
          </c:spPr>
          <c:xVal>
            <c:numRef>
              <c:f>Sheet1!$Y$2:$Y$17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Sheet1!$AD$2:$AD$17</c:f>
              <c:numCache>
                <c:formatCode>0.00E+00</c:formatCode>
                <c:ptCount val="16"/>
                <c:pt idx="0">
                  <c:v>0.19987728421887299</c:v>
                </c:pt>
                <c:pt idx="1">
                  <c:v>0.19994515558298501</c:v>
                </c:pt>
                <c:pt idx="2">
                  <c:v>0.20016373950545099</c:v>
                </c:pt>
                <c:pt idx="3">
                  <c:v>0.20041880381239799</c:v>
                </c:pt>
                <c:pt idx="4">
                  <c:v>0.20071156278277699</c:v>
                </c:pt>
                <c:pt idx="5">
                  <c:v>0.20120506145705999</c:v>
                </c:pt>
                <c:pt idx="6">
                  <c:v>0.20167410525061899</c:v>
                </c:pt>
                <c:pt idx="7">
                  <c:v>0.202313020906665</c:v>
                </c:pt>
                <c:pt idx="8">
                  <c:v>0.20284390215953199</c:v>
                </c:pt>
                <c:pt idx="9">
                  <c:v>0.20356842248412699</c:v>
                </c:pt>
                <c:pt idx="10">
                  <c:v>0.20406046700819699</c:v>
                </c:pt>
                <c:pt idx="11">
                  <c:v>0.20477513407895101</c:v>
                </c:pt>
                <c:pt idx="12">
                  <c:v>0.20499643662710099</c:v>
                </c:pt>
                <c:pt idx="13">
                  <c:v>0.204145576311694</c:v>
                </c:pt>
                <c:pt idx="14">
                  <c:v>0.20236646895780699</c:v>
                </c:pt>
                <c:pt idx="15">
                  <c:v>0.192240266331548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1D1-4E64-9B97-CEA2C781D7A2}"/>
            </c:ext>
          </c:extLst>
        </c:ser>
        <c:ser>
          <c:idx val="0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Sheet1!$K$2:$K$17</c:f>
              <c:numCache>
                <c:formatCode>0.00E+00</c:formatCode>
                <c:ptCount val="16"/>
                <c:pt idx="0">
                  <c:v>0.199878639631451</c:v>
                </c:pt>
                <c:pt idx="1">
                  <c:v>0.19996715117472399</c:v>
                </c:pt>
                <c:pt idx="2">
                  <c:v>0.20012428212191799</c:v>
                </c:pt>
                <c:pt idx="3">
                  <c:v>0.20043016580794201</c:v>
                </c:pt>
                <c:pt idx="4">
                  <c:v>0.20073709624622901</c:v>
                </c:pt>
                <c:pt idx="5">
                  <c:v>0.20118723338237501</c:v>
                </c:pt>
                <c:pt idx="6">
                  <c:v>0.201646576695443</c:v>
                </c:pt>
                <c:pt idx="7">
                  <c:v>0.20232630473097099</c:v>
                </c:pt>
                <c:pt idx="8">
                  <c:v>0.202857744787344</c:v>
                </c:pt>
                <c:pt idx="9">
                  <c:v>0.20352154683951501</c:v>
                </c:pt>
                <c:pt idx="10">
                  <c:v>0.204099756482125</c:v>
                </c:pt>
                <c:pt idx="11">
                  <c:v>0.204740023952829</c:v>
                </c:pt>
                <c:pt idx="12">
                  <c:v>0.20484434001568699</c:v>
                </c:pt>
                <c:pt idx="13">
                  <c:v>0.20423082370818901</c:v>
                </c:pt>
                <c:pt idx="14">
                  <c:v>0.20226773253215499</c:v>
                </c:pt>
                <c:pt idx="15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1D1-4E64-9B97-CEA2C781D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76335"/>
        <c:axId val="1324675855"/>
      </c:scatterChart>
      <c:valAx>
        <c:axId val="13246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5855"/>
        <c:crosses val="autoZero"/>
        <c:crossBetween val="midCat"/>
      </c:valAx>
      <c:valAx>
        <c:axId val="13246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633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Sheet1!$AD$1</c:f>
              <c:strCache>
                <c:ptCount val="1"/>
              </c:strCache>
            </c:strRef>
          </c:tx>
          <c:spPr>
            <a:ln w="38100">
              <a:noFill/>
            </a:ln>
          </c:spPr>
          <c:xVal>
            <c:numRef>
              <c:f>Sheet1!$Y$2:$Y$17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Sheet1!$AD$2:$AD$17</c:f>
              <c:numCache>
                <c:formatCode>0.00E+00</c:formatCode>
                <c:ptCount val="16"/>
                <c:pt idx="0">
                  <c:v>0.19987728421887299</c:v>
                </c:pt>
                <c:pt idx="1">
                  <c:v>0.19994515558298501</c:v>
                </c:pt>
                <c:pt idx="2">
                  <c:v>0.20016373950545099</c:v>
                </c:pt>
                <c:pt idx="3">
                  <c:v>0.20041880381239799</c:v>
                </c:pt>
                <c:pt idx="4">
                  <c:v>0.20071156278277699</c:v>
                </c:pt>
                <c:pt idx="5">
                  <c:v>0.20120506145705999</c:v>
                </c:pt>
                <c:pt idx="6">
                  <c:v>0.20167410525061899</c:v>
                </c:pt>
                <c:pt idx="7">
                  <c:v>0.202313020906665</c:v>
                </c:pt>
                <c:pt idx="8">
                  <c:v>0.20284390215953199</c:v>
                </c:pt>
                <c:pt idx="9">
                  <c:v>0.20356842248412699</c:v>
                </c:pt>
                <c:pt idx="10">
                  <c:v>0.20406046700819699</c:v>
                </c:pt>
                <c:pt idx="11">
                  <c:v>0.20477513407895101</c:v>
                </c:pt>
                <c:pt idx="12">
                  <c:v>0.20499643662710099</c:v>
                </c:pt>
                <c:pt idx="13">
                  <c:v>0.204145576311694</c:v>
                </c:pt>
                <c:pt idx="14">
                  <c:v>0.20236646895780699</c:v>
                </c:pt>
                <c:pt idx="15">
                  <c:v>0.192240266331548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B-4819-9629-AFC428CC4C2D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Sheet1!$K$2:$K$17</c:f>
              <c:numCache>
                <c:formatCode>0.00E+00</c:formatCode>
                <c:ptCount val="16"/>
                <c:pt idx="0">
                  <c:v>0.199878639631451</c:v>
                </c:pt>
                <c:pt idx="1">
                  <c:v>0.19996715117472399</c:v>
                </c:pt>
                <c:pt idx="2">
                  <c:v>0.20012428212191799</c:v>
                </c:pt>
                <c:pt idx="3">
                  <c:v>0.20043016580794201</c:v>
                </c:pt>
                <c:pt idx="4">
                  <c:v>0.20073709624622901</c:v>
                </c:pt>
                <c:pt idx="5">
                  <c:v>0.20118723338237501</c:v>
                </c:pt>
                <c:pt idx="6">
                  <c:v>0.201646576695443</c:v>
                </c:pt>
                <c:pt idx="7">
                  <c:v>0.20232630473097099</c:v>
                </c:pt>
                <c:pt idx="8">
                  <c:v>0.202857744787344</c:v>
                </c:pt>
                <c:pt idx="9">
                  <c:v>0.20352154683951501</c:v>
                </c:pt>
                <c:pt idx="10">
                  <c:v>0.204099756482125</c:v>
                </c:pt>
                <c:pt idx="11">
                  <c:v>0.204740023952829</c:v>
                </c:pt>
                <c:pt idx="12">
                  <c:v>0.20484434001568699</c:v>
                </c:pt>
                <c:pt idx="13">
                  <c:v>0.20423082370818901</c:v>
                </c:pt>
                <c:pt idx="14">
                  <c:v>0.20226773253215499</c:v>
                </c:pt>
                <c:pt idx="15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B-4819-9629-AFC428CC4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76335"/>
        <c:axId val="1324675855"/>
      </c:scatterChart>
      <c:valAx>
        <c:axId val="13246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5855"/>
        <c:crosses val="autoZero"/>
        <c:crossBetween val="midCat"/>
      </c:valAx>
      <c:valAx>
        <c:axId val="13246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67633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Sheet1!$AP$1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Sheet1!$AK$2:$AK$81</c:f>
              <c:numCache>
                <c:formatCode>0.00E+00</c:formatCode>
                <c:ptCount val="80"/>
                <c:pt idx="0">
                  <c:v>3.1250000000000002E-3</c:v>
                </c:pt>
                <c:pt idx="1">
                  <c:v>9.3749999999999997E-3</c:v>
                </c:pt>
                <c:pt idx="2">
                  <c:v>1.5625E-2</c:v>
                </c:pt>
                <c:pt idx="3">
                  <c:v>2.1874999999999999E-2</c:v>
                </c:pt>
                <c:pt idx="4">
                  <c:v>2.8125000000000001E-2</c:v>
                </c:pt>
                <c:pt idx="5">
                  <c:v>3.4375000000000003E-2</c:v>
                </c:pt>
                <c:pt idx="6">
                  <c:v>4.0625000000000001E-2</c:v>
                </c:pt>
                <c:pt idx="7">
                  <c:v>4.6875E-2</c:v>
                </c:pt>
                <c:pt idx="8">
                  <c:v>5.3124999999999999E-2</c:v>
                </c:pt>
                <c:pt idx="9">
                  <c:v>5.9374999999999997E-2</c:v>
                </c:pt>
                <c:pt idx="10">
                  <c:v>6.5625000000000003E-2</c:v>
                </c:pt>
                <c:pt idx="11">
                  <c:v>7.1874999999999994E-2</c:v>
                </c:pt>
                <c:pt idx="12">
                  <c:v>7.8125E-2</c:v>
                </c:pt>
                <c:pt idx="13">
                  <c:v>8.4375000000000006E-2</c:v>
                </c:pt>
                <c:pt idx="14">
                  <c:v>9.0624999999999997E-2</c:v>
                </c:pt>
                <c:pt idx="15">
                  <c:v>9.6875000000000003E-2</c:v>
                </c:pt>
                <c:pt idx="16">
                  <c:v>0.10312499999999999</c:v>
                </c:pt>
                <c:pt idx="17">
                  <c:v>0.109375</c:v>
                </c:pt>
                <c:pt idx="18">
                  <c:v>0.11562500000000001</c:v>
                </c:pt>
                <c:pt idx="19">
                  <c:v>0.121875</c:v>
                </c:pt>
                <c:pt idx="20">
                  <c:v>0.12812499999999999</c:v>
                </c:pt>
                <c:pt idx="21">
                  <c:v>0.13437499999999999</c:v>
                </c:pt>
                <c:pt idx="22">
                  <c:v>0.140625</c:v>
                </c:pt>
                <c:pt idx="23">
                  <c:v>0.14687500000000001</c:v>
                </c:pt>
                <c:pt idx="24">
                  <c:v>0.15312500000000001</c:v>
                </c:pt>
                <c:pt idx="25">
                  <c:v>0.15937499999999999</c:v>
                </c:pt>
                <c:pt idx="26">
                  <c:v>0.16562499999999999</c:v>
                </c:pt>
                <c:pt idx="27">
                  <c:v>0.171875</c:v>
                </c:pt>
                <c:pt idx="28">
                  <c:v>0.17812500000000001</c:v>
                </c:pt>
                <c:pt idx="29">
                  <c:v>0.18437500000000001</c:v>
                </c:pt>
                <c:pt idx="30">
                  <c:v>0.19062499999999999</c:v>
                </c:pt>
                <c:pt idx="31">
                  <c:v>0.19687499999999999</c:v>
                </c:pt>
                <c:pt idx="32">
                  <c:v>0.203125</c:v>
                </c:pt>
                <c:pt idx="33">
                  <c:v>0.20937500000000001</c:v>
                </c:pt>
                <c:pt idx="34">
                  <c:v>0.21562500000000001</c:v>
                </c:pt>
                <c:pt idx="35">
                  <c:v>0.22187499999999999</c:v>
                </c:pt>
                <c:pt idx="36">
                  <c:v>0.22812499999999999</c:v>
                </c:pt>
                <c:pt idx="37">
                  <c:v>0.234375</c:v>
                </c:pt>
                <c:pt idx="38">
                  <c:v>0.24062500000000001</c:v>
                </c:pt>
                <c:pt idx="39">
                  <c:v>0.24687500000000001</c:v>
                </c:pt>
                <c:pt idx="40">
                  <c:v>0.25312499999999999</c:v>
                </c:pt>
                <c:pt idx="41">
                  <c:v>0.25937500000000002</c:v>
                </c:pt>
                <c:pt idx="42">
                  <c:v>0.265625</c:v>
                </c:pt>
                <c:pt idx="43">
                  <c:v>0.27187499999999998</c:v>
                </c:pt>
                <c:pt idx="44">
                  <c:v>0.27812500000000001</c:v>
                </c:pt>
                <c:pt idx="45">
                  <c:v>0.28437499999999999</c:v>
                </c:pt>
                <c:pt idx="46">
                  <c:v>0.29062500000000002</c:v>
                </c:pt>
                <c:pt idx="47">
                  <c:v>0.296875</c:v>
                </c:pt>
                <c:pt idx="48">
                  <c:v>0.30312499999999998</c:v>
                </c:pt>
                <c:pt idx="49">
                  <c:v>0.30937500000000001</c:v>
                </c:pt>
                <c:pt idx="50">
                  <c:v>0.31562499999999999</c:v>
                </c:pt>
                <c:pt idx="51">
                  <c:v>0.32187500000000002</c:v>
                </c:pt>
                <c:pt idx="52">
                  <c:v>0.328125</c:v>
                </c:pt>
                <c:pt idx="53">
                  <c:v>0.33437499999999998</c:v>
                </c:pt>
                <c:pt idx="54">
                  <c:v>0.34062500000000001</c:v>
                </c:pt>
                <c:pt idx="55">
                  <c:v>0.34687499999999999</c:v>
                </c:pt>
                <c:pt idx="56">
                  <c:v>0.35312500000000002</c:v>
                </c:pt>
                <c:pt idx="57">
                  <c:v>0.359375</c:v>
                </c:pt>
                <c:pt idx="58">
                  <c:v>0.36562499999999998</c:v>
                </c:pt>
                <c:pt idx="59">
                  <c:v>0.37187500000000001</c:v>
                </c:pt>
                <c:pt idx="60">
                  <c:v>0.37812499999999999</c:v>
                </c:pt>
                <c:pt idx="61">
                  <c:v>0.38437500000000002</c:v>
                </c:pt>
                <c:pt idx="62">
                  <c:v>0.390625</c:v>
                </c:pt>
                <c:pt idx="63">
                  <c:v>0.39687499999999998</c:v>
                </c:pt>
                <c:pt idx="64">
                  <c:v>0.40312500000000001</c:v>
                </c:pt>
                <c:pt idx="65">
                  <c:v>0.40937499999999999</c:v>
                </c:pt>
                <c:pt idx="66">
                  <c:v>0.41562500000000002</c:v>
                </c:pt>
                <c:pt idx="67">
                  <c:v>0.421875</c:v>
                </c:pt>
                <c:pt idx="68">
                  <c:v>0.42812499999999998</c:v>
                </c:pt>
                <c:pt idx="69">
                  <c:v>0.43437500000000001</c:v>
                </c:pt>
                <c:pt idx="70">
                  <c:v>0.44062499999999999</c:v>
                </c:pt>
                <c:pt idx="71">
                  <c:v>0.44687500000000002</c:v>
                </c:pt>
                <c:pt idx="72">
                  <c:v>0.453125</c:v>
                </c:pt>
                <c:pt idx="73">
                  <c:v>0.45937499999999998</c:v>
                </c:pt>
                <c:pt idx="74">
                  <c:v>0.46562500000000001</c:v>
                </c:pt>
                <c:pt idx="75">
                  <c:v>0.47187499999999999</c:v>
                </c:pt>
                <c:pt idx="76">
                  <c:v>0.47812500000000002</c:v>
                </c:pt>
                <c:pt idx="77">
                  <c:v>0.484375</c:v>
                </c:pt>
                <c:pt idx="78">
                  <c:v>0.49062499999999998</c:v>
                </c:pt>
                <c:pt idx="79">
                  <c:v>0.49687500000000001</c:v>
                </c:pt>
              </c:numCache>
            </c:numRef>
          </c:xVal>
          <c:yVal>
            <c:numRef>
              <c:f>Sheet1!$AP$2:$AP$81</c:f>
              <c:numCache>
                <c:formatCode>0.00E+00</c:formatCode>
                <c:ptCount val="80"/>
                <c:pt idx="0">
                  <c:v>0.199592180405081</c:v>
                </c:pt>
                <c:pt idx="1">
                  <c:v>0.19960705471977</c:v>
                </c:pt>
                <c:pt idx="2">
                  <c:v>0.199622637805417</c:v>
                </c:pt>
                <c:pt idx="3">
                  <c:v>0.19963890718230301</c:v>
                </c:pt>
                <c:pt idx="4">
                  <c:v>0.199655841164571</c:v>
                </c:pt>
                <c:pt idx="5">
                  <c:v>0.19967341919696899</c:v>
                </c:pt>
                <c:pt idx="6">
                  <c:v>0.19969162219033701</c:v>
                </c:pt>
                <c:pt idx="7">
                  <c:v>0.19971043285554099</c:v>
                </c:pt>
                <c:pt idx="8">
                  <c:v>0.19972983603594399</c:v>
                </c:pt>
                <c:pt idx="9">
                  <c:v>0.199749819038499</c:v>
                </c:pt>
                <c:pt idx="10">
                  <c:v>0.19978788598952499</c:v>
                </c:pt>
                <c:pt idx="11">
                  <c:v>0.19984442063830901</c:v>
                </c:pt>
                <c:pt idx="12">
                  <c:v>0.199902027322305</c:v>
                </c:pt>
                <c:pt idx="13">
                  <c:v>0.19996065547443401</c:v>
                </c:pt>
                <c:pt idx="14">
                  <c:v>0.200020256486971</c:v>
                </c:pt>
                <c:pt idx="15">
                  <c:v>0.20008078398370399</c:v>
                </c:pt>
                <c:pt idx="16">
                  <c:v>0.20014219409279699</c:v>
                </c:pt>
                <c:pt idx="17">
                  <c:v>0.20020444572036999</c:v>
                </c:pt>
                <c:pt idx="18">
                  <c:v>0.20026750082486899</c:v>
                </c:pt>
                <c:pt idx="19">
                  <c:v>0.20033132469208301</c:v>
                </c:pt>
                <c:pt idx="20">
                  <c:v>0.20040621590088301</c:v>
                </c:pt>
                <c:pt idx="21">
                  <c:v>0.200492405524588</c:v>
                </c:pt>
                <c:pt idx="22">
                  <c:v>0.20057956892873899</c:v>
                </c:pt>
                <c:pt idx="23">
                  <c:v>0.200667587871316</c:v>
                </c:pt>
                <c:pt idx="24">
                  <c:v>0.20075634786765401</c:v>
                </c:pt>
                <c:pt idx="25">
                  <c:v>0.20084573886612</c:v>
                </c:pt>
                <c:pt idx="26">
                  <c:v>0.20093565592957499</c:v>
                </c:pt>
                <c:pt idx="27">
                  <c:v>0.20102599992320599</c:v>
                </c:pt>
                <c:pt idx="28">
                  <c:v>0.20111667820811299</c:v>
                </c:pt>
                <c:pt idx="29">
                  <c:v>0.20120760534118001</c:v>
                </c:pt>
                <c:pt idx="30">
                  <c:v>0.20132211487822699</c:v>
                </c:pt>
                <c:pt idx="31">
                  <c:v>0.20145989156452401</c:v>
                </c:pt>
                <c:pt idx="32">
                  <c:v>0.201597240245074</c:v>
                </c:pt>
                <c:pt idx="33">
                  <c:v>0.201733950241056</c:v>
                </c:pt>
                <c:pt idx="34">
                  <c:v>0.201869815231142</c:v>
                </c:pt>
                <c:pt idx="35">
                  <c:v>0.202004635100001</c:v>
                </c:pt>
                <c:pt idx="36">
                  <c:v>0.20213821780348801</c:v>
                </c:pt>
                <c:pt idx="37">
                  <c:v>0.20227038125083199</c:v>
                </c:pt>
                <c:pt idx="38">
                  <c:v>0.20240095520350301</c:v>
                </c:pt>
                <c:pt idx="39">
                  <c:v>0.202529783190987</c:v>
                </c:pt>
                <c:pt idx="40">
                  <c:v>0.20266085118402999</c:v>
                </c:pt>
                <c:pt idx="41">
                  <c:v>0.20279584980868001</c:v>
                </c:pt>
                <c:pt idx="42">
                  <c:v>0.202931000217832</c:v>
                </c:pt>
                <c:pt idx="43">
                  <c:v>0.20306583720580601</c:v>
                </c:pt>
                <c:pt idx="44">
                  <c:v>0.203199909981882</c:v>
                </c:pt>
                <c:pt idx="45">
                  <c:v>0.20333278911302399</c:v>
                </c:pt>
                <c:pt idx="46">
                  <c:v>0.20346407356260501</c:v>
                </c:pt>
                <c:pt idx="47">
                  <c:v>0.203593397825617</c:v>
                </c:pt>
                <c:pt idx="48">
                  <c:v>0.20372043915993501</c:v>
                </c:pt>
                <c:pt idx="49">
                  <c:v>0.20384492491391401</c:v>
                </c:pt>
                <c:pt idx="50">
                  <c:v>0.203999460943184</c:v>
                </c:pt>
                <c:pt idx="51">
                  <c:v>0.204178708715957</c:v>
                </c:pt>
                <c:pt idx="52">
                  <c:v>0.20434697004039101</c:v>
                </c:pt>
                <c:pt idx="53">
                  <c:v>0.20450332969093599</c:v>
                </c:pt>
                <c:pt idx="54">
                  <c:v>0.20464687430790299</c:v>
                </c:pt>
                <c:pt idx="55">
                  <c:v>0.20477671449830401</c:v>
                </c:pt>
                <c:pt idx="56">
                  <c:v>0.204892007157739</c:v>
                </c:pt>
                <c:pt idx="57">
                  <c:v>0.20499197801357999</c:v>
                </c:pt>
                <c:pt idx="58">
                  <c:v>0.20507594438930199</c:v>
                </c:pt>
                <c:pt idx="59">
                  <c:v>0.20514333819000899</c:v>
                </c:pt>
                <c:pt idx="60">
                  <c:v>0.205169434244798</c:v>
                </c:pt>
                <c:pt idx="61">
                  <c:v>0.20515346571226101</c:v>
                </c:pt>
                <c:pt idx="62">
                  <c:v>0.20511716270312799</c:v>
                </c:pt>
                <c:pt idx="63">
                  <c:v>0.20505774992292999</c:v>
                </c:pt>
                <c:pt idx="64">
                  <c:v>0.20497284767576901</c:v>
                </c:pt>
                <c:pt idx="65">
                  <c:v>0.20486073373060201</c:v>
                </c:pt>
                <c:pt idx="66">
                  <c:v>0.20472060927809799</c:v>
                </c:pt>
                <c:pt idx="67">
                  <c:v>0.204552868978571</c:v>
                </c:pt>
                <c:pt idx="68">
                  <c:v>0.20435937510049501</c:v>
                </c:pt>
                <c:pt idx="69">
                  <c:v>0.20414373574997599</c:v>
                </c:pt>
                <c:pt idx="70">
                  <c:v>0.20369910174782199</c:v>
                </c:pt>
                <c:pt idx="71">
                  <c:v>0.20289640603092801</c:v>
                </c:pt>
                <c:pt idx="72">
                  <c:v>0.20187008712705801</c:v>
                </c:pt>
                <c:pt idx="73">
                  <c:v>0.200590296680866</c:v>
                </c:pt>
                <c:pt idx="74">
                  <c:v>0.19902984129076601</c:v>
                </c:pt>
                <c:pt idx="75">
                  <c:v>0.197167741012474</c:v>
                </c:pt>
                <c:pt idx="76">
                  <c:v>0.19499288329575301</c:v>
                </c:pt>
                <c:pt idx="77">
                  <c:v>0.19250777235438299</c:v>
                </c:pt>
                <c:pt idx="78">
                  <c:v>0.18973237396920101</c:v>
                </c:pt>
                <c:pt idx="79">
                  <c:v>0.18670805572452001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3-427B-92C3-60BC56115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931199"/>
        <c:axId val="1315931679"/>
      </c:scatterChart>
      <c:valAx>
        <c:axId val="131593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5931679"/>
        <c:crosses val="autoZero"/>
        <c:crossBetween val="midCat"/>
      </c:valAx>
      <c:valAx>
        <c:axId val="131593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593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Sheet1!$BC$2:$BC$33</c:f>
              <c:numCache>
                <c:formatCode>0.00E+00</c:formatCode>
                <c:ptCount val="32"/>
                <c:pt idx="0">
                  <c:v>-1.5625E-2</c:v>
                </c:pt>
                <c:pt idx="1">
                  <c:v>-0.484375</c:v>
                </c:pt>
                <c:pt idx="2">
                  <c:v>-0.453125</c:v>
                </c:pt>
                <c:pt idx="3">
                  <c:v>-0.421875</c:v>
                </c:pt>
                <c:pt idx="4">
                  <c:v>-0.390625</c:v>
                </c:pt>
                <c:pt idx="5">
                  <c:v>-0.359375</c:v>
                </c:pt>
                <c:pt idx="6">
                  <c:v>-0.328125</c:v>
                </c:pt>
                <c:pt idx="7">
                  <c:v>-0.296875</c:v>
                </c:pt>
                <c:pt idx="8">
                  <c:v>-0.265625</c:v>
                </c:pt>
                <c:pt idx="9">
                  <c:v>-0.234375</c:v>
                </c:pt>
                <c:pt idx="10">
                  <c:v>-0.203125</c:v>
                </c:pt>
                <c:pt idx="11">
                  <c:v>-0.171875</c:v>
                </c:pt>
                <c:pt idx="12">
                  <c:v>-0.140625</c:v>
                </c:pt>
                <c:pt idx="13">
                  <c:v>-0.109375</c:v>
                </c:pt>
                <c:pt idx="14">
                  <c:v>-7.8125E-2</c:v>
                </c:pt>
                <c:pt idx="15">
                  <c:v>-4.6875E-2</c:v>
                </c:pt>
                <c:pt idx="16">
                  <c:v>1.5625E-2</c:v>
                </c:pt>
                <c:pt idx="17">
                  <c:v>4.6875E-2</c:v>
                </c:pt>
                <c:pt idx="18">
                  <c:v>7.8125E-2</c:v>
                </c:pt>
                <c:pt idx="19">
                  <c:v>0.109375</c:v>
                </c:pt>
                <c:pt idx="20">
                  <c:v>0.140625</c:v>
                </c:pt>
                <c:pt idx="21">
                  <c:v>0.171875</c:v>
                </c:pt>
                <c:pt idx="22">
                  <c:v>0.203125</c:v>
                </c:pt>
                <c:pt idx="23">
                  <c:v>0.234375</c:v>
                </c:pt>
                <c:pt idx="24">
                  <c:v>0.265625</c:v>
                </c:pt>
                <c:pt idx="25">
                  <c:v>0.296875</c:v>
                </c:pt>
                <c:pt idx="26">
                  <c:v>0.328125</c:v>
                </c:pt>
                <c:pt idx="27">
                  <c:v>0.359375</c:v>
                </c:pt>
                <c:pt idx="28">
                  <c:v>0.390625</c:v>
                </c:pt>
                <c:pt idx="29">
                  <c:v>0.421875</c:v>
                </c:pt>
                <c:pt idx="30">
                  <c:v>0.453125</c:v>
                </c:pt>
                <c:pt idx="31">
                  <c:v>0.484375</c:v>
                </c:pt>
              </c:numCache>
            </c:numRef>
          </c:xVal>
          <c:yVal>
            <c:numRef>
              <c:f>Sheet1!$BD$2:$BD$33</c:f>
              <c:numCache>
                <c:formatCode>0.00E+00</c:formatCode>
                <c:ptCount val="32"/>
                <c:pt idx="0">
                  <c:v>0.199878639631451</c:v>
                </c:pt>
                <c:pt idx="1">
                  <c:v>0.19250670265921199</c:v>
                </c:pt>
                <c:pt idx="2">
                  <c:v>0.20226773253215499</c:v>
                </c:pt>
                <c:pt idx="3">
                  <c:v>0.20423082370818901</c:v>
                </c:pt>
                <c:pt idx="4">
                  <c:v>0.20484434001568699</c:v>
                </c:pt>
                <c:pt idx="5">
                  <c:v>0.204740023952829</c:v>
                </c:pt>
                <c:pt idx="6">
                  <c:v>0.204099756482125</c:v>
                </c:pt>
                <c:pt idx="7">
                  <c:v>0.20352154683951501</c:v>
                </c:pt>
                <c:pt idx="8">
                  <c:v>0.202857744787344</c:v>
                </c:pt>
                <c:pt idx="9">
                  <c:v>0.20232630473097099</c:v>
                </c:pt>
                <c:pt idx="10">
                  <c:v>0.201646576695443</c:v>
                </c:pt>
                <c:pt idx="11">
                  <c:v>0.20118723338237501</c:v>
                </c:pt>
                <c:pt idx="12">
                  <c:v>0.20073709624622901</c:v>
                </c:pt>
                <c:pt idx="13">
                  <c:v>0.20043016580794201</c:v>
                </c:pt>
                <c:pt idx="14">
                  <c:v>0.20012428212191799</c:v>
                </c:pt>
                <c:pt idx="15">
                  <c:v>0.19996715117472399</c:v>
                </c:pt>
                <c:pt idx="16">
                  <c:v>0.199878639631451</c:v>
                </c:pt>
                <c:pt idx="17">
                  <c:v>0.19996715117472399</c:v>
                </c:pt>
                <c:pt idx="18">
                  <c:v>0.20012428212191799</c:v>
                </c:pt>
                <c:pt idx="19">
                  <c:v>0.20043016580794201</c:v>
                </c:pt>
                <c:pt idx="20">
                  <c:v>0.20073709624622901</c:v>
                </c:pt>
                <c:pt idx="21">
                  <c:v>0.20118723338237501</c:v>
                </c:pt>
                <c:pt idx="22">
                  <c:v>0.201646576695443</c:v>
                </c:pt>
                <c:pt idx="23">
                  <c:v>0.20232630473097099</c:v>
                </c:pt>
                <c:pt idx="24">
                  <c:v>0.202857744787344</c:v>
                </c:pt>
                <c:pt idx="25">
                  <c:v>0.20352154683951501</c:v>
                </c:pt>
                <c:pt idx="26">
                  <c:v>0.204099756482125</c:v>
                </c:pt>
                <c:pt idx="27">
                  <c:v>0.204740023952829</c:v>
                </c:pt>
                <c:pt idx="28">
                  <c:v>0.20484434001568699</c:v>
                </c:pt>
                <c:pt idx="29">
                  <c:v>0.20423082370818901</c:v>
                </c:pt>
                <c:pt idx="30">
                  <c:v>0.20226773253215499</c:v>
                </c:pt>
                <c:pt idx="31">
                  <c:v>0.19250670265921199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08-4571-9975-BEFBAE561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897119"/>
        <c:axId val="1315897599"/>
      </c:scatterChart>
      <c:valAx>
        <c:axId val="131589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5897599"/>
        <c:crosses val="autoZero"/>
        <c:crossBetween val="midCat"/>
      </c:valAx>
      <c:valAx>
        <c:axId val="13158975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589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1p'!$F$2:$F$17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1p'!$K$2:$K$17</c:f>
              <c:numCache>
                <c:formatCode>0.00E+00</c:formatCode>
                <c:ptCount val="16"/>
                <c:pt idx="0">
                  <c:v>27.500894741615198</c:v>
                </c:pt>
                <c:pt idx="1">
                  <c:v>27.4190256278075</c:v>
                </c:pt>
                <c:pt idx="2">
                  <c:v>27.223640979455102</c:v>
                </c:pt>
                <c:pt idx="3">
                  <c:v>26.941766714131798</c:v>
                </c:pt>
                <c:pt idx="4">
                  <c:v>26.601314343423802</c:v>
                </c:pt>
                <c:pt idx="5">
                  <c:v>26.132062383209</c:v>
                </c:pt>
                <c:pt idx="6">
                  <c:v>25.567387395770901</c:v>
                </c:pt>
                <c:pt idx="7">
                  <c:v>24.964708843172101</c:v>
                </c:pt>
                <c:pt idx="8">
                  <c:v>24.210343031190099</c:v>
                </c:pt>
                <c:pt idx="9">
                  <c:v>23.229418901751998</c:v>
                </c:pt>
                <c:pt idx="10">
                  <c:v>22.5456527936689</c:v>
                </c:pt>
                <c:pt idx="11">
                  <c:v>21.5473743871712</c:v>
                </c:pt>
                <c:pt idx="12">
                  <c:v>19.290411571295699</c:v>
                </c:pt>
                <c:pt idx="13">
                  <c:v>19.027750786605601</c:v>
                </c:pt>
                <c:pt idx="14">
                  <c:v>21.622178046924802</c:v>
                </c:pt>
                <c:pt idx="15">
                  <c:v>17.6233463860519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BB-46A4-A566-EA25EED28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1p'!$F$19:$F$34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1p'!$K$19:$K$34</c:f>
              <c:numCache>
                <c:formatCode>0.00E+00</c:formatCode>
                <c:ptCount val="16"/>
                <c:pt idx="0">
                  <c:v>27.3456344983558</c:v>
                </c:pt>
                <c:pt idx="1">
                  <c:v>27.252486446677601</c:v>
                </c:pt>
                <c:pt idx="2">
                  <c:v>27.046555981138301</c:v>
                </c:pt>
                <c:pt idx="3">
                  <c:v>26.9095450093449</c:v>
                </c:pt>
                <c:pt idx="4">
                  <c:v>26.3820306440773</c:v>
                </c:pt>
                <c:pt idx="5">
                  <c:v>25.9747904127649</c:v>
                </c:pt>
                <c:pt idx="6">
                  <c:v>25.661801973102701</c:v>
                </c:pt>
                <c:pt idx="7">
                  <c:v>24.742941401821099</c:v>
                </c:pt>
                <c:pt idx="8">
                  <c:v>23.920555162227199</c:v>
                </c:pt>
                <c:pt idx="9">
                  <c:v>23.144643672232998</c:v>
                </c:pt>
                <c:pt idx="10">
                  <c:v>22.652326760073102</c:v>
                </c:pt>
                <c:pt idx="11">
                  <c:v>21.086927596911099</c:v>
                </c:pt>
                <c:pt idx="12">
                  <c:v>19.633210041058</c:v>
                </c:pt>
                <c:pt idx="13">
                  <c:v>19.5081509507989</c:v>
                </c:pt>
                <c:pt idx="14">
                  <c:v>23.176497112364</c:v>
                </c:pt>
                <c:pt idx="15">
                  <c:v>19.433458012699099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A-44F8-8841-282CFB195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1p'!$F$36:$F$51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1p'!$K$36:$K$51</c:f>
              <c:numCache>
                <c:formatCode>0.00E+00</c:formatCode>
                <c:ptCount val="16"/>
                <c:pt idx="0">
                  <c:v>27.233542557968502</c:v>
                </c:pt>
                <c:pt idx="1">
                  <c:v>27.1530111497554</c:v>
                </c:pt>
                <c:pt idx="2">
                  <c:v>26.965531759032501</c:v>
                </c:pt>
                <c:pt idx="3">
                  <c:v>27.133075219317</c:v>
                </c:pt>
                <c:pt idx="4">
                  <c:v>26.350310651948199</c:v>
                </c:pt>
                <c:pt idx="5">
                  <c:v>25.920861964013401</c:v>
                </c:pt>
                <c:pt idx="6">
                  <c:v>25.8735361106976</c:v>
                </c:pt>
                <c:pt idx="7">
                  <c:v>24.7889032959202</c:v>
                </c:pt>
                <c:pt idx="8">
                  <c:v>23.900081807265401</c:v>
                </c:pt>
                <c:pt idx="9">
                  <c:v>23.395750825623701</c:v>
                </c:pt>
                <c:pt idx="10">
                  <c:v>22.6528487008115</c:v>
                </c:pt>
                <c:pt idx="11">
                  <c:v>21.299302368004401</c:v>
                </c:pt>
                <c:pt idx="12">
                  <c:v>19.898870252936302</c:v>
                </c:pt>
                <c:pt idx="13">
                  <c:v>18.773765483322599</c:v>
                </c:pt>
                <c:pt idx="14">
                  <c:v>23.222808356738401</c:v>
                </c:pt>
                <c:pt idx="15">
                  <c:v>17.530790626394499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BC-4C92-AC35-B934E628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'nonlinear, t16, 1p'!$L$19:$L$34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1p'!$M$19:$M$34</c:f>
              <c:numCache>
                <c:formatCode>0.00E+00</c:formatCode>
                <c:ptCount val="16"/>
                <c:pt idx="0">
                  <c:v>13.6728172491779</c:v>
                </c:pt>
                <c:pt idx="1">
                  <c:v>13.6262432233388</c:v>
                </c:pt>
                <c:pt idx="2">
                  <c:v>13.52327799056915</c:v>
                </c:pt>
                <c:pt idx="3">
                  <c:v>13.45477250467245</c:v>
                </c:pt>
                <c:pt idx="4">
                  <c:v>13.19101532203865</c:v>
                </c:pt>
                <c:pt idx="5">
                  <c:v>12.98739520638245</c:v>
                </c:pt>
                <c:pt idx="6">
                  <c:v>12.830900986551351</c:v>
                </c:pt>
                <c:pt idx="7">
                  <c:v>12.37147070091055</c:v>
                </c:pt>
                <c:pt idx="8">
                  <c:v>11.9602775811136</c:v>
                </c:pt>
                <c:pt idx="9">
                  <c:v>11.572321836116499</c:v>
                </c:pt>
                <c:pt idx="10">
                  <c:v>11.326163380036551</c:v>
                </c:pt>
                <c:pt idx="11">
                  <c:v>10.54346379845555</c:v>
                </c:pt>
                <c:pt idx="12">
                  <c:v>9.8166050205289999</c:v>
                </c:pt>
                <c:pt idx="13">
                  <c:v>9.7540754753994499</c:v>
                </c:pt>
                <c:pt idx="14">
                  <c:v>11.588248556182</c:v>
                </c:pt>
                <c:pt idx="15">
                  <c:v>9.7167290063495493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F4-4ADE-B278-FA59234549B6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'nonlinear, t16, 1p'!$L$36:$L$51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1p'!$M$36:$M$51</c:f>
              <c:numCache>
                <c:formatCode>0.00E+00</c:formatCode>
                <c:ptCount val="16"/>
                <c:pt idx="0">
                  <c:v>13.616771278984251</c:v>
                </c:pt>
                <c:pt idx="1">
                  <c:v>13.5765055748777</c:v>
                </c:pt>
                <c:pt idx="2">
                  <c:v>13.482765879516251</c:v>
                </c:pt>
                <c:pt idx="3">
                  <c:v>13.5665376096585</c:v>
                </c:pt>
                <c:pt idx="4">
                  <c:v>13.175155325974099</c:v>
                </c:pt>
                <c:pt idx="5">
                  <c:v>12.960430982006701</c:v>
                </c:pt>
                <c:pt idx="6">
                  <c:v>12.9367680553488</c:v>
                </c:pt>
                <c:pt idx="7">
                  <c:v>12.3944516479601</c:v>
                </c:pt>
                <c:pt idx="8">
                  <c:v>11.950040903632701</c:v>
                </c:pt>
                <c:pt idx="9">
                  <c:v>11.69787541281185</c:v>
                </c:pt>
                <c:pt idx="10">
                  <c:v>11.32642435040575</c:v>
                </c:pt>
                <c:pt idx="11">
                  <c:v>10.649651184002201</c:v>
                </c:pt>
                <c:pt idx="12">
                  <c:v>9.9494351264681509</c:v>
                </c:pt>
                <c:pt idx="13">
                  <c:v>9.3868827416612994</c:v>
                </c:pt>
                <c:pt idx="14">
                  <c:v>11.611404178369201</c:v>
                </c:pt>
                <c:pt idx="15">
                  <c:v>8.7653953131972493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F4-4ADE-B278-FA59234549B6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'nonlinear, t16, 1p'!$L$2:$L$17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1p'!$M$2:$M$17</c:f>
              <c:numCache>
                <c:formatCode>0.00E+00</c:formatCode>
                <c:ptCount val="16"/>
                <c:pt idx="0">
                  <c:v>13.750447370807599</c:v>
                </c:pt>
                <c:pt idx="1">
                  <c:v>13.70951281390375</c:v>
                </c:pt>
                <c:pt idx="2">
                  <c:v>13.611820489727551</c:v>
                </c:pt>
                <c:pt idx="3">
                  <c:v>13.470883357065899</c:v>
                </c:pt>
                <c:pt idx="4">
                  <c:v>13.300657171711901</c:v>
                </c:pt>
                <c:pt idx="5">
                  <c:v>13.0660311916045</c:v>
                </c:pt>
                <c:pt idx="6">
                  <c:v>12.78369369788545</c:v>
                </c:pt>
                <c:pt idx="7">
                  <c:v>12.48235442158605</c:v>
                </c:pt>
                <c:pt idx="8">
                  <c:v>12.10517151559505</c:v>
                </c:pt>
                <c:pt idx="9">
                  <c:v>11.614709450875999</c:v>
                </c:pt>
                <c:pt idx="10">
                  <c:v>11.27282639683445</c:v>
                </c:pt>
                <c:pt idx="11">
                  <c:v>10.7736871935856</c:v>
                </c:pt>
                <c:pt idx="12">
                  <c:v>9.6452057856478497</c:v>
                </c:pt>
                <c:pt idx="13">
                  <c:v>9.5138753933028006</c:v>
                </c:pt>
                <c:pt idx="14">
                  <c:v>10.811089023462401</c:v>
                </c:pt>
                <c:pt idx="15">
                  <c:v>8.8116731930259498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F4-4ADE-B278-FA592345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38100">
              <a:noFill/>
            </a:ln>
          </c:spPr>
          <c:xVal>
            <c:numRef>
              <c:f>'nonlinear, t16, 1p'!$AF$13:$AF$45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'nonlinear, t16, 1p'!$AG$13:$AG$45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23-41A0-96D1-2CD87B3FF173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'nonlinear, t16, 1p'!$L$19:$L$34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1p'!$K$19:$K$34</c:f>
              <c:numCache>
                <c:formatCode>0.00E+00</c:formatCode>
                <c:ptCount val="16"/>
                <c:pt idx="0">
                  <c:v>27.3456344983558</c:v>
                </c:pt>
                <c:pt idx="1">
                  <c:v>27.252486446677601</c:v>
                </c:pt>
                <c:pt idx="2">
                  <c:v>27.046555981138301</c:v>
                </c:pt>
                <c:pt idx="3">
                  <c:v>26.9095450093449</c:v>
                </c:pt>
                <c:pt idx="4">
                  <c:v>26.3820306440773</c:v>
                </c:pt>
                <c:pt idx="5">
                  <c:v>25.9747904127649</c:v>
                </c:pt>
                <c:pt idx="6">
                  <c:v>25.661801973102701</c:v>
                </c:pt>
                <c:pt idx="7">
                  <c:v>24.742941401821099</c:v>
                </c:pt>
                <c:pt idx="8">
                  <c:v>23.920555162227199</c:v>
                </c:pt>
                <c:pt idx="9">
                  <c:v>23.144643672232998</c:v>
                </c:pt>
                <c:pt idx="10">
                  <c:v>22.652326760073102</c:v>
                </c:pt>
                <c:pt idx="11">
                  <c:v>21.086927596911099</c:v>
                </c:pt>
                <c:pt idx="12">
                  <c:v>19.633210041058</c:v>
                </c:pt>
                <c:pt idx="13">
                  <c:v>19.5081509507989</c:v>
                </c:pt>
                <c:pt idx="14">
                  <c:v>23.176497112364</c:v>
                </c:pt>
                <c:pt idx="15">
                  <c:v>19.433458012699099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2-5623-41A0-96D1-2CD87B3FF173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  <a:effectLst/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'nonlinear, t16, 1p'!$L$36:$L$51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1p'!$K$36:$K$51</c:f>
              <c:numCache>
                <c:formatCode>0.00E+00</c:formatCode>
                <c:ptCount val="16"/>
                <c:pt idx="0">
                  <c:v>27.233542557968502</c:v>
                </c:pt>
                <c:pt idx="1">
                  <c:v>27.1530111497554</c:v>
                </c:pt>
                <c:pt idx="2">
                  <c:v>26.965531759032501</c:v>
                </c:pt>
                <c:pt idx="3">
                  <c:v>27.133075219317</c:v>
                </c:pt>
                <c:pt idx="4">
                  <c:v>26.350310651948199</c:v>
                </c:pt>
                <c:pt idx="5">
                  <c:v>25.920861964013401</c:v>
                </c:pt>
                <c:pt idx="6">
                  <c:v>25.8735361106976</c:v>
                </c:pt>
                <c:pt idx="7">
                  <c:v>24.7889032959202</c:v>
                </c:pt>
                <c:pt idx="8">
                  <c:v>23.900081807265401</c:v>
                </c:pt>
                <c:pt idx="9">
                  <c:v>23.395750825623701</c:v>
                </c:pt>
                <c:pt idx="10">
                  <c:v>22.6528487008115</c:v>
                </c:pt>
                <c:pt idx="11">
                  <c:v>21.299302368004401</c:v>
                </c:pt>
                <c:pt idx="12">
                  <c:v>19.898870252936302</c:v>
                </c:pt>
                <c:pt idx="13">
                  <c:v>18.773765483322599</c:v>
                </c:pt>
                <c:pt idx="14">
                  <c:v>23.222808356738401</c:v>
                </c:pt>
                <c:pt idx="15">
                  <c:v>17.530790626394499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4-5623-41A0-96D1-2CD87B3FF173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'nonlinear, t16, 1p'!$L$2:$L$17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1p'!$K$2:$K$17</c:f>
              <c:numCache>
                <c:formatCode>0.00E+00</c:formatCode>
                <c:ptCount val="16"/>
                <c:pt idx="0">
                  <c:v>27.500894741615198</c:v>
                </c:pt>
                <c:pt idx="1">
                  <c:v>27.4190256278075</c:v>
                </c:pt>
                <c:pt idx="2">
                  <c:v>27.223640979455102</c:v>
                </c:pt>
                <c:pt idx="3">
                  <c:v>26.941766714131798</c:v>
                </c:pt>
                <c:pt idx="4">
                  <c:v>26.601314343423802</c:v>
                </c:pt>
                <c:pt idx="5">
                  <c:v>26.132062383209</c:v>
                </c:pt>
                <c:pt idx="6">
                  <c:v>25.567387395770901</c:v>
                </c:pt>
                <c:pt idx="7">
                  <c:v>24.964708843172101</c:v>
                </c:pt>
                <c:pt idx="8">
                  <c:v>24.210343031190099</c:v>
                </c:pt>
                <c:pt idx="9">
                  <c:v>23.229418901751998</c:v>
                </c:pt>
                <c:pt idx="10">
                  <c:v>22.5456527936689</c:v>
                </c:pt>
                <c:pt idx="11">
                  <c:v>21.5473743871712</c:v>
                </c:pt>
                <c:pt idx="12">
                  <c:v>19.290411571295699</c:v>
                </c:pt>
                <c:pt idx="13">
                  <c:v>19.027750786605601</c:v>
                </c:pt>
                <c:pt idx="14">
                  <c:v>21.622178046924802</c:v>
                </c:pt>
                <c:pt idx="15">
                  <c:v>17.6233463860519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6-5623-41A0-96D1-2CD87B3FF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6989960629921255"/>
          <c:y val="5.2696326473193243E-2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'nonlinear, t16, 1p'!$L$19:$L$34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1p'!$M$19:$M$34</c:f>
              <c:numCache>
                <c:formatCode>0.00E+00</c:formatCode>
                <c:ptCount val="16"/>
                <c:pt idx="0">
                  <c:v>13.6728172491779</c:v>
                </c:pt>
                <c:pt idx="1">
                  <c:v>13.6262432233388</c:v>
                </c:pt>
                <c:pt idx="2">
                  <c:v>13.52327799056915</c:v>
                </c:pt>
                <c:pt idx="3">
                  <c:v>13.45477250467245</c:v>
                </c:pt>
                <c:pt idx="4">
                  <c:v>13.19101532203865</c:v>
                </c:pt>
                <c:pt idx="5">
                  <c:v>12.98739520638245</c:v>
                </c:pt>
                <c:pt idx="6">
                  <c:v>12.830900986551351</c:v>
                </c:pt>
                <c:pt idx="7">
                  <c:v>12.37147070091055</c:v>
                </c:pt>
                <c:pt idx="8">
                  <c:v>11.9602775811136</c:v>
                </c:pt>
                <c:pt idx="9">
                  <c:v>11.572321836116499</c:v>
                </c:pt>
                <c:pt idx="10">
                  <c:v>11.326163380036551</c:v>
                </c:pt>
                <c:pt idx="11">
                  <c:v>10.54346379845555</c:v>
                </c:pt>
                <c:pt idx="12">
                  <c:v>9.8166050205289999</c:v>
                </c:pt>
                <c:pt idx="13">
                  <c:v>9.7540754753994499</c:v>
                </c:pt>
                <c:pt idx="14">
                  <c:v>11.588248556182</c:v>
                </c:pt>
                <c:pt idx="15">
                  <c:v>9.7167290063495493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0-4F93-A0A6-AE656E693B6C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'nonlinear, t16, 1p'!$L$36:$L$51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1p'!$M$36:$M$51</c:f>
              <c:numCache>
                <c:formatCode>0.00E+00</c:formatCode>
                <c:ptCount val="16"/>
                <c:pt idx="0">
                  <c:v>13.616771278984251</c:v>
                </c:pt>
                <c:pt idx="1">
                  <c:v>13.5765055748777</c:v>
                </c:pt>
                <c:pt idx="2">
                  <c:v>13.482765879516251</c:v>
                </c:pt>
                <c:pt idx="3">
                  <c:v>13.5665376096585</c:v>
                </c:pt>
                <c:pt idx="4">
                  <c:v>13.175155325974099</c:v>
                </c:pt>
                <c:pt idx="5">
                  <c:v>12.960430982006701</c:v>
                </c:pt>
                <c:pt idx="6">
                  <c:v>12.9367680553488</c:v>
                </c:pt>
                <c:pt idx="7">
                  <c:v>12.3944516479601</c:v>
                </c:pt>
                <c:pt idx="8">
                  <c:v>11.950040903632701</c:v>
                </c:pt>
                <c:pt idx="9">
                  <c:v>11.69787541281185</c:v>
                </c:pt>
                <c:pt idx="10">
                  <c:v>11.32642435040575</c:v>
                </c:pt>
                <c:pt idx="11">
                  <c:v>10.649651184002201</c:v>
                </c:pt>
                <c:pt idx="12">
                  <c:v>9.9494351264681509</c:v>
                </c:pt>
                <c:pt idx="13">
                  <c:v>9.3868827416612994</c:v>
                </c:pt>
                <c:pt idx="14">
                  <c:v>11.611404178369201</c:v>
                </c:pt>
                <c:pt idx="15">
                  <c:v>8.7653953131972493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60-4F93-A0A6-AE656E693B6C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'nonlinear, t16, 1p'!$L$2:$L$17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'nonlinear, t16, 1p'!$M$2:$M$17</c:f>
              <c:numCache>
                <c:formatCode>0.00E+00</c:formatCode>
                <c:ptCount val="16"/>
                <c:pt idx="0">
                  <c:v>13.750447370807599</c:v>
                </c:pt>
                <c:pt idx="1">
                  <c:v>13.70951281390375</c:v>
                </c:pt>
                <c:pt idx="2">
                  <c:v>13.611820489727551</c:v>
                </c:pt>
                <c:pt idx="3">
                  <c:v>13.470883357065899</c:v>
                </c:pt>
                <c:pt idx="4">
                  <c:v>13.300657171711901</c:v>
                </c:pt>
                <c:pt idx="5">
                  <c:v>13.0660311916045</c:v>
                </c:pt>
                <c:pt idx="6">
                  <c:v>12.78369369788545</c:v>
                </c:pt>
                <c:pt idx="7">
                  <c:v>12.48235442158605</c:v>
                </c:pt>
                <c:pt idx="8">
                  <c:v>12.10517151559505</c:v>
                </c:pt>
                <c:pt idx="9">
                  <c:v>11.614709450875999</c:v>
                </c:pt>
                <c:pt idx="10">
                  <c:v>11.27282639683445</c:v>
                </c:pt>
                <c:pt idx="11">
                  <c:v>10.7736871935856</c:v>
                </c:pt>
                <c:pt idx="12">
                  <c:v>9.6452057856478497</c:v>
                </c:pt>
                <c:pt idx="13">
                  <c:v>9.5138753933028006</c:v>
                </c:pt>
                <c:pt idx="14">
                  <c:v>10.811089023462401</c:v>
                </c:pt>
                <c:pt idx="15">
                  <c:v>8.8116731930259498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60-4F93-A0A6-AE656E693B6C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'nonlinear, t16, 1p'!$AF$13:$AF$45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'nonlinear, t16, 1p'!$AG$13:$AG$45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60-4F93-A0A6-AE656E693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2p'!$F$2:$F$17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2p'!$K$2:$K$17</c:f>
              <c:numCache>
                <c:formatCode>0.00E+00</c:formatCode>
                <c:ptCount val="16"/>
                <c:pt idx="0">
                  <c:v>8.2889931607694702</c:v>
                </c:pt>
                <c:pt idx="1">
                  <c:v>8.2449649606433297</c:v>
                </c:pt>
                <c:pt idx="2">
                  <c:v>8.1571409135628095</c:v>
                </c:pt>
                <c:pt idx="3">
                  <c:v>8.0270197920102593</c:v>
                </c:pt>
                <c:pt idx="4">
                  <c:v>7.8536881756951802</c:v>
                </c:pt>
                <c:pt idx="5">
                  <c:v>7.6337749042345902</c:v>
                </c:pt>
                <c:pt idx="6">
                  <c:v>7.3714212069882903</c:v>
                </c:pt>
                <c:pt idx="7">
                  <c:v>7.08463707127496</c:v>
                </c:pt>
                <c:pt idx="8">
                  <c:v>6.7117578494032299</c:v>
                </c:pt>
                <c:pt idx="9">
                  <c:v>6.2468548092860896</c:v>
                </c:pt>
                <c:pt idx="10">
                  <c:v>5.9407807792369898</c:v>
                </c:pt>
                <c:pt idx="11">
                  <c:v>5.4926352555214102</c:v>
                </c:pt>
                <c:pt idx="12">
                  <c:v>4.1968985035265201</c:v>
                </c:pt>
                <c:pt idx="13">
                  <c:v>4.2743494778681299</c:v>
                </c:pt>
                <c:pt idx="14">
                  <c:v>6.7790763626452897</c:v>
                </c:pt>
                <c:pt idx="15">
                  <c:v>4.5420412204529601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4-47E6-8C8D-DF2B6DAB3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2p'!$F$19:$F$34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2p'!$K$19:$K$34</c:f>
              <c:numCache>
                <c:formatCode>0.00E+00</c:formatCode>
                <c:ptCount val="16"/>
                <c:pt idx="0">
                  <c:v>8.1707175705758903</c:v>
                </c:pt>
                <c:pt idx="1">
                  <c:v>8.1315104219857499</c:v>
                </c:pt>
                <c:pt idx="2">
                  <c:v>8.0795675433656502</c:v>
                </c:pt>
                <c:pt idx="3">
                  <c:v>7.7443133876888997</c:v>
                </c:pt>
                <c:pt idx="4">
                  <c:v>7.7024285234593304</c:v>
                </c:pt>
                <c:pt idx="5">
                  <c:v>7.4889546239515097</c:v>
                </c:pt>
                <c:pt idx="6">
                  <c:v>7.7040721658117404</c:v>
                </c:pt>
                <c:pt idx="7">
                  <c:v>6.8871622305609597</c:v>
                </c:pt>
                <c:pt idx="8">
                  <c:v>6.4761796826909404</c:v>
                </c:pt>
                <c:pt idx="9">
                  <c:v>5.63817775292625</c:v>
                </c:pt>
                <c:pt idx="10">
                  <c:v>6.0360820551398904</c:v>
                </c:pt>
                <c:pt idx="11">
                  <c:v>5.4088933059601398</c:v>
                </c:pt>
                <c:pt idx="12">
                  <c:v>4.4220836941258597</c:v>
                </c:pt>
                <c:pt idx="13">
                  <c:v>3.77279632606432</c:v>
                </c:pt>
                <c:pt idx="14">
                  <c:v>6.6069564028361398</c:v>
                </c:pt>
                <c:pt idx="15">
                  <c:v>4.6512015009969296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7-4F33-81E9-221B30FD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2p'!$F$36:$F$51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2p'!$K$36:$K$51</c:f>
              <c:numCache>
                <c:formatCode>0.00E+00</c:formatCode>
                <c:ptCount val="16"/>
                <c:pt idx="0">
                  <c:v>8.2791288079124605</c:v>
                </c:pt>
                <c:pt idx="1">
                  <c:v>8.2415367299934399</c:v>
                </c:pt>
                <c:pt idx="2">
                  <c:v>8.1900528526622303</c:v>
                </c:pt>
                <c:pt idx="3">
                  <c:v>7.8689691121033896</c:v>
                </c:pt>
                <c:pt idx="4">
                  <c:v>7.8243103192975996</c:v>
                </c:pt>
                <c:pt idx="5">
                  <c:v>7.6120038021886396</c:v>
                </c:pt>
                <c:pt idx="6">
                  <c:v>7.8740287504899298</c:v>
                </c:pt>
                <c:pt idx="7">
                  <c:v>7.0142377575167503</c:v>
                </c:pt>
                <c:pt idx="8">
                  <c:v>6.6117408630210903</c:v>
                </c:pt>
                <c:pt idx="9">
                  <c:v>5.8884770485370996</c:v>
                </c:pt>
                <c:pt idx="10">
                  <c:v>6.1467962871018598</c:v>
                </c:pt>
                <c:pt idx="11">
                  <c:v>5.5574670851055696</c:v>
                </c:pt>
                <c:pt idx="12">
                  <c:v>4.6528751827260901</c:v>
                </c:pt>
                <c:pt idx="13">
                  <c:v>3.8604430159103602</c:v>
                </c:pt>
                <c:pt idx="14">
                  <c:v>6.7909710672370798</c:v>
                </c:pt>
                <c:pt idx="15">
                  <c:v>4.7611172003524898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E-4E7D-B659-0FE8917B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xVal>
            <c:numRef>
              <c:f>'nonlinear, t16, 2p'!$F$2:$F$17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2p'!$K$2:$K$17</c:f>
              <c:numCache>
                <c:formatCode>0.00E+00</c:formatCode>
                <c:ptCount val="16"/>
                <c:pt idx="0">
                  <c:v>8.2889931607694702</c:v>
                </c:pt>
                <c:pt idx="1">
                  <c:v>8.2449649606433297</c:v>
                </c:pt>
                <c:pt idx="2">
                  <c:v>8.1571409135628095</c:v>
                </c:pt>
                <c:pt idx="3">
                  <c:v>8.0270197920102593</c:v>
                </c:pt>
                <c:pt idx="4">
                  <c:v>7.8536881756951802</c:v>
                </c:pt>
                <c:pt idx="5">
                  <c:v>7.6337749042345902</c:v>
                </c:pt>
                <c:pt idx="6">
                  <c:v>7.3714212069882903</c:v>
                </c:pt>
                <c:pt idx="7">
                  <c:v>7.08463707127496</c:v>
                </c:pt>
                <c:pt idx="8">
                  <c:v>6.7117578494032299</c:v>
                </c:pt>
                <c:pt idx="9">
                  <c:v>6.2468548092860896</c:v>
                </c:pt>
                <c:pt idx="10">
                  <c:v>5.9407807792369898</c:v>
                </c:pt>
                <c:pt idx="11">
                  <c:v>5.4926352555214102</c:v>
                </c:pt>
                <c:pt idx="12">
                  <c:v>4.1968985035265201</c:v>
                </c:pt>
                <c:pt idx="13">
                  <c:v>4.2743494778681299</c:v>
                </c:pt>
                <c:pt idx="14">
                  <c:v>6.7790763626452897</c:v>
                </c:pt>
                <c:pt idx="15">
                  <c:v>4.5420412204529601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D-4AB4-90EF-5524E54FE36E}"/>
            </c:ext>
          </c:extLst>
        </c:ser>
        <c:ser>
          <c:idx val="2"/>
          <c:order val="1"/>
          <c:spPr>
            <a:effectLst/>
          </c:spPr>
          <c:xVal>
            <c:numRef>
              <c:f>'nonlinear, t16, 2p'!$F$19:$F$34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2p'!$K$19:$K$34</c:f>
              <c:numCache>
                <c:formatCode>0.00E+00</c:formatCode>
                <c:ptCount val="16"/>
                <c:pt idx="0">
                  <c:v>8.1707175705758903</c:v>
                </c:pt>
                <c:pt idx="1">
                  <c:v>8.1315104219857499</c:v>
                </c:pt>
                <c:pt idx="2">
                  <c:v>8.0795675433656502</c:v>
                </c:pt>
                <c:pt idx="3">
                  <c:v>7.7443133876888997</c:v>
                </c:pt>
                <c:pt idx="4">
                  <c:v>7.7024285234593304</c:v>
                </c:pt>
                <c:pt idx="5">
                  <c:v>7.4889546239515097</c:v>
                </c:pt>
                <c:pt idx="6">
                  <c:v>7.7040721658117404</c:v>
                </c:pt>
                <c:pt idx="7">
                  <c:v>6.8871622305609597</c:v>
                </c:pt>
                <c:pt idx="8">
                  <c:v>6.4761796826909404</c:v>
                </c:pt>
                <c:pt idx="9">
                  <c:v>5.63817775292625</c:v>
                </c:pt>
                <c:pt idx="10">
                  <c:v>6.0360820551398904</c:v>
                </c:pt>
                <c:pt idx="11">
                  <c:v>5.4088933059601398</c:v>
                </c:pt>
                <c:pt idx="12">
                  <c:v>4.4220836941258597</c:v>
                </c:pt>
                <c:pt idx="13">
                  <c:v>3.77279632606432</c:v>
                </c:pt>
                <c:pt idx="14">
                  <c:v>6.6069564028361398</c:v>
                </c:pt>
                <c:pt idx="15">
                  <c:v>4.6512015009969296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D-4AB4-90EF-5524E54FE36E}"/>
            </c:ext>
          </c:extLst>
        </c:ser>
        <c:ser>
          <c:idx val="0"/>
          <c:order val="2"/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'nonlinear, t16, 2p'!$F$36:$F$51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'nonlinear, t16, 2p'!$K$36:$K$51</c:f>
              <c:numCache>
                <c:formatCode>0.00E+00</c:formatCode>
                <c:ptCount val="16"/>
                <c:pt idx="0">
                  <c:v>8.2791288079124605</c:v>
                </c:pt>
                <c:pt idx="1">
                  <c:v>8.2415367299934399</c:v>
                </c:pt>
                <c:pt idx="2">
                  <c:v>8.1900528526622303</c:v>
                </c:pt>
                <c:pt idx="3">
                  <c:v>7.8689691121033896</c:v>
                </c:pt>
                <c:pt idx="4">
                  <c:v>7.8243103192975996</c:v>
                </c:pt>
                <c:pt idx="5">
                  <c:v>7.6120038021886396</c:v>
                </c:pt>
                <c:pt idx="6">
                  <c:v>7.8740287504899298</c:v>
                </c:pt>
                <c:pt idx="7">
                  <c:v>7.0142377575167503</c:v>
                </c:pt>
                <c:pt idx="8">
                  <c:v>6.6117408630210903</c:v>
                </c:pt>
                <c:pt idx="9">
                  <c:v>5.8884770485370996</c:v>
                </c:pt>
                <c:pt idx="10">
                  <c:v>6.1467962871018598</c:v>
                </c:pt>
                <c:pt idx="11">
                  <c:v>5.5574670851055696</c:v>
                </c:pt>
                <c:pt idx="12">
                  <c:v>4.6528751827260901</c:v>
                </c:pt>
                <c:pt idx="13">
                  <c:v>3.8604430159103602</c:v>
                </c:pt>
                <c:pt idx="14">
                  <c:v>6.7909710672370798</c:v>
                </c:pt>
                <c:pt idx="15">
                  <c:v>4.7611172003524898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7D-4AB4-90EF-5524E54FE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'100step'!$F$2:$F$17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'100step'!$K$2:$K$17</c:f>
              <c:numCache>
                <c:formatCode>0.00E+00</c:formatCode>
                <c:ptCount val="16"/>
                <c:pt idx="0">
                  <c:v>8.3043187750052407</c:v>
                </c:pt>
                <c:pt idx="1">
                  <c:v>8.2584226546718593</c:v>
                </c:pt>
                <c:pt idx="2">
                  <c:v>8.1709965003810598</c:v>
                </c:pt>
                <c:pt idx="3">
                  <c:v>8.0423166730588296</c:v>
                </c:pt>
                <c:pt idx="4">
                  <c:v>7.8706604069189003</c:v>
                </c:pt>
                <c:pt idx="5">
                  <c:v>7.6510962191751197</c:v>
                </c:pt>
                <c:pt idx="6">
                  <c:v>7.3857824082991597</c:v>
                </c:pt>
                <c:pt idx="7">
                  <c:v>7.1020020207673298</c:v>
                </c:pt>
                <c:pt idx="8">
                  <c:v>6.7338110187589404</c:v>
                </c:pt>
                <c:pt idx="9">
                  <c:v>6.2485386969274304</c:v>
                </c:pt>
                <c:pt idx="10">
                  <c:v>5.9431196182542099</c:v>
                </c:pt>
                <c:pt idx="11">
                  <c:v>5.5280789909006502</c:v>
                </c:pt>
                <c:pt idx="12">
                  <c:v>4.1946596610184201</c:v>
                </c:pt>
                <c:pt idx="13">
                  <c:v>4.1889883838578799</c:v>
                </c:pt>
                <c:pt idx="14">
                  <c:v>6.8159360328618703</c:v>
                </c:pt>
                <c:pt idx="15">
                  <c:v>4.5880892605944501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C-413E-801E-C1988643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'100step'!$F$19:$F$34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'100step'!$K$19:$K$34</c:f>
              <c:numCache>
                <c:formatCode>0.00E+00</c:formatCode>
                <c:ptCount val="16"/>
                <c:pt idx="0">
                  <c:v>8.4068562309831396</c:v>
                </c:pt>
                <c:pt idx="1">
                  <c:v>8.3650140201998209</c:v>
                </c:pt>
                <c:pt idx="2">
                  <c:v>8.2684767588809507</c:v>
                </c:pt>
                <c:pt idx="3">
                  <c:v>8.2144540815585607</c:v>
                </c:pt>
                <c:pt idx="4">
                  <c:v>7.96631462953086</c:v>
                </c:pt>
                <c:pt idx="5">
                  <c:v>7.7798666108211298</c:v>
                </c:pt>
                <c:pt idx="6">
                  <c:v>7.6533665008541201</c:v>
                </c:pt>
                <c:pt idx="7">
                  <c:v>7.21921934797665</c:v>
                </c:pt>
                <c:pt idx="8">
                  <c:v>6.8425684634784698</c:v>
                </c:pt>
                <c:pt idx="9">
                  <c:v>6.4966264831970397</c:v>
                </c:pt>
                <c:pt idx="10">
                  <c:v>6.2797155918728498</c:v>
                </c:pt>
                <c:pt idx="11">
                  <c:v>5.5586303471372398</c:v>
                </c:pt>
                <c:pt idx="12">
                  <c:v>4.8456847706888304</c:v>
                </c:pt>
                <c:pt idx="13">
                  <c:v>4.7564913374347704</c:v>
                </c:pt>
                <c:pt idx="14">
                  <c:v>6.77978583693515</c:v>
                </c:pt>
                <c:pt idx="15">
                  <c:v>4.9542558144771798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1-4902-A8BB-5FE6681C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'100step'!$F$36:$F$51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'100step'!$K$36:$K$51</c:f>
              <c:numCache>
                <c:formatCode>0.00E+00</c:formatCode>
                <c:ptCount val="16"/>
                <c:pt idx="0">
                  <c:v>8.2688674911035491</c:v>
                </c:pt>
                <c:pt idx="1">
                  <c:v>8.2266154468189594</c:v>
                </c:pt>
                <c:pt idx="2">
                  <c:v>8.1281977381388195</c:v>
                </c:pt>
                <c:pt idx="3">
                  <c:v>8.0777703963593304</c:v>
                </c:pt>
                <c:pt idx="4">
                  <c:v>7.8260677685178903</c:v>
                </c:pt>
                <c:pt idx="5">
                  <c:v>7.6330097870390698</c:v>
                </c:pt>
                <c:pt idx="6">
                  <c:v>7.5278458873499803</c:v>
                </c:pt>
                <c:pt idx="7">
                  <c:v>7.0666530554026901</c:v>
                </c:pt>
                <c:pt idx="8">
                  <c:v>6.70599351550573</c:v>
                </c:pt>
                <c:pt idx="9">
                  <c:v>6.3895958609229</c:v>
                </c:pt>
                <c:pt idx="10">
                  <c:v>6.1019627461760297</c:v>
                </c:pt>
                <c:pt idx="11">
                  <c:v>5.4551939077291003</c:v>
                </c:pt>
                <c:pt idx="12">
                  <c:v>4.7393162199289396</c:v>
                </c:pt>
                <c:pt idx="13">
                  <c:v>4.5810807133725504</c:v>
                </c:pt>
                <c:pt idx="14">
                  <c:v>6.6731386768201997</c:v>
                </c:pt>
                <c:pt idx="15">
                  <c:v>4.8365156244876797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9-4459-9C39-D876DCA0B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'100step'!$L$19:$L$34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'100step'!$M$19:$M$34</c:f>
              <c:numCache>
                <c:formatCode>0.00E+00</c:formatCode>
                <c:ptCount val="16"/>
                <c:pt idx="0">
                  <c:v>16.813712461966279</c:v>
                </c:pt>
                <c:pt idx="1">
                  <c:v>16.730028040399642</c:v>
                </c:pt>
                <c:pt idx="2">
                  <c:v>16.536953517761901</c:v>
                </c:pt>
                <c:pt idx="3">
                  <c:v>16.428908163117121</c:v>
                </c:pt>
                <c:pt idx="4">
                  <c:v>15.93262925906172</c:v>
                </c:pt>
                <c:pt idx="5">
                  <c:v>15.55973322164226</c:v>
                </c:pt>
                <c:pt idx="6">
                  <c:v>15.30673300170824</c:v>
                </c:pt>
                <c:pt idx="7">
                  <c:v>14.4384386959533</c:v>
                </c:pt>
                <c:pt idx="8">
                  <c:v>13.68513692695694</c:v>
                </c:pt>
                <c:pt idx="9">
                  <c:v>12.993252966394079</c:v>
                </c:pt>
                <c:pt idx="10">
                  <c:v>12.5594311837457</c:v>
                </c:pt>
                <c:pt idx="11">
                  <c:v>11.11726069427448</c:v>
                </c:pt>
                <c:pt idx="12">
                  <c:v>9.6913695413776608</c:v>
                </c:pt>
                <c:pt idx="13">
                  <c:v>9.5129826748695407</c:v>
                </c:pt>
                <c:pt idx="14">
                  <c:v>13.5595716738703</c:v>
                </c:pt>
                <c:pt idx="15">
                  <c:v>9.9085116289543596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5-4C21-9C83-6E5FF7A2629E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'100step'!$L$36:$L$51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'100step'!$M$36:$M$51</c:f>
              <c:numCache>
                <c:formatCode>0.00E+00</c:formatCode>
                <c:ptCount val="16"/>
                <c:pt idx="0">
                  <c:v>16.537734982207098</c:v>
                </c:pt>
                <c:pt idx="1">
                  <c:v>16.453230893637919</c:v>
                </c:pt>
                <c:pt idx="2">
                  <c:v>16.256395476277639</c:v>
                </c:pt>
                <c:pt idx="3">
                  <c:v>16.155540792718661</c:v>
                </c:pt>
                <c:pt idx="4">
                  <c:v>15.652135537035781</c:v>
                </c:pt>
                <c:pt idx="5">
                  <c:v>15.26601957407814</c:v>
                </c:pt>
                <c:pt idx="6">
                  <c:v>15.055691774699961</c:v>
                </c:pt>
                <c:pt idx="7">
                  <c:v>14.13330611080538</c:v>
                </c:pt>
                <c:pt idx="8">
                  <c:v>13.41198703101146</c:v>
                </c:pt>
                <c:pt idx="9">
                  <c:v>12.7791917218458</c:v>
                </c:pt>
                <c:pt idx="10">
                  <c:v>12.203925492352059</c:v>
                </c:pt>
                <c:pt idx="11">
                  <c:v>10.910387815458201</c:v>
                </c:pt>
                <c:pt idx="12">
                  <c:v>9.4786324398578792</c:v>
                </c:pt>
                <c:pt idx="13">
                  <c:v>9.1621614267451008</c:v>
                </c:pt>
                <c:pt idx="14">
                  <c:v>13.346277353640399</c:v>
                </c:pt>
                <c:pt idx="15">
                  <c:v>9.6730312489753594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D5-4C21-9C83-6E5FF7A2629E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'100step'!$L$2:$L$17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'100step'!$M$2:$M$17</c:f>
              <c:numCache>
                <c:formatCode>0.00E+00</c:formatCode>
                <c:ptCount val="16"/>
                <c:pt idx="0">
                  <c:v>16.608637550010481</c:v>
                </c:pt>
                <c:pt idx="1">
                  <c:v>16.516845309343719</c:v>
                </c:pt>
                <c:pt idx="2">
                  <c:v>16.34199300076212</c:v>
                </c:pt>
                <c:pt idx="3">
                  <c:v>16.084633346117659</c:v>
                </c:pt>
                <c:pt idx="4">
                  <c:v>15.741320813837801</c:v>
                </c:pt>
                <c:pt idx="5">
                  <c:v>15.302192438350239</c:v>
                </c:pt>
                <c:pt idx="6">
                  <c:v>14.771564816598319</c:v>
                </c:pt>
                <c:pt idx="7">
                  <c:v>14.20400404153466</c:v>
                </c:pt>
                <c:pt idx="8">
                  <c:v>13.467622037517881</c:v>
                </c:pt>
                <c:pt idx="9">
                  <c:v>12.497077393854861</c:v>
                </c:pt>
                <c:pt idx="10">
                  <c:v>11.88623923650842</c:v>
                </c:pt>
                <c:pt idx="11">
                  <c:v>11.0561579818013</c:v>
                </c:pt>
                <c:pt idx="12">
                  <c:v>8.3893193220368403</c:v>
                </c:pt>
                <c:pt idx="13">
                  <c:v>8.3779767677157597</c:v>
                </c:pt>
                <c:pt idx="14">
                  <c:v>13.631872065723741</c:v>
                </c:pt>
                <c:pt idx="15">
                  <c:v>9.1761785211889002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D5-4C21-9C83-6E5FF7A26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38100">
              <a:noFill/>
            </a:ln>
          </c:spPr>
          <c:xVal>
            <c:numRef>
              <c:f>'100step'!$AF$13:$AF$45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'100step'!$AG$13:$AG$45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B-4E41-BCF0-A850C031ACA6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'100step'!$L$19:$L$34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'100step'!$K$19:$K$34</c:f>
              <c:numCache>
                <c:formatCode>0.00E+00</c:formatCode>
                <c:ptCount val="16"/>
                <c:pt idx="0">
                  <c:v>8.4068562309831396</c:v>
                </c:pt>
                <c:pt idx="1">
                  <c:v>8.3650140201998209</c:v>
                </c:pt>
                <c:pt idx="2">
                  <c:v>8.2684767588809507</c:v>
                </c:pt>
                <c:pt idx="3">
                  <c:v>8.2144540815585607</c:v>
                </c:pt>
                <c:pt idx="4">
                  <c:v>7.96631462953086</c:v>
                </c:pt>
                <c:pt idx="5">
                  <c:v>7.7798666108211298</c:v>
                </c:pt>
                <c:pt idx="6">
                  <c:v>7.6533665008541201</c:v>
                </c:pt>
                <c:pt idx="7">
                  <c:v>7.21921934797665</c:v>
                </c:pt>
                <c:pt idx="8">
                  <c:v>6.8425684634784698</c:v>
                </c:pt>
                <c:pt idx="9">
                  <c:v>6.4966264831970397</c:v>
                </c:pt>
                <c:pt idx="10">
                  <c:v>6.2797155918728498</c:v>
                </c:pt>
                <c:pt idx="11">
                  <c:v>5.5586303471372398</c:v>
                </c:pt>
                <c:pt idx="12">
                  <c:v>4.8456847706888304</c:v>
                </c:pt>
                <c:pt idx="13">
                  <c:v>4.7564913374347704</c:v>
                </c:pt>
                <c:pt idx="14">
                  <c:v>6.77978583693515</c:v>
                </c:pt>
                <c:pt idx="15">
                  <c:v>4.9542558144771798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1-017B-4E41-BCF0-A850C031ACA6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  <a:effectLst/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'100step'!$L$36:$L$51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'100step'!$K$36:$K$51</c:f>
              <c:numCache>
                <c:formatCode>0.00E+00</c:formatCode>
                <c:ptCount val="16"/>
                <c:pt idx="0">
                  <c:v>8.2688674911035491</c:v>
                </c:pt>
                <c:pt idx="1">
                  <c:v>8.2266154468189594</c:v>
                </c:pt>
                <c:pt idx="2">
                  <c:v>8.1281977381388195</c:v>
                </c:pt>
                <c:pt idx="3">
                  <c:v>8.0777703963593304</c:v>
                </c:pt>
                <c:pt idx="4">
                  <c:v>7.8260677685178903</c:v>
                </c:pt>
                <c:pt idx="5">
                  <c:v>7.6330097870390698</c:v>
                </c:pt>
                <c:pt idx="6">
                  <c:v>7.5278458873499803</c:v>
                </c:pt>
                <c:pt idx="7">
                  <c:v>7.0666530554026901</c:v>
                </c:pt>
                <c:pt idx="8">
                  <c:v>6.70599351550573</c:v>
                </c:pt>
                <c:pt idx="9">
                  <c:v>6.3895958609229</c:v>
                </c:pt>
                <c:pt idx="10">
                  <c:v>6.1019627461760297</c:v>
                </c:pt>
                <c:pt idx="11">
                  <c:v>5.4551939077291003</c:v>
                </c:pt>
                <c:pt idx="12">
                  <c:v>4.7393162199289396</c:v>
                </c:pt>
                <c:pt idx="13">
                  <c:v>4.5810807133725504</c:v>
                </c:pt>
                <c:pt idx="14">
                  <c:v>6.6731386768201997</c:v>
                </c:pt>
                <c:pt idx="15">
                  <c:v>4.8365156244876797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2-017B-4E41-BCF0-A850C031ACA6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'100step'!$L$2:$L$17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'100step'!$K$2:$K$17</c:f>
              <c:numCache>
                <c:formatCode>0.00E+00</c:formatCode>
                <c:ptCount val="16"/>
                <c:pt idx="0">
                  <c:v>8.3043187750052407</c:v>
                </c:pt>
                <c:pt idx="1">
                  <c:v>8.2584226546718593</c:v>
                </c:pt>
                <c:pt idx="2">
                  <c:v>8.1709965003810598</c:v>
                </c:pt>
                <c:pt idx="3">
                  <c:v>8.0423166730588296</c:v>
                </c:pt>
                <c:pt idx="4">
                  <c:v>7.8706604069189003</c:v>
                </c:pt>
                <c:pt idx="5">
                  <c:v>7.6510962191751197</c:v>
                </c:pt>
                <c:pt idx="6">
                  <c:v>7.3857824082991597</c:v>
                </c:pt>
                <c:pt idx="7">
                  <c:v>7.1020020207673298</c:v>
                </c:pt>
                <c:pt idx="8">
                  <c:v>6.7338110187589404</c:v>
                </c:pt>
                <c:pt idx="9">
                  <c:v>6.2485386969274304</c:v>
                </c:pt>
                <c:pt idx="10">
                  <c:v>5.9431196182542099</c:v>
                </c:pt>
                <c:pt idx="11">
                  <c:v>5.5280789909006502</c:v>
                </c:pt>
                <c:pt idx="12">
                  <c:v>4.1946596610184201</c:v>
                </c:pt>
                <c:pt idx="13">
                  <c:v>4.1889883838578799</c:v>
                </c:pt>
                <c:pt idx="14">
                  <c:v>6.8159360328618703</c:v>
                </c:pt>
                <c:pt idx="15">
                  <c:v>4.5880892605944501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3-017B-4E41-BCF0-A850C031A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6989960629921255"/>
          <c:y val="5.2696326473193243E-2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'100step'!$L$19:$L$34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'100step'!$M$19:$M$34</c:f>
              <c:numCache>
                <c:formatCode>0.00E+00</c:formatCode>
                <c:ptCount val="16"/>
                <c:pt idx="0">
                  <c:v>16.813712461966279</c:v>
                </c:pt>
                <c:pt idx="1">
                  <c:v>16.730028040399642</c:v>
                </c:pt>
                <c:pt idx="2">
                  <c:v>16.536953517761901</c:v>
                </c:pt>
                <c:pt idx="3">
                  <c:v>16.428908163117121</c:v>
                </c:pt>
                <c:pt idx="4">
                  <c:v>15.93262925906172</c:v>
                </c:pt>
                <c:pt idx="5">
                  <c:v>15.55973322164226</c:v>
                </c:pt>
                <c:pt idx="6">
                  <c:v>15.30673300170824</c:v>
                </c:pt>
                <c:pt idx="7">
                  <c:v>14.4384386959533</c:v>
                </c:pt>
                <c:pt idx="8">
                  <c:v>13.68513692695694</c:v>
                </c:pt>
                <c:pt idx="9">
                  <c:v>12.993252966394079</c:v>
                </c:pt>
                <c:pt idx="10">
                  <c:v>12.5594311837457</c:v>
                </c:pt>
                <c:pt idx="11">
                  <c:v>11.11726069427448</c:v>
                </c:pt>
                <c:pt idx="12">
                  <c:v>9.6913695413776608</c:v>
                </c:pt>
                <c:pt idx="13">
                  <c:v>9.5129826748695407</c:v>
                </c:pt>
                <c:pt idx="14">
                  <c:v>13.5595716738703</c:v>
                </c:pt>
                <c:pt idx="15">
                  <c:v>9.9085116289543596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B-44CB-BCD6-213D08B14853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'100step'!$L$36:$L$51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'100step'!$M$36:$M$51</c:f>
              <c:numCache>
                <c:formatCode>0.00E+00</c:formatCode>
                <c:ptCount val="16"/>
                <c:pt idx="0">
                  <c:v>16.537734982207098</c:v>
                </c:pt>
                <c:pt idx="1">
                  <c:v>16.453230893637919</c:v>
                </c:pt>
                <c:pt idx="2">
                  <c:v>16.256395476277639</c:v>
                </c:pt>
                <c:pt idx="3">
                  <c:v>16.155540792718661</c:v>
                </c:pt>
                <c:pt idx="4">
                  <c:v>15.652135537035781</c:v>
                </c:pt>
                <c:pt idx="5">
                  <c:v>15.26601957407814</c:v>
                </c:pt>
                <c:pt idx="6">
                  <c:v>15.055691774699961</c:v>
                </c:pt>
                <c:pt idx="7">
                  <c:v>14.13330611080538</c:v>
                </c:pt>
                <c:pt idx="8">
                  <c:v>13.41198703101146</c:v>
                </c:pt>
                <c:pt idx="9">
                  <c:v>12.7791917218458</c:v>
                </c:pt>
                <c:pt idx="10">
                  <c:v>12.203925492352059</c:v>
                </c:pt>
                <c:pt idx="11">
                  <c:v>10.910387815458201</c:v>
                </c:pt>
                <c:pt idx="12">
                  <c:v>9.4786324398578792</c:v>
                </c:pt>
                <c:pt idx="13">
                  <c:v>9.1621614267451008</c:v>
                </c:pt>
                <c:pt idx="14">
                  <c:v>13.346277353640399</c:v>
                </c:pt>
                <c:pt idx="15">
                  <c:v>9.6730312489753594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B-44CB-BCD6-213D08B14853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'100step'!$L$2:$L$17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'100step'!$M$2:$M$17</c:f>
              <c:numCache>
                <c:formatCode>0.00E+00</c:formatCode>
                <c:ptCount val="16"/>
                <c:pt idx="0">
                  <c:v>16.608637550010481</c:v>
                </c:pt>
                <c:pt idx="1">
                  <c:v>16.516845309343719</c:v>
                </c:pt>
                <c:pt idx="2">
                  <c:v>16.34199300076212</c:v>
                </c:pt>
                <c:pt idx="3">
                  <c:v>16.084633346117659</c:v>
                </c:pt>
                <c:pt idx="4">
                  <c:v>15.741320813837801</c:v>
                </c:pt>
                <c:pt idx="5">
                  <c:v>15.302192438350239</c:v>
                </c:pt>
                <c:pt idx="6">
                  <c:v>14.771564816598319</c:v>
                </c:pt>
                <c:pt idx="7">
                  <c:v>14.20400404153466</c:v>
                </c:pt>
                <c:pt idx="8">
                  <c:v>13.467622037517881</c:v>
                </c:pt>
                <c:pt idx="9">
                  <c:v>12.497077393854861</c:v>
                </c:pt>
                <c:pt idx="10">
                  <c:v>11.88623923650842</c:v>
                </c:pt>
                <c:pt idx="11">
                  <c:v>11.0561579818013</c:v>
                </c:pt>
                <c:pt idx="12">
                  <c:v>8.3893193220368403</c:v>
                </c:pt>
                <c:pt idx="13">
                  <c:v>8.3779767677157597</c:v>
                </c:pt>
                <c:pt idx="14">
                  <c:v>13.631872065723741</c:v>
                </c:pt>
                <c:pt idx="15">
                  <c:v>9.1761785211889002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8B-44CB-BCD6-213D08B14853}"/>
            </c:ext>
          </c:extLst>
        </c:ser>
        <c:ser>
          <c:idx val="3"/>
          <c:order val="3"/>
          <c:tx>
            <c:v>FEM</c:v>
          </c:tx>
          <c:xVal>
            <c:numRef>
              <c:f>'100step'!$AF$13:$AF$45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'100step'!$AG$13:$AG$45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8B-44CB-BCD6-213D08B14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final!$K$2:$K$17</c:f>
              <c:numCache>
                <c:formatCode>0.00E+00</c:formatCode>
                <c:ptCount val="16"/>
                <c:pt idx="0">
                  <c:v>28.540453037514101</c:v>
                </c:pt>
                <c:pt idx="1">
                  <c:v>28.508444737590601</c:v>
                </c:pt>
                <c:pt idx="2">
                  <c:v>28.271998617775399</c:v>
                </c:pt>
                <c:pt idx="3">
                  <c:v>27.946817762842201</c:v>
                </c:pt>
                <c:pt idx="4">
                  <c:v>27.609124170932699</c:v>
                </c:pt>
                <c:pt idx="5">
                  <c:v>27.109601787545301</c:v>
                </c:pt>
                <c:pt idx="6">
                  <c:v>26.476860792216701</c:v>
                </c:pt>
                <c:pt idx="7">
                  <c:v>25.909283937402002</c:v>
                </c:pt>
                <c:pt idx="8">
                  <c:v>25.151596121178201</c:v>
                </c:pt>
                <c:pt idx="9">
                  <c:v>24.030235293896801</c:v>
                </c:pt>
                <c:pt idx="10">
                  <c:v>23.305487386433601</c:v>
                </c:pt>
                <c:pt idx="11">
                  <c:v>22.265785519163899</c:v>
                </c:pt>
                <c:pt idx="12">
                  <c:v>20.328137981168702</c:v>
                </c:pt>
                <c:pt idx="13">
                  <c:v>19.0660499295943</c:v>
                </c:pt>
                <c:pt idx="14">
                  <c:v>17.5366665415551</c:v>
                </c:pt>
                <c:pt idx="15">
                  <c:v>12.0207936115662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7F-41A2-A135-540A98F1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final!$K$19:$K$34</c:f>
              <c:numCache>
                <c:formatCode>0.00E+00</c:formatCode>
                <c:ptCount val="16"/>
                <c:pt idx="0">
                  <c:v>28.603486166113299</c:v>
                </c:pt>
                <c:pt idx="1">
                  <c:v>28.521617598000802</c:v>
                </c:pt>
                <c:pt idx="2">
                  <c:v>28.3098657283096</c:v>
                </c:pt>
                <c:pt idx="3">
                  <c:v>28.443956782164399</c:v>
                </c:pt>
                <c:pt idx="4">
                  <c:v>27.655869884670601</c:v>
                </c:pt>
                <c:pt idx="5">
                  <c:v>27.1413942923921</c:v>
                </c:pt>
                <c:pt idx="6">
                  <c:v>27.1075780060672</c:v>
                </c:pt>
                <c:pt idx="7">
                  <c:v>25.930462069289501</c:v>
                </c:pt>
                <c:pt idx="8">
                  <c:v>25.0970483128824</c:v>
                </c:pt>
                <c:pt idx="9">
                  <c:v>24.510545385360199</c:v>
                </c:pt>
                <c:pt idx="10">
                  <c:v>23.529190844173201</c:v>
                </c:pt>
                <c:pt idx="11">
                  <c:v>22.192514809691001</c:v>
                </c:pt>
                <c:pt idx="12">
                  <c:v>21.0826885920515</c:v>
                </c:pt>
                <c:pt idx="13">
                  <c:v>17.984943326833999</c:v>
                </c:pt>
                <c:pt idx="14">
                  <c:v>20.382294082429201</c:v>
                </c:pt>
                <c:pt idx="15">
                  <c:v>10.382953285412601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4-481A-85A3-E23929FF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final!$K$36:$K$51</c:f>
              <c:numCache>
                <c:formatCode>0.00E+00</c:formatCode>
                <c:ptCount val="16"/>
                <c:pt idx="0">
                  <c:v>28.335203669091701</c:v>
                </c:pt>
                <c:pt idx="1">
                  <c:v>28.2642804184798</c:v>
                </c:pt>
                <c:pt idx="2">
                  <c:v>28.540507291194199</c:v>
                </c:pt>
                <c:pt idx="3">
                  <c:v>28.375165788930499</c:v>
                </c:pt>
                <c:pt idx="4">
                  <c:v>26.7157389522507</c:v>
                </c:pt>
                <c:pt idx="5">
                  <c:v>27.811461333534801</c:v>
                </c:pt>
                <c:pt idx="6">
                  <c:v>27.004277633375199</c:v>
                </c:pt>
                <c:pt idx="7">
                  <c:v>24.363095969292001</c:v>
                </c:pt>
                <c:pt idx="8">
                  <c:v>26.1177604606602</c:v>
                </c:pt>
                <c:pt idx="9">
                  <c:v>24.194646548416099</c:v>
                </c:pt>
                <c:pt idx="10">
                  <c:v>21.4700684795821</c:v>
                </c:pt>
                <c:pt idx="11">
                  <c:v>23.295561126362699</c:v>
                </c:pt>
                <c:pt idx="12">
                  <c:v>20.955815880394599</c:v>
                </c:pt>
                <c:pt idx="13">
                  <c:v>15.175039354000701</c:v>
                </c:pt>
                <c:pt idx="14">
                  <c:v>17.9866888413688</c:v>
                </c:pt>
                <c:pt idx="15">
                  <c:v>8.3103953039904503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8F-4809-A135-28B7AB748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5-42E7-BBA3-163E58D6DD1D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final!$M$36:$M$51</c:f>
              <c:numCache>
                <c:formatCode>0.00E+00</c:formatCode>
                <c:ptCount val="16"/>
                <c:pt idx="0">
                  <c:v>14.167601834545851</c:v>
                </c:pt>
                <c:pt idx="1">
                  <c:v>14.1321402092399</c:v>
                </c:pt>
                <c:pt idx="2">
                  <c:v>14.2702536455971</c:v>
                </c:pt>
                <c:pt idx="3">
                  <c:v>14.187582894465249</c:v>
                </c:pt>
                <c:pt idx="4">
                  <c:v>13.35786947612535</c:v>
                </c:pt>
                <c:pt idx="5">
                  <c:v>13.905730666767401</c:v>
                </c:pt>
                <c:pt idx="6">
                  <c:v>13.5021388166876</c:v>
                </c:pt>
                <c:pt idx="7">
                  <c:v>12.181547984646</c:v>
                </c:pt>
                <c:pt idx="8">
                  <c:v>13.0588802303301</c:v>
                </c:pt>
                <c:pt idx="9">
                  <c:v>12.097323274208049</c:v>
                </c:pt>
                <c:pt idx="10">
                  <c:v>10.73503423979105</c:v>
                </c:pt>
                <c:pt idx="11">
                  <c:v>11.64778056318135</c:v>
                </c:pt>
                <c:pt idx="12">
                  <c:v>10.4779079401973</c:v>
                </c:pt>
                <c:pt idx="13">
                  <c:v>7.5875196770003503</c:v>
                </c:pt>
                <c:pt idx="14">
                  <c:v>8.9933444206843998</c:v>
                </c:pt>
                <c:pt idx="15">
                  <c:v>4.1551976519952252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5-42E7-BBA3-163E58D6DD1D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A5-42E7-BBA3-163E58D6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5-462B-8C8F-6CD5CDD3B795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final!$M$36:$M$51</c:f>
              <c:numCache>
                <c:formatCode>0.00E+00</c:formatCode>
                <c:ptCount val="16"/>
                <c:pt idx="0">
                  <c:v>14.167601834545851</c:v>
                </c:pt>
                <c:pt idx="1">
                  <c:v>14.1321402092399</c:v>
                </c:pt>
                <c:pt idx="2">
                  <c:v>14.2702536455971</c:v>
                </c:pt>
                <c:pt idx="3">
                  <c:v>14.187582894465249</c:v>
                </c:pt>
                <c:pt idx="4">
                  <c:v>13.35786947612535</c:v>
                </c:pt>
                <c:pt idx="5">
                  <c:v>13.905730666767401</c:v>
                </c:pt>
                <c:pt idx="6">
                  <c:v>13.5021388166876</c:v>
                </c:pt>
                <c:pt idx="7">
                  <c:v>12.181547984646</c:v>
                </c:pt>
                <c:pt idx="8">
                  <c:v>13.0588802303301</c:v>
                </c:pt>
                <c:pt idx="9">
                  <c:v>12.097323274208049</c:v>
                </c:pt>
                <c:pt idx="10">
                  <c:v>10.73503423979105</c:v>
                </c:pt>
                <c:pt idx="11">
                  <c:v>11.64778056318135</c:v>
                </c:pt>
                <c:pt idx="12">
                  <c:v>10.4779079401973</c:v>
                </c:pt>
                <c:pt idx="13">
                  <c:v>7.5875196770003503</c:v>
                </c:pt>
                <c:pt idx="14">
                  <c:v>8.9933444206843998</c:v>
                </c:pt>
                <c:pt idx="15">
                  <c:v>4.1551976519952252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5-462B-8C8F-6CD5CDD3B795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A5-462B-8C8F-6CD5CDD3B795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final!$AF$13:$AF$45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A5-462B-8C8F-6CD5CDD3B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38100">
              <a:noFill/>
            </a:ln>
          </c:spPr>
          <c:xVal>
            <c:numRef>
              <c:f>final!$AM$13:$AM$61</c:f>
              <c:numCache>
                <c:formatCode>0.00E+00</c:formatCode>
                <c:ptCount val="49"/>
                <c:pt idx="0">
                  <c:v>0</c:v>
                </c:pt>
                <c:pt idx="1">
                  <c:v>2.0833399999999998E-2</c:v>
                </c:pt>
                <c:pt idx="2">
                  <c:v>4.1666599999999998E-2</c:v>
                </c:pt>
                <c:pt idx="3">
                  <c:v>6.25E-2</c:v>
                </c:pt>
                <c:pt idx="4">
                  <c:v>8.3333400000000002E-2</c:v>
                </c:pt>
                <c:pt idx="5">
                  <c:v>0.1041666</c:v>
                </c:pt>
                <c:pt idx="6">
                  <c:v>0.125</c:v>
                </c:pt>
                <c:pt idx="7">
                  <c:v>0.1458334</c:v>
                </c:pt>
                <c:pt idx="8">
                  <c:v>0.1666666</c:v>
                </c:pt>
                <c:pt idx="9">
                  <c:v>0.1875</c:v>
                </c:pt>
                <c:pt idx="10">
                  <c:v>0.20833399999999999</c:v>
                </c:pt>
                <c:pt idx="11">
                  <c:v>0.22916600000000001</c:v>
                </c:pt>
                <c:pt idx="12">
                  <c:v>0.25</c:v>
                </c:pt>
                <c:pt idx="13">
                  <c:v>0.27083400000000002</c:v>
                </c:pt>
                <c:pt idx="14">
                  <c:v>0.29166599999999998</c:v>
                </c:pt>
                <c:pt idx="15">
                  <c:v>0.3125</c:v>
                </c:pt>
                <c:pt idx="16">
                  <c:v>0.33333400000000002</c:v>
                </c:pt>
                <c:pt idx="17">
                  <c:v>0.35416599999999998</c:v>
                </c:pt>
                <c:pt idx="18">
                  <c:v>0.375</c:v>
                </c:pt>
                <c:pt idx="19">
                  <c:v>0.39583400000000002</c:v>
                </c:pt>
                <c:pt idx="20">
                  <c:v>0.41666599999999998</c:v>
                </c:pt>
                <c:pt idx="21">
                  <c:v>0.4375</c:v>
                </c:pt>
                <c:pt idx="22">
                  <c:v>0.45833400000000002</c:v>
                </c:pt>
                <c:pt idx="23">
                  <c:v>0.47916599999999998</c:v>
                </c:pt>
                <c:pt idx="24">
                  <c:v>0.5</c:v>
                </c:pt>
                <c:pt idx="25">
                  <c:v>0.52083400000000002</c:v>
                </c:pt>
                <c:pt idx="26">
                  <c:v>0.54166599999999998</c:v>
                </c:pt>
                <c:pt idx="27">
                  <c:v>0.5625</c:v>
                </c:pt>
                <c:pt idx="28">
                  <c:v>0.58333400000000002</c:v>
                </c:pt>
                <c:pt idx="29">
                  <c:v>0.60416599999999998</c:v>
                </c:pt>
                <c:pt idx="30">
                  <c:v>0.625</c:v>
                </c:pt>
                <c:pt idx="31">
                  <c:v>0.64583400000000002</c:v>
                </c:pt>
                <c:pt idx="32">
                  <c:v>0.66666599999999998</c:v>
                </c:pt>
                <c:pt idx="33">
                  <c:v>0.6875</c:v>
                </c:pt>
                <c:pt idx="34">
                  <c:v>0.70833400000000002</c:v>
                </c:pt>
                <c:pt idx="35">
                  <c:v>0.72916599999999998</c:v>
                </c:pt>
                <c:pt idx="36">
                  <c:v>0.75</c:v>
                </c:pt>
                <c:pt idx="37">
                  <c:v>0.77083400000000002</c:v>
                </c:pt>
                <c:pt idx="38">
                  <c:v>0.79166599999999998</c:v>
                </c:pt>
                <c:pt idx="39">
                  <c:v>0.8125</c:v>
                </c:pt>
                <c:pt idx="40">
                  <c:v>0.83333400000000002</c:v>
                </c:pt>
                <c:pt idx="41">
                  <c:v>0.85416599999999998</c:v>
                </c:pt>
                <c:pt idx="42">
                  <c:v>0.875</c:v>
                </c:pt>
                <c:pt idx="43">
                  <c:v>0.89583400000000002</c:v>
                </c:pt>
                <c:pt idx="44">
                  <c:v>0.91666599999999998</c:v>
                </c:pt>
                <c:pt idx="45">
                  <c:v>0.9375</c:v>
                </c:pt>
                <c:pt idx="46">
                  <c:v>0.95833400000000002</c:v>
                </c:pt>
                <c:pt idx="47">
                  <c:v>0.97916599999999998</c:v>
                </c:pt>
                <c:pt idx="48">
                  <c:v>1</c:v>
                </c:pt>
              </c:numCache>
            </c:numRef>
          </c:xVal>
          <c:yVal>
            <c:numRef>
              <c:f>final!$AN$13:$AN$61</c:f>
              <c:numCache>
                <c:formatCode>0.00E+00</c:formatCode>
                <c:ptCount val="49"/>
                <c:pt idx="0">
                  <c:v>13.433400000000001</c:v>
                </c:pt>
                <c:pt idx="1">
                  <c:v>13.428599999999999</c:v>
                </c:pt>
                <c:pt idx="2">
                  <c:v>13.4238</c:v>
                </c:pt>
                <c:pt idx="3">
                  <c:v>13.4094</c:v>
                </c:pt>
                <c:pt idx="4">
                  <c:v>13.3949</c:v>
                </c:pt>
                <c:pt idx="5">
                  <c:v>13.370900000000001</c:v>
                </c:pt>
                <c:pt idx="6">
                  <c:v>13.3468</c:v>
                </c:pt>
                <c:pt idx="7">
                  <c:v>13.3131</c:v>
                </c:pt>
                <c:pt idx="8">
                  <c:v>13.279500000000001</c:v>
                </c:pt>
                <c:pt idx="9">
                  <c:v>13.2361</c:v>
                </c:pt>
                <c:pt idx="10">
                  <c:v>13.1928</c:v>
                </c:pt>
                <c:pt idx="11">
                  <c:v>13.139799999999999</c:v>
                </c:pt>
                <c:pt idx="12">
                  <c:v>13.0869</c:v>
                </c:pt>
                <c:pt idx="13">
                  <c:v>13.0242</c:v>
                </c:pt>
                <c:pt idx="14">
                  <c:v>12.961499999999999</c:v>
                </c:pt>
                <c:pt idx="15">
                  <c:v>12.889099999999999</c:v>
                </c:pt>
                <c:pt idx="16">
                  <c:v>12.816800000000001</c:v>
                </c:pt>
                <c:pt idx="17">
                  <c:v>12.7346</c:v>
                </c:pt>
                <c:pt idx="18">
                  <c:v>12.6524</c:v>
                </c:pt>
                <c:pt idx="19">
                  <c:v>12.5604</c:v>
                </c:pt>
                <c:pt idx="20">
                  <c:v>12.468299999999999</c:v>
                </c:pt>
                <c:pt idx="21">
                  <c:v>12.366099999999999</c:v>
                </c:pt>
                <c:pt idx="22">
                  <c:v>12.2639</c:v>
                </c:pt>
                <c:pt idx="23">
                  <c:v>12.151300000000001</c:v>
                </c:pt>
                <c:pt idx="24">
                  <c:v>12.0387</c:v>
                </c:pt>
                <c:pt idx="25">
                  <c:v>11.915100000000001</c:v>
                </c:pt>
                <c:pt idx="26">
                  <c:v>11.791499999999999</c:v>
                </c:pt>
                <c:pt idx="27">
                  <c:v>11.656000000000001</c:v>
                </c:pt>
                <c:pt idx="28">
                  <c:v>11.5205</c:v>
                </c:pt>
                <c:pt idx="29">
                  <c:v>11.3714</c:v>
                </c:pt>
                <c:pt idx="30">
                  <c:v>11.222300000000001</c:v>
                </c:pt>
                <c:pt idx="31">
                  <c:v>11.0572</c:v>
                </c:pt>
                <c:pt idx="32">
                  <c:v>10.891999999999999</c:v>
                </c:pt>
                <c:pt idx="33">
                  <c:v>10.707599999999999</c:v>
                </c:pt>
                <c:pt idx="34">
                  <c:v>10.523099999999999</c:v>
                </c:pt>
                <c:pt idx="35">
                  <c:v>10.3154</c:v>
                </c:pt>
                <c:pt idx="36">
                  <c:v>10.1076</c:v>
                </c:pt>
                <c:pt idx="37">
                  <c:v>9.8723100000000006</c:v>
                </c:pt>
                <c:pt idx="38">
                  <c:v>9.6369900000000008</c:v>
                </c:pt>
                <c:pt idx="39">
                  <c:v>9.3722799999999999</c:v>
                </c:pt>
                <c:pt idx="40">
                  <c:v>9.1075700000000008</c:v>
                </c:pt>
                <c:pt idx="41">
                  <c:v>8.8015799999999995</c:v>
                </c:pt>
                <c:pt idx="42">
                  <c:v>8.4955999999999996</c:v>
                </c:pt>
                <c:pt idx="43">
                  <c:v>8.2087299999999992</c:v>
                </c:pt>
                <c:pt idx="44">
                  <c:v>7.9218599999999997</c:v>
                </c:pt>
                <c:pt idx="45">
                  <c:v>6.7829300000000003</c:v>
                </c:pt>
                <c:pt idx="46">
                  <c:v>5.6440000000000001</c:v>
                </c:pt>
                <c:pt idx="47">
                  <c:v>5.7351599999999996</c:v>
                </c:pt>
                <c:pt idx="48">
                  <c:v>5.8263100000000003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5C-45BD-BFA6-347FE3D66386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xVal>
            <c:numRef>
              <c:f>final!$L$19:$L$34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2-FE5C-45BD-BFA6-347FE3D66386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</c:spPr>
          <c:xVal>
            <c:numRef>
              <c:f>final!$L$36:$L$51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final!$M$36:$M$51</c:f>
              <c:numCache>
                <c:formatCode>0.00E+00</c:formatCode>
                <c:ptCount val="16"/>
                <c:pt idx="0">
                  <c:v>14.167601834545851</c:v>
                </c:pt>
                <c:pt idx="1">
                  <c:v>14.1321402092399</c:v>
                </c:pt>
                <c:pt idx="2">
                  <c:v>14.2702536455971</c:v>
                </c:pt>
                <c:pt idx="3">
                  <c:v>14.187582894465249</c:v>
                </c:pt>
                <c:pt idx="4">
                  <c:v>13.35786947612535</c:v>
                </c:pt>
                <c:pt idx="5">
                  <c:v>13.905730666767401</c:v>
                </c:pt>
                <c:pt idx="6">
                  <c:v>13.5021388166876</c:v>
                </c:pt>
                <c:pt idx="7">
                  <c:v>12.181547984646</c:v>
                </c:pt>
                <c:pt idx="8">
                  <c:v>13.0588802303301</c:v>
                </c:pt>
                <c:pt idx="9">
                  <c:v>12.097323274208049</c:v>
                </c:pt>
                <c:pt idx="10">
                  <c:v>10.73503423979105</c:v>
                </c:pt>
                <c:pt idx="11">
                  <c:v>11.64778056318135</c:v>
                </c:pt>
                <c:pt idx="12">
                  <c:v>10.4779079401973</c:v>
                </c:pt>
                <c:pt idx="13">
                  <c:v>7.5875196770003503</c:v>
                </c:pt>
                <c:pt idx="14">
                  <c:v>8.9933444206843998</c:v>
                </c:pt>
                <c:pt idx="15">
                  <c:v>4.1551976519952252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4-FE5C-45BD-BFA6-347FE3D66386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xVal>
            <c:numRef>
              <c:f>final!$L$2:$L$17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6-FE5C-45BD-BFA6-347FE3D66386}"/>
            </c:ext>
          </c:extLst>
        </c:ser>
        <c:ser>
          <c:idx val="3"/>
          <c:order val="4"/>
          <c:spPr>
            <a:ln w="15875">
              <a:solidFill>
                <a:schemeClr val="tx1"/>
              </a:solidFill>
            </a:ln>
          </c:spPr>
          <c:xVal>
            <c:numRef>
              <c:f>final!$AF$13:$AF$45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FEM</c:v>
                </c15:tx>
              </c15:filteredSeriesTitle>
            </c:ext>
            <c:ext xmlns:c16="http://schemas.microsoft.com/office/drawing/2014/chart" uri="{C3380CC4-5D6E-409C-BE32-E72D297353CC}">
              <c16:uniqueId val="{00000008-FE5C-45BD-BFA6-347FE3D66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final2!$F$2:$F$17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final2!$K$2:$K$17</c:f>
              <c:numCache>
                <c:formatCode>0.00E+00</c:formatCode>
                <c:ptCount val="16"/>
                <c:pt idx="0">
                  <c:v>28.540453037514101</c:v>
                </c:pt>
                <c:pt idx="1">
                  <c:v>28.508444737590601</c:v>
                </c:pt>
                <c:pt idx="2">
                  <c:v>28.271998617775399</c:v>
                </c:pt>
                <c:pt idx="3">
                  <c:v>27.946817762842201</c:v>
                </c:pt>
                <c:pt idx="4">
                  <c:v>27.609124170932699</c:v>
                </c:pt>
                <c:pt idx="5">
                  <c:v>27.109601787545301</c:v>
                </c:pt>
                <c:pt idx="6">
                  <c:v>26.476860792216701</c:v>
                </c:pt>
                <c:pt idx="7">
                  <c:v>25.909283937402002</c:v>
                </c:pt>
                <c:pt idx="8">
                  <c:v>25.151596121178201</c:v>
                </c:pt>
                <c:pt idx="9">
                  <c:v>24.030235293896801</c:v>
                </c:pt>
                <c:pt idx="10">
                  <c:v>23.305487386433601</c:v>
                </c:pt>
                <c:pt idx="11">
                  <c:v>22.265785519163899</c:v>
                </c:pt>
                <c:pt idx="12">
                  <c:v>20.328137981168702</c:v>
                </c:pt>
                <c:pt idx="13">
                  <c:v>19.0660499295943</c:v>
                </c:pt>
                <c:pt idx="14">
                  <c:v>17.5366665415551</c:v>
                </c:pt>
                <c:pt idx="15">
                  <c:v>12.0207936115662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A-4B59-BD0E-D6D4A5AB2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final2!$F$19:$F$34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final2!$K$19:$K$34</c:f>
              <c:numCache>
                <c:formatCode>0.00E+00</c:formatCode>
                <c:ptCount val="16"/>
                <c:pt idx="0">
                  <c:v>28.603486166113299</c:v>
                </c:pt>
                <c:pt idx="1">
                  <c:v>28.521617598000802</c:v>
                </c:pt>
                <c:pt idx="2">
                  <c:v>28.3098657283096</c:v>
                </c:pt>
                <c:pt idx="3">
                  <c:v>28.443956782164399</c:v>
                </c:pt>
                <c:pt idx="4">
                  <c:v>27.655869884670601</c:v>
                </c:pt>
                <c:pt idx="5">
                  <c:v>27.1413942923921</c:v>
                </c:pt>
                <c:pt idx="6">
                  <c:v>27.1075780060672</c:v>
                </c:pt>
                <c:pt idx="7">
                  <c:v>25.930462069289501</c:v>
                </c:pt>
                <c:pt idx="8">
                  <c:v>25.0970483128824</c:v>
                </c:pt>
                <c:pt idx="9">
                  <c:v>24.510545385360199</c:v>
                </c:pt>
                <c:pt idx="10">
                  <c:v>23.529190844173201</c:v>
                </c:pt>
                <c:pt idx="11">
                  <c:v>22.192514809691001</c:v>
                </c:pt>
                <c:pt idx="12">
                  <c:v>21.0826885920515</c:v>
                </c:pt>
                <c:pt idx="13">
                  <c:v>17.984943326833999</c:v>
                </c:pt>
                <c:pt idx="14">
                  <c:v>20.382294082429201</c:v>
                </c:pt>
                <c:pt idx="15">
                  <c:v>10.382953285412601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C-40D3-8CB6-831689349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final2!$F$36:$F$51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final2!$K$36:$K$51</c:f>
              <c:numCache>
                <c:formatCode>0.00E+00</c:formatCode>
                <c:ptCount val="16"/>
                <c:pt idx="0">
                  <c:v>28.240582255388698</c:v>
                </c:pt>
                <c:pt idx="1">
                  <c:v>28.175743073532399</c:v>
                </c:pt>
                <c:pt idx="2">
                  <c:v>27.963507839908601</c:v>
                </c:pt>
                <c:pt idx="3">
                  <c:v>28.091072533317998</c:v>
                </c:pt>
                <c:pt idx="4">
                  <c:v>27.309346029344901</c:v>
                </c:pt>
                <c:pt idx="5">
                  <c:v>26.774924801826199</c:v>
                </c:pt>
                <c:pt idx="6">
                  <c:v>26.7268961441345</c:v>
                </c:pt>
                <c:pt idx="7">
                  <c:v>25.553030896681701</c:v>
                </c:pt>
                <c:pt idx="8">
                  <c:v>24.750429286114102</c:v>
                </c:pt>
                <c:pt idx="9">
                  <c:v>24.1553782498472</c:v>
                </c:pt>
                <c:pt idx="10">
                  <c:v>23.1508463591672</c:v>
                </c:pt>
                <c:pt idx="11">
                  <c:v>21.663894072745599</c:v>
                </c:pt>
                <c:pt idx="12">
                  <c:v>21.119529854613699</c:v>
                </c:pt>
                <c:pt idx="13">
                  <c:v>17.616052103124499</c:v>
                </c:pt>
                <c:pt idx="14">
                  <c:v>19.8696665871365</c:v>
                </c:pt>
                <c:pt idx="15">
                  <c:v>10.311261893477401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CC-436F-833D-C5C8BB347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final2!$L$19:$L$34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2-470C-A159-212DB90E054A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final2!$L$36:$L$51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9.93483329356825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32-470C-A159-212DB90E054A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final2!$L$2:$L$17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32-470C-A159-212DB90E0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final2!$L$19:$L$34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4-45E7-ACFE-C044FE810C85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final2!$L$36:$L$51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9.93483329356825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74-45E7-ACFE-C044FE810C85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final2!$L$2:$L$17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74-45E7-ACFE-C044FE810C85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final2!$AF$13:$AF$45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final2!$AG$13:$AG$45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74-45E7-ACFE-C044FE81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38100">
              <a:noFill/>
            </a:ln>
          </c:spPr>
          <c:xVal>
            <c:numRef>
              <c:f>final2!$AM$13:$AM$61</c:f>
              <c:numCache>
                <c:formatCode>0.00E+00</c:formatCode>
                <c:ptCount val="49"/>
                <c:pt idx="0">
                  <c:v>0</c:v>
                </c:pt>
                <c:pt idx="1">
                  <c:v>2.0833399999999998E-2</c:v>
                </c:pt>
                <c:pt idx="2">
                  <c:v>4.1666599999999998E-2</c:v>
                </c:pt>
                <c:pt idx="3">
                  <c:v>6.25E-2</c:v>
                </c:pt>
                <c:pt idx="4">
                  <c:v>8.3333400000000002E-2</c:v>
                </c:pt>
                <c:pt idx="5">
                  <c:v>0.1041666</c:v>
                </c:pt>
                <c:pt idx="6">
                  <c:v>0.125</c:v>
                </c:pt>
                <c:pt idx="7">
                  <c:v>0.1458334</c:v>
                </c:pt>
                <c:pt idx="8">
                  <c:v>0.1666666</c:v>
                </c:pt>
                <c:pt idx="9">
                  <c:v>0.1875</c:v>
                </c:pt>
                <c:pt idx="10">
                  <c:v>0.20833399999999999</c:v>
                </c:pt>
                <c:pt idx="11">
                  <c:v>0.22916600000000001</c:v>
                </c:pt>
                <c:pt idx="12">
                  <c:v>0.25</c:v>
                </c:pt>
                <c:pt idx="13">
                  <c:v>0.27083400000000002</c:v>
                </c:pt>
                <c:pt idx="14">
                  <c:v>0.29166599999999998</c:v>
                </c:pt>
                <c:pt idx="15">
                  <c:v>0.3125</c:v>
                </c:pt>
                <c:pt idx="16">
                  <c:v>0.33333400000000002</c:v>
                </c:pt>
                <c:pt idx="17">
                  <c:v>0.35416599999999998</c:v>
                </c:pt>
                <c:pt idx="18">
                  <c:v>0.375</c:v>
                </c:pt>
                <c:pt idx="19">
                  <c:v>0.39583400000000002</c:v>
                </c:pt>
                <c:pt idx="20">
                  <c:v>0.41666599999999998</c:v>
                </c:pt>
                <c:pt idx="21">
                  <c:v>0.4375</c:v>
                </c:pt>
                <c:pt idx="22">
                  <c:v>0.45833400000000002</c:v>
                </c:pt>
                <c:pt idx="23">
                  <c:v>0.47916599999999998</c:v>
                </c:pt>
                <c:pt idx="24">
                  <c:v>0.5</c:v>
                </c:pt>
                <c:pt idx="25">
                  <c:v>0.52083400000000002</c:v>
                </c:pt>
                <c:pt idx="26">
                  <c:v>0.54166599999999998</c:v>
                </c:pt>
                <c:pt idx="27">
                  <c:v>0.5625</c:v>
                </c:pt>
                <c:pt idx="28">
                  <c:v>0.58333400000000002</c:v>
                </c:pt>
                <c:pt idx="29">
                  <c:v>0.60416599999999998</c:v>
                </c:pt>
                <c:pt idx="30">
                  <c:v>0.625</c:v>
                </c:pt>
                <c:pt idx="31">
                  <c:v>0.64583400000000002</c:v>
                </c:pt>
                <c:pt idx="32">
                  <c:v>0.66666599999999998</c:v>
                </c:pt>
                <c:pt idx="33">
                  <c:v>0.6875</c:v>
                </c:pt>
                <c:pt idx="34">
                  <c:v>0.70833400000000002</c:v>
                </c:pt>
                <c:pt idx="35">
                  <c:v>0.72916599999999998</c:v>
                </c:pt>
                <c:pt idx="36">
                  <c:v>0.75</c:v>
                </c:pt>
                <c:pt idx="37">
                  <c:v>0.77083400000000002</c:v>
                </c:pt>
                <c:pt idx="38">
                  <c:v>0.79166599999999998</c:v>
                </c:pt>
                <c:pt idx="39">
                  <c:v>0.8125</c:v>
                </c:pt>
                <c:pt idx="40">
                  <c:v>0.83333400000000002</c:v>
                </c:pt>
                <c:pt idx="41">
                  <c:v>0.85416599999999998</c:v>
                </c:pt>
                <c:pt idx="42">
                  <c:v>0.875</c:v>
                </c:pt>
                <c:pt idx="43">
                  <c:v>0.89583400000000002</c:v>
                </c:pt>
                <c:pt idx="44">
                  <c:v>0.91666599999999998</c:v>
                </c:pt>
                <c:pt idx="45">
                  <c:v>0.9375</c:v>
                </c:pt>
                <c:pt idx="46">
                  <c:v>0.95833400000000002</c:v>
                </c:pt>
                <c:pt idx="47">
                  <c:v>0.97916599999999998</c:v>
                </c:pt>
                <c:pt idx="48">
                  <c:v>1</c:v>
                </c:pt>
              </c:numCache>
            </c:numRef>
          </c:xVal>
          <c:yVal>
            <c:numRef>
              <c:f>final2!$AN$13:$AN$61</c:f>
              <c:numCache>
                <c:formatCode>0.00E+00</c:formatCode>
                <c:ptCount val="49"/>
                <c:pt idx="0">
                  <c:v>13.433400000000001</c:v>
                </c:pt>
                <c:pt idx="1">
                  <c:v>13.428599999999999</c:v>
                </c:pt>
                <c:pt idx="2">
                  <c:v>13.4238</c:v>
                </c:pt>
                <c:pt idx="3">
                  <c:v>13.4094</c:v>
                </c:pt>
                <c:pt idx="4">
                  <c:v>13.3949</c:v>
                </c:pt>
                <c:pt idx="5">
                  <c:v>13.370900000000001</c:v>
                </c:pt>
                <c:pt idx="6">
                  <c:v>13.3468</c:v>
                </c:pt>
                <c:pt idx="7">
                  <c:v>13.3131</c:v>
                </c:pt>
                <c:pt idx="8">
                  <c:v>13.279500000000001</c:v>
                </c:pt>
                <c:pt idx="9">
                  <c:v>13.2361</c:v>
                </c:pt>
                <c:pt idx="10">
                  <c:v>13.1928</c:v>
                </c:pt>
                <c:pt idx="11">
                  <c:v>13.139799999999999</c:v>
                </c:pt>
                <c:pt idx="12">
                  <c:v>13.0869</c:v>
                </c:pt>
                <c:pt idx="13">
                  <c:v>13.0242</c:v>
                </c:pt>
                <c:pt idx="14">
                  <c:v>12.961499999999999</c:v>
                </c:pt>
                <c:pt idx="15">
                  <c:v>12.889099999999999</c:v>
                </c:pt>
                <c:pt idx="16">
                  <c:v>12.816800000000001</c:v>
                </c:pt>
                <c:pt idx="17">
                  <c:v>12.7346</c:v>
                </c:pt>
                <c:pt idx="18">
                  <c:v>12.6524</c:v>
                </c:pt>
                <c:pt idx="19">
                  <c:v>12.5604</c:v>
                </c:pt>
                <c:pt idx="20">
                  <c:v>12.468299999999999</c:v>
                </c:pt>
                <c:pt idx="21">
                  <c:v>12.366099999999999</c:v>
                </c:pt>
                <c:pt idx="22">
                  <c:v>12.2639</c:v>
                </c:pt>
                <c:pt idx="23">
                  <c:v>12.151300000000001</c:v>
                </c:pt>
                <c:pt idx="24">
                  <c:v>12.0387</c:v>
                </c:pt>
                <c:pt idx="25">
                  <c:v>11.915100000000001</c:v>
                </c:pt>
                <c:pt idx="26">
                  <c:v>11.791499999999999</c:v>
                </c:pt>
                <c:pt idx="27">
                  <c:v>11.656000000000001</c:v>
                </c:pt>
                <c:pt idx="28">
                  <c:v>11.5205</c:v>
                </c:pt>
                <c:pt idx="29">
                  <c:v>11.3714</c:v>
                </c:pt>
                <c:pt idx="30">
                  <c:v>11.222300000000001</c:v>
                </c:pt>
                <c:pt idx="31">
                  <c:v>11.0572</c:v>
                </c:pt>
                <c:pt idx="32">
                  <c:v>10.891999999999999</c:v>
                </c:pt>
                <c:pt idx="33">
                  <c:v>10.707599999999999</c:v>
                </c:pt>
                <c:pt idx="34">
                  <c:v>10.523099999999999</c:v>
                </c:pt>
                <c:pt idx="35">
                  <c:v>10.3154</c:v>
                </c:pt>
                <c:pt idx="36">
                  <c:v>10.1076</c:v>
                </c:pt>
                <c:pt idx="37">
                  <c:v>9.8723100000000006</c:v>
                </c:pt>
                <c:pt idx="38">
                  <c:v>9.6369900000000008</c:v>
                </c:pt>
                <c:pt idx="39">
                  <c:v>9.3722799999999999</c:v>
                </c:pt>
                <c:pt idx="40">
                  <c:v>9.1075700000000008</c:v>
                </c:pt>
                <c:pt idx="41">
                  <c:v>8.8015799999999995</c:v>
                </c:pt>
                <c:pt idx="42">
                  <c:v>8.4955999999999996</c:v>
                </c:pt>
                <c:pt idx="43">
                  <c:v>8.2087299999999992</c:v>
                </c:pt>
                <c:pt idx="44">
                  <c:v>7.9218599999999997</c:v>
                </c:pt>
                <c:pt idx="45">
                  <c:v>6.7829300000000003</c:v>
                </c:pt>
                <c:pt idx="46">
                  <c:v>5.6440000000000001</c:v>
                </c:pt>
                <c:pt idx="47">
                  <c:v>5.7351599999999996</c:v>
                </c:pt>
                <c:pt idx="48">
                  <c:v>5.8263100000000003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7-4C91-998F-41781DC5B224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xVal>
            <c:numRef>
              <c:f>final2!$L$19:$L$34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10.191147041214601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1-AC47-4C91-998F-41781DC5B224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</c:spPr>
          <c:xVal>
            <c:numRef>
              <c:f>final2!$L$36:$L$51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9.93483329356825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2-AC47-4C91-998F-41781DC5B224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xVal>
            <c:numRef>
              <c:f>final2!$L$2:$L$17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final2!$M$2:$M$17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3-AC47-4C91-998F-41781DC5B224}"/>
            </c:ext>
          </c:extLst>
        </c:ser>
        <c:ser>
          <c:idx val="3"/>
          <c:order val="4"/>
          <c:spPr>
            <a:ln w="15875">
              <a:solidFill>
                <a:schemeClr val="tx1"/>
              </a:solidFill>
            </a:ln>
          </c:spPr>
          <c:xVal>
            <c:numRef>
              <c:f>final2!$AF$13:$AF$45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final2!$AG$13:$AG$45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FEM</c:v>
                </c15:tx>
              </c15:filteredSeriesTitle>
            </c:ext>
            <c:ext xmlns:c16="http://schemas.microsoft.com/office/drawing/2014/chart" uri="{C3380CC4-5D6E-409C-BE32-E72D297353CC}">
              <c16:uniqueId val="{00000004-AC47-4C91-998F-41781DC5B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final3!$F$2:$F$17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final3!$K$2:$K$17</c:f>
              <c:numCache>
                <c:formatCode>0.00E+00</c:formatCode>
                <c:ptCount val="16"/>
                <c:pt idx="0">
                  <c:v>28.540453037514101</c:v>
                </c:pt>
                <c:pt idx="1">
                  <c:v>28.508444737590601</c:v>
                </c:pt>
                <c:pt idx="2">
                  <c:v>28.271998617775399</c:v>
                </c:pt>
                <c:pt idx="3">
                  <c:v>27.946817762842201</c:v>
                </c:pt>
                <c:pt idx="4">
                  <c:v>27.609124170932699</c:v>
                </c:pt>
                <c:pt idx="5">
                  <c:v>27.109601787545301</c:v>
                </c:pt>
                <c:pt idx="6">
                  <c:v>26.476860792216701</c:v>
                </c:pt>
                <c:pt idx="7">
                  <c:v>25.909283937402002</c:v>
                </c:pt>
                <c:pt idx="8">
                  <c:v>25.151596121178201</c:v>
                </c:pt>
                <c:pt idx="9">
                  <c:v>24.030235293896801</c:v>
                </c:pt>
                <c:pt idx="10">
                  <c:v>23.305487386433601</c:v>
                </c:pt>
                <c:pt idx="11">
                  <c:v>22.265785519163899</c:v>
                </c:pt>
                <c:pt idx="12">
                  <c:v>20.328137981168702</c:v>
                </c:pt>
                <c:pt idx="13">
                  <c:v>19.0660499295943</c:v>
                </c:pt>
                <c:pt idx="14">
                  <c:v>17.5366665415551</c:v>
                </c:pt>
                <c:pt idx="15">
                  <c:v>12.0207936115662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7-4E6B-9448-10B503977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7039"/>
        <c:axId val="924900719"/>
      </c:scatterChart>
      <c:valAx>
        <c:axId val="9249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0719"/>
        <c:crosses val="autoZero"/>
        <c:crossBetween val="midCat"/>
      </c:valAx>
      <c:valAx>
        <c:axId val="924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final3!$F$19:$F$34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final3!$K$19:$K$34</c:f>
              <c:numCache>
                <c:formatCode>0.00E+00</c:formatCode>
                <c:ptCount val="16"/>
                <c:pt idx="0">
                  <c:v>28.603486166113299</c:v>
                </c:pt>
                <c:pt idx="1">
                  <c:v>28.521617598000802</c:v>
                </c:pt>
                <c:pt idx="2">
                  <c:v>28.3098657283096</c:v>
                </c:pt>
                <c:pt idx="3">
                  <c:v>28.443956782164399</c:v>
                </c:pt>
                <c:pt idx="4">
                  <c:v>27.655869884670601</c:v>
                </c:pt>
                <c:pt idx="5">
                  <c:v>27.1413942923921</c:v>
                </c:pt>
                <c:pt idx="6">
                  <c:v>27.1075780060672</c:v>
                </c:pt>
                <c:pt idx="7">
                  <c:v>25.930462069289501</c:v>
                </c:pt>
                <c:pt idx="8">
                  <c:v>25.0970483128824</c:v>
                </c:pt>
                <c:pt idx="9">
                  <c:v>24.510545385360199</c:v>
                </c:pt>
                <c:pt idx="10">
                  <c:v>23.529190844173201</c:v>
                </c:pt>
                <c:pt idx="11">
                  <c:v>22.192514809691001</c:v>
                </c:pt>
                <c:pt idx="12">
                  <c:v>21.0826885920515</c:v>
                </c:pt>
                <c:pt idx="13">
                  <c:v>17.984943326833999</c:v>
                </c:pt>
                <c:pt idx="14">
                  <c:v>18.382294082429201</c:v>
                </c:pt>
                <c:pt idx="15">
                  <c:v>10.382953285412601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4-4F67-AC2C-2B4DDE303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4639"/>
        <c:axId val="924904559"/>
      </c:scatterChart>
      <c:valAx>
        <c:axId val="9249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4559"/>
        <c:crosses val="autoZero"/>
        <c:crossBetween val="midCat"/>
      </c:valAx>
      <c:valAx>
        <c:axId val="9249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final3!$F$36:$F$51</c:f>
              <c:numCache>
                <c:formatCode>0.00E+00</c:formatCode>
                <c:ptCount val="16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</c:numCache>
            </c:numRef>
          </c:xVal>
          <c:yVal>
            <c:numRef>
              <c:f>final3!$K$36:$K$51</c:f>
              <c:numCache>
                <c:formatCode>0.00E+00</c:formatCode>
                <c:ptCount val="16"/>
                <c:pt idx="0">
                  <c:v>28.240582255388698</c:v>
                </c:pt>
                <c:pt idx="1">
                  <c:v>28.175743073532399</c:v>
                </c:pt>
                <c:pt idx="2">
                  <c:v>27.963507839908601</c:v>
                </c:pt>
                <c:pt idx="3">
                  <c:v>28.091072533317998</c:v>
                </c:pt>
                <c:pt idx="4">
                  <c:v>27.309346029344901</c:v>
                </c:pt>
                <c:pt idx="5">
                  <c:v>26.774924801826199</c:v>
                </c:pt>
                <c:pt idx="6">
                  <c:v>26.7268961441345</c:v>
                </c:pt>
                <c:pt idx="7">
                  <c:v>25.553030896681701</c:v>
                </c:pt>
                <c:pt idx="8">
                  <c:v>24.750429286114102</c:v>
                </c:pt>
                <c:pt idx="9">
                  <c:v>24.1553782498472</c:v>
                </c:pt>
                <c:pt idx="10">
                  <c:v>23.1508463591672</c:v>
                </c:pt>
                <c:pt idx="11">
                  <c:v>21.663894072745599</c:v>
                </c:pt>
                <c:pt idx="12">
                  <c:v>21.119529854613699</c:v>
                </c:pt>
                <c:pt idx="13">
                  <c:v>17.616052103124499</c:v>
                </c:pt>
                <c:pt idx="14">
                  <c:v>18.8696665871365</c:v>
                </c:pt>
                <c:pt idx="15">
                  <c:v>10.311261893477401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2-4A6B-9D4B-D84366E07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final3!$L$19:$L$34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4-4458-BC85-244537308C12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final3!$L$36:$L$51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4-4458-BC85-244537308C12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final3!$L$2:$L$17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C4-4458-BC85-244537308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77117224713"/>
          <c:y val="0.46835281249615945"/>
          <c:w val="0.37495841653448941"/>
          <c:h val="0.3053518880381690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S-IGA no blending</c:v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final3!$L$19:$L$34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4-4699-8C98-79EB4FEEC0C4}"/>
            </c:ext>
          </c:extLst>
        </c:ser>
        <c:ser>
          <c:idx val="0"/>
          <c:order val="1"/>
          <c:tx>
            <c:v>S-IGA cubic</c:v>
          </c:tx>
          <c:spPr>
            <a:ln w="15875">
              <a:solidFill>
                <a:srgbClr val="00B0F0"/>
              </a:solidFill>
            </a:ln>
          </c:spPr>
          <c:marker>
            <c:symbol val="triangle"/>
            <c:size val="3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final3!$L$36:$L$51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4-4699-8C98-79EB4FEEC0C4}"/>
            </c:ext>
          </c:extLst>
        </c:ser>
        <c:ser>
          <c:idx val="1"/>
          <c:order val="2"/>
          <c:tx>
            <c:v>IGA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final3!$L$2:$L$17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F4-4699-8C98-79EB4FEEC0C4}"/>
            </c:ext>
          </c:extLst>
        </c:ser>
        <c:ser>
          <c:idx val="3"/>
          <c:order val="3"/>
          <c:tx>
            <c:v>FEM</c:v>
          </c:tx>
          <c:spPr>
            <a:ln w="15875">
              <a:solidFill>
                <a:schemeClr val="tx1"/>
              </a:solidFill>
            </a:ln>
          </c:spPr>
          <c:marker>
            <c:symbol val="x"/>
            <c:size val="8"/>
            <c:spPr>
              <a:ln>
                <a:solidFill>
                  <a:schemeClr val="tx1"/>
                </a:solidFill>
              </a:ln>
            </c:spPr>
          </c:marker>
          <c:xVal>
            <c:numRef>
              <c:f>final3!$AF$13:$AF$45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final3!$AG$13:$AG$45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F4-4699-8C98-79EB4FEE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38100">
              <a:noFill/>
            </a:ln>
          </c:spPr>
          <c:xVal>
            <c:numRef>
              <c:f>final3!$AM$13:$AM$61</c:f>
              <c:numCache>
                <c:formatCode>0.00E+00</c:formatCode>
                <c:ptCount val="49"/>
                <c:pt idx="0">
                  <c:v>0</c:v>
                </c:pt>
                <c:pt idx="1">
                  <c:v>2.0833399999999998E-2</c:v>
                </c:pt>
                <c:pt idx="2">
                  <c:v>4.1666599999999998E-2</c:v>
                </c:pt>
                <c:pt idx="3">
                  <c:v>6.25E-2</c:v>
                </c:pt>
                <c:pt idx="4">
                  <c:v>8.3333400000000002E-2</c:v>
                </c:pt>
                <c:pt idx="5">
                  <c:v>0.1041666</c:v>
                </c:pt>
                <c:pt idx="6">
                  <c:v>0.125</c:v>
                </c:pt>
                <c:pt idx="7">
                  <c:v>0.1458334</c:v>
                </c:pt>
                <c:pt idx="8">
                  <c:v>0.1666666</c:v>
                </c:pt>
                <c:pt idx="9">
                  <c:v>0.1875</c:v>
                </c:pt>
                <c:pt idx="10">
                  <c:v>0.20833399999999999</c:v>
                </c:pt>
                <c:pt idx="11">
                  <c:v>0.22916600000000001</c:v>
                </c:pt>
                <c:pt idx="12">
                  <c:v>0.25</c:v>
                </c:pt>
                <c:pt idx="13">
                  <c:v>0.27083400000000002</c:v>
                </c:pt>
                <c:pt idx="14">
                  <c:v>0.29166599999999998</c:v>
                </c:pt>
                <c:pt idx="15">
                  <c:v>0.3125</c:v>
                </c:pt>
                <c:pt idx="16">
                  <c:v>0.33333400000000002</c:v>
                </c:pt>
                <c:pt idx="17">
                  <c:v>0.35416599999999998</c:v>
                </c:pt>
                <c:pt idx="18">
                  <c:v>0.375</c:v>
                </c:pt>
                <c:pt idx="19">
                  <c:v>0.39583400000000002</c:v>
                </c:pt>
                <c:pt idx="20">
                  <c:v>0.41666599999999998</c:v>
                </c:pt>
                <c:pt idx="21">
                  <c:v>0.4375</c:v>
                </c:pt>
                <c:pt idx="22">
                  <c:v>0.45833400000000002</c:v>
                </c:pt>
                <c:pt idx="23">
                  <c:v>0.47916599999999998</c:v>
                </c:pt>
                <c:pt idx="24">
                  <c:v>0.5</c:v>
                </c:pt>
                <c:pt idx="25">
                  <c:v>0.52083400000000002</c:v>
                </c:pt>
                <c:pt idx="26">
                  <c:v>0.54166599999999998</c:v>
                </c:pt>
                <c:pt idx="27">
                  <c:v>0.5625</c:v>
                </c:pt>
                <c:pt idx="28">
                  <c:v>0.58333400000000002</c:v>
                </c:pt>
                <c:pt idx="29">
                  <c:v>0.60416599999999998</c:v>
                </c:pt>
                <c:pt idx="30">
                  <c:v>0.625</c:v>
                </c:pt>
                <c:pt idx="31">
                  <c:v>0.64583400000000002</c:v>
                </c:pt>
                <c:pt idx="32">
                  <c:v>0.66666599999999998</c:v>
                </c:pt>
                <c:pt idx="33">
                  <c:v>0.6875</c:v>
                </c:pt>
                <c:pt idx="34">
                  <c:v>0.70833400000000002</c:v>
                </c:pt>
                <c:pt idx="35">
                  <c:v>0.72916599999999998</c:v>
                </c:pt>
                <c:pt idx="36">
                  <c:v>0.75</c:v>
                </c:pt>
                <c:pt idx="37">
                  <c:v>0.77083400000000002</c:v>
                </c:pt>
                <c:pt idx="38">
                  <c:v>0.79166599999999998</c:v>
                </c:pt>
                <c:pt idx="39">
                  <c:v>0.8125</c:v>
                </c:pt>
                <c:pt idx="40">
                  <c:v>0.83333400000000002</c:v>
                </c:pt>
                <c:pt idx="41">
                  <c:v>0.85416599999999998</c:v>
                </c:pt>
                <c:pt idx="42">
                  <c:v>0.875</c:v>
                </c:pt>
                <c:pt idx="43">
                  <c:v>0.89583400000000002</c:v>
                </c:pt>
                <c:pt idx="44">
                  <c:v>0.91666599999999998</c:v>
                </c:pt>
                <c:pt idx="45">
                  <c:v>0.9375</c:v>
                </c:pt>
                <c:pt idx="46">
                  <c:v>0.95833400000000002</c:v>
                </c:pt>
                <c:pt idx="47">
                  <c:v>0.97916599999999998</c:v>
                </c:pt>
                <c:pt idx="48">
                  <c:v>1</c:v>
                </c:pt>
              </c:numCache>
            </c:numRef>
          </c:xVal>
          <c:yVal>
            <c:numRef>
              <c:f>final3!$AN$13:$AN$61</c:f>
              <c:numCache>
                <c:formatCode>0.00E+00</c:formatCode>
                <c:ptCount val="49"/>
                <c:pt idx="0">
                  <c:v>13.433400000000001</c:v>
                </c:pt>
                <c:pt idx="1">
                  <c:v>13.428599999999999</c:v>
                </c:pt>
                <c:pt idx="2">
                  <c:v>13.4238</c:v>
                </c:pt>
                <c:pt idx="3">
                  <c:v>13.4094</c:v>
                </c:pt>
                <c:pt idx="4">
                  <c:v>13.3949</c:v>
                </c:pt>
                <c:pt idx="5">
                  <c:v>13.370900000000001</c:v>
                </c:pt>
                <c:pt idx="6">
                  <c:v>13.3468</c:v>
                </c:pt>
                <c:pt idx="7">
                  <c:v>13.3131</c:v>
                </c:pt>
                <c:pt idx="8">
                  <c:v>13.279500000000001</c:v>
                </c:pt>
                <c:pt idx="9">
                  <c:v>13.2361</c:v>
                </c:pt>
                <c:pt idx="10">
                  <c:v>13.1928</c:v>
                </c:pt>
                <c:pt idx="11">
                  <c:v>13.139799999999999</c:v>
                </c:pt>
                <c:pt idx="12">
                  <c:v>13.0869</c:v>
                </c:pt>
                <c:pt idx="13">
                  <c:v>13.0242</c:v>
                </c:pt>
                <c:pt idx="14">
                  <c:v>12.961499999999999</c:v>
                </c:pt>
                <c:pt idx="15">
                  <c:v>12.889099999999999</c:v>
                </c:pt>
                <c:pt idx="16">
                  <c:v>12.816800000000001</c:v>
                </c:pt>
                <c:pt idx="17">
                  <c:v>12.7346</c:v>
                </c:pt>
                <c:pt idx="18">
                  <c:v>12.6524</c:v>
                </c:pt>
                <c:pt idx="19">
                  <c:v>12.5604</c:v>
                </c:pt>
                <c:pt idx="20">
                  <c:v>12.468299999999999</c:v>
                </c:pt>
                <c:pt idx="21">
                  <c:v>12.366099999999999</c:v>
                </c:pt>
                <c:pt idx="22">
                  <c:v>12.2639</c:v>
                </c:pt>
                <c:pt idx="23">
                  <c:v>12.151300000000001</c:v>
                </c:pt>
                <c:pt idx="24">
                  <c:v>12.0387</c:v>
                </c:pt>
                <c:pt idx="25">
                  <c:v>11.915100000000001</c:v>
                </c:pt>
                <c:pt idx="26">
                  <c:v>11.791499999999999</c:v>
                </c:pt>
                <c:pt idx="27">
                  <c:v>11.656000000000001</c:v>
                </c:pt>
                <c:pt idx="28">
                  <c:v>11.5205</c:v>
                </c:pt>
                <c:pt idx="29">
                  <c:v>11.3714</c:v>
                </c:pt>
                <c:pt idx="30">
                  <c:v>11.222300000000001</c:v>
                </c:pt>
                <c:pt idx="31">
                  <c:v>11.0572</c:v>
                </c:pt>
                <c:pt idx="32">
                  <c:v>10.891999999999999</c:v>
                </c:pt>
                <c:pt idx="33">
                  <c:v>10.707599999999999</c:v>
                </c:pt>
                <c:pt idx="34">
                  <c:v>10.523099999999999</c:v>
                </c:pt>
                <c:pt idx="35">
                  <c:v>10.3154</c:v>
                </c:pt>
                <c:pt idx="36">
                  <c:v>10.1076</c:v>
                </c:pt>
                <c:pt idx="37">
                  <c:v>9.8723100000000006</c:v>
                </c:pt>
                <c:pt idx="38">
                  <c:v>9.6369900000000008</c:v>
                </c:pt>
                <c:pt idx="39">
                  <c:v>9.3722799999999999</c:v>
                </c:pt>
                <c:pt idx="40">
                  <c:v>9.1075700000000008</c:v>
                </c:pt>
                <c:pt idx="41">
                  <c:v>8.8015799999999995</c:v>
                </c:pt>
                <c:pt idx="42">
                  <c:v>8.4955999999999996</c:v>
                </c:pt>
                <c:pt idx="43">
                  <c:v>8.2087299999999992</c:v>
                </c:pt>
                <c:pt idx="44">
                  <c:v>7.9218599999999997</c:v>
                </c:pt>
                <c:pt idx="45">
                  <c:v>6.7829300000000003</c:v>
                </c:pt>
                <c:pt idx="46">
                  <c:v>5.6440000000000001</c:v>
                </c:pt>
                <c:pt idx="47">
                  <c:v>5.7351599999999996</c:v>
                </c:pt>
                <c:pt idx="48">
                  <c:v>5.8263100000000003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4-451E-867A-2181DFB0BDFC}"/>
            </c:ext>
          </c:extLst>
        </c:ser>
        <c:ser>
          <c:idx val="2"/>
          <c:order val="1"/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xVal>
            <c:numRef>
              <c:f>final3!$L$19:$L$34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final3!$M$19:$M$34</c:f>
              <c:numCache>
                <c:formatCode>0.00E+00</c:formatCode>
                <c:ptCount val="16"/>
                <c:pt idx="0">
                  <c:v>14.30174308305665</c:v>
                </c:pt>
                <c:pt idx="1">
                  <c:v>14.260808799000401</c:v>
                </c:pt>
                <c:pt idx="2">
                  <c:v>14.1549328641548</c:v>
                </c:pt>
                <c:pt idx="3">
                  <c:v>14.2219783910822</c:v>
                </c:pt>
                <c:pt idx="4">
                  <c:v>13.8279349423353</c:v>
                </c:pt>
                <c:pt idx="5">
                  <c:v>13.57069714619605</c:v>
                </c:pt>
                <c:pt idx="6">
                  <c:v>13.5537890030336</c:v>
                </c:pt>
                <c:pt idx="7">
                  <c:v>12.96523103464475</c:v>
                </c:pt>
                <c:pt idx="8">
                  <c:v>12.5485241564412</c:v>
                </c:pt>
                <c:pt idx="9">
                  <c:v>12.2552726926801</c:v>
                </c:pt>
                <c:pt idx="10">
                  <c:v>11.7645954220866</c:v>
                </c:pt>
                <c:pt idx="11">
                  <c:v>11.096257404845501</c:v>
                </c:pt>
                <c:pt idx="12">
                  <c:v>10.54134429602575</c:v>
                </c:pt>
                <c:pt idx="13">
                  <c:v>8.9924716634169997</c:v>
                </c:pt>
                <c:pt idx="14">
                  <c:v>9.1911470412146006</c:v>
                </c:pt>
                <c:pt idx="15">
                  <c:v>5.1914766427063004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no blending</c:v>
                </c15:tx>
              </c15:filteredSeriesTitle>
            </c:ext>
            <c:ext xmlns:c16="http://schemas.microsoft.com/office/drawing/2014/chart" uri="{C3380CC4-5D6E-409C-BE32-E72D297353CC}">
              <c16:uniqueId val="{00000001-9E34-451E-867A-2181DFB0BDFC}"/>
            </c:ext>
          </c:extLst>
        </c:ser>
        <c:ser>
          <c:idx val="0"/>
          <c:order val="2"/>
          <c:spPr>
            <a:ln w="15875">
              <a:solidFill>
                <a:srgbClr val="00B0F0"/>
              </a:solidFill>
            </a:ln>
          </c:spPr>
          <c:xVal>
            <c:numRef>
              <c:f>final3!$L$36:$L$51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final3!$M$36:$M$51</c:f>
              <c:numCache>
                <c:formatCode>0.00E+00</c:formatCode>
                <c:ptCount val="16"/>
                <c:pt idx="0">
                  <c:v>14.120291127694349</c:v>
                </c:pt>
                <c:pt idx="1">
                  <c:v>14.087871536766199</c:v>
                </c:pt>
                <c:pt idx="2">
                  <c:v>13.981753919954301</c:v>
                </c:pt>
                <c:pt idx="3">
                  <c:v>14.045536266658999</c:v>
                </c:pt>
                <c:pt idx="4">
                  <c:v>13.654673014672451</c:v>
                </c:pt>
                <c:pt idx="5">
                  <c:v>13.387462400913099</c:v>
                </c:pt>
                <c:pt idx="6">
                  <c:v>13.36344807206725</c:v>
                </c:pt>
                <c:pt idx="7">
                  <c:v>12.776515448340851</c:v>
                </c:pt>
                <c:pt idx="8">
                  <c:v>12.375214643057051</c:v>
                </c:pt>
                <c:pt idx="9">
                  <c:v>12.0776891249236</c:v>
                </c:pt>
                <c:pt idx="10">
                  <c:v>11.5754231795836</c:v>
                </c:pt>
                <c:pt idx="11">
                  <c:v>10.831947036372799</c:v>
                </c:pt>
                <c:pt idx="12">
                  <c:v>10.559764927306849</c:v>
                </c:pt>
                <c:pt idx="13">
                  <c:v>8.8080260515622495</c:v>
                </c:pt>
                <c:pt idx="14">
                  <c:v>9.43483329356825</c:v>
                </c:pt>
                <c:pt idx="15">
                  <c:v>5.1556309467387003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S-IGA cubic</c:v>
                </c15:tx>
              </c15:filteredSeriesTitle>
            </c:ext>
            <c:ext xmlns:c16="http://schemas.microsoft.com/office/drawing/2014/chart" uri="{C3380CC4-5D6E-409C-BE32-E72D297353CC}">
              <c16:uniqueId val="{00000002-9E34-451E-867A-2181DFB0BDFC}"/>
            </c:ext>
          </c:extLst>
        </c:ser>
        <c:ser>
          <c:idx val="1"/>
          <c:order val="3"/>
          <c:spPr>
            <a:ln w="15875">
              <a:solidFill>
                <a:srgbClr val="FF0000"/>
              </a:solidFill>
            </a:ln>
          </c:spPr>
          <c:xVal>
            <c:numRef>
              <c:f>final3!$L$2:$L$17</c:f>
              <c:numCache>
                <c:formatCode>0.00E+00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final3!$M$2:$M$17</c:f>
              <c:numCache>
                <c:formatCode>0.00E+00</c:formatCode>
                <c:ptCount val="16"/>
                <c:pt idx="0">
                  <c:v>14.270226518757051</c:v>
                </c:pt>
                <c:pt idx="1">
                  <c:v>14.2542223687953</c:v>
                </c:pt>
                <c:pt idx="2">
                  <c:v>14.135999308887699</c:v>
                </c:pt>
                <c:pt idx="3">
                  <c:v>13.973408881421101</c:v>
                </c:pt>
                <c:pt idx="4">
                  <c:v>13.804562085466349</c:v>
                </c:pt>
                <c:pt idx="5">
                  <c:v>13.554800893772651</c:v>
                </c:pt>
                <c:pt idx="6">
                  <c:v>13.238430396108351</c:v>
                </c:pt>
                <c:pt idx="7">
                  <c:v>12.954641968701001</c:v>
                </c:pt>
                <c:pt idx="8">
                  <c:v>12.575798060589101</c:v>
                </c:pt>
                <c:pt idx="9">
                  <c:v>12.015117646948401</c:v>
                </c:pt>
                <c:pt idx="10">
                  <c:v>11.6527436932168</c:v>
                </c:pt>
                <c:pt idx="11">
                  <c:v>11.132892759581949</c:v>
                </c:pt>
                <c:pt idx="12">
                  <c:v>10.164068990584351</c:v>
                </c:pt>
                <c:pt idx="13">
                  <c:v>9.5330249647971499</c:v>
                </c:pt>
                <c:pt idx="14">
                  <c:v>8.7683332707775499</c:v>
                </c:pt>
                <c:pt idx="15">
                  <c:v>6.0103968057830999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IGA</c:v>
                </c15:tx>
              </c15:filteredSeriesTitle>
            </c:ext>
            <c:ext xmlns:c16="http://schemas.microsoft.com/office/drawing/2014/chart" uri="{C3380CC4-5D6E-409C-BE32-E72D297353CC}">
              <c16:uniqueId val="{00000003-9E34-451E-867A-2181DFB0BDFC}"/>
            </c:ext>
          </c:extLst>
        </c:ser>
        <c:ser>
          <c:idx val="3"/>
          <c:order val="4"/>
          <c:spPr>
            <a:ln w="15875">
              <a:solidFill>
                <a:schemeClr val="tx1"/>
              </a:solidFill>
            </a:ln>
          </c:spPr>
          <c:xVal>
            <c:numRef>
              <c:f>final3!$AF$13:$AF$45</c:f>
              <c:numCache>
                <c:formatCode>0.00E+00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final3!$AG$13:$AG$45</c:f>
              <c:numCache>
                <c:formatCode>0.00E+00</c:formatCode>
                <c:ptCount val="33"/>
                <c:pt idx="0">
                  <c:v>13.5907</c:v>
                </c:pt>
                <c:pt idx="1">
                  <c:v>13.579800000000001</c:v>
                </c:pt>
                <c:pt idx="2">
                  <c:v>13.5688</c:v>
                </c:pt>
                <c:pt idx="3">
                  <c:v>13.5359</c:v>
                </c:pt>
                <c:pt idx="4">
                  <c:v>13.5031</c:v>
                </c:pt>
                <c:pt idx="5">
                  <c:v>13.4482</c:v>
                </c:pt>
                <c:pt idx="6">
                  <c:v>13.3934</c:v>
                </c:pt>
                <c:pt idx="7">
                  <c:v>13.316599999999999</c:v>
                </c:pt>
                <c:pt idx="8">
                  <c:v>13.239699999999999</c:v>
                </c:pt>
                <c:pt idx="9">
                  <c:v>13.140700000000001</c:v>
                </c:pt>
                <c:pt idx="10">
                  <c:v>13.041700000000001</c:v>
                </c:pt>
                <c:pt idx="11">
                  <c:v>12.920199999999999</c:v>
                </c:pt>
                <c:pt idx="12">
                  <c:v>12.7987</c:v>
                </c:pt>
                <c:pt idx="13">
                  <c:v>12.6541</c:v>
                </c:pt>
                <c:pt idx="14">
                  <c:v>12.509499999999999</c:v>
                </c:pt>
                <c:pt idx="15">
                  <c:v>12.3408</c:v>
                </c:pt>
                <c:pt idx="16">
                  <c:v>12.1722</c:v>
                </c:pt>
                <c:pt idx="17">
                  <c:v>11.978400000000001</c:v>
                </c:pt>
                <c:pt idx="18">
                  <c:v>11.784599999999999</c:v>
                </c:pt>
                <c:pt idx="19">
                  <c:v>11.5633</c:v>
                </c:pt>
                <c:pt idx="20">
                  <c:v>11.342000000000001</c:v>
                </c:pt>
                <c:pt idx="21">
                  <c:v>11.0878</c:v>
                </c:pt>
                <c:pt idx="22">
                  <c:v>10.833600000000001</c:v>
                </c:pt>
                <c:pt idx="23">
                  <c:v>10.535399999999999</c:v>
                </c:pt>
                <c:pt idx="24">
                  <c:v>10.2372</c:v>
                </c:pt>
                <c:pt idx="25">
                  <c:v>9.8813800000000001</c:v>
                </c:pt>
                <c:pt idx="26">
                  <c:v>9.5255299999999998</c:v>
                </c:pt>
                <c:pt idx="27">
                  <c:v>9.1795799999999996</c:v>
                </c:pt>
                <c:pt idx="28">
                  <c:v>8.8336199999999998</c:v>
                </c:pt>
                <c:pt idx="29">
                  <c:v>7.9292999999999996</c:v>
                </c:pt>
                <c:pt idx="30">
                  <c:v>7.0249800000000002</c:v>
                </c:pt>
                <c:pt idx="31">
                  <c:v>6.2415000000000003</c:v>
                </c:pt>
                <c:pt idx="32">
                  <c:v>5.4580200000000003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FEM</c:v>
                </c15:tx>
              </c15:filteredSeriesTitle>
            </c:ext>
            <c:ext xmlns:c16="http://schemas.microsoft.com/office/drawing/2014/chart" uri="{C3380CC4-5D6E-409C-BE32-E72D297353CC}">
              <c16:uniqueId val="{00000004-9E34-451E-867A-2181DFB0B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915119"/>
        <c:axId val="924902639"/>
      </c:scatterChart>
      <c:valAx>
        <c:axId val="924915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Normalized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02639"/>
        <c:crosses val="autoZero"/>
        <c:crossBetween val="midCat"/>
      </c:valAx>
      <c:valAx>
        <c:axId val="924902639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+mn-lt"/>
                  </a:defRPr>
                </a:pPr>
                <a:r>
                  <a:rPr lang="en-US" altLang="ja-JP" sz="1400">
                    <a:latin typeface="+mn-lt"/>
                  </a:rPr>
                  <a:t>J [N/mm]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491511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9212168576245595"/>
          <c:y val="0.4055893426403932"/>
          <c:w val="0.38326658891201126"/>
          <c:h val="0.385199490535116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600"/>
          </a:pPr>
          <a:endParaRPr lang="ja-JP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0</xdr:row>
      <xdr:rowOff>221932</xdr:rowOff>
    </xdr:from>
    <xdr:to>
      <xdr:col>17</xdr:col>
      <xdr:colOff>645795</xdr:colOff>
      <xdr:row>12</xdr:row>
      <xdr:rowOff>221932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DBC6E97-C737-56DC-3761-CE6B42DA0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13</xdr:row>
      <xdr:rowOff>8572</xdr:rowOff>
    </xdr:from>
    <xdr:to>
      <xdr:col>17</xdr:col>
      <xdr:colOff>647700</xdr:colOff>
      <xdr:row>25</xdr:row>
      <xdr:rowOff>8572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B17462D-6C1F-6177-0524-600126975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25</xdr:row>
      <xdr:rowOff>123825</xdr:rowOff>
    </xdr:from>
    <xdr:to>
      <xdr:col>15</xdr:col>
      <xdr:colOff>504825</xdr:colOff>
      <xdr:row>37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5600CE1-1E88-4A00-9D35-38281F82B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582930</xdr:colOff>
      <xdr:row>25</xdr:row>
      <xdr:rowOff>150495</xdr:rowOff>
    </xdr:from>
    <xdr:to>
      <xdr:col>22</xdr:col>
      <xdr:colOff>483870</xdr:colOff>
      <xdr:row>37</xdr:row>
      <xdr:rowOff>150495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F68AD20-D8C5-4219-BF55-8D62F8F34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142090</xdr:colOff>
      <xdr:row>0</xdr:row>
      <xdr:rowOff>159123</xdr:rowOff>
    </xdr:from>
    <xdr:to>
      <xdr:col>25</xdr:col>
      <xdr:colOff>20169</xdr:colOff>
      <xdr:row>12</xdr:row>
      <xdr:rowOff>159123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E8A72CD-7ED1-B29D-CA8E-A55FFCF42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12</xdr:row>
      <xdr:rowOff>0</xdr:rowOff>
    </xdr:from>
    <xdr:to>
      <xdr:col>32</xdr:col>
      <xdr:colOff>550432</xdr:colOff>
      <xdr:row>24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61BFC2A-82E3-4F3E-B6A5-5E0958D4B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265793</xdr:colOff>
      <xdr:row>12</xdr:row>
      <xdr:rowOff>191860</xdr:rowOff>
    </xdr:from>
    <xdr:to>
      <xdr:col>44</xdr:col>
      <xdr:colOff>170543</xdr:colOff>
      <xdr:row>24</xdr:row>
      <xdr:rowOff>159203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2C790F50-4E24-20D6-F69F-EE6C92118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126682</xdr:colOff>
      <xdr:row>1</xdr:row>
      <xdr:rowOff>159067</xdr:rowOff>
    </xdr:from>
    <xdr:to>
      <xdr:col>18</xdr:col>
      <xdr:colOff>25717</xdr:colOff>
      <xdr:row>13</xdr:row>
      <xdr:rowOff>159067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7C0CFA6-9EDF-64D5-EA98-C99F1B538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75247</xdr:colOff>
      <xdr:row>13</xdr:row>
      <xdr:rowOff>206692</xdr:rowOff>
    </xdr:from>
    <xdr:to>
      <xdr:col>17</xdr:col>
      <xdr:colOff>641032</xdr:colOff>
      <xdr:row>25</xdr:row>
      <xdr:rowOff>206692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41DB11F-5D22-7762-3C7E-BDD10B4CC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103822</xdr:colOff>
      <xdr:row>26</xdr:row>
      <xdr:rowOff>48577</xdr:rowOff>
    </xdr:from>
    <xdr:to>
      <xdr:col>18</xdr:col>
      <xdr:colOff>16192</xdr:colOff>
      <xdr:row>38</xdr:row>
      <xdr:rowOff>48577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4422290-A8FB-4C78-51F8-E9D6985D1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59348</xdr:colOff>
      <xdr:row>0</xdr:row>
      <xdr:rowOff>165661</xdr:rowOff>
    </xdr:from>
    <xdr:to>
      <xdr:col>17</xdr:col>
      <xdr:colOff>627038</xdr:colOff>
      <xdr:row>12</xdr:row>
      <xdr:rowOff>165661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C785941-D6A9-DEDF-E674-28ACF6753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68580</xdr:colOff>
      <xdr:row>37</xdr:row>
      <xdr:rowOff>180975</xdr:rowOff>
    </xdr:from>
    <xdr:to>
      <xdr:col>17</xdr:col>
      <xdr:colOff>621030</xdr:colOff>
      <xdr:row>49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0E4CA76-42BD-4000-819E-890FF38D4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56197</xdr:colOff>
      <xdr:row>12</xdr:row>
      <xdr:rowOff>159067</xdr:rowOff>
    </xdr:from>
    <xdr:to>
      <xdr:col>17</xdr:col>
      <xdr:colOff>621982</xdr:colOff>
      <xdr:row>24</xdr:row>
      <xdr:rowOff>159067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83A8888-2C6D-B9C0-DF93-4961DCF1F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29527</xdr:colOff>
      <xdr:row>25</xdr:row>
      <xdr:rowOff>21907</xdr:rowOff>
    </xdr:from>
    <xdr:to>
      <xdr:col>17</xdr:col>
      <xdr:colOff>602932</xdr:colOff>
      <xdr:row>37</xdr:row>
      <xdr:rowOff>21907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189D101-E5D7-8578-C253-1FF3605A1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534562</xdr:colOff>
      <xdr:row>5</xdr:row>
      <xdr:rowOff>204002</xdr:rowOff>
    </xdr:from>
    <xdr:to>
      <xdr:col>60</xdr:col>
      <xdr:colOff>336442</xdr:colOff>
      <xdr:row>17</xdr:row>
      <xdr:rowOff>169960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287F5B7-26E2-6878-D201-8275EE62D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6A98D08-2733-9EDD-A7A3-675534E32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16</xdr:row>
      <xdr:rowOff>61654</xdr:rowOff>
    </xdr:from>
    <xdr:to>
      <xdr:col>20</xdr:col>
      <xdr:colOff>308611</xdr:colOff>
      <xdr:row>28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BD9AE97-3EBB-6A50-54C7-F57D77AA4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42390B7-3525-0E1D-723A-62DDC8857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396216A-5654-46C2-8AAD-EFDD21B2C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351734</xdr:colOff>
      <xdr:row>2</xdr:row>
      <xdr:rowOff>4822</xdr:rowOff>
    </xdr:from>
    <xdr:to>
      <xdr:col>40</xdr:col>
      <xdr:colOff>638632</xdr:colOff>
      <xdr:row>17</xdr:row>
      <xdr:rowOff>45216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D1BAA02-DDCB-B2DF-00EC-BEBD721A7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219075</xdr:colOff>
      <xdr:row>17</xdr:row>
      <xdr:rowOff>219075</xdr:rowOff>
    </xdr:from>
    <xdr:to>
      <xdr:col>26</xdr:col>
      <xdr:colOff>432133</xdr:colOff>
      <xdr:row>33</xdr:row>
      <xdr:rowOff>203728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1A96B5E-8759-410B-9C4D-266BC35FA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0</xdr:row>
      <xdr:rowOff>220980</xdr:rowOff>
    </xdr:from>
    <xdr:to>
      <xdr:col>18</xdr:col>
      <xdr:colOff>125730</xdr:colOff>
      <xdr:row>12</xdr:row>
      <xdr:rowOff>220980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5D1C0D3-68A7-4093-A6CE-D57683D92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240030</xdr:colOff>
      <xdr:row>19</xdr:row>
      <xdr:rowOff>30480</xdr:rowOff>
    </xdr:from>
    <xdr:to>
      <xdr:col>18</xdr:col>
      <xdr:colOff>118110</xdr:colOff>
      <xdr:row>31</xdr:row>
      <xdr:rowOff>30480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240C933-2715-41BF-A9AE-AF2E2263A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118110</xdr:colOff>
      <xdr:row>36</xdr:row>
      <xdr:rowOff>144780</xdr:rowOff>
    </xdr:from>
    <xdr:to>
      <xdr:col>18</xdr:col>
      <xdr:colOff>666750</xdr:colOff>
      <xdr:row>48</xdr:row>
      <xdr:rowOff>144780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DD40914-ABF4-44EC-AAC5-314D9A4C2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26</xdr:col>
      <xdr:colOff>544830</xdr:colOff>
      <xdr:row>18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11222A4-1176-4B28-A4E3-6859481FC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8A4BC3-FE64-483E-982C-46219663B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506730</xdr:colOff>
      <xdr:row>18</xdr:row>
      <xdr:rowOff>87630</xdr:rowOff>
    </xdr:from>
    <xdr:to>
      <xdr:col>19</xdr:col>
      <xdr:colOff>403860</xdr:colOff>
      <xdr:row>30</xdr:row>
      <xdr:rowOff>87630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CD2B76D-1306-4F8E-BF15-6C5264382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2E7F096-B772-406E-9F46-759CD2F2C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9478D55-AF11-434B-8574-13762A920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351734</xdr:colOff>
      <xdr:row>2</xdr:row>
      <xdr:rowOff>4822</xdr:rowOff>
    </xdr:from>
    <xdr:to>
      <xdr:col>40</xdr:col>
      <xdr:colOff>638632</xdr:colOff>
      <xdr:row>17</xdr:row>
      <xdr:rowOff>45216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9EC9F2E-D780-45BC-8AC5-7A9D721C4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219075</xdr:colOff>
      <xdr:row>17</xdr:row>
      <xdr:rowOff>219075</xdr:rowOff>
    </xdr:from>
    <xdr:to>
      <xdr:col>26</xdr:col>
      <xdr:colOff>432133</xdr:colOff>
      <xdr:row>33</xdr:row>
      <xdr:rowOff>203728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7BFD16E-E3DD-4417-A7DE-DC434036A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A168A1D-21ED-4168-ABD6-D333D07A4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16</xdr:row>
      <xdr:rowOff>61654</xdr:rowOff>
    </xdr:from>
    <xdr:to>
      <xdr:col>20</xdr:col>
      <xdr:colOff>308611</xdr:colOff>
      <xdr:row>28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F2535DC-C78D-4F72-B4AD-C725461D4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A2D5171-BC44-43CF-AD14-ADE1BFF60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62A1BE9-8DDE-4B64-A5D2-F99D21B9A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219075</xdr:colOff>
      <xdr:row>17</xdr:row>
      <xdr:rowOff>219075</xdr:rowOff>
    </xdr:from>
    <xdr:to>
      <xdr:col>26</xdr:col>
      <xdr:colOff>432133</xdr:colOff>
      <xdr:row>33</xdr:row>
      <xdr:rowOff>203728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2864A25-C6D9-4636-BAF3-87FE8E6C3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38</xdr:row>
      <xdr:rowOff>76200</xdr:rowOff>
    </xdr:from>
    <xdr:to>
      <xdr:col>40</xdr:col>
      <xdr:colOff>457200</xdr:colOff>
      <xdr:row>59</xdr:row>
      <xdr:rowOff>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E936940-2C30-4293-97BE-EC46E8309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630223-765A-47D0-A166-A34E8BA51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16</xdr:row>
      <xdr:rowOff>61654</xdr:rowOff>
    </xdr:from>
    <xdr:to>
      <xdr:col>20</xdr:col>
      <xdr:colOff>308611</xdr:colOff>
      <xdr:row>28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2FB863D-4C56-4C10-BC05-4DC595462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1411F74-D193-4ECA-888E-CDDAA7CC3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10D2187-663A-437F-AC98-3B073A403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654504</xdr:colOff>
      <xdr:row>16</xdr:row>
      <xdr:rowOff>60738</xdr:rowOff>
    </xdr:from>
    <xdr:to>
      <xdr:col>20</xdr:col>
      <xdr:colOff>145147</xdr:colOff>
      <xdr:row>32</xdr:row>
      <xdr:rowOff>45391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728F76A-B846-43D8-84B9-C46C0472B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38</xdr:row>
      <xdr:rowOff>76200</xdr:rowOff>
    </xdr:from>
    <xdr:to>
      <xdr:col>40</xdr:col>
      <xdr:colOff>457200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D3D4634-1F2E-4DBA-A252-E7A12489A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69497</xdr:colOff>
      <xdr:row>0</xdr:row>
      <xdr:rowOff>125966</xdr:rowOff>
    </xdr:from>
    <xdr:to>
      <xdr:col>20</xdr:col>
      <xdr:colOff>5903</xdr:colOff>
      <xdr:row>12</xdr:row>
      <xdr:rowOff>125966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426DA9-0291-4FC3-A102-806B0DAF0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350868</xdr:colOff>
      <xdr:row>16</xdr:row>
      <xdr:rowOff>61654</xdr:rowOff>
    </xdr:from>
    <xdr:to>
      <xdr:col>20</xdr:col>
      <xdr:colOff>308611</xdr:colOff>
      <xdr:row>28</xdr:row>
      <xdr:rowOff>61654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621FF84-EDF5-407C-8A31-3369A7F2D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108585</xdr:colOff>
      <xdr:row>36</xdr:row>
      <xdr:rowOff>163830</xdr:rowOff>
    </xdr:from>
    <xdr:to>
      <xdr:col>19</xdr:col>
      <xdr:colOff>657225</xdr:colOff>
      <xdr:row>48</xdr:row>
      <xdr:rowOff>163830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02E20A4-7809-4B3B-84C8-BA0965B7E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188148</xdr:colOff>
      <xdr:row>1</xdr:row>
      <xdr:rowOff>209406</xdr:rowOff>
    </xdr:from>
    <xdr:to>
      <xdr:col>26</xdr:col>
      <xdr:colOff>401206</xdr:colOff>
      <xdr:row>17</xdr:row>
      <xdr:rowOff>194059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F1DF0CF-B359-4675-A7AB-CC5A5D894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654504</xdr:colOff>
      <xdr:row>16</xdr:row>
      <xdr:rowOff>60738</xdr:rowOff>
    </xdr:from>
    <xdr:to>
      <xdr:col>20</xdr:col>
      <xdr:colOff>145147</xdr:colOff>
      <xdr:row>32</xdr:row>
      <xdr:rowOff>45391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00DC119-734E-432E-B883-45721B79D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38</xdr:row>
      <xdr:rowOff>76200</xdr:rowOff>
    </xdr:from>
    <xdr:to>
      <xdr:col>40</xdr:col>
      <xdr:colOff>457200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AFA343A-7FBD-4C7A-8A1D-84B43B5BD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6325-32DC-4C06-8BA6-980EA1E09832}">
  <dimension ref="A1:AX219"/>
  <sheetViews>
    <sheetView topLeftCell="O1" zoomScale="66" zoomScaleNormal="70" workbookViewId="0">
      <selection activeCell="AX25" sqref="AX25"/>
    </sheetView>
  </sheetViews>
  <sheetFormatPr defaultRowHeight="18"/>
  <sheetData>
    <row r="1" spans="1:37">
      <c r="A1" t="s">
        <v>0</v>
      </c>
      <c r="B1" t="s">
        <v>9</v>
      </c>
      <c r="C1" t="s">
        <v>1</v>
      </c>
      <c r="T1" t="s">
        <v>10</v>
      </c>
    </row>
    <row r="2" spans="1:37">
      <c r="A2" t="s">
        <v>2</v>
      </c>
      <c r="B2" t="s">
        <v>3</v>
      </c>
      <c r="T2" t="s">
        <v>2</v>
      </c>
      <c r="U2" t="s">
        <v>3</v>
      </c>
      <c r="AF2" t="s">
        <v>19</v>
      </c>
      <c r="AG2" t="s">
        <v>20</v>
      </c>
    </row>
    <row r="3" spans="1:37">
      <c r="A3" t="s">
        <v>4</v>
      </c>
      <c r="B3">
        <v>0</v>
      </c>
      <c r="C3" t="s">
        <v>5</v>
      </c>
      <c r="D3">
        <v>0</v>
      </c>
      <c r="E3" t="s">
        <v>6</v>
      </c>
      <c r="F3" s="1">
        <v>0.5</v>
      </c>
      <c r="G3" t="s">
        <v>7</v>
      </c>
      <c r="H3" s="1">
        <v>8.0645160000000007E-3</v>
      </c>
      <c r="I3" t="s">
        <v>8</v>
      </c>
      <c r="J3" s="1">
        <v>0</v>
      </c>
      <c r="K3" s="1">
        <v>0.20074039419440201</v>
      </c>
      <c r="T3" t="s">
        <v>4</v>
      </c>
      <c r="U3">
        <v>0</v>
      </c>
      <c r="V3" t="s">
        <v>5</v>
      </c>
      <c r="W3">
        <v>0</v>
      </c>
      <c r="X3" t="s">
        <v>6</v>
      </c>
      <c r="Y3" s="1">
        <v>0.5</v>
      </c>
      <c r="Z3" t="s">
        <v>7</v>
      </c>
      <c r="AA3" s="1">
        <v>1.1520739999999999E-3</v>
      </c>
      <c r="AB3" t="s">
        <v>8</v>
      </c>
      <c r="AC3" s="1">
        <v>0</v>
      </c>
      <c r="AD3" s="1">
        <v>0.20073634490167</v>
      </c>
      <c r="AF3" t="s">
        <v>35</v>
      </c>
    </row>
    <row r="4" spans="1:37">
      <c r="A4" t="s">
        <v>4</v>
      </c>
      <c r="B4">
        <v>0</v>
      </c>
      <c r="C4" t="s">
        <v>5</v>
      </c>
      <c r="D4">
        <v>1</v>
      </c>
      <c r="E4" t="s">
        <v>6</v>
      </c>
      <c r="F4" s="1">
        <v>0.5</v>
      </c>
      <c r="G4" t="s">
        <v>7</v>
      </c>
      <c r="H4" s="1">
        <v>2.4193550000000001E-2</v>
      </c>
      <c r="I4" t="s">
        <v>8</v>
      </c>
      <c r="J4" s="1">
        <v>0</v>
      </c>
      <c r="K4" s="1">
        <v>0.20076608588165001</v>
      </c>
      <c r="T4" t="s">
        <v>4</v>
      </c>
      <c r="U4">
        <v>0</v>
      </c>
      <c r="V4" t="s">
        <v>5</v>
      </c>
      <c r="W4">
        <v>1</v>
      </c>
      <c r="X4" t="s">
        <v>6</v>
      </c>
      <c r="Y4" s="1">
        <v>0.5</v>
      </c>
      <c r="Z4" t="s">
        <v>7</v>
      </c>
      <c r="AA4" s="1">
        <v>3.4562210000000002E-3</v>
      </c>
      <c r="AB4" t="s">
        <v>8</v>
      </c>
      <c r="AC4" s="1">
        <v>0</v>
      </c>
      <c r="AD4" s="1">
        <v>0.20073712038941999</v>
      </c>
      <c r="AF4" t="s">
        <v>22</v>
      </c>
      <c r="AG4" t="s">
        <v>23</v>
      </c>
      <c r="AH4">
        <v>0</v>
      </c>
    </row>
    <row r="5" spans="1:37">
      <c r="A5" t="s">
        <v>4</v>
      </c>
      <c r="B5">
        <v>0</v>
      </c>
      <c r="C5" t="s">
        <v>5</v>
      </c>
      <c r="D5">
        <v>2</v>
      </c>
      <c r="E5" t="s">
        <v>6</v>
      </c>
      <c r="F5" s="1">
        <v>0.5</v>
      </c>
      <c r="G5" t="s">
        <v>7</v>
      </c>
      <c r="H5" s="1">
        <v>4.0322579999999997E-2</v>
      </c>
      <c r="I5" t="s">
        <v>8</v>
      </c>
      <c r="J5" s="1">
        <v>0</v>
      </c>
      <c r="K5" s="1">
        <v>0.20081732872900901</v>
      </c>
      <c r="T5" t="s">
        <v>4</v>
      </c>
      <c r="U5">
        <v>0</v>
      </c>
      <c r="V5" t="s">
        <v>5</v>
      </c>
      <c r="W5">
        <v>2</v>
      </c>
      <c r="X5" t="s">
        <v>6</v>
      </c>
      <c r="Y5" s="1">
        <v>0.5</v>
      </c>
      <c r="Z5" t="s">
        <v>7</v>
      </c>
      <c r="AA5" s="1">
        <v>5.7603690000000004E-3</v>
      </c>
      <c r="AB5" t="s">
        <v>8</v>
      </c>
      <c r="AC5" s="1">
        <v>0</v>
      </c>
      <c r="AD5" s="1">
        <v>0.20073832654898399</v>
      </c>
      <c r="AF5" t="s">
        <v>24</v>
      </c>
      <c r="AG5" t="s">
        <v>23</v>
      </c>
      <c r="AH5" s="1">
        <v>0</v>
      </c>
    </row>
    <row r="6" spans="1:37">
      <c r="A6" t="s">
        <v>4</v>
      </c>
      <c r="B6">
        <v>0</v>
      </c>
      <c r="C6" t="s">
        <v>5</v>
      </c>
      <c r="D6">
        <v>3</v>
      </c>
      <c r="E6" t="s">
        <v>6</v>
      </c>
      <c r="F6" s="1">
        <v>0.5</v>
      </c>
      <c r="G6" t="s">
        <v>7</v>
      </c>
      <c r="H6" s="1">
        <v>5.6451609999999999E-2</v>
      </c>
      <c r="I6" t="s">
        <v>8</v>
      </c>
      <c r="J6" s="1">
        <v>0</v>
      </c>
      <c r="K6" s="1">
        <v>0.20089416486393</v>
      </c>
      <c r="T6" t="s">
        <v>4</v>
      </c>
      <c r="U6">
        <v>0</v>
      </c>
      <c r="V6" t="s">
        <v>5</v>
      </c>
      <c r="W6">
        <v>3</v>
      </c>
      <c r="X6" t="s">
        <v>6</v>
      </c>
      <c r="Y6" s="1">
        <v>0.5</v>
      </c>
      <c r="Z6" t="s">
        <v>7</v>
      </c>
      <c r="AA6" s="1">
        <v>8.0645160000000007E-3</v>
      </c>
      <c r="AB6" t="s">
        <v>8</v>
      </c>
      <c r="AC6" s="1">
        <v>0</v>
      </c>
      <c r="AD6" s="1">
        <v>0.20073996341824099</v>
      </c>
      <c r="AF6" t="s">
        <v>25</v>
      </c>
      <c r="AG6" t="s">
        <v>23</v>
      </c>
      <c r="AH6" s="1">
        <v>0</v>
      </c>
    </row>
    <row r="7" spans="1:37">
      <c r="A7" t="s">
        <v>4</v>
      </c>
      <c r="B7">
        <v>0</v>
      </c>
      <c r="C7" t="s">
        <v>5</v>
      </c>
      <c r="D7">
        <v>4</v>
      </c>
      <c r="E7" t="s">
        <v>6</v>
      </c>
      <c r="F7" s="1">
        <v>0.5</v>
      </c>
      <c r="G7" t="s">
        <v>7</v>
      </c>
      <c r="H7" s="1">
        <v>7.2580649999999997E-2</v>
      </c>
      <c r="I7" t="s">
        <v>8</v>
      </c>
      <c r="J7" s="1">
        <v>0</v>
      </c>
      <c r="K7" s="1">
        <v>0.20099650745277001</v>
      </c>
      <c r="T7" t="s">
        <v>4</v>
      </c>
      <c r="U7">
        <v>0</v>
      </c>
      <c r="V7" t="s">
        <v>5</v>
      </c>
      <c r="W7">
        <v>4</v>
      </c>
      <c r="X7" t="s">
        <v>6</v>
      </c>
      <c r="Y7" s="1">
        <v>0.5</v>
      </c>
      <c r="Z7" t="s">
        <v>7</v>
      </c>
      <c r="AA7" s="1">
        <v>1.036866E-2</v>
      </c>
      <c r="AB7" t="s">
        <v>8</v>
      </c>
      <c r="AC7" s="1">
        <v>0</v>
      </c>
      <c r="AD7" s="1">
        <v>0.20074203105626801</v>
      </c>
    </row>
    <row r="8" spans="1:37">
      <c r="A8" t="s">
        <v>4</v>
      </c>
      <c r="B8">
        <v>0</v>
      </c>
      <c r="C8" t="s">
        <v>5</v>
      </c>
      <c r="D8">
        <v>5</v>
      </c>
      <c r="E8" t="s">
        <v>6</v>
      </c>
      <c r="F8" s="1">
        <v>0.5</v>
      </c>
      <c r="G8" t="s">
        <v>7</v>
      </c>
      <c r="H8" s="1">
        <v>8.8709679999999999E-2</v>
      </c>
      <c r="I8" t="s">
        <v>8</v>
      </c>
      <c r="J8" s="1">
        <v>0</v>
      </c>
      <c r="K8" s="1">
        <v>0.20112426235793601</v>
      </c>
      <c r="T8" t="s">
        <v>4</v>
      </c>
      <c r="U8">
        <v>0</v>
      </c>
      <c r="V8" t="s">
        <v>5</v>
      </c>
      <c r="W8">
        <v>5</v>
      </c>
      <c r="X8" t="s">
        <v>6</v>
      </c>
      <c r="Y8" s="1">
        <v>0.5</v>
      </c>
      <c r="Z8" t="s">
        <v>7</v>
      </c>
      <c r="AA8" s="1">
        <v>1.267281E-2</v>
      </c>
      <c r="AB8" t="s">
        <v>8</v>
      </c>
      <c r="AC8" s="1">
        <v>0</v>
      </c>
      <c r="AD8" s="1">
        <v>0.20074452954347</v>
      </c>
      <c r="AF8" t="s">
        <v>26</v>
      </c>
      <c r="AG8">
        <v>1</v>
      </c>
    </row>
    <row r="9" spans="1:37">
      <c r="A9" t="s">
        <v>4</v>
      </c>
      <c r="B9">
        <v>0</v>
      </c>
      <c r="C9" t="s">
        <v>5</v>
      </c>
      <c r="D9">
        <v>6</v>
      </c>
      <c r="E9" t="s">
        <v>6</v>
      </c>
      <c r="F9" s="1">
        <v>0.5</v>
      </c>
      <c r="G9" t="s">
        <v>7</v>
      </c>
      <c r="H9" s="1">
        <v>0.10483870000000001</v>
      </c>
      <c r="I9" t="s">
        <v>8</v>
      </c>
      <c r="J9" s="1">
        <v>0</v>
      </c>
      <c r="K9" s="1">
        <v>0.20127727483197799</v>
      </c>
      <c r="T9" t="s">
        <v>4</v>
      </c>
      <c r="U9">
        <v>0</v>
      </c>
      <c r="V9" t="s">
        <v>5</v>
      </c>
      <c r="W9">
        <v>6</v>
      </c>
      <c r="X9" t="s">
        <v>6</v>
      </c>
      <c r="Y9" s="1">
        <v>0.5</v>
      </c>
      <c r="Z9" t="s">
        <v>7</v>
      </c>
      <c r="AA9" s="1">
        <v>1.4976959999999999E-2</v>
      </c>
      <c r="AB9" t="s">
        <v>8</v>
      </c>
      <c r="AC9" s="1">
        <v>0</v>
      </c>
      <c r="AD9" s="1">
        <v>0.200747458981238</v>
      </c>
      <c r="AF9" t="s">
        <v>27</v>
      </c>
      <c r="AG9" t="s">
        <v>23</v>
      </c>
      <c r="AH9" t="s">
        <v>28</v>
      </c>
      <c r="AI9" t="s">
        <v>29</v>
      </c>
    </row>
    <row r="10" spans="1:37">
      <c r="A10" t="s">
        <v>4</v>
      </c>
      <c r="B10">
        <v>0</v>
      </c>
      <c r="C10" t="s">
        <v>5</v>
      </c>
      <c r="D10">
        <v>7</v>
      </c>
      <c r="E10" t="s">
        <v>6</v>
      </c>
      <c r="F10" s="1">
        <v>0.5</v>
      </c>
      <c r="G10" t="s">
        <v>7</v>
      </c>
      <c r="H10" s="1">
        <v>0.1209677</v>
      </c>
      <c r="I10" t="s">
        <v>8</v>
      </c>
      <c r="J10" s="1">
        <v>0</v>
      </c>
      <c r="K10" s="1">
        <v>0.20145532805821301</v>
      </c>
      <c r="T10" t="s">
        <v>4</v>
      </c>
      <c r="U10">
        <v>0</v>
      </c>
      <c r="V10" t="s">
        <v>5</v>
      </c>
      <c r="W10">
        <v>7</v>
      </c>
      <c r="X10" t="s">
        <v>6</v>
      </c>
      <c r="Y10" s="1">
        <v>0.5</v>
      </c>
      <c r="Z10" t="s">
        <v>7</v>
      </c>
      <c r="AA10" s="1">
        <v>1.7281109999999999E-2</v>
      </c>
      <c r="AB10" t="s">
        <v>8</v>
      </c>
      <c r="AC10" s="1">
        <v>0</v>
      </c>
      <c r="AD10" s="1">
        <v>0.20075113027401401</v>
      </c>
      <c r="AF10" t="s">
        <v>30</v>
      </c>
      <c r="AG10" t="s">
        <v>23</v>
      </c>
      <c r="AH10" t="s">
        <v>31</v>
      </c>
      <c r="AK10" t="s">
        <v>34</v>
      </c>
    </row>
    <row r="11" spans="1:37">
      <c r="A11" t="s">
        <v>4</v>
      </c>
      <c r="B11">
        <v>0</v>
      </c>
      <c r="C11" t="s">
        <v>5</v>
      </c>
      <c r="D11">
        <v>8</v>
      </c>
      <c r="E11" t="s">
        <v>6</v>
      </c>
      <c r="F11" s="1">
        <v>0.5</v>
      </c>
      <c r="G11" t="s">
        <v>7</v>
      </c>
      <c r="H11" s="1">
        <v>0.13709679999999999</v>
      </c>
      <c r="I11" t="s">
        <v>8</v>
      </c>
      <c r="J11" s="1">
        <v>0</v>
      </c>
      <c r="K11" s="1">
        <v>0.201658113854536</v>
      </c>
      <c r="T11" t="s">
        <v>4</v>
      </c>
      <c r="U11">
        <v>0</v>
      </c>
      <c r="V11" t="s">
        <v>5</v>
      </c>
      <c r="W11">
        <v>8</v>
      </c>
      <c r="X11" t="s">
        <v>6</v>
      </c>
      <c r="Y11" s="1">
        <v>0.5</v>
      </c>
      <c r="Z11" t="s">
        <v>7</v>
      </c>
      <c r="AA11" s="1">
        <v>1.9585249999999998E-2</v>
      </c>
      <c r="AB11" t="s">
        <v>8</v>
      </c>
      <c r="AC11" s="1">
        <v>0</v>
      </c>
      <c r="AD11" s="1">
        <v>0.200755542375575</v>
      </c>
    </row>
    <row r="12" spans="1:37">
      <c r="A12" t="s">
        <v>4</v>
      </c>
      <c r="B12">
        <v>0</v>
      </c>
      <c r="C12" t="s">
        <v>5</v>
      </c>
      <c r="D12">
        <v>9</v>
      </c>
      <c r="E12" t="s">
        <v>6</v>
      </c>
      <c r="F12" s="1">
        <v>0.5</v>
      </c>
      <c r="G12" t="s">
        <v>7</v>
      </c>
      <c r="H12" s="1">
        <v>0.1532258</v>
      </c>
      <c r="I12" t="s">
        <v>8</v>
      </c>
      <c r="J12" s="1">
        <v>0</v>
      </c>
      <c r="K12" s="1">
        <v>0.20188520345871599</v>
      </c>
      <c r="T12" t="s">
        <v>4</v>
      </c>
      <c r="U12">
        <v>0</v>
      </c>
      <c r="V12" t="s">
        <v>5</v>
      </c>
      <c r="W12">
        <v>9</v>
      </c>
      <c r="X12" t="s">
        <v>6</v>
      </c>
      <c r="Y12" s="1">
        <v>0.5</v>
      </c>
      <c r="Z12" t="s">
        <v>7</v>
      </c>
      <c r="AA12" s="1">
        <v>2.18894E-2</v>
      </c>
      <c r="AB12" t="s">
        <v>8</v>
      </c>
      <c r="AC12" s="1">
        <v>0</v>
      </c>
      <c r="AD12" s="1">
        <v>0.20076038416736899</v>
      </c>
      <c r="AG12" t="s">
        <v>32</v>
      </c>
      <c r="AH12" t="s">
        <v>27</v>
      </c>
      <c r="AI12" t="s">
        <v>30</v>
      </c>
    </row>
    <row r="13" spans="1:37">
      <c r="A13" t="s">
        <v>4</v>
      </c>
      <c r="B13">
        <v>0</v>
      </c>
      <c r="C13" t="s">
        <v>5</v>
      </c>
      <c r="D13">
        <v>10</v>
      </c>
      <c r="E13" t="s">
        <v>6</v>
      </c>
      <c r="F13" s="1">
        <v>0.5</v>
      </c>
      <c r="G13" t="s">
        <v>7</v>
      </c>
      <c r="H13" s="1">
        <v>0.1693548</v>
      </c>
      <c r="I13" t="s">
        <v>8</v>
      </c>
      <c r="J13" s="1">
        <v>0</v>
      </c>
      <c r="K13" s="1">
        <v>0.20213601008436799</v>
      </c>
      <c r="T13" t="s">
        <v>4</v>
      </c>
      <c r="U13">
        <v>0</v>
      </c>
      <c r="V13" t="s">
        <v>5</v>
      </c>
      <c r="W13">
        <v>10</v>
      </c>
      <c r="X13" t="s">
        <v>6</v>
      </c>
      <c r="Y13" s="1">
        <v>0.5</v>
      </c>
      <c r="Z13" t="s">
        <v>7</v>
      </c>
      <c r="AA13" s="1">
        <v>2.4193550000000001E-2</v>
      </c>
      <c r="AB13" t="s">
        <v>8</v>
      </c>
      <c r="AC13" s="1">
        <v>0</v>
      </c>
      <c r="AD13" s="1">
        <v>0.20076565582080499</v>
      </c>
      <c r="AF13" t="s">
        <v>33</v>
      </c>
    </row>
    <row r="14" spans="1:37">
      <c r="A14" t="s">
        <v>4</v>
      </c>
      <c r="B14">
        <v>0</v>
      </c>
      <c r="C14" t="s">
        <v>5</v>
      </c>
      <c r="D14">
        <v>11</v>
      </c>
      <c r="E14" t="s">
        <v>6</v>
      </c>
      <c r="F14" s="1">
        <v>0.5</v>
      </c>
      <c r="G14" t="s">
        <v>7</v>
      </c>
      <c r="H14" s="1">
        <v>0.18548390000000001</v>
      </c>
      <c r="I14" t="s">
        <v>8</v>
      </c>
      <c r="J14" s="1">
        <v>0</v>
      </c>
      <c r="K14" s="1">
        <v>0.20240973218384301</v>
      </c>
      <c r="T14" t="s">
        <v>4</v>
      </c>
      <c r="U14">
        <v>0</v>
      </c>
      <c r="V14" t="s">
        <v>5</v>
      </c>
      <c r="W14">
        <v>11</v>
      </c>
      <c r="X14" t="s">
        <v>6</v>
      </c>
      <c r="Y14" s="1">
        <v>0.5</v>
      </c>
      <c r="Z14" t="s">
        <v>7</v>
      </c>
      <c r="AA14" s="1">
        <v>2.6497699999999999E-2</v>
      </c>
      <c r="AB14" t="s">
        <v>8</v>
      </c>
      <c r="AC14" s="1">
        <v>0</v>
      </c>
      <c r="AD14" s="1">
        <v>0.20077135752867301</v>
      </c>
      <c r="AG14">
        <v>1394</v>
      </c>
      <c r="AH14" s="1">
        <v>0</v>
      </c>
      <c r="AI14" s="1">
        <v>0.398005</v>
      </c>
      <c r="AJ14" s="1"/>
    </row>
    <row r="15" spans="1:37">
      <c r="A15" t="s">
        <v>4</v>
      </c>
      <c r="B15">
        <v>0</v>
      </c>
      <c r="C15" t="s">
        <v>5</v>
      </c>
      <c r="D15">
        <v>12</v>
      </c>
      <c r="E15" t="s">
        <v>6</v>
      </c>
      <c r="F15" s="1">
        <v>0.5</v>
      </c>
      <c r="G15" t="s">
        <v>7</v>
      </c>
      <c r="H15" s="1">
        <v>0.20161290000000001</v>
      </c>
      <c r="I15" t="s">
        <v>8</v>
      </c>
      <c r="J15" s="1">
        <v>0</v>
      </c>
      <c r="K15" s="1">
        <v>0.20270529566025999</v>
      </c>
      <c r="T15" t="s">
        <v>4</v>
      </c>
      <c r="U15">
        <v>0</v>
      </c>
      <c r="V15" t="s">
        <v>5</v>
      </c>
      <c r="W15">
        <v>12</v>
      </c>
      <c r="X15" t="s">
        <v>6</v>
      </c>
      <c r="Y15" s="1">
        <v>0.5</v>
      </c>
      <c r="Z15" t="s">
        <v>7</v>
      </c>
      <c r="AA15" s="1">
        <v>2.8801839999999999E-2</v>
      </c>
      <c r="AB15" t="s">
        <v>8</v>
      </c>
      <c r="AC15" s="1">
        <v>0</v>
      </c>
      <c r="AD15" s="1">
        <v>0.20077748950548299</v>
      </c>
      <c r="AG15">
        <v>53685</v>
      </c>
      <c r="AH15" s="1">
        <v>1.5625E-2</v>
      </c>
      <c r="AI15" s="1">
        <v>0.39805299999999999</v>
      </c>
      <c r="AJ15" s="1"/>
    </row>
    <row r="16" spans="1:37">
      <c r="A16" t="s">
        <v>4</v>
      </c>
      <c r="B16">
        <v>0</v>
      </c>
      <c r="C16" t="s">
        <v>5</v>
      </c>
      <c r="D16">
        <v>13</v>
      </c>
      <c r="E16" t="s">
        <v>6</v>
      </c>
      <c r="F16" s="1">
        <v>0.5</v>
      </c>
      <c r="G16" t="s">
        <v>7</v>
      </c>
      <c r="H16" s="1">
        <v>0.21774189999999999</v>
      </c>
      <c r="I16" t="s">
        <v>8</v>
      </c>
      <c r="J16" s="1">
        <v>0</v>
      </c>
      <c r="K16" s="1">
        <v>0.203021248854836</v>
      </c>
      <c r="T16" t="s">
        <v>4</v>
      </c>
      <c r="U16">
        <v>0</v>
      </c>
      <c r="V16" t="s">
        <v>5</v>
      </c>
      <c r="W16">
        <v>13</v>
      </c>
      <c r="X16" t="s">
        <v>6</v>
      </c>
      <c r="Y16" s="1">
        <v>0.5</v>
      </c>
      <c r="Z16" t="s">
        <v>7</v>
      </c>
      <c r="AA16" s="1">
        <v>3.110599E-2</v>
      </c>
      <c r="AB16" t="s">
        <v>8</v>
      </c>
      <c r="AC16" s="1">
        <v>0</v>
      </c>
      <c r="AD16" s="1">
        <v>0.200784051987239</v>
      </c>
      <c r="AG16">
        <v>25202</v>
      </c>
      <c r="AH16" s="1">
        <v>3.125E-2</v>
      </c>
      <c r="AI16" s="1">
        <v>0.39810099999999998</v>
      </c>
      <c r="AJ16" s="1"/>
    </row>
    <row r="17" spans="1:50">
      <c r="A17" t="s">
        <v>4</v>
      </c>
      <c r="B17">
        <v>0</v>
      </c>
      <c r="C17" t="s">
        <v>5</v>
      </c>
      <c r="D17">
        <v>14</v>
      </c>
      <c r="E17" t="s">
        <v>6</v>
      </c>
      <c r="F17" s="1">
        <v>0.5</v>
      </c>
      <c r="G17" t="s">
        <v>7</v>
      </c>
      <c r="H17" s="1">
        <v>0.233871</v>
      </c>
      <c r="I17" t="s">
        <v>8</v>
      </c>
      <c r="J17" s="1">
        <v>0</v>
      </c>
      <c r="K17" s="1">
        <v>0.203355670514489</v>
      </c>
      <c r="T17" t="s">
        <v>4</v>
      </c>
      <c r="U17">
        <v>0</v>
      </c>
      <c r="V17" t="s">
        <v>5</v>
      </c>
      <c r="W17">
        <v>14</v>
      </c>
      <c r="X17" t="s">
        <v>6</v>
      </c>
      <c r="Y17" s="1">
        <v>0.5</v>
      </c>
      <c r="Z17" t="s">
        <v>7</v>
      </c>
      <c r="AA17" s="1">
        <v>3.3410139999999998E-2</v>
      </c>
      <c r="AB17" t="s">
        <v>8</v>
      </c>
      <c r="AC17" s="1">
        <v>0</v>
      </c>
      <c r="AD17" s="1">
        <v>0.20079137466362401</v>
      </c>
      <c r="AG17">
        <v>123346</v>
      </c>
      <c r="AH17" s="1">
        <v>4.6875E-2</v>
      </c>
      <c r="AI17" s="1">
        <v>0.39824500000000002</v>
      </c>
      <c r="AJ17" s="1"/>
    </row>
    <row r="18" spans="1:50">
      <c r="A18" t="s">
        <v>4</v>
      </c>
      <c r="B18">
        <v>0</v>
      </c>
      <c r="C18" t="s">
        <v>5</v>
      </c>
      <c r="D18">
        <v>15</v>
      </c>
      <c r="E18" t="s">
        <v>6</v>
      </c>
      <c r="F18" s="1">
        <v>0.5</v>
      </c>
      <c r="G18" t="s">
        <v>7</v>
      </c>
      <c r="H18" s="1">
        <v>0.25</v>
      </c>
      <c r="I18" t="s">
        <v>8</v>
      </c>
      <c r="J18" s="1">
        <v>0</v>
      </c>
      <c r="K18" s="1">
        <v>0.20370596731729401</v>
      </c>
      <c r="T18" t="s">
        <v>4</v>
      </c>
      <c r="U18">
        <v>0</v>
      </c>
      <c r="V18" t="s">
        <v>5</v>
      </c>
      <c r="W18">
        <v>15</v>
      </c>
      <c r="X18" t="s">
        <v>6</v>
      </c>
      <c r="Y18" s="1">
        <v>0.5</v>
      </c>
      <c r="Z18" t="s">
        <v>7</v>
      </c>
      <c r="AA18" s="1">
        <v>3.5714290000000003E-2</v>
      </c>
      <c r="AB18" t="s">
        <v>8</v>
      </c>
      <c r="AC18" s="1">
        <v>0</v>
      </c>
      <c r="AD18" s="1">
        <v>0.20079945532459301</v>
      </c>
      <c r="AG18">
        <v>25203</v>
      </c>
      <c r="AH18" s="1">
        <v>6.25E-2</v>
      </c>
      <c r="AI18" s="1">
        <v>0.39839000000000002</v>
      </c>
      <c r="AJ18" s="1"/>
    </row>
    <row r="19" spans="1:50">
      <c r="A19" t="s">
        <v>4</v>
      </c>
      <c r="B19">
        <v>0</v>
      </c>
      <c r="C19" t="s">
        <v>5</v>
      </c>
      <c r="D19">
        <v>16</v>
      </c>
      <c r="E19" t="s">
        <v>6</v>
      </c>
      <c r="F19" s="1">
        <v>0.5</v>
      </c>
      <c r="G19" t="s">
        <v>7</v>
      </c>
      <c r="H19" s="1">
        <v>0.266129</v>
      </c>
      <c r="I19" t="s">
        <v>8</v>
      </c>
      <c r="J19" s="1">
        <v>0</v>
      </c>
      <c r="K19" s="1">
        <v>0.204068727665288</v>
      </c>
      <c r="T19" t="s">
        <v>4</v>
      </c>
      <c r="U19">
        <v>0</v>
      </c>
      <c r="V19" t="s">
        <v>5</v>
      </c>
      <c r="W19">
        <v>16</v>
      </c>
      <c r="X19" t="s">
        <v>6</v>
      </c>
      <c r="Y19" s="1">
        <v>0.5</v>
      </c>
      <c r="Z19" t="s">
        <v>7</v>
      </c>
      <c r="AA19" s="1">
        <v>3.8018429999999999E-2</v>
      </c>
      <c r="AB19" t="s">
        <v>8</v>
      </c>
      <c r="AC19" s="1">
        <v>0</v>
      </c>
      <c r="AD19" s="1">
        <v>0.20080796378450799</v>
      </c>
      <c r="AG19">
        <v>123349</v>
      </c>
      <c r="AH19" s="1">
        <v>7.8125E-2</v>
      </c>
      <c r="AI19" s="1">
        <v>0.39862999999999998</v>
      </c>
      <c r="AJ19" s="1"/>
    </row>
    <row r="20" spans="1:50">
      <c r="A20" t="s">
        <v>4</v>
      </c>
      <c r="B20">
        <v>0</v>
      </c>
      <c r="C20" t="s">
        <v>5</v>
      </c>
      <c r="D20">
        <v>17</v>
      </c>
      <c r="E20" t="s">
        <v>6</v>
      </c>
      <c r="F20" s="1">
        <v>0.5</v>
      </c>
      <c r="G20" t="s">
        <v>7</v>
      </c>
      <c r="H20" s="1">
        <v>0.28225810000000001</v>
      </c>
      <c r="I20" t="s">
        <v>8</v>
      </c>
      <c r="J20" s="1">
        <v>0</v>
      </c>
      <c r="K20" s="1">
        <v>0.20443928871519099</v>
      </c>
      <c r="T20" t="s">
        <v>4</v>
      </c>
      <c r="U20">
        <v>0</v>
      </c>
      <c r="V20" t="s">
        <v>5</v>
      </c>
      <c r="W20">
        <v>17</v>
      </c>
      <c r="X20" t="s">
        <v>6</v>
      </c>
      <c r="Y20" s="1">
        <v>0.5</v>
      </c>
      <c r="Z20" t="s">
        <v>7</v>
      </c>
      <c r="AA20" s="1">
        <v>4.0322579999999997E-2</v>
      </c>
      <c r="AB20" t="s">
        <v>8</v>
      </c>
      <c r="AC20" s="1">
        <v>0</v>
      </c>
      <c r="AD20" s="1">
        <v>0.200816900329299</v>
      </c>
      <c r="AG20">
        <v>25204</v>
      </c>
      <c r="AH20" s="1">
        <v>9.375E-2</v>
      </c>
      <c r="AI20" s="1">
        <v>0.39887</v>
      </c>
      <c r="AJ20" s="1"/>
    </row>
    <row r="21" spans="1:50">
      <c r="A21" t="s">
        <v>4</v>
      </c>
      <c r="B21">
        <v>0</v>
      </c>
      <c r="C21" t="s">
        <v>5</v>
      </c>
      <c r="D21">
        <v>18</v>
      </c>
      <c r="E21" t="s">
        <v>6</v>
      </c>
      <c r="F21" s="1">
        <v>0.5</v>
      </c>
      <c r="G21" t="s">
        <v>7</v>
      </c>
      <c r="H21" s="1">
        <v>0.29838710000000002</v>
      </c>
      <c r="I21" t="s">
        <v>8</v>
      </c>
      <c r="J21" s="1">
        <v>0</v>
      </c>
      <c r="K21" s="1">
        <v>0.204811565434252</v>
      </c>
      <c r="T21" t="s">
        <v>4</v>
      </c>
      <c r="U21">
        <v>0</v>
      </c>
      <c r="V21" t="s">
        <v>5</v>
      </c>
      <c r="W21">
        <v>18</v>
      </c>
      <c r="X21" t="s">
        <v>6</v>
      </c>
      <c r="Y21" s="1">
        <v>0.5</v>
      </c>
      <c r="Z21" t="s">
        <v>7</v>
      </c>
      <c r="AA21" s="1">
        <v>4.2626730000000002E-2</v>
      </c>
      <c r="AB21" t="s">
        <v>8</v>
      </c>
      <c r="AC21" s="1">
        <v>0</v>
      </c>
      <c r="AD21" s="1">
        <v>0.20082626526678901</v>
      </c>
      <c r="AG21">
        <v>123352</v>
      </c>
      <c r="AH21" s="1">
        <v>0.109375</v>
      </c>
      <c r="AI21" s="1">
        <v>0.399204</v>
      </c>
      <c r="AJ21" s="1"/>
    </row>
    <row r="22" spans="1:50">
      <c r="A22" t="s">
        <v>4</v>
      </c>
      <c r="B22">
        <v>0</v>
      </c>
      <c r="C22" t="s">
        <v>5</v>
      </c>
      <c r="D22">
        <v>19</v>
      </c>
      <c r="E22" t="s">
        <v>6</v>
      </c>
      <c r="F22" s="1">
        <v>0.5</v>
      </c>
      <c r="G22" t="s">
        <v>7</v>
      </c>
      <c r="H22" s="1">
        <v>0.31451610000000002</v>
      </c>
      <c r="I22" t="s">
        <v>8</v>
      </c>
      <c r="J22" s="1">
        <v>0</v>
      </c>
      <c r="K22" s="1">
        <v>0.205176857847854</v>
      </c>
      <c r="T22" t="s">
        <v>4</v>
      </c>
      <c r="U22">
        <v>0</v>
      </c>
      <c r="V22" t="s">
        <v>5</v>
      </c>
      <c r="W22">
        <v>19</v>
      </c>
      <c r="X22" t="s">
        <v>6</v>
      </c>
      <c r="Y22" s="1">
        <v>0.5</v>
      </c>
      <c r="Z22" t="s">
        <v>7</v>
      </c>
      <c r="AA22" s="1">
        <v>4.4930879999999999E-2</v>
      </c>
      <c r="AB22" t="s">
        <v>8</v>
      </c>
      <c r="AC22" s="1">
        <v>0</v>
      </c>
      <c r="AD22" s="1">
        <v>0.200836058927332</v>
      </c>
      <c r="AG22">
        <v>25205</v>
      </c>
      <c r="AH22" s="1">
        <v>0.125</v>
      </c>
      <c r="AI22" s="1">
        <v>0.39953899999999998</v>
      </c>
      <c r="AJ22" s="1"/>
    </row>
    <row r="23" spans="1:50">
      <c r="A23" t="s">
        <v>4</v>
      </c>
      <c r="B23">
        <v>0</v>
      </c>
      <c r="C23" t="s">
        <v>5</v>
      </c>
      <c r="D23">
        <v>20</v>
      </c>
      <c r="E23" t="s">
        <v>6</v>
      </c>
      <c r="F23" s="1">
        <v>0.5</v>
      </c>
      <c r="G23" t="s">
        <v>7</v>
      </c>
      <c r="H23" s="1">
        <v>0.33064519999999997</v>
      </c>
      <c r="I23" t="s">
        <v>8</v>
      </c>
      <c r="J23" s="1">
        <v>0</v>
      </c>
      <c r="K23" s="1">
        <v>0.20552426345892899</v>
      </c>
      <c r="T23" t="s">
        <v>4</v>
      </c>
      <c r="U23">
        <v>0</v>
      </c>
      <c r="V23" t="s">
        <v>5</v>
      </c>
      <c r="W23">
        <v>20</v>
      </c>
      <c r="X23" t="s">
        <v>6</v>
      </c>
      <c r="Y23" s="1">
        <v>0.5</v>
      </c>
      <c r="Z23" t="s">
        <v>7</v>
      </c>
      <c r="AA23" s="1">
        <v>4.7235020000000003E-2</v>
      </c>
      <c r="AB23" t="s">
        <v>8</v>
      </c>
      <c r="AC23" s="1">
        <v>0</v>
      </c>
      <c r="AD23" s="1">
        <v>0.20084628166344301</v>
      </c>
      <c r="AG23">
        <v>123355</v>
      </c>
      <c r="AH23" s="1">
        <v>0.140625</v>
      </c>
      <c r="AI23" s="1">
        <v>0.39996599999999999</v>
      </c>
      <c r="AJ23" s="1"/>
    </row>
    <row r="24" spans="1:50">
      <c r="A24" t="s">
        <v>4</v>
      </c>
      <c r="B24">
        <v>0</v>
      </c>
      <c r="C24" t="s">
        <v>5</v>
      </c>
      <c r="D24">
        <v>21</v>
      </c>
      <c r="E24" t="s">
        <v>6</v>
      </c>
      <c r="F24" s="1">
        <v>0.5</v>
      </c>
      <c r="G24" t="s">
        <v>7</v>
      </c>
      <c r="H24" s="1">
        <v>0.34677419999999998</v>
      </c>
      <c r="I24" t="s">
        <v>8</v>
      </c>
      <c r="J24" s="1">
        <v>0</v>
      </c>
      <c r="K24" s="1">
        <v>0.20583604876460501</v>
      </c>
      <c r="T24" t="s">
        <v>4</v>
      </c>
      <c r="U24">
        <v>0</v>
      </c>
      <c r="V24" t="s">
        <v>5</v>
      </c>
      <c r="W24">
        <v>21</v>
      </c>
      <c r="X24" t="s">
        <v>6</v>
      </c>
      <c r="Y24" s="1">
        <v>0.5</v>
      </c>
      <c r="Z24" t="s">
        <v>7</v>
      </c>
      <c r="AA24" s="1">
        <v>4.953917E-2</v>
      </c>
      <c r="AB24" t="s">
        <v>8</v>
      </c>
      <c r="AC24" s="1">
        <v>0</v>
      </c>
      <c r="AD24" s="1">
        <v>0.20085726168200799</v>
      </c>
      <c r="AG24">
        <v>25206</v>
      </c>
      <c r="AH24" s="1">
        <v>0.15625</v>
      </c>
      <c r="AI24" s="1">
        <v>0.400393</v>
      </c>
      <c r="AJ24" s="1"/>
    </row>
    <row r="25" spans="1:50">
      <c r="A25" t="s">
        <v>4</v>
      </c>
      <c r="B25">
        <v>0</v>
      </c>
      <c r="C25" t="s">
        <v>5</v>
      </c>
      <c r="D25">
        <v>22</v>
      </c>
      <c r="E25" t="s">
        <v>6</v>
      </c>
      <c r="F25" s="1">
        <v>0.5</v>
      </c>
      <c r="G25" t="s">
        <v>7</v>
      </c>
      <c r="H25" s="1">
        <v>0.36290319999999998</v>
      </c>
      <c r="I25" t="s">
        <v>8</v>
      </c>
      <c r="J25" s="1">
        <v>0</v>
      </c>
      <c r="K25" s="1">
        <v>0.20609303388632699</v>
      </c>
      <c r="T25" t="s">
        <v>4</v>
      </c>
      <c r="U25">
        <v>0</v>
      </c>
      <c r="V25" t="s">
        <v>5</v>
      </c>
      <c r="W25">
        <v>22</v>
      </c>
      <c r="X25" t="s">
        <v>6</v>
      </c>
      <c r="Y25" s="1">
        <v>0.5</v>
      </c>
      <c r="Z25" t="s">
        <v>7</v>
      </c>
      <c r="AA25" s="1">
        <v>5.1843319999999998E-2</v>
      </c>
      <c r="AB25" t="s">
        <v>8</v>
      </c>
      <c r="AC25" s="1">
        <v>0</v>
      </c>
      <c r="AD25" s="1">
        <v>0.200868995693052</v>
      </c>
      <c r="AG25">
        <v>123358</v>
      </c>
      <c r="AH25" s="1">
        <v>0.171875</v>
      </c>
      <c r="AI25" s="1">
        <v>0.40090900000000002</v>
      </c>
      <c r="AJ25" s="1"/>
      <c r="AM25" t="s">
        <v>4</v>
      </c>
      <c r="AN25">
        <v>0</v>
      </c>
      <c r="AO25" t="s">
        <v>5</v>
      </c>
      <c r="AP25">
        <v>0</v>
      </c>
      <c r="AQ25" t="s">
        <v>6</v>
      </c>
      <c r="AR25" s="1">
        <v>1.5625E-2</v>
      </c>
      <c r="AS25" t="s">
        <v>7</v>
      </c>
      <c r="AT25" s="1">
        <v>0.5</v>
      </c>
      <c r="AU25" t="s">
        <v>8</v>
      </c>
      <c r="AV25" s="1">
        <v>0</v>
      </c>
      <c r="AW25" s="1">
        <v>0.19924121802959099</v>
      </c>
      <c r="AX25" s="1">
        <f>2*AW25</f>
        <v>0.39848243605918199</v>
      </c>
    </row>
    <row r="26" spans="1:50">
      <c r="A26" t="s">
        <v>4</v>
      </c>
      <c r="B26">
        <v>0</v>
      </c>
      <c r="C26" t="s">
        <v>5</v>
      </c>
      <c r="D26">
        <v>23</v>
      </c>
      <c r="E26" t="s">
        <v>6</v>
      </c>
      <c r="F26" s="1">
        <v>0.5</v>
      </c>
      <c r="G26" t="s">
        <v>7</v>
      </c>
      <c r="H26" s="1">
        <v>0.37903229999999999</v>
      </c>
      <c r="I26" t="s">
        <v>8</v>
      </c>
      <c r="J26" s="1">
        <v>0</v>
      </c>
      <c r="K26" s="1">
        <v>0.20625310845677999</v>
      </c>
      <c r="T26" t="s">
        <v>4</v>
      </c>
      <c r="U26">
        <v>0</v>
      </c>
      <c r="V26" t="s">
        <v>5</v>
      </c>
      <c r="W26">
        <v>23</v>
      </c>
      <c r="X26" t="s">
        <v>6</v>
      </c>
      <c r="Y26" s="1">
        <v>0.5</v>
      </c>
      <c r="Z26" t="s">
        <v>7</v>
      </c>
      <c r="AA26" s="1">
        <v>5.4147470000000003E-2</v>
      </c>
      <c r="AB26" t="s">
        <v>8</v>
      </c>
      <c r="AC26" s="1">
        <v>0</v>
      </c>
      <c r="AD26" s="1">
        <v>0.20088115470714701</v>
      </c>
      <c r="AG26">
        <v>25207</v>
      </c>
      <c r="AH26" s="1">
        <v>0.1875</v>
      </c>
      <c r="AI26" s="1">
        <v>0.401424</v>
      </c>
      <c r="AJ26" s="1"/>
      <c r="AM26" t="s">
        <v>4</v>
      </c>
      <c r="AN26">
        <v>0</v>
      </c>
      <c r="AO26" t="s">
        <v>5</v>
      </c>
      <c r="AP26">
        <v>1</v>
      </c>
      <c r="AQ26" t="s">
        <v>6</v>
      </c>
      <c r="AR26" s="1">
        <v>4.6875E-2</v>
      </c>
      <c r="AS26" t="s">
        <v>7</v>
      </c>
      <c r="AT26" s="1">
        <v>0.5</v>
      </c>
      <c r="AU26" t="s">
        <v>8</v>
      </c>
      <c r="AV26" s="1">
        <v>0</v>
      </c>
      <c r="AW26" s="1">
        <v>0.19935010076213</v>
      </c>
      <c r="AX26" s="1">
        <f t="shared" ref="AX26:AX40" si="0">2*AW26</f>
        <v>0.39870020152426</v>
      </c>
    </row>
    <row r="27" spans="1:50">
      <c r="A27" t="s">
        <v>4</v>
      </c>
      <c r="B27">
        <v>0</v>
      </c>
      <c r="C27" t="s">
        <v>5</v>
      </c>
      <c r="D27">
        <v>24</v>
      </c>
      <c r="E27" t="s">
        <v>6</v>
      </c>
      <c r="F27" s="1">
        <v>0.5</v>
      </c>
      <c r="G27" t="s">
        <v>7</v>
      </c>
      <c r="H27" s="1">
        <v>0.39516129999999999</v>
      </c>
      <c r="I27" t="s">
        <v>8</v>
      </c>
      <c r="J27" s="1">
        <v>0</v>
      </c>
      <c r="K27" s="1">
        <v>0.206284526126019</v>
      </c>
      <c r="T27" t="s">
        <v>4</v>
      </c>
      <c r="U27">
        <v>0</v>
      </c>
      <c r="V27" t="s">
        <v>5</v>
      </c>
      <c r="W27">
        <v>24</v>
      </c>
      <c r="X27" t="s">
        <v>6</v>
      </c>
      <c r="Y27" s="1">
        <v>0.5</v>
      </c>
      <c r="Z27" t="s">
        <v>7</v>
      </c>
      <c r="AA27" s="1">
        <v>5.6451609999999999E-2</v>
      </c>
      <c r="AB27" t="s">
        <v>8</v>
      </c>
      <c r="AC27" s="1">
        <v>0</v>
      </c>
      <c r="AD27" s="1">
        <v>0.20089373909296901</v>
      </c>
      <c r="AG27">
        <v>123361</v>
      </c>
      <c r="AH27" s="1">
        <v>0.203125</v>
      </c>
      <c r="AI27" s="1">
        <v>0.40202100000000002</v>
      </c>
      <c r="AJ27" s="1"/>
      <c r="AM27" t="s">
        <v>4</v>
      </c>
      <c r="AN27">
        <v>0</v>
      </c>
      <c r="AO27" t="s">
        <v>5</v>
      </c>
      <c r="AP27">
        <v>2</v>
      </c>
      <c r="AQ27" t="s">
        <v>6</v>
      </c>
      <c r="AR27" s="1">
        <v>7.8125E-2</v>
      </c>
      <c r="AS27" t="s">
        <v>7</v>
      </c>
      <c r="AT27" s="1">
        <v>0.5</v>
      </c>
      <c r="AU27" t="s">
        <v>8</v>
      </c>
      <c r="AV27" s="1">
        <v>0</v>
      </c>
      <c r="AW27" s="1">
        <v>0.199565227985044</v>
      </c>
      <c r="AX27" s="1">
        <f t="shared" si="0"/>
        <v>0.39913045597008801</v>
      </c>
    </row>
    <row r="28" spans="1:50">
      <c r="A28" t="s">
        <v>4</v>
      </c>
      <c r="B28">
        <v>0</v>
      </c>
      <c r="C28" t="s">
        <v>5</v>
      </c>
      <c r="D28">
        <v>25</v>
      </c>
      <c r="E28" t="s">
        <v>6</v>
      </c>
      <c r="F28" s="1">
        <v>0.5</v>
      </c>
      <c r="G28" t="s">
        <v>7</v>
      </c>
      <c r="H28" s="1">
        <v>0.4112903</v>
      </c>
      <c r="I28" t="s">
        <v>8</v>
      </c>
      <c r="J28" s="1">
        <v>0</v>
      </c>
      <c r="K28" s="1">
        <v>0.206067291392146</v>
      </c>
      <c r="T28" t="s">
        <v>4</v>
      </c>
      <c r="U28">
        <v>0</v>
      </c>
      <c r="V28" t="s">
        <v>5</v>
      </c>
      <c r="W28">
        <v>25</v>
      </c>
      <c r="X28" t="s">
        <v>6</v>
      </c>
      <c r="Y28" s="1">
        <v>0.5</v>
      </c>
      <c r="Z28" t="s">
        <v>7</v>
      </c>
      <c r="AA28" s="1">
        <v>5.8755759999999997E-2</v>
      </c>
      <c r="AB28" t="s">
        <v>8</v>
      </c>
      <c r="AC28" s="1">
        <v>0</v>
      </c>
      <c r="AD28" s="1">
        <v>0.20090674924214499</v>
      </c>
      <c r="AG28">
        <v>25208</v>
      </c>
      <c r="AH28" s="1">
        <v>0.21875</v>
      </c>
      <c r="AI28" s="1">
        <v>0.40261799999999998</v>
      </c>
      <c r="AJ28" s="1"/>
      <c r="AM28" t="s">
        <v>4</v>
      </c>
      <c r="AN28">
        <v>0</v>
      </c>
      <c r="AO28" t="s">
        <v>5</v>
      </c>
      <c r="AP28">
        <v>3</v>
      </c>
      <c r="AQ28" t="s">
        <v>6</v>
      </c>
      <c r="AR28" s="1">
        <v>0.109375</v>
      </c>
      <c r="AS28" t="s">
        <v>7</v>
      </c>
      <c r="AT28" s="1">
        <v>0.5</v>
      </c>
      <c r="AU28" t="s">
        <v>8</v>
      </c>
      <c r="AV28" s="1">
        <v>0</v>
      </c>
      <c r="AW28" s="1">
        <v>0.199888028394651</v>
      </c>
      <c r="AX28" s="1">
        <f t="shared" si="0"/>
        <v>0.399776056789302</v>
      </c>
    </row>
    <row r="29" spans="1:50">
      <c r="A29" t="s">
        <v>4</v>
      </c>
      <c r="B29">
        <v>0</v>
      </c>
      <c r="C29" t="s">
        <v>5</v>
      </c>
      <c r="D29">
        <v>26</v>
      </c>
      <c r="E29" t="s">
        <v>6</v>
      </c>
      <c r="F29" s="1">
        <v>0.5</v>
      </c>
      <c r="G29" t="s">
        <v>7</v>
      </c>
      <c r="H29" s="1">
        <v>0.4274194</v>
      </c>
      <c r="I29" t="s">
        <v>8</v>
      </c>
      <c r="J29" s="1">
        <v>0</v>
      </c>
      <c r="K29" s="1">
        <v>0.20554749205137901</v>
      </c>
      <c r="T29" t="s">
        <v>4</v>
      </c>
      <c r="U29">
        <v>0</v>
      </c>
      <c r="V29" t="s">
        <v>5</v>
      </c>
      <c r="W29">
        <v>26</v>
      </c>
      <c r="X29" t="s">
        <v>6</v>
      </c>
      <c r="Y29" s="1">
        <v>0.5</v>
      </c>
      <c r="Z29" t="s">
        <v>7</v>
      </c>
      <c r="AA29" s="1">
        <v>6.1059910000000002E-2</v>
      </c>
      <c r="AB29" t="s">
        <v>8</v>
      </c>
      <c r="AC29" s="1">
        <v>0</v>
      </c>
      <c r="AD29" s="1">
        <v>0.20092018556987101</v>
      </c>
      <c r="AG29">
        <v>123364</v>
      </c>
      <c r="AH29" s="1">
        <v>0.234375</v>
      </c>
      <c r="AI29" s="1">
        <v>0.403283</v>
      </c>
      <c r="AJ29" s="1"/>
      <c r="AM29" t="s">
        <v>4</v>
      </c>
      <c r="AN29">
        <v>0</v>
      </c>
      <c r="AO29" t="s">
        <v>5</v>
      </c>
      <c r="AP29">
        <v>4</v>
      </c>
      <c r="AQ29" t="s">
        <v>6</v>
      </c>
      <c r="AR29" s="1">
        <v>0.140625</v>
      </c>
      <c r="AS29" t="s">
        <v>7</v>
      </c>
      <c r="AT29" s="1">
        <v>0.5</v>
      </c>
      <c r="AU29" t="s">
        <v>8</v>
      </c>
      <c r="AV29" s="1">
        <v>0</v>
      </c>
      <c r="AW29" s="1">
        <v>0.20031610574115999</v>
      </c>
      <c r="AX29" s="1">
        <f t="shared" si="0"/>
        <v>0.40063221148231998</v>
      </c>
    </row>
    <row r="30" spans="1:50">
      <c r="A30" t="s">
        <v>4</v>
      </c>
      <c r="B30">
        <v>0</v>
      </c>
      <c r="C30" t="s">
        <v>5</v>
      </c>
      <c r="D30">
        <v>27</v>
      </c>
      <c r="E30" t="s">
        <v>6</v>
      </c>
      <c r="F30" s="1">
        <v>0.5</v>
      </c>
      <c r="G30" t="s">
        <v>7</v>
      </c>
      <c r="H30" s="1">
        <v>0.44354840000000001</v>
      </c>
      <c r="I30" t="s">
        <v>8</v>
      </c>
      <c r="J30" s="1">
        <v>0</v>
      </c>
      <c r="K30" s="1">
        <v>0.204318985913712</v>
      </c>
      <c r="T30" t="s">
        <v>4</v>
      </c>
      <c r="U30">
        <v>0</v>
      </c>
      <c r="V30" t="s">
        <v>5</v>
      </c>
      <c r="W30">
        <v>27</v>
      </c>
      <c r="X30" t="s">
        <v>6</v>
      </c>
      <c r="Y30" s="1">
        <v>0.5</v>
      </c>
      <c r="Z30" t="s">
        <v>7</v>
      </c>
      <c r="AA30" s="1">
        <v>6.336406E-2</v>
      </c>
      <c r="AB30" t="s">
        <v>8</v>
      </c>
      <c r="AC30" s="1">
        <v>0</v>
      </c>
      <c r="AD30" s="1">
        <v>0.200934048514612</v>
      </c>
      <c r="AG30">
        <v>25209</v>
      </c>
      <c r="AH30" s="1">
        <v>0.25</v>
      </c>
      <c r="AI30" s="1">
        <v>0.403949</v>
      </c>
      <c r="AJ30" s="1"/>
      <c r="AM30" t="s">
        <v>4</v>
      </c>
      <c r="AN30">
        <v>0</v>
      </c>
      <c r="AO30" t="s">
        <v>5</v>
      </c>
      <c r="AP30">
        <v>5</v>
      </c>
      <c r="AQ30" t="s">
        <v>6</v>
      </c>
      <c r="AR30" s="1">
        <v>0.171875</v>
      </c>
      <c r="AS30" t="s">
        <v>7</v>
      </c>
      <c r="AT30" s="1">
        <v>0.5</v>
      </c>
      <c r="AU30" t="s">
        <v>8</v>
      </c>
      <c r="AV30" s="1">
        <v>0</v>
      </c>
      <c r="AW30" s="1">
        <v>0.20084873404796699</v>
      </c>
      <c r="AX30" s="1">
        <f t="shared" si="0"/>
        <v>0.40169746809593398</v>
      </c>
    </row>
    <row r="31" spans="1:50">
      <c r="A31" t="s">
        <v>4</v>
      </c>
      <c r="B31">
        <v>0</v>
      </c>
      <c r="C31" t="s">
        <v>5</v>
      </c>
      <c r="D31">
        <v>28</v>
      </c>
      <c r="E31" t="s">
        <v>6</v>
      </c>
      <c r="F31" s="1">
        <v>0.5</v>
      </c>
      <c r="G31" t="s">
        <v>7</v>
      </c>
      <c r="H31" s="1">
        <v>0.45967740000000001</v>
      </c>
      <c r="I31" t="s">
        <v>8</v>
      </c>
      <c r="J31" s="1">
        <v>0</v>
      </c>
      <c r="K31" s="1">
        <v>0.202149578982349</v>
      </c>
      <c r="T31" t="s">
        <v>4</v>
      </c>
      <c r="U31">
        <v>0</v>
      </c>
      <c r="V31" t="s">
        <v>5</v>
      </c>
      <c r="W31">
        <v>28</v>
      </c>
      <c r="X31" t="s">
        <v>6</v>
      </c>
      <c r="Y31" s="1">
        <v>0.5</v>
      </c>
      <c r="Z31" t="s">
        <v>7</v>
      </c>
      <c r="AA31" s="1">
        <v>6.5668199999999996E-2</v>
      </c>
      <c r="AB31" t="s">
        <v>8</v>
      </c>
      <c r="AC31" s="1">
        <v>0</v>
      </c>
      <c r="AD31" s="1">
        <v>0.200948673631896</v>
      </c>
      <c r="AG31">
        <v>123367</v>
      </c>
      <c r="AH31" s="1">
        <v>0.265625</v>
      </c>
      <c r="AI31" s="1">
        <v>0.40465899999999999</v>
      </c>
      <c r="AJ31" s="1"/>
      <c r="AM31" t="s">
        <v>4</v>
      </c>
      <c r="AN31">
        <v>0</v>
      </c>
      <c r="AO31" t="s">
        <v>5</v>
      </c>
      <c r="AP31">
        <v>6</v>
      </c>
      <c r="AQ31" t="s">
        <v>6</v>
      </c>
      <c r="AR31" s="1">
        <v>0.203125</v>
      </c>
      <c r="AS31" t="s">
        <v>7</v>
      </c>
      <c r="AT31" s="1">
        <v>0.5</v>
      </c>
      <c r="AU31" t="s">
        <v>8</v>
      </c>
      <c r="AV31" s="1">
        <v>0</v>
      </c>
      <c r="AW31" s="1">
        <v>0.201476918915691</v>
      </c>
      <c r="AX31" s="1">
        <f t="shared" si="0"/>
        <v>0.402953837831382</v>
      </c>
    </row>
    <row r="32" spans="1:50">
      <c r="A32" t="s">
        <v>4</v>
      </c>
      <c r="B32">
        <v>0</v>
      </c>
      <c r="C32" t="s">
        <v>5</v>
      </c>
      <c r="D32">
        <v>29</v>
      </c>
      <c r="E32" t="s">
        <v>6</v>
      </c>
      <c r="F32" s="1">
        <v>0.5</v>
      </c>
      <c r="G32" t="s">
        <v>7</v>
      </c>
      <c r="H32" s="1">
        <v>0.47580650000000002</v>
      </c>
      <c r="I32" t="s">
        <v>8</v>
      </c>
      <c r="J32" s="1">
        <v>0</v>
      </c>
      <c r="K32" s="1">
        <v>0.19706786945076099</v>
      </c>
      <c r="T32" t="s">
        <v>4</v>
      </c>
      <c r="U32">
        <v>0</v>
      </c>
      <c r="V32" t="s">
        <v>5</v>
      </c>
      <c r="W32">
        <v>29</v>
      </c>
      <c r="X32" t="s">
        <v>6</v>
      </c>
      <c r="Y32" s="1">
        <v>0.5</v>
      </c>
      <c r="Z32" t="s">
        <v>7</v>
      </c>
      <c r="AA32" s="1">
        <v>6.7972350000000001E-2</v>
      </c>
      <c r="AB32" t="s">
        <v>8</v>
      </c>
      <c r="AC32" s="1">
        <v>0</v>
      </c>
      <c r="AD32" s="1">
        <v>0.20096405647752399</v>
      </c>
      <c r="AG32">
        <v>25210</v>
      </c>
      <c r="AH32" s="1">
        <v>0.28125</v>
      </c>
      <c r="AI32" s="1">
        <v>0.40537000000000001</v>
      </c>
      <c r="AJ32" s="1"/>
      <c r="AM32" t="s">
        <v>4</v>
      </c>
      <c r="AN32">
        <v>0</v>
      </c>
      <c r="AO32" t="s">
        <v>5</v>
      </c>
      <c r="AP32">
        <v>7</v>
      </c>
      <c r="AQ32" t="s">
        <v>6</v>
      </c>
      <c r="AR32" s="1">
        <v>0.234375</v>
      </c>
      <c r="AS32" t="s">
        <v>7</v>
      </c>
      <c r="AT32" s="1">
        <v>0.5</v>
      </c>
      <c r="AU32" t="s">
        <v>8</v>
      </c>
      <c r="AV32" s="1">
        <v>0</v>
      </c>
      <c r="AW32" s="1">
        <v>0.20219879774607999</v>
      </c>
      <c r="AX32" s="1">
        <f t="shared" si="0"/>
        <v>0.40439759549215998</v>
      </c>
    </row>
    <row r="33" spans="1:50">
      <c r="A33" t="s">
        <v>4</v>
      </c>
      <c r="B33">
        <v>0</v>
      </c>
      <c r="C33" t="s">
        <v>5</v>
      </c>
      <c r="D33">
        <v>30</v>
      </c>
      <c r="E33" t="s">
        <v>6</v>
      </c>
      <c r="F33" s="1">
        <v>0.5</v>
      </c>
      <c r="G33" t="s">
        <v>7</v>
      </c>
      <c r="H33" s="1">
        <v>0.49193550000000003</v>
      </c>
      <c r="I33" t="s">
        <v>8</v>
      </c>
      <c r="J33" s="1">
        <v>0</v>
      </c>
      <c r="K33" s="1">
        <v>0.182193598833092</v>
      </c>
      <c r="T33" t="s">
        <v>4</v>
      </c>
      <c r="U33">
        <v>0</v>
      </c>
      <c r="V33" t="s">
        <v>5</v>
      </c>
      <c r="W33">
        <v>30</v>
      </c>
      <c r="X33" t="s">
        <v>6</v>
      </c>
      <c r="Y33" s="1">
        <v>0.5</v>
      </c>
      <c r="Z33" t="s">
        <v>7</v>
      </c>
      <c r="AA33" s="1">
        <v>7.0276500000000006E-2</v>
      </c>
      <c r="AB33" t="s">
        <v>8</v>
      </c>
      <c r="AC33" s="1">
        <v>0</v>
      </c>
      <c r="AD33" s="1">
        <v>0.200979860333689</v>
      </c>
      <c r="AG33">
        <v>123370</v>
      </c>
      <c r="AH33" s="1">
        <v>0.296875</v>
      </c>
      <c r="AI33" s="1">
        <v>0.406086</v>
      </c>
      <c r="AJ33" s="1"/>
      <c r="AM33" t="s">
        <v>4</v>
      </c>
      <c r="AN33">
        <v>0</v>
      </c>
      <c r="AO33" t="s">
        <v>5</v>
      </c>
      <c r="AP33">
        <v>8</v>
      </c>
      <c r="AQ33" t="s">
        <v>6</v>
      </c>
      <c r="AR33" s="1">
        <v>0.265625</v>
      </c>
      <c r="AS33" t="s">
        <v>7</v>
      </c>
      <c r="AT33" s="1">
        <v>0.5</v>
      </c>
      <c r="AU33" t="s">
        <v>8</v>
      </c>
      <c r="AV33" s="1">
        <v>0</v>
      </c>
      <c r="AW33" s="1">
        <v>0.20298024407579501</v>
      </c>
      <c r="AX33" s="1">
        <f t="shared" si="0"/>
        <v>0.40596048815159003</v>
      </c>
    </row>
    <row r="34" spans="1:50">
      <c r="F34" s="1"/>
      <c r="H34" s="1"/>
      <c r="J34" s="1"/>
      <c r="K34" s="1"/>
      <c r="T34" t="s">
        <v>4</v>
      </c>
      <c r="U34">
        <v>0</v>
      </c>
      <c r="V34" t="s">
        <v>5</v>
      </c>
      <c r="W34">
        <v>31</v>
      </c>
      <c r="X34" t="s">
        <v>6</v>
      </c>
      <c r="Y34" s="1">
        <v>0.5</v>
      </c>
      <c r="Z34" t="s">
        <v>7</v>
      </c>
      <c r="AA34" s="1">
        <v>7.2580649999999997E-2</v>
      </c>
      <c r="AB34" t="s">
        <v>8</v>
      </c>
      <c r="AC34" s="1">
        <v>0</v>
      </c>
      <c r="AD34" s="1">
        <v>0.20099608560368701</v>
      </c>
      <c r="AG34">
        <v>25211</v>
      </c>
      <c r="AH34" s="1">
        <v>0.3125</v>
      </c>
      <c r="AI34" s="1">
        <v>0.406802</v>
      </c>
      <c r="AJ34" s="1"/>
      <c r="AM34" t="s">
        <v>4</v>
      </c>
      <c r="AN34">
        <v>0</v>
      </c>
      <c r="AO34" t="s">
        <v>5</v>
      </c>
      <c r="AP34">
        <v>9</v>
      </c>
      <c r="AQ34" t="s">
        <v>6</v>
      </c>
      <c r="AR34" s="1">
        <v>0.296875</v>
      </c>
      <c r="AS34" t="s">
        <v>7</v>
      </c>
      <c r="AT34" s="1">
        <v>0.5</v>
      </c>
      <c r="AU34" t="s">
        <v>8</v>
      </c>
      <c r="AV34" s="1">
        <v>0</v>
      </c>
      <c r="AW34" s="1">
        <v>0.20382137056115401</v>
      </c>
      <c r="AX34" s="1">
        <f t="shared" si="0"/>
        <v>0.40764274112230803</v>
      </c>
    </row>
    <row r="35" spans="1:50">
      <c r="F35" s="1"/>
      <c r="H35" s="1"/>
      <c r="J35" s="1"/>
      <c r="K35" s="1"/>
      <c r="T35" t="s">
        <v>4</v>
      </c>
      <c r="U35">
        <v>0</v>
      </c>
      <c r="V35" t="s">
        <v>5</v>
      </c>
      <c r="W35">
        <v>32</v>
      </c>
      <c r="X35" t="s">
        <v>6</v>
      </c>
      <c r="Y35" s="1">
        <v>0.5</v>
      </c>
      <c r="Z35" t="s">
        <v>7</v>
      </c>
      <c r="AA35" s="1">
        <v>7.4884790000000007E-2</v>
      </c>
      <c r="AB35" t="s">
        <v>8</v>
      </c>
      <c r="AC35" s="1">
        <v>0</v>
      </c>
      <c r="AD35" s="1">
        <v>0.20101273271527201</v>
      </c>
      <c r="AG35">
        <v>123373</v>
      </c>
      <c r="AH35" s="1">
        <v>0.328125</v>
      </c>
      <c r="AI35" s="1">
        <v>0.407447</v>
      </c>
      <c r="AJ35" s="1"/>
      <c r="AM35" t="s">
        <v>4</v>
      </c>
      <c r="AN35">
        <v>0</v>
      </c>
      <c r="AO35" t="s">
        <v>5</v>
      </c>
      <c r="AP35">
        <v>10</v>
      </c>
      <c r="AQ35" t="s">
        <v>6</v>
      </c>
      <c r="AR35" s="1">
        <v>0.328125</v>
      </c>
      <c r="AS35" t="s">
        <v>7</v>
      </c>
      <c r="AT35" s="1">
        <v>0.5</v>
      </c>
      <c r="AU35" t="s">
        <v>8</v>
      </c>
      <c r="AV35" s="1">
        <v>0</v>
      </c>
      <c r="AW35" s="1">
        <v>0.20460027233766001</v>
      </c>
      <c r="AX35" s="1">
        <f t="shared" si="0"/>
        <v>0.40920054467532002</v>
      </c>
    </row>
    <row r="36" spans="1:50">
      <c r="F36" s="1"/>
      <c r="H36" s="1"/>
      <c r="J36" s="1"/>
      <c r="K36" s="1"/>
      <c r="T36" t="s">
        <v>4</v>
      </c>
      <c r="U36">
        <v>0</v>
      </c>
      <c r="V36" t="s">
        <v>5</v>
      </c>
      <c r="W36">
        <v>33</v>
      </c>
      <c r="X36" t="s">
        <v>6</v>
      </c>
      <c r="Y36" s="1">
        <v>0.5</v>
      </c>
      <c r="Z36" t="s">
        <v>7</v>
      </c>
      <c r="AA36" s="1">
        <v>7.7188939999999998E-2</v>
      </c>
      <c r="AB36" t="s">
        <v>8</v>
      </c>
      <c r="AC36" s="1">
        <v>0</v>
      </c>
      <c r="AD36" s="1">
        <v>0.20102980212114199</v>
      </c>
      <c r="AG36">
        <v>25212</v>
      </c>
      <c r="AH36" s="1">
        <v>0.34375</v>
      </c>
      <c r="AI36" s="1">
        <v>0.40809200000000001</v>
      </c>
      <c r="AJ36" s="1"/>
      <c r="AM36" t="s">
        <v>4</v>
      </c>
      <c r="AN36">
        <v>0</v>
      </c>
      <c r="AO36" t="s">
        <v>5</v>
      </c>
      <c r="AP36">
        <v>11</v>
      </c>
      <c r="AQ36" t="s">
        <v>6</v>
      </c>
      <c r="AR36" s="1">
        <v>0.359375</v>
      </c>
      <c r="AS36" t="s">
        <v>7</v>
      </c>
      <c r="AT36" s="1">
        <v>0.5</v>
      </c>
      <c r="AU36" t="s">
        <v>8</v>
      </c>
      <c r="AV36" s="1">
        <v>0</v>
      </c>
      <c r="AW36" s="1">
        <v>0.20531920313049701</v>
      </c>
      <c r="AX36" s="1">
        <f t="shared" si="0"/>
        <v>0.41063840626099402</v>
      </c>
    </row>
    <row r="37" spans="1:50">
      <c r="F37" s="1"/>
      <c r="H37" s="1"/>
      <c r="J37" s="1"/>
      <c r="K37" s="1"/>
      <c r="T37" t="s">
        <v>4</v>
      </c>
      <c r="U37">
        <v>0</v>
      </c>
      <c r="V37" t="s">
        <v>5</v>
      </c>
      <c r="W37">
        <v>34</v>
      </c>
      <c r="X37" t="s">
        <v>6</v>
      </c>
      <c r="Y37" s="1">
        <v>0.5</v>
      </c>
      <c r="Z37" t="s">
        <v>7</v>
      </c>
      <c r="AA37" s="1">
        <v>7.9493090000000002E-2</v>
      </c>
      <c r="AB37" t="s">
        <v>8</v>
      </c>
      <c r="AC37" s="1">
        <v>0</v>
      </c>
      <c r="AD37" s="1">
        <v>0.20104729429865101</v>
      </c>
      <c r="AG37">
        <v>123376</v>
      </c>
      <c r="AH37" s="1">
        <v>0.359375</v>
      </c>
      <c r="AI37" s="1">
        <v>0.40852899999999998</v>
      </c>
      <c r="AJ37" s="1"/>
      <c r="AM37" t="s">
        <v>4</v>
      </c>
      <c r="AN37">
        <v>0</v>
      </c>
      <c r="AO37" t="s">
        <v>5</v>
      </c>
      <c r="AP37">
        <v>12</v>
      </c>
      <c r="AQ37" t="s">
        <v>6</v>
      </c>
      <c r="AR37" s="1">
        <v>0.390625</v>
      </c>
      <c r="AS37" t="s">
        <v>7</v>
      </c>
      <c r="AT37" s="1">
        <v>0.5</v>
      </c>
      <c r="AU37" t="s">
        <v>8</v>
      </c>
      <c r="AV37" s="1">
        <v>0</v>
      </c>
      <c r="AW37" s="1">
        <v>0.205545516650808</v>
      </c>
      <c r="AX37" s="1">
        <f t="shared" si="0"/>
        <v>0.411091033301616</v>
      </c>
    </row>
    <row r="38" spans="1:50">
      <c r="F38" s="1"/>
      <c r="H38" s="1"/>
      <c r="J38" s="1"/>
      <c r="K38" s="1"/>
      <c r="T38" t="s">
        <v>4</v>
      </c>
      <c r="U38">
        <v>0</v>
      </c>
      <c r="V38" t="s">
        <v>5</v>
      </c>
      <c r="W38">
        <v>35</v>
      </c>
      <c r="X38" t="s">
        <v>6</v>
      </c>
      <c r="Y38" s="1">
        <v>0.5</v>
      </c>
      <c r="Z38" t="s">
        <v>7</v>
      </c>
      <c r="AA38" s="1">
        <v>8.1797239999999993E-2</v>
      </c>
      <c r="AB38" t="s">
        <v>8</v>
      </c>
      <c r="AC38" s="1">
        <v>0</v>
      </c>
      <c r="AD38" s="1">
        <v>0.20106555116176</v>
      </c>
      <c r="AG38">
        <v>25213</v>
      </c>
      <c r="AH38" s="1">
        <v>0.375</v>
      </c>
      <c r="AI38" s="1">
        <v>0.40896700000000002</v>
      </c>
      <c r="AJ38" s="1"/>
      <c r="AM38" t="s">
        <v>4</v>
      </c>
      <c r="AN38">
        <v>0</v>
      </c>
      <c r="AO38" t="s">
        <v>5</v>
      </c>
      <c r="AP38">
        <v>13</v>
      </c>
      <c r="AQ38" t="s">
        <v>6</v>
      </c>
      <c r="AR38" s="1">
        <v>0.421875</v>
      </c>
      <c r="AS38" t="s">
        <v>7</v>
      </c>
      <c r="AT38" s="1">
        <v>0.5</v>
      </c>
      <c r="AU38" t="s">
        <v>8</v>
      </c>
      <c r="AV38" s="1">
        <v>0</v>
      </c>
      <c r="AW38" s="1">
        <v>0.20507170656276</v>
      </c>
      <c r="AX38" s="1">
        <f t="shared" si="0"/>
        <v>0.41014341312552</v>
      </c>
    </row>
    <row r="39" spans="1:50">
      <c r="F39" s="1"/>
      <c r="H39" s="1"/>
      <c r="J39" s="1"/>
      <c r="K39" s="1"/>
      <c r="T39" t="s">
        <v>4</v>
      </c>
      <c r="U39">
        <v>0</v>
      </c>
      <c r="V39" t="s">
        <v>5</v>
      </c>
      <c r="W39">
        <v>36</v>
      </c>
      <c r="X39" t="s">
        <v>6</v>
      </c>
      <c r="Y39" s="1">
        <v>0.5</v>
      </c>
      <c r="Z39" t="s">
        <v>7</v>
      </c>
      <c r="AA39" s="1">
        <v>8.4101380000000003E-2</v>
      </c>
      <c r="AB39" t="s">
        <v>8</v>
      </c>
      <c r="AC39" s="1">
        <v>0</v>
      </c>
      <c r="AD39" s="1">
        <v>0.20108456711359801</v>
      </c>
      <c r="AG39">
        <v>123379</v>
      </c>
      <c r="AH39" s="1">
        <v>0.390625</v>
      </c>
      <c r="AI39" s="1">
        <v>0.40883399999999998</v>
      </c>
      <c r="AJ39" s="1"/>
      <c r="AM39" t="s">
        <v>4</v>
      </c>
      <c r="AN39">
        <v>0</v>
      </c>
      <c r="AO39" t="s">
        <v>5</v>
      </c>
      <c r="AP39">
        <v>14</v>
      </c>
      <c r="AQ39" t="s">
        <v>6</v>
      </c>
      <c r="AR39" s="1">
        <v>0.453125</v>
      </c>
      <c r="AS39" t="s">
        <v>7</v>
      </c>
      <c r="AT39" s="1">
        <v>0.5</v>
      </c>
      <c r="AU39" t="s">
        <v>8</v>
      </c>
      <c r="AV39" s="1">
        <v>0</v>
      </c>
      <c r="AW39" s="1">
        <v>0.20176992564437399</v>
      </c>
      <c r="AX39" s="1">
        <f t="shared" si="0"/>
        <v>0.40353985128874797</v>
      </c>
    </row>
    <row r="40" spans="1:50">
      <c r="F40" s="1"/>
      <c r="H40" s="1"/>
      <c r="J40" s="1"/>
      <c r="K40" s="1"/>
      <c r="T40" t="s">
        <v>4</v>
      </c>
      <c r="U40">
        <v>0</v>
      </c>
      <c r="V40" t="s">
        <v>5</v>
      </c>
      <c r="W40">
        <v>37</v>
      </c>
      <c r="X40" t="s">
        <v>6</v>
      </c>
      <c r="Y40" s="1">
        <v>0.5</v>
      </c>
      <c r="Z40" t="s">
        <v>7</v>
      </c>
      <c r="AA40" s="1">
        <v>8.6405529999999994E-2</v>
      </c>
      <c r="AB40" t="s">
        <v>8</v>
      </c>
      <c r="AC40" s="1">
        <v>0</v>
      </c>
      <c r="AD40" s="1">
        <v>0.201103998611211</v>
      </c>
      <c r="AG40">
        <v>25214</v>
      </c>
      <c r="AH40" s="1">
        <v>0.40625</v>
      </c>
      <c r="AI40" s="1">
        <v>0.40870000000000001</v>
      </c>
      <c r="AJ40" s="1"/>
      <c r="AM40" t="s">
        <v>4</v>
      </c>
      <c r="AN40">
        <v>0</v>
      </c>
      <c r="AO40" t="s">
        <v>5</v>
      </c>
      <c r="AP40">
        <v>15</v>
      </c>
      <c r="AQ40" t="s">
        <v>6</v>
      </c>
      <c r="AR40" s="1">
        <v>0.484375</v>
      </c>
      <c r="AS40" t="s">
        <v>7</v>
      </c>
      <c r="AT40" s="1">
        <v>0.5</v>
      </c>
      <c r="AU40" t="s">
        <v>8</v>
      </c>
      <c r="AV40" s="1">
        <v>0</v>
      </c>
      <c r="AW40" s="1">
        <v>0.188507699260613</v>
      </c>
      <c r="AX40" s="1">
        <f t="shared" si="0"/>
        <v>0.37701539852122601</v>
      </c>
    </row>
    <row r="41" spans="1:50">
      <c r="F41" s="1"/>
      <c r="H41" s="1"/>
      <c r="J41" s="1"/>
      <c r="K41" s="1"/>
      <c r="T41" t="s">
        <v>4</v>
      </c>
      <c r="U41">
        <v>0</v>
      </c>
      <c r="V41" t="s">
        <v>5</v>
      </c>
      <c r="W41">
        <v>38</v>
      </c>
      <c r="X41" t="s">
        <v>6</v>
      </c>
      <c r="Y41" s="1">
        <v>0.5</v>
      </c>
      <c r="Z41" t="s">
        <v>7</v>
      </c>
      <c r="AA41" s="1">
        <v>8.8709679999999999E-2</v>
      </c>
      <c r="AB41" t="s">
        <v>8</v>
      </c>
      <c r="AC41" s="1">
        <v>0</v>
      </c>
      <c r="AD41" s="1">
        <v>0.201123846028884</v>
      </c>
      <c r="AG41">
        <v>123382</v>
      </c>
      <c r="AH41" s="1">
        <v>0.421875</v>
      </c>
      <c r="AI41" s="1">
        <v>0.40736499999999998</v>
      </c>
      <c r="AJ41" s="1"/>
    </row>
    <row r="42" spans="1:50">
      <c r="F42" s="1"/>
      <c r="H42" s="1"/>
      <c r="J42" s="1"/>
      <c r="K42" s="1"/>
      <c r="T42" t="s">
        <v>4</v>
      </c>
      <c r="U42">
        <v>0</v>
      </c>
      <c r="V42" t="s">
        <v>5</v>
      </c>
      <c r="W42">
        <v>39</v>
      </c>
      <c r="X42" t="s">
        <v>6</v>
      </c>
      <c r="Y42" s="1">
        <v>0.5</v>
      </c>
      <c r="Z42" t="s">
        <v>7</v>
      </c>
      <c r="AA42" s="1">
        <v>9.1013819999999995E-2</v>
      </c>
      <c r="AB42" t="s">
        <v>8</v>
      </c>
      <c r="AC42" s="1">
        <v>0</v>
      </c>
      <c r="AD42" s="1">
        <v>0.20114410976736699</v>
      </c>
      <c r="AG42">
        <v>25215</v>
      </c>
      <c r="AH42" s="1">
        <v>0.4375</v>
      </c>
      <c r="AI42" s="1">
        <v>0.40603</v>
      </c>
      <c r="AJ42" s="1"/>
    </row>
    <row r="43" spans="1:50">
      <c r="F43" s="1"/>
      <c r="H43" s="1"/>
      <c r="J43" s="1"/>
      <c r="K43" s="1"/>
      <c r="T43" t="s">
        <v>4</v>
      </c>
      <c r="U43">
        <v>0</v>
      </c>
      <c r="V43" t="s">
        <v>5</v>
      </c>
      <c r="W43">
        <v>40</v>
      </c>
      <c r="X43" t="s">
        <v>6</v>
      </c>
      <c r="Y43" s="1">
        <v>0.5</v>
      </c>
      <c r="Z43" t="s">
        <v>7</v>
      </c>
      <c r="AA43" s="1">
        <v>9.331797E-2</v>
      </c>
      <c r="AB43" t="s">
        <v>8</v>
      </c>
      <c r="AC43" s="1">
        <v>0</v>
      </c>
      <c r="AD43" s="1">
        <v>0.20116479025408701</v>
      </c>
      <c r="AG43">
        <v>123385</v>
      </c>
      <c r="AH43" s="1">
        <v>0.453125</v>
      </c>
      <c r="AI43" s="1">
        <v>0.39985700000000002</v>
      </c>
      <c r="AJ43" s="1"/>
    </row>
    <row r="44" spans="1:50">
      <c r="F44" s="1"/>
      <c r="H44" s="1"/>
      <c r="J44" s="1"/>
      <c r="K44" s="1"/>
      <c r="T44" t="s">
        <v>4</v>
      </c>
      <c r="U44">
        <v>0</v>
      </c>
      <c r="V44" t="s">
        <v>5</v>
      </c>
      <c r="W44">
        <v>41</v>
      </c>
      <c r="X44" t="s">
        <v>6</v>
      </c>
      <c r="Y44" s="1">
        <v>0.5</v>
      </c>
      <c r="Z44" t="s">
        <v>7</v>
      </c>
      <c r="AA44" s="1">
        <v>9.5622120000000005E-2</v>
      </c>
      <c r="AB44" t="s">
        <v>8</v>
      </c>
      <c r="AC44" s="1">
        <v>0</v>
      </c>
      <c r="AD44" s="1">
        <v>0.201185887943026</v>
      </c>
      <c r="AG44">
        <v>25216</v>
      </c>
      <c r="AH44" s="1">
        <v>0.46875</v>
      </c>
      <c r="AI44" s="1">
        <v>0.39368500000000001</v>
      </c>
      <c r="AJ44" s="1"/>
    </row>
    <row r="45" spans="1:50">
      <c r="F45" s="1"/>
      <c r="H45" s="1"/>
      <c r="J45" s="1"/>
      <c r="K45" s="1"/>
      <c r="T45" t="s">
        <v>4</v>
      </c>
      <c r="U45">
        <v>0</v>
      </c>
      <c r="V45" t="s">
        <v>5</v>
      </c>
      <c r="W45">
        <v>42</v>
      </c>
      <c r="X45" t="s">
        <v>6</v>
      </c>
      <c r="Y45" s="1">
        <v>0.5</v>
      </c>
      <c r="Z45" t="s">
        <v>7</v>
      </c>
      <c r="AA45" s="1">
        <v>9.7926269999999996E-2</v>
      </c>
      <c r="AB45" t="s">
        <v>8</v>
      </c>
      <c r="AC45" s="1">
        <v>0</v>
      </c>
      <c r="AD45" s="1">
        <v>0.20120775467079699</v>
      </c>
      <c r="AG45">
        <v>123388</v>
      </c>
      <c r="AH45" s="1">
        <v>0.484375</v>
      </c>
      <c r="AI45" s="1">
        <v>0.376971</v>
      </c>
      <c r="AJ45" s="1"/>
    </row>
    <row r="46" spans="1:50">
      <c r="F46" s="1"/>
      <c r="H46" s="1"/>
      <c r="J46" s="1"/>
      <c r="K46" s="1"/>
      <c r="T46" t="s">
        <v>4</v>
      </c>
      <c r="U46">
        <v>0</v>
      </c>
      <c r="V46" t="s">
        <v>5</v>
      </c>
      <c r="W46">
        <v>43</v>
      </c>
      <c r="X46" t="s">
        <v>6</v>
      </c>
      <c r="Y46" s="1">
        <v>0.5</v>
      </c>
      <c r="Z46" t="s">
        <v>7</v>
      </c>
      <c r="AA46" s="1">
        <v>0.1002304</v>
      </c>
      <c r="AB46" t="s">
        <v>8</v>
      </c>
      <c r="AC46" s="1">
        <v>0</v>
      </c>
      <c r="AD46" s="1">
        <v>0.20123038361479001</v>
      </c>
      <c r="AG46">
        <v>25217</v>
      </c>
      <c r="AH46" s="1">
        <v>0.5</v>
      </c>
      <c r="AI46" s="1">
        <v>0.36025699999999999</v>
      </c>
      <c r="AJ46" s="1"/>
    </row>
    <row r="47" spans="1:50">
      <c r="F47" s="1"/>
      <c r="H47" s="1"/>
      <c r="J47" s="1"/>
      <c r="K47" s="1"/>
      <c r="T47" t="s">
        <v>4</v>
      </c>
      <c r="U47">
        <v>0</v>
      </c>
      <c r="V47" t="s">
        <v>5</v>
      </c>
      <c r="W47">
        <v>44</v>
      </c>
      <c r="X47" t="s">
        <v>6</v>
      </c>
      <c r="Y47" s="1">
        <v>0.5</v>
      </c>
      <c r="Z47" t="s">
        <v>7</v>
      </c>
      <c r="AA47" s="1">
        <v>0.1025346</v>
      </c>
      <c r="AB47" t="s">
        <v>8</v>
      </c>
      <c r="AC47" s="1">
        <v>0</v>
      </c>
      <c r="AD47" s="1">
        <v>0.201253420690505</v>
      </c>
      <c r="AH47" s="1"/>
      <c r="AI47" s="1"/>
    </row>
    <row r="48" spans="1:50">
      <c r="F48" s="1"/>
      <c r="H48" s="1"/>
      <c r="J48" s="1"/>
      <c r="K48" s="1"/>
      <c r="T48" t="s">
        <v>4</v>
      </c>
      <c r="U48">
        <v>0</v>
      </c>
      <c r="V48" t="s">
        <v>5</v>
      </c>
      <c r="W48">
        <v>45</v>
      </c>
      <c r="X48" t="s">
        <v>6</v>
      </c>
      <c r="Y48" s="1">
        <v>0.5</v>
      </c>
      <c r="Z48" t="s">
        <v>7</v>
      </c>
      <c r="AA48" s="1">
        <v>0.10483870000000001</v>
      </c>
      <c r="AB48" t="s">
        <v>8</v>
      </c>
      <c r="AC48" s="1">
        <v>0</v>
      </c>
      <c r="AD48" s="1">
        <v>0.201276866152758</v>
      </c>
      <c r="AH48" s="1"/>
      <c r="AI48" s="1"/>
    </row>
    <row r="49" spans="6:35">
      <c r="F49" s="1"/>
      <c r="H49" s="1"/>
      <c r="J49" s="1"/>
      <c r="K49" s="1"/>
      <c r="T49" t="s">
        <v>4</v>
      </c>
      <c r="U49">
        <v>0</v>
      </c>
      <c r="V49" t="s">
        <v>5</v>
      </c>
      <c r="W49">
        <v>46</v>
      </c>
      <c r="X49" t="s">
        <v>6</v>
      </c>
      <c r="Y49" s="1">
        <v>0.5</v>
      </c>
      <c r="Z49" t="s">
        <v>7</v>
      </c>
      <c r="AA49" s="1">
        <v>0.1071429</v>
      </c>
      <c r="AB49" t="s">
        <v>8</v>
      </c>
      <c r="AC49" s="1">
        <v>0</v>
      </c>
      <c r="AD49" s="1">
        <v>0.201300720284951</v>
      </c>
      <c r="AH49" s="1"/>
      <c r="AI49" s="1"/>
    </row>
    <row r="50" spans="6:35">
      <c r="F50" s="1"/>
      <c r="H50" s="1"/>
      <c r="J50" s="1"/>
      <c r="K50" s="1"/>
      <c r="T50" t="s">
        <v>4</v>
      </c>
      <c r="U50">
        <v>0</v>
      </c>
      <c r="V50" t="s">
        <v>5</v>
      </c>
      <c r="W50">
        <v>47</v>
      </c>
      <c r="X50" t="s">
        <v>6</v>
      </c>
      <c r="Y50" s="1">
        <v>0.5</v>
      </c>
      <c r="Z50" t="s">
        <v>7</v>
      </c>
      <c r="AA50" s="1">
        <v>0.109447</v>
      </c>
      <c r="AB50" t="s">
        <v>8</v>
      </c>
      <c r="AC50" s="1">
        <v>0</v>
      </c>
      <c r="AD50" s="1">
        <v>0.20132498339937199</v>
      </c>
      <c r="AH50" s="1"/>
      <c r="AI50" s="1"/>
    </row>
    <row r="51" spans="6:35">
      <c r="F51" s="1"/>
      <c r="H51" s="1"/>
      <c r="J51" s="1"/>
      <c r="K51" s="1"/>
      <c r="T51" t="s">
        <v>4</v>
      </c>
      <c r="U51">
        <v>0</v>
      </c>
      <c r="V51" t="s">
        <v>5</v>
      </c>
      <c r="W51">
        <v>48</v>
      </c>
      <c r="X51" t="s">
        <v>6</v>
      </c>
      <c r="Y51" s="1">
        <v>0.5</v>
      </c>
      <c r="Z51" t="s">
        <v>7</v>
      </c>
      <c r="AA51" s="1">
        <v>0.11175119999999999</v>
      </c>
      <c r="AB51" t="s">
        <v>8</v>
      </c>
      <c r="AC51" s="1">
        <v>0</v>
      </c>
      <c r="AD51" s="1">
        <v>0.20134965583718401</v>
      </c>
      <c r="AH51" s="1"/>
      <c r="AI51" s="1"/>
    </row>
    <row r="52" spans="6:35">
      <c r="F52" s="1"/>
      <c r="H52" s="1"/>
      <c r="J52" s="1"/>
      <c r="K52" s="1"/>
      <c r="T52" t="s">
        <v>4</v>
      </c>
      <c r="U52">
        <v>0</v>
      </c>
      <c r="V52" t="s">
        <v>5</v>
      </c>
      <c r="W52">
        <v>49</v>
      </c>
      <c r="X52" t="s">
        <v>6</v>
      </c>
      <c r="Y52" s="1">
        <v>0.5</v>
      </c>
      <c r="Z52" t="s">
        <v>7</v>
      </c>
      <c r="AA52" s="1">
        <v>0.1140553</v>
      </c>
      <c r="AB52" t="s">
        <v>8</v>
      </c>
      <c r="AC52" s="1">
        <v>0</v>
      </c>
      <c r="AD52" s="1">
        <v>0.201375101646215</v>
      </c>
      <c r="AH52" s="1"/>
      <c r="AI52" s="1"/>
    </row>
    <row r="53" spans="6:35">
      <c r="F53" s="1"/>
      <c r="H53" s="1"/>
      <c r="J53" s="1"/>
      <c r="K53" s="1"/>
      <c r="T53" t="s">
        <v>4</v>
      </c>
      <c r="U53">
        <v>0</v>
      </c>
      <c r="V53" t="s">
        <v>5</v>
      </c>
      <c r="W53">
        <v>50</v>
      </c>
      <c r="X53" t="s">
        <v>6</v>
      </c>
      <c r="Y53" s="1">
        <v>0.5</v>
      </c>
      <c r="Z53" t="s">
        <v>7</v>
      </c>
      <c r="AA53" s="1">
        <v>0.1163594</v>
      </c>
      <c r="AB53" t="s">
        <v>8</v>
      </c>
      <c r="AC53" s="1">
        <v>0</v>
      </c>
      <c r="AD53" s="1">
        <v>0.20140131276461401</v>
      </c>
      <c r="AH53" s="1"/>
      <c r="AI53" s="1"/>
    </row>
    <row r="54" spans="6:35">
      <c r="F54" s="1"/>
      <c r="H54" s="1"/>
      <c r="J54" s="1"/>
      <c r="K54" s="1"/>
      <c r="T54" t="s">
        <v>4</v>
      </c>
      <c r="U54">
        <v>0</v>
      </c>
      <c r="V54" t="s">
        <v>5</v>
      </c>
      <c r="W54">
        <v>51</v>
      </c>
      <c r="X54" t="s">
        <v>6</v>
      </c>
      <c r="Y54" s="1">
        <v>0.5</v>
      </c>
      <c r="Z54" t="s">
        <v>7</v>
      </c>
      <c r="AA54" s="1">
        <v>0.11866359999999999</v>
      </c>
      <c r="AB54" t="s">
        <v>8</v>
      </c>
      <c r="AC54" s="1">
        <v>0</v>
      </c>
      <c r="AD54" s="1">
        <v>0.201427922116201</v>
      </c>
      <c r="AH54" s="1"/>
      <c r="AI54" s="1"/>
    </row>
    <row r="55" spans="6:35">
      <c r="F55" s="1"/>
      <c r="H55" s="1"/>
      <c r="J55" s="1"/>
      <c r="K55" s="1"/>
      <c r="T55" t="s">
        <v>4</v>
      </c>
      <c r="U55">
        <v>0</v>
      </c>
      <c r="V55" t="s">
        <v>5</v>
      </c>
      <c r="W55">
        <v>52</v>
      </c>
      <c r="X55" t="s">
        <v>6</v>
      </c>
      <c r="Y55" s="1">
        <v>0.5</v>
      </c>
      <c r="Z55" t="s">
        <v>7</v>
      </c>
      <c r="AA55" s="1">
        <v>0.1209677</v>
      </c>
      <c r="AB55" t="s">
        <v>8</v>
      </c>
      <c r="AC55" s="1">
        <v>0</v>
      </c>
      <c r="AD55" s="1">
        <v>0.20145492972866599</v>
      </c>
      <c r="AH55" s="1"/>
      <c r="AI55" s="1"/>
    </row>
    <row r="56" spans="6:35">
      <c r="F56" s="1"/>
      <c r="H56" s="1"/>
      <c r="J56" s="1"/>
      <c r="K56" s="1"/>
      <c r="T56" t="s">
        <v>4</v>
      </c>
      <c r="U56">
        <v>0</v>
      </c>
      <c r="V56" t="s">
        <v>5</v>
      </c>
      <c r="W56">
        <v>53</v>
      </c>
      <c r="X56" t="s">
        <v>6</v>
      </c>
      <c r="Y56" s="1">
        <v>0.5</v>
      </c>
      <c r="Z56" t="s">
        <v>7</v>
      </c>
      <c r="AA56" s="1">
        <v>0.1232719</v>
      </c>
      <c r="AB56" t="s">
        <v>8</v>
      </c>
      <c r="AC56" s="1">
        <v>0</v>
      </c>
      <c r="AD56" s="1">
        <v>0.20148233566076701</v>
      </c>
      <c r="AH56" s="1"/>
      <c r="AI56" s="1"/>
    </row>
    <row r="57" spans="6:35">
      <c r="F57" s="1"/>
      <c r="H57" s="1"/>
      <c r="J57" s="1"/>
      <c r="K57" s="1"/>
      <c r="T57" t="s">
        <v>4</v>
      </c>
      <c r="U57">
        <v>0</v>
      </c>
      <c r="V57" t="s">
        <v>5</v>
      </c>
      <c r="W57">
        <v>54</v>
      </c>
      <c r="X57" t="s">
        <v>6</v>
      </c>
      <c r="Y57" s="1">
        <v>0.5</v>
      </c>
      <c r="Z57" t="s">
        <v>7</v>
      </c>
      <c r="AA57" s="1">
        <v>0.12557599999999999</v>
      </c>
      <c r="AB57" t="s">
        <v>8</v>
      </c>
      <c r="AC57" s="1">
        <v>0</v>
      </c>
      <c r="AD57" s="1">
        <v>0.20151014000314799</v>
      </c>
      <c r="AH57" s="1"/>
      <c r="AI57" s="1"/>
    </row>
    <row r="58" spans="6:35">
      <c r="F58" s="1"/>
      <c r="H58" s="1"/>
      <c r="J58" s="1"/>
      <c r="K58" s="1"/>
      <c r="T58" t="s">
        <v>4</v>
      </c>
      <c r="U58">
        <v>0</v>
      </c>
      <c r="V58" t="s">
        <v>5</v>
      </c>
      <c r="W58">
        <v>55</v>
      </c>
      <c r="X58" t="s">
        <v>6</v>
      </c>
      <c r="Y58" s="1">
        <v>0.5</v>
      </c>
      <c r="Z58" t="s">
        <v>7</v>
      </c>
      <c r="AA58" s="1">
        <v>0.1278802</v>
      </c>
      <c r="AB58" t="s">
        <v>8</v>
      </c>
      <c r="AC58" s="1">
        <v>0</v>
      </c>
      <c r="AD58" s="1">
        <v>0.20153834287776201</v>
      </c>
      <c r="AH58" s="1"/>
      <c r="AI58" s="1"/>
    </row>
    <row r="59" spans="6:35">
      <c r="F59" s="1"/>
      <c r="H59" s="1"/>
      <c r="J59" s="1"/>
      <c r="K59" s="1"/>
      <c r="T59" t="s">
        <v>4</v>
      </c>
      <c r="U59">
        <v>0</v>
      </c>
      <c r="V59" t="s">
        <v>5</v>
      </c>
      <c r="W59">
        <v>56</v>
      </c>
      <c r="X59" t="s">
        <v>6</v>
      </c>
      <c r="Y59" s="1">
        <v>0.5</v>
      </c>
      <c r="Z59" t="s">
        <v>7</v>
      </c>
      <c r="AA59" s="1">
        <v>0.1301843</v>
      </c>
      <c r="AB59" t="s">
        <v>8</v>
      </c>
      <c r="AC59" s="1">
        <v>0</v>
      </c>
      <c r="AD59" s="1">
        <v>0.201567324165566</v>
      </c>
      <c r="AH59" s="1"/>
      <c r="AI59" s="1"/>
    </row>
    <row r="60" spans="6:35">
      <c r="F60" s="1"/>
      <c r="H60" s="1"/>
      <c r="J60" s="1"/>
      <c r="K60" s="1"/>
      <c r="T60" t="s">
        <v>4</v>
      </c>
      <c r="U60">
        <v>0</v>
      </c>
      <c r="V60" t="s">
        <v>5</v>
      </c>
      <c r="W60">
        <v>57</v>
      </c>
      <c r="X60" t="s">
        <v>6</v>
      </c>
      <c r="Y60" s="1">
        <v>0.5</v>
      </c>
      <c r="Z60" t="s">
        <v>7</v>
      </c>
      <c r="AA60" s="1">
        <v>0.13248850000000001</v>
      </c>
      <c r="AB60" t="s">
        <v>8</v>
      </c>
      <c r="AC60" s="1">
        <v>0</v>
      </c>
      <c r="AD60" s="1">
        <v>0.201597074414605</v>
      </c>
      <c r="AH60" s="1"/>
      <c r="AI60" s="1"/>
    </row>
    <row r="61" spans="6:35">
      <c r="F61" s="1"/>
      <c r="H61" s="1"/>
      <c r="J61" s="1"/>
      <c r="K61" s="1"/>
      <c r="T61" t="s">
        <v>4</v>
      </c>
      <c r="U61">
        <v>0</v>
      </c>
      <c r="V61" t="s">
        <v>5</v>
      </c>
      <c r="W61">
        <v>58</v>
      </c>
      <c r="X61" t="s">
        <v>6</v>
      </c>
      <c r="Y61" s="1">
        <v>0.5</v>
      </c>
      <c r="Z61" t="s">
        <v>7</v>
      </c>
      <c r="AA61" s="1">
        <v>0.13479260000000001</v>
      </c>
      <c r="AB61" t="s">
        <v>8</v>
      </c>
      <c r="AC61" s="1">
        <v>0</v>
      </c>
      <c r="AD61" s="1">
        <v>0.20162720965946501</v>
      </c>
      <c r="AH61" s="1"/>
      <c r="AI61" s="1"/>
    </row>
    <row r="62" spans="6:35">
      <c r="F62" s="1"/>
      <c r="H62" s="1"/>
      <c r="J62" s="1"/>
      <c r="K62" s="1"/>
      <c r="T62" t="s">
        <v>4</v>
      </c>
      <c r="U62">
        <v>0</v>
      </c>
      <c r="V62" t="s">
        <v>5</v>
      </c>
      <c r="W62">
        <v>59</v>
      </c>
      <c r="X62" t="s">
        <v>6</v>
      </c>
      <c r="Y62" s="1">
        <v>0.5</v>
      </c>
      <c r="Z62" t="s">
        <v>7</v>
      </c>
      <c r="AA62" s="1">
        <v>0.13709679999999999</v>
      </c>
      <c r="AB62" t="s">
        <v>8</v>
      </c>
      <c r="AC62" s="1">
        <v>0</v>
      </c>
      <c r="AD62" s="1">
        <v>0.20165772953802</v>
      </c>
      <c r="AH62" s="1"/>
      <c r="AI62" s="1"/>
    </row>
    <row r="63" spans="6:35">
      <c r="F63" s="1"/>
      <c r="H63" s="1"/>
      <c r="J63" s="1"/>
      <c r="K63" s="1"/>
      <c r="T63" t="s">
        <v>4</v>
      </c>
      <c r="U63">
        <v>0</v>
      </c>
      <c r="V63" t="s">
        <v>5</v>
      </c>
      <c r="W63">
        <v>60</v>
      </c>
      <c r="X63" t="s">
        <v>6</v>
      </c>
      <c r="Y63" s="1">
        <v>0.5</v>
      </c>
      <c r="Z63" t="s">
        <v>7</v>
      </c>
      <c r="AA63" s="1">
        <v>0.13940089999999999</v>
      </c>
      <c r="AB63" t="s">
        <v>8</v>
      </c>
      <c r="AC63" s="1">
        <v>0</v>
      </c>
      <c r="AD63" s="1">
        <v>0.20168863372249701</v>
      </c>
      <c r="AH63" s="1"/>
      <c r="AI63" s="1"/>
    </row>
    <row r="64" spans="6:35">
      <c r="F64" s="1"/>
      <c r="H64" s="1"/>
      <c r="J64" s="1"/>
      <c r="K64" s="1"/>
      <c r="T64" t="s">
        <v>4</v>
      </c>
      <c r="U64">
        <v>0</v>
      </c>
      <c r="V64" t="s">
        <v>5</v>
      </c>
      <c r="W64">
        <v>61</v>
      </c>
      <c r="X64" t="s">
        <v>6</v>
      </c>
      <c r="Y64" s="1">
        <v>0.5</v>
      </c>
      <c r="Z64" t="s">
        <v>7</v>
      </c>
      <c r="AA64" s="1">
        <v>0.1417051</v>
      </c>
      <c r="AB64" t="s">
        <v>8</v>
      </c>
      <c r="AC64" s="1">
        <v>0</v>
      </c>
      <c r="AD64" s="1">
        <v>0.201719921919912</v>
      </c>
      <c r="AH64" s="1"/>
      <c r="AI64" s="1"/>
    </row>
    <row r="65" spans="20:35">
      <c r="T65" t="s">
        <v>4</v>
      </c>
      <c r="U65">
        <v>0</v>
      </c>
      <c r="V65" t="s">
        <v>5</v>
      </c>
      <c r="W65">
        <v>62</v>
      </c>
      <c r="X65" t="s">
        <v>6</v>
      </c>
      <c r="Y65" s="1">
        <v>0.5</v>
      </c>
      <c r="Z65" t="s">
        <v>7</v>
      </c>
      <c r="AA65" s="1">
        <v>0.1440092</v>
      </c>
      <c r="AB65" t="s">
        <v>8</v>
      </c>
      <c r="AC65" s="1">
        <v>0</v>
      </c>
      <c r="AD65" s="1">
        <v>0.201751593872008</v>
      </c>
      <c r="AH65" s="1"/>
      <c r="AI65" s="1"/>
    </row>
    <row r="66" spans="20:35">
      <c r="T66" t="s">
        <v>4</v>
      </c>
      <c r="U66">
        <v>0</v>
      </c>
      <c r="V66" t="s">
        <v>5</v>
      </c>
      <c r="W66">
        <v>63</v>
      </c>
      <c r="X66" t="s">
        <v>6</v>
      </c>
      <c r="Y66" s="1">
        <v>0.5</v>
      </c>
      <c r="Z66" t="s">
        <v>7</v>
      </c>
      <c r="AA66" s="1">
        <v>0.14631340000000001</v>
      </c>
      <c r="AB66" t="s">
        <v>8</v>
      </c>
      <c r="AC66" s="1">
        <v>0</v>
      </c>
      <c r="AD66" s="1">
        <v>0.201784049621793</v>
      </c>
      <c r="AH66" s="1"/>
      <c r="AI66" s="1"/>
    </row>
    <row r="67" spans="20:35">
      <c r="T67" t="s">
        <v>4</v>
      </c>
      <c r="U67">
        <v>0</v>
      </c>
      <c r="V67" t="s">
        <v>5</v>
      </c>
      <c r="W67">
        <v>64</v>
      </c>
      <c r="X67" t="s">
        <v>6</v>
      </c>
      <c r="Y67" s="1">
        <v>0.5</v>
      </c>
      <c r="Z67" t="s">
        <v>7</v>
      </c>
      <c r="AA67" s="1">
        <v>0.14861750000000001</v>
      </c>
      <c r="AB67" t="s">
        <v>8</v>
      </c>
      <c r="AC67" s="1">
        <v>0</v>
      </c>
      <c r="AD67" s="1">
        <v>0.201817278370863</v>
      </c>
      <c r="AH67" s="1"/>
      <c r="AI67" s="1"/>
    </row>
    <row r="68" spans="20:35">
      <c r="T68" t="s">
        <v>4</v>
      </c>
      <c r="U68">
        <v>0</v>
      </c>
      <c r="V68" t="s">
        <v>5</v>
      </c>
      <c r="W68">
        <v>65</v>
      </c>
      <c r="X68" t="s">
        <v>6</v>
      </c>
      <c r="Y68" s="1">
        <v>0.5</v>
      </c>
      <c r="Z68" t="s">
        <v>7</v>
      </c>
      <c r="AA68" s="1">
        <v>0.15092169999999999</v>
      </c>
      <c r="AB68" t="s">
        <v>8</v>
      </c>
      <c r="AC68" s="1">
        <v>0</v>
      </c>
      <c r="AD68" s="1">
        <v>0.20185087469341501</v>
      </c>
      <c r="AH68" s="1"/>
      <c r="AI68" s="1"/>
    </row>
    <row r="69" spans="20:35">
      <c r="T69" t="s">
        <v>4</v>
      </c>
      <c r="U69">
        <v>0</v>
      </c>
      <c r="V69" t="s">
        <v>5</v>
      </c>
      <c r="W69">
        <v>66</v>
      </c>
      <c r="X69" t="s">
        <v>6</v>
      </c>
      <c r="Y69" s="1">
        <v>0.5</v>
      </c>
      <c r="Z69" t="s">
        <v>7</v>
      </c>
      <c r="AA69" s="1">
        <v>0.1532258</v>
      </c>
      <c r="AB69" t="s">
        <v>8</v>
      </c>
      <c r="AC69" s="1">
        <v>0</v>
      </c>
      <c r="AD69" s="1">
        <v>0.201884837671365</v>
      </c>
      <c r="AH69" s="1"/>
      <c r="AI69" s="1"/>
    </row>
    <row r="70" spans="20:35">
      <c r="T70" t="s">
        <v>4</v>
      </c>
      <c r="U70">
        <v>0</v>
      </c>
      <c r="V70" t="s">
        <v>5</v>
      </c>
      <c r="W70">
        <v>67</v>
      </c>
      <c r="X70" t="s">
        <v>6</v>
      </c>
      <c r="Y70" s="1">
        <v>0.5</v>
      </c>
      <c r="Z70" t="s">
        <v>7</v>
      </c>
      <c r="AA70" s="1">
        <v>0.15553</v>
      </c>
      <c r="AB70" t="s">
        <v>8</v>
      </c>
      <c r="AC70" s="1">
        <v>0</v>
      </c>
      <c r="AD70" s="1">
        <v>0.20191916642458499</v>
      </c>
      <c r="AH70" s="1"/>
      <c r="AI70" s="1"/>
    </row>
    <row r="71" spans="20:35">
      <c r="T71" t="s">
        <v>4</v>
      </c>
      <c r="U71">
        <v>0</v>
      </c>
      <c r="V71" t="s">
        <v>5</v>
      </c>
      <c r="W71">
        <v>68</v>
      </c>
      <c r="X71" t="s">
        <v>6</v>
      </c>
      <c r="Y71" s="1">
        <v>0.5</v>
      </c>
      <c r="Z71" t="s">
        <v>7</v>
      </c>
      <c r="AA71" s="1">
        <v>0.1578341</v>
      </c>
      <c r="AB71" t="s">
        <v>8</v>
      </c>
      <c r="AC71" s="1">
        <v>0</v>
      </c>
      <c r="AD71" s="1">
        <v>0.201953860111589</v>
      </c>
      <c r="AH71" s="1"/>
      <c r="AI71" s="1"/>
    </row>
    <row r="72" spans="20:35">
      <c r="T72" t="s">
        <v>4</v>
      </c>
      <c r="U72">
        <v>0</v>
      </c>
      <c r="V72" t="s">
        <v>5</v>
      </c>
      <c r="W72">
        <v>69</v>
      </c>
      <c r="X72" t="s">
        <v>6</v>
      </c>
      <c r="Y72" s="1">
        <v>0.5</v>
      </c>
      <c r="Z72" t="s">
        <v>7</v>
      </c>
      <c r="AA72" s="1">
        <v>0.16013820000000001</v>
      </c>
      <c r="AB72" t="s">
        <v>8</v>
      </c>
      <c r="AC72" s="1">
        <v>0</v>
      </c>
      <c r="AD72" s="1">
        <v>0.20198891792918799</v>
      </c>
      <c r="AH72" s="1"/>
      <c r="AI72" s="1"/>
    </row>
    <row r="73" spans="20:35">
      <c r="T73" t="s">
        <v>4</v>
      </c>
      <c r="U73">
        <v>0</v>
      </c>
      <c r="V73" t="s">
        <v>5</v>
      </c>
      <c r="W73">
        <v>70</v>
      </c>
      <c r="X73" t="s">
        <v>6</v>
      </c>
      <c r="Y73" s="1">
        <v>0.5</v>
      </c>
      <c r="Z73" t="s">
        <v>7</v>
      </c>
      <c r="AA73" s="1">
        <v>0.16244239999999999</v>
      </c>
      <c r="AB73" t="s">
        <v>8</v>
      </c>
      <c r="AC73" s="1">
        <v>0</v>
      </c>
      <c r="AD73" s="1">
        <v>0.20202476521464599</v>
      </c>
      <c r="AH73" s="1"/>
      <c r="AI73" s="1"/>
    </row>
    <row r="74" spans="20:35">
      <c r="T74" t="s">
        <v>4</v>
      </c>
      <c r="U74">
        <v>0</v>
      </c>
      <c r="V74" t="s">
        <v>5</v>
      </c>
      <c r="W74">
        <v>71</v>
      </c>
      <c r="X74" t="s">
        <v>6</v>
      </c>
      <c r="Y74" s="1">
        <v>0.5</v>
      </c>
      <c r="Z74" t="s">
        <v>7</v>
      </c>
      <c r="AA74" s="1">
        <v>0.16474649999999999</v>
      </c>
      <c r="AB74" t="s">
        <v>8</v>
      </c>
      <c r="AC74" s="1">
        <v>0</v>
      </c>
      <c r="AD74" s="1">
        <v>0.20206138942714499</v>
      </c>
      <c r="AH74" s="1"/>
      <c r="AI74" s="1"/>
    </row>
    <row r="75" spans="20:35">
      <c r="T75" t="s">
        <v>4</v>
      </c>
      <c r="U75">
        <v>0</v>
      </c>
      <c r="V75" t="s">
        <v>5</v>
      </c>
      <c r="W75">
        <v>72</v>
      </c>
      <c r="X75" t="s">
        <v>6</v>
      </c>
      <c r="Y75" s="1">
        <v>0.5</v>
      </c>
      <c r="Z75" t="s">
        <v>7</v>
      </c>
      <c r="AA75" s="1">
        <v>0.1670507</v>
      </c>
      <c r="AB75" t="s">
        <v>8</v>
      </c>
      <c r="AC75" s="1">
        <v>0</v>
      </c>
      <c r="AD75" s="1">
        <v>0.20209835801522699</v>
      </c>
      <c r="AH75" s="1"/>
      <c r="AI75" s="1"/>
    </row>
    <row r="76" spans="20:35">
      <c r="T76" t="s">
        <v>4</v>
      </c>
      <c r="U76">
        <v>0</v>
      </c>
      <c r="V76" t="s">
        <v>5</v>
      </c>
      <c r="W76">
        <v>73</v>
      </c>
      <c r="X76" t="s">
        <v>6</v>
      </c>
      <c r="Y76" s="1">
        <v>0.5</v>
      </c>
      <c r="Z76" t="s">
        <v>7</v>
      </c>
      <c r="AA76" s="1">
        <v>0.1693548</v>
      </c>
      <c r="AB76" t="s">
        <v>8</v>
      </c>
      <c r="AC76" s="1">
        <v>0</v>
      </c>
      <c r="AD76" s="1">
        <v>0.20213566920364701</v>
      </c>
      <c r="AH76" s="1"/>
      <c r="AI76" s="1"/>
    </row>
    <row r="77" spans="20:35">
      <c r="T77" t="s">
        <v>4</v>
      </c>
      <c r="U77">
        <v>0</v>
      </c>
      <c r="V77" t="s">
        <v>5</v>
      </c>
      <c r="W77">
        <v>74</v>
      </c>
      <c r="X77" t="s">
        <v>6</v>
      </c>
      <c r="Y77" s="1">
        <v>0.5</v>
      </c>
      <c r="Z77" t="s">
        <v>7</v>
      </c>
      <c r="AA77" s="1">
        <v>0.17165900000000001</v>
      </c>
      <c r="AB77" t="s">
        <v>8</v>
      </c>
      <c r="AC77" s="1">
        <v>0</v>
      </c>
      <c r="AD77" s="1">
        <v>0.202173321259281</v>
      </c>
      <c r="AH77" s="1"/>
      <c r="AI77" s="1"/>
    </row>
    <row r="78" spans="20:35">
      <c r="T78" t="s">
        <v>4</v>
      </c>
      <c r="U78">
        <v>0</v>
      </c>
      <c r="V78" t="s">
        <v>5</v>
      </c>
      <c r="W78">
        <v>75</v>
      </c>
      <c r="X78" t="s">
        <v>6</v>
      </c>
      <c r="Y78" s="1">
        <v>0.5</v>
      </c>
      <c r="Z78" t="s">
        <v>7</v>
      </c>
      <c r="AA78" s="1">
        <v>0.17396310000000001</v>
      </c>
      <c r="AB78" t="s">
        <v>8</v>
      </c>
      <c r="AC78" s="1">
        <v>0</v>
      </c>
      <c r="AD78" s="1">
        <v>0.20221131249202601</v>
      </c>
      <c r="AH78" s="1"/>
      <c r="AI78" s="1"/>
    </row>
    <row r="79" spans="20:35">
      <c r="T79" t="s">
        <v>4</v>
      </c>
      <c r="U79">
        <v>0</v>
      </c>
      <c r="V79" t="s">
        <v>5</v>
      </c>
      <c r="W79">
        <v>76</v>
      </c>
      <c r="X79" t="s">
        <v>6</v>
      </c>
      <c r="Y79" s="1">
        <v>0.5</v>
      </c>
      <c r="Z79" t="s">
        <v>7</v>
      </c>
      <c r="AA79" s="1">
        <v>0.17626729999999999</v>
      </c>
      <c r="AB79" t="s">
        <v>8</v>
      </c>
      <c r="AC79" s="1">
        <v>0</v>
      </c>
      <c r="AD79" s="1">
        <v>0.20224964125407799</v>
      </c>
      <c r="AH79" s="1"/>
      <c r="AI79" s="1"/>
    </row>
    <row r="80" spans="20:35">
      <c r="T80" t="s">
        <v>4</v>
      </c>
      <c r="U80">
        <v>0</v>
      </c>
      <c r="V80" t="s">
        <v>5</v>
      </c>
      <c r="W80">
        <v>77</v>
      </c>
      <c r="X80" t="s">
        <v>6</v>
      </c>
      <c r="Y80" s="1">
        <v>0.5</v>
      </c>
      <c r="Z80" t="s">
        <v>7</v>
      </c>
      <c r="AA80" s="1">
        <v>0.17857139999999999</v>
      </c>
      <c r="AB80" t="s">
        <v>8</v>
      </c>
      <c r="AC80" s="1">
        <v>0</v>
      </c>
      <c r="AD80" s="1">
        <v>0.20228876567213</v>
      </c>
      <c r="AH80" s="1"/>
      <c r="AI80" s="1"/>
    </row>
    <row r="81" spans="20:35">
      <c r="T81" t="s">
        <v>4</v>
      </c>
      <c r="U81">
        <v>0</v>
      </c>
      <c r="V81" t="s">
        <v>5</v>
      </c>
      <c r="W81">
        <v>78</v>
      </c>
      <c r="X81" t="s">
        <v>6</v>
      </c>
      <c r="Y81" s="1">
        <v>0.5</v>
      </c>
      <c r="Z81" t="s">
        <v>7</v>
      </c>
      <c r="AA81" s="1">
        <v>0.1808756</v>
      </c>
      <c r="AB81" t="s">
        <v>8</v>
      </c>
      <c r="AC81" s="1">
        <v>0</v>
      </c>
      <c r="AD81" s="1">
        <v>0.20232867175382299</v>
      </c>
      <c r="AH81" s="1"/>
      <c r="AI81" s="1"/>
    </row>
    <row r="82" spans="20:35">
      <c r="T82" t="s">
        <v>4</v>
      </c>
      <c r="U82">
        <v>0</v>
      </c>
      <c r="V82" t="s">
        <v>5</v>
      </c>
      <c r="W82">
        <v>79</v>
      </c>
      <c r="X82" t="s">
        <v>6</v>
      </c>
      <c r="Y82" s="1">
        <v>0.5</v>
      </c>
      <c r="Z82" t="s">
        <v>7</v>
      </c>
      <c r="AA82" s="1">
        <v>0.1831797</v>
      </c>
      <c r="AB82" t="s">
        <v>8</v>
      </c>
      <c r="AC82" s="1">
        <v>0</v>
      </c>
      <c r="AD82" s="1">
        <v>0.20236889202997599</v>
      </c>
      <c r="AH82" s="1"/>
      <c r="AI82" s="1"/>
    </row>
    <row r="83" spans="20:35">
      <c r="T83" t="s">
        <v>4</v>
      </c>
      <c r="U83">
        <v>0</v>
      </c>
      <c r="V83" t="s">
        <v>5</v>
      </c>
      <c r="W83">
        <v>80</v>
      </c>
      <c r="X83" t="s">
        <v>6</v>
      </c>
      <c r="Y83" s="1">
        <v>0.5</v>
      </c>
      <c r="Z83" t="s">
        <v>7</v>
      </c>
      <c r="AA83" s="1">
        <v>0.18548390000000001</v>
      </c>
      <c r="AB83" t="s">
        <v>8</v>
      </c>
      <c r="AC83" s="1">
        <v>0</v>
      </c>
      <c r="AD83" s="1">
        <v>0.20240942364280201</v>
      </c>
      <c r="AH83" s="1"/>
      <c r="AI83" s="1"/>
    </row>
    <row r="84" spans="20:35">
      <c r="T84" t="s">
        <v>4</v>
      </c>
      <c r="U84">
        <v>0</v>
      </c>
      <c r="V84" t="s">
        <v>5</v>
      </c>
      <c r="W84">
        <v>81</v>
      </c>
      <c r="X84" t="s">
        <v>6</v>
      </c>
      <c r="Y84" s="1">
        <v>0.5</v>
      </c>
      <c r="Z84" t="s">
        <v>7</v>
      </c>
      <c r="AA84" s="1">
        <v>0.18778800000000001</v>
      </c>
      <c r="AB84" t="s">
        <v>8</v>
      </c>
      <c r="AC84" s="1">
        <v>0</v>
      </c>
      <c r="AD84" s="1">
        <v>0.20245026378185599</v>
      </c>
      <c r="AH84" s="1"/>
      <c r="AI84" s="1"/>
    </row>
    <row r="85" spans="20:35">
      <c r="T85" t="s">
        <v>4</v>
      </c>
      <c r="U85">
        <v>0</v>
      </c>
      <c r="V85" t="s">
        <v>5</v>
      </c>
      <c r="W85">
        <v>82</v>
      </c>
      <c r="X85" t="s">
        <v>6</v>
      </c>
      <c r="Y85" s="1">
        <v>0.5</v>
      </c>
      <c r="Z85" t="s">
        <v>7</v>
      </c>
      <c r="AA85" s="1">
        <v>0.19009219999999999</v>
      </c>
      <c r="AB85" t="s">
        <v>8</v>
      </c>
      <c r="AC85" s="1">
        <v>0</v>
      </c>
      <c r="AD85" s="1">
        <v>0.202491409684183</v>
      </c>
      <c r="AH85" s="1"/>
      <c r="AI85" s="1"/>
    </row>
    <row r="86" spans="20:35">
      <c r="T86" t="s">
        <v>4</v>
      </c>
      <c r="U86">
        <v>0</v>
      </c>
      <c r="V86" t="s">
        <v>5</v>
      </c>
      <c r="W86">
        <v>83</v>
      </c>
      <c r="X86" t="s">
        <v>6</v>
      </c>
      <c r="Y86" s="1">
        <v>0.5</v>
      </c>
      <c r="Z86" t="s">
        <v>7</v>
      </c>
      <c r="AA86" s="1">
        <v>0.19239629999999999</v>
      </c>
      <c r="AB86" t="s">
        <v>8</v>
      </c>
      <c r="AC86" s="1">
        <v>0</v>
      </c>
      <c r="AD86" s="1">
        <v>0.20253285863458101</v>
      </c>
      <c r="AH86" s="1"/>
      <c r="AI86" s="1"/>
    </row>
    <row r="87" spans="20:35">
      <c r="T87" t="s">
        <v>4</v>
      </c>
      <c r="U87">
        <v>0</v>
      </c>
      <c r="V87" t="s">
        <v>5</v>
      </c>
      <c r="W87">
        <v>84</v>
      </c>
      <c r="X87" t="s">
        <v>6</v>
      </c>
      <c r="Y87" s="1">
        <v>0.5</v>
      </c>
      <c r="Z87" t="s">
        <v>7</v>
      </c>
      <c r="AA87" s="1">
        <v>0.1947005</v>
      </c>
      <c r="AB87" t="s">
        <v>8</v>
      </c>
      <c r="AC87" s="1">
        <v>0</v>
      </c>
      <c r="AD87" s="1">
        <v>0.20257510879872501</v>
      </c>
      <c r="AH87" s="1"/>
      <c r="AI87" s="1"/>
    </row>
    <row r="88" spans="20:35">
      <c r="T88" t="s">
        <v>4</v>
      </c>
      <c r="U88">
        <v>0</v>
      </c>
      <c r="V88" t="s">
        <v>5</v>
      </c>
      <c r="W88">
        <v>85</v>
      </c>
      <c r="X88" t="s">
        <v>6</v>
      </c>
      <c r="Y88" s="1">
        <v>0.5</v>
      </c>
      <c r="Z88" t="s">
        <v>7</v>
      </c>
      <c r="AA88" s="1">
        <v>0.1970046</v>
      </c>
      <c r="AB88" t="s">
        <v>8</v>
      </c>
      <c r="AC88" s="1">
        <v>0</v>
      </c>
      <c r="AD88" s="1">
        <v>0.20261814365801201</v>
      </c>
      <c r="AH88" s="1"/>
      <c r="AI88" s="1"/>
    </row>
    <row r="89" spans="20:35">
      <c r="T89" t="s">
        <v>4</v>
      </c>
      <c r="U89">
        <v>0</v>
      </c>
      <c r="V89" t="s">
        <v>5</v>
      </c>
      <c r="W89">
        <v>86</v>
      </c>
      <c r="X89" t="s">
        <v>6</v>
      </c>
      <c r="Y89" s="1">
        <v>0.5</v>
      </c>
      <c r="Z89" t="s">
        <v>7</v>
      </c>
      <c r="AA89" s="1">
        <v>0.19930880000000001</v>
      </c>
      <c r="AB89" t="s">
        <v>8</v>
      </c>
      <c r="AC89" s="1">
        <v>0</v>
      </c>
      <c r="AD89" s="1">
        <v>0.20266145247762901</v>
      </c>
      <c r="AH89" s="1"/>
      <c r="AI89" s="1"/>
    </row>
    <row r="90" spans="20:35">
      <c r="T90" t="s">
        <v>4</v>
      </c>
      <c r="U90">
        <v>0</v>
      </c>
      <c r="V90" t="s">
        <v>5</v>
      </c>
      <c r="W90">
        <v>87</v>
      </c>
      <c r="X90" t="s">
        <v>6</v>
      </c>
      <c r="Y90" s="1">
        <v>0.5</v>
      </c>
      <c r="Z90" t="s">
        <v>7</v>
      </c>
      <c r="AA90" s="1">
        <v>0.20161290000000001</v>
      </c>
      <c r="AB90" t="s">
        <v>8</v>
      </c>
      <c r="AC90" s="1">
        <v>0</v>
      </c>
      <c r="AD90" s="1">
        <v>0.20270503071516499</v>
      </c>
      <c r="AH90" s="1"/>
      <c r="AI90" s="1"/>
    </row>
    <row r="91" spans="20:35">
      <c r="T91" t="s">
        <v>4</v>
      </c>
      <c r="U91">
        <v>0</v>
      </c>
      <c r="V91" t="s">
        <v>5</v>
      </c>
      <c r="W91">
        <v>88</v>
      </c>
      <c r="X91" t="s">
        <v>6</v>
      </c>
      <c r="Y91" s="1">
        <v>0.5</v>
      </c>
      <c r="Z91" t="s">
        <v>7</v>
      </c>
      <c r="AA91" s="1">
        <v>0.20391709999999999</v>
      </c>
      <c r="AB91" t="s">
        <v>8</v>
      </c>
      <c r="AC91" s="1">
        <v>0</v>
      </c>
      <c r="AD91" s="1">
        <v>0.20274887388104401</v>
      </c>
      <c r="AH91" s="1"/>
      <c r="AI91" s="1"/>
    </row>
    <row r="92" spans="20:35">
      <c r="T92" t="s">
        <v>4</v>
      </c>
      <c r="U92">
        <v>0</v>
      </c>
      <c r="V92" t="s">
        <v>5</v>
      </c>
      <c r="W92">
        <v>89</v>
      </c>
      <c r="X92" t="s">
        <v>6</v>
      </c>
      <c r="Y92" s="1">
        <v>0.5</v>
      </c>
      <c r="Z92" t="s">
        <v>7</v>
      </c>
      <c r="AA92" s="1">
        <v>0.20622119999999999</v>
      </c>
      <c r="AB92" t="s">
        <v>8</v>
      </c>
      <c r="AC92" s="1">
        <v>0</v>
      </c>
      <c r="AD92" s="1">
        <v>0.20279297753897199</v>
      </c>
      <c r="AH92" s="1"/>
      <c r="AI92" s="1"/>
    </row>
    <row r="93" spans="20:35">
      <c r="T93" t="s">
        <v>4</v>
      </c>
      <c r="U93">
        <v>0</v>
      </c>
      <c r="V93" t="s">
        <v>5</v>
      </c>
      <c r="W93">
        <v>90</v>
      </c>
      <c r="X93" t="s">
        <v>6</v>
      </c>
      <c r="Y93" s="1">
        <v>0.5</v>
      </c>
      <c r="Z93" t="s">
        <v>7</v>
      </c>
      <c r="AA93" s="1">
        <v>0.2085253</v>
      </c>
      <c r="AB93" t="s">
        <v>8</v>
      </c>
      <c r="AC93" s="1">
        <v>0</v>
      </c>
      <c r="AD93" s="1">
        <v>0.20283733730594</v>
      </c>
      <c r="AH93" s="1"/>
      <c r="AI93" s="1"/>
    </row>
    <row r="94" spans="20:35">
      <c r="T94" t="s">
        <v>4</v>
      </c>
      <c r="U94">
        <v>0</v>
      </c>
      <c r="V94" t="s">
        <v>5</v>
      </c>
      <c r="W94">
        <v>91</v>
      </c>
      <c r="X94" t="s">
        <v>6</v>
      </c>
      <c r="Y94" s="1">
        <v>0.5</v>
      </c>
      <c r="Z94" t="s">
        <v>7</v>
      </c>
      <c r="AA94" s="1">
        <v>0.2108295</v>
      </c>
      <c r="AB94" t="s">
        <v>8</v>
      </c>
      <c r="AC94" s="1">
        <v>0</v>
      </c>
      <c r="AD94" s="1">
        <v>0.202882505319046</v>
      </c>
      <c r="AH94" s="1"/>
      <c r="AI94" s="1"/>
    </row>
    <row r="95" spans="20:35">
      <c r="T95" t="s">
        <v>4</v>
      </c>
      <c r="U95">
        <v>0</v>
      </c>
      <c r="V95" t="s">
        <v>5</v>
      </c>
      <c r="W95">
        <v>92</v>
      </c>
      <c r="X95" t="s">
        <v>6</v>
      </c>
      <c r="Y95" s="1">
        <v>0.5</v>
      </c>
      <c r="Z95" t="s">
        <v>7</v>
      </c>
      <c r="AA95" s="1">
        <v>0.21313360000000001</v>
      </c>
      <c r="AB95" t="s">
        <v>8</v>
      </c>
      <c r="AC95" s="1">
        <v>0</v>
      </c>
      <c r="AD95" s="1">
        <v>0.20292846353277699</v>
      </c>
      <c r="AH95" s="1"/>
      <c r="AI95" s="1"/>
    </row>
    <row r="96" spans="20:35">
      <c r="T96" t="s">
        <v>4</v>
      </c>
      <c r="U96">
        <v>0</v>
      </c>
      <c r="V96" t="s">
        <v>5</v>
      </c>
      <c r="W96">
        <v>93</v>
      </c>
      <c r="X96" t="s">
        <v>6</v>
      </c>
      <c r="Y96" s="1">
        <v>0.5</v>
      </c>
      <c r="Z96" t="s">
        <v>7</v>
      </c>
      <c r="AA96" s="1">
        <v>0.21543780000000001</v>
      </c>
      <c r="AB96" t="s">
        <v>8</v>
      </c>
      <c r="AC96" s="1">
        <v>0</v>
      </c>
      <c r="AD96" s="1">
        <v>0.20297464378062199</v>
      </c>
      <c r="AH96" s="1"/>
      <c r="AI96" s="1"/>
    </row>
    <row r="97" spans="20:35">
      <c r="T97" t="s">
        <v>4</v>
      </c>
      <c r="U97">
        <v>0</v>
      </c>
      <c r="V97" t="s">
        <v>5</v>
      </c>
      <c r="W97">
        <v>94</v>
      </c>
      <c r="X97" t="s">
        <v>6</v>
      </c>
      <c r="Y97" s="1">
        <v>0.5</v>
      </c>
      <c r="Z97" t="s">
        <v>7</v>
      </c>
      <c r="AA97" s="1">
        <v>0.21774189999999999</v>
      </c>
      <c r="AB97" t="s">
        <v>8</v>
      </c>
      <c r="AC97" s="1">
        <v>0</v>
      </c>
      <c r="AD97" s="1">
        <v>0.203021039622508</v>
      </c>
      <c r="AH97" s="1"/>
      <c r="AI97" s="1"/>
    </row>
    <row r="98" spans="20:35">
      <c r="T98" t="s">
        <v>4</v>
      </c>
      <c r="U98">
        <v>0</v>
      </c>
      <c r="V98" t="s">
        <v>5</v>
      </c>
      <c r="W98">
        <v>95</v>
      </c>
      <c r="X98" t="s">
        <v>6</v>
      </c>
      <c r="Y98" s="1">
        <v>0.5</v>
      </c>
      <c r="Z98" t="s">
        <v>7</v>
      </c>
      <c r="AA98" s="1">
        <v>0.22004609999999999</v>
      </c>
      <c r="AB98" t="s">
        <v>8</v>
      </c>
      <c r="AC98" s="1">
        <v>0</v>
      </c>
      <c r="AD98" s="1">
        <v>0.20306764467809901</v>
      </c>
      <c r="AH98" s="1"/>
      <c r="AI98" s="1"/>
    </row>
    <row r="99" spans="20:35">
      <c r="T99" t="s">
        <v>4</v>
      </c>
      <c r="U99">
        <v>0</v>
      </c>
      <c r="V99" t="s">
        <v>5</v>
      </c>
      <c r="W99">
        <v>96</v>
      </c>
      <c r="X99" t="s">
        <v>6</v>
      </c>
      <c r="Y99" s="1">
        <v>0.5</v>
      </c>
      <c r="Z99" t="s">
        <v>7</v>
      </c>
      <c r="AA99" s="1">
        <v>0.2223502</v>
      </c>
      <c r="AB99" t="s">
        <v>8</v>
      </c>
      <c r="AC99" s="1">
        <v>0</v>
      </c>
      <c r="AD99" s="1">
        <v>0.203114452626974</v>
      </c>
      <c r="AH99" s="1"/>
      <c r="AI99" s="1"/>
    </row>
    <row r="100" spans="20:35">
      <c r="T100" t="s">
        <v>4</v>
      </c>
      <c r="U100">
        <v>0</v>
      </c>
      <c r="V100" t="s">
        <v>5</v>
      </c>
      <c r="W100">
        <v>97</v>
      </c>
      <c r="X100" t="s">
        <v>6</v>
      </c>
      <c r="Y100" s="1">
        <v>0.5</v>
      </c>
      <c r="Z100" t="s">
        <v>7</v>
      </c>
      <c r="AA100" s="1">
        <v>0.2246544</v>
      </c>
      <c r="AB100" t="s">
        <v>8</v>
      </c>
      <c r="AC100" s="1">
        <v>0</v>
      </c>
      <c r="AD100" s="1">
        <v>0.20316145720870199</v>
      </c>
      <c r="AH100" s="1"/>
      <c r="AI100" s="1"/>
    </row>
    <row r="101" spans="20:35">
      <c r="T101" t="s">
        <v>4</v>
      </c>
      <c r="U101">
        <v>0</v>
      </c>
      <c r="V101" t="s">
        <v>5</v>
      </c>
      <c r="W101">
        <v>98</v>
      </c>
      <c r="X101" t="s">
        <v>6</v>
      </c>
      <c r="Y101" s="1">
        <v>0.5</v>
      </c>
      <c r="Z101" t="s">
        <v>7</v>
      </c>
      <c r="AA101" s="1">
        <v>0.22695850000000001</v>
      </c>
      <c r="AB101" t="s">
        <v>8</v>
      </c>
      <c r="AC101" s="1">
        <v>0</v>
      </c>
      <c r="AD101" s="1">
        <v>0.203209273232169</v>
      </c>
      <c r="AH101" s="1"/>
      <c r="AI101" s="1"/>
    </row>
    <row r="102" spans="20:35">
      <c r="T102" t="s">
        <v>4</v>
      </c>
      <c r="U102">
        <v>0</v>
      </c>
      <c r="V102" t="s">
        <v>5</v>
      </c>
      <c r="W102">
        <v>99</v>
      </c>
      <c r="X102" t="s">
        <v>6</v>
      </c>
      <c r="Y102" s="1">
        <v>0.5</v>
      </c>
      <c r="Z102" t="s">
        <v>7</v>
      </c>
      <c r="AA102" s="1">
        <v>0.22926270000000001</v>
      </c>
      <c r="AB102" t="s">
        <v>8</v>
      </c>
      <c r="AC102" s="1">
        <v>0</v>
      </c>
      <c r="AD102" s="1">
        <v>0.203257878468277</v>
      </c>
      <c r="AH102" s="1"/>
      <c r="AI102" s="1"/>
    </row>
    <row r="103" spans="20:35">
      <c r="T103" t="s">
        <v>4</v>
      </c>
      <c r="U103">
        <v>0</v>
      </c>
      <c r="V103" t="s">
        <v>5</v>
      </c>
      <c r="W103">
        <v>100</v>
      </c>
      <c r="X103" t="s">
        <v>6</v>
      </c>
      <c r="Y103" s="1">
        <v>0.5</v>
      </c>
      <c r="Z103" t="s">
        <v>7</v>
      </c>
      <c r="AA103" s="1">
        <v>0.23156679999999999</v>
      </c>
      <c r="AB103" t="s">
        <v>8</v>
      </c>
      <c r="AC103" s="1">
        <v>0</v>
      </c>
      <c r="AD103" s="1">
        <v>0.20330663631402299</v>
      </c>
      <c r="AH103" s="1"/>
      <c r="AI103" s="1"/>
    </row>
    <row r="104" spans="20:35">
      <c r="T104" t="s">
        <v>4</v>
      </c>
      <c r="U104">
        <v>0</v>
      </c>
      <c r="V104" t="s">
        <v>5</v>
      </c>
      <c r="W104">
        <v>101</v>
      </c>
      <c r="X104" t="s">
        <v>6</v>
      </c>
      <c r="Y104" s="1">
        <v>0.5</v>
      </c>
      <c r="Z104" t="s">
        <v>7</v>
      </c>
      <c r="AA104" s="1">
        <v>0.233871</v>
      </c>
      <c r="AB104" t="s">
        <v>8</v>
      </c>
      <c r="AC104" s="1">
        <v>0</v>
      </c>
      <c r="AD104" s="1">
        <v>0.20335553711829399</v>
      </c>
      <c r="AH104" s="1"/>
      <c r="AI104" s="1"/>
    </row>
    <row r="105" spans="20:35">
      <c r="T105" t="s">
        <v>4</v>
      </c>
      <c r="U105">
        <v>0</v>
      </c>
      <c r="V105" t="s">
        <v>5</v>
      </c>
      <c r="W105">
        <v>102</v>
      </c>
      <c r="X105" t="s">
        <v>6</v>
      </c>
      <c r="Y105" s="1">
        <v>0.5</v>
      </c>
      <c r="Z105" t="s">
        <v>7</v>
      </c>
      <c r="AA105" s="1">
        <v>0.2361751</v>
      </c>
      <c r="AB105" t="s">
        <v>8</v>
      </c>
      <c r="AC105" s="1">
        <v>0</v>
      </c>
      <c r="AD105" s="1">
        <v>0.203404571297332</v>
      </c>
      <c r="AH105" s="1"/>
      <c r="AI105" s="1"/>
    </row>
    <row r="106" spans="20:35">
      <c r="T106" t="s">
        <v>4</v>
      </c>
      <c r="U106">
        <v>0</v>
      </c>
      <c r="V106" t="s">
        <v>5</v>
      </c>
      <c r="W106">
        <v>103</v>
      </c>
      <c r="X106" t="s">
        <v>6</v>
      </c>
      <c r="Y106" s="1">
        <v>0.5</v>
      </c>
      <c r="Z106" t="s">
        <v>7</v>
      </c>
      <c r="AA106" s="1">
        <v>0.23847930000000001</v>
      </c>
      <c r="AB106" t="s">
        <v>8</v>
      </c>
      <c r="AC106" s="1">
        <v>0</v>
      </c>
      <c r="AD106" s="1">
        <v>0.20345372933549399</v>
      </c>
      <c r="AH106" s="1"/>
      <c r="AI106" s="1"/>
    </row>
    <row r="107" spans="20:35">
      <c r="T107" t="s">
        <v>4</v>
      </c>
      <c r="U107">
        <v>0</v>
      </c>
      <c r="V107" t="s">
        <v>5</v>
      </c>
      <c r="W107">
        <v>104</v>
      </c>
      <c r="X107" t="s">
        <v>6</v>
      </c>
      <c r="Y107" s="1">
        <v>0.5</v>
      </c>
      <c r="Z107" t="s">
        <v>7</v>
      </c>
      <c r="AA107" s="1">
        <v>0.24078340000000001</v>
      </c>
      <c r="AB107" t="s">
        <v>8</v>
      </c>
      <c r="AC107" s="1">
        <v>0</v>
      </c>
      <c r="AD107" s="1">
        <v>0.20350300178490799</v>
      </c>
      <c r="AH107" s="1"/>
      <c r="AI107" s="1"/>
    </row>
    <row r="108" spans="20:35">
      <c r="T108" t="s">
        <v>4</v>
      </c>
      <c r="U108">
        <v>0</v>
      </c>
      <c r="V108" t="s">
        <v>5</v>
      </c>
      <c r="W108">
        <v>105</v>
      </c>
      <c r="X108" t="s">
        <v>6</v>
      </c>
      <c r="Y108" s="1">
        <v>0.5</v>
      </c>
      <c r="Z108" t="s">
        <v>7</v>
      </c>
      <c r="AA108" s="1">
        <v>0.24308759999999999</v>
      </c>
      <c r="AB108" t="s">
        <v>8</v>
      </c>
      <c r="AC108" s="1">
        <v>0</v>
      </c>
      <c r="AD108" s="1">
        <v>0.20355309355864801</v>
      </c>
      <c r="AH108" s="1"/>
      <c r="AI108" s="1"/>
    </row>
    <row r="109" spans="20:35">
      <c r="T109" t="s">
        <v>4</v>
      </c>
      <c r="U109">
        <v>0</v>
      </c>
      <c r="V109" t="s">
        <v>5</v>
      </c>
      <c r="W109">
        <v>106</v>
      </c>
      <c r="X109" t="s">
        <v>6</v>
      </c>
      <c r="Y109" s="1">
        <v>0.5</v>
      </c>
      <c r="Z109" t="s">
        <v>7</v>
      </c>
      <c r="AA109" s="1">
        <v>0.24539169999999999</v>
      </c>
      <c r="AB109" t="s">
        <v>8</v>
      </c>
      <c r="AC109" s="1">
        <v>0</v>
      </c>
      <c r="AD109" s="1">
        <v>0.20360398055045101</v>
      </c>
      <c r="AH109" s="1"/>
      <c r="AI109" s="1"/>
    </row>
    <row r="110" spans="20:35">
      <c r="T110" t="s">
        <v>4</v>
      </c>
      <c r="U110">
        <v>0</v>
      </c>
      <c r="V110" t="s">
        <v>5</v>
      </c>
      <c r="W110">
        <v>107</v>
      </c>
      <c r="X110" t="s">
        <v>6</v>
      </c>
      <c r="Y110" s="1">
        <v>0.5</v>
      </c>
      <c r="Z110" t="s">
        <v>7</v>
      </c>
      <c r="AA110" s="1">
        <v>0.2476959</v>
      </c>
      <c r="AB110" t="s">
        <v>8</v>
      </c>
      <c r="AC110" s="1">
        <v>0</v>
      </c>
      <c r="AD110" s="1">
        <v>0.203654930281045</v>
      </c>
      <c r="AH110" s="1"/>
      <c r="AI110" s="1"/>
    </row>
    <row r="111" spans="20:35">
      <c r="T111" t="s">
        <v>4</v>
      </c>
      <c r="U111">
        <v>0</v>
      </c>
      <c r="V111" t="s">
        <v>5</v>
      </c>
      <c r="W111">
        <v>108</v>
      </c>
      <c r="X111" t="s">
        <v>6</v>
      </c>
      <c r="Y111" s="1">
        <v>0.5</v>
      </c>
      <c r="Z111" t="s">
        <v>7</v>
      </c>
      <c r="AA111" s="1">
        <v>0.25</v>
      </c>
      <c r="AB111" t="s">
        <v>8</v>
      </c>
      <c r="AC111" s="1">
        <v>0</v>
      </c>
      <c r="AD111" s="1">
        <v>0.203705929992719</v>
      </c>
    </row>
    <row r="112" spans="20:35">
      <c r="T112" t="s">
        <v>4</v>
      </c>
      <c r="U112">
        <v>0</v>
      </c>
      <c r="V112" t="s">
        <v>5</v>
      </c>
      <c r="W112">
        <v>109</v>
      </c>
      <c r="X112" t="s">
        <v>6</v>
      </c>
      <c r="Y112" s="1">
        <v>0.5</v>
      </c>
      <c r="Z112" t="s">
        <v>7</v>
      </c>
      <c r="AA112" s="1">
        <v>0.25230409999999998</v>
      </c>
      <c r="AB112" t="s">
        <v>8</v>
      </c>
      <c r="AC112" s="1">
        <v>0</v>
      </c>
      <c r="AD112" s="1">
        <v>0.20375696700504201</v>
      </c>
    </row>
    <row r="113" spans="20:30">
      <c r="T113" t="s">
        <v>4</v>
      </c>
      <c r="U113">
        <v>0</v>
      </c>
      <c r="V113" t="s">
        <v>5</v>
      </c>
      <c r="W113">
        <v>110</v>
      </c>
      <c r="X113" t="s">
        <v>6</v>
      </c>
      <c r="Y113" s="1">
        <v>0.5</v>
      </c>
      <c r="Z113" t="s">
        <v>7</v>
      </c>
      <c r="AA113" s="1">
        <v>0.25460830000000001</v>
      </c>
      <c r="AB113" t="s">
        <v>8</v>
      </c>
      <c r="AC113" s="1">
        <v>0</v>
      </c>
      <c r="AD113" s="1">
        <v>0.20380802871506401</v>
      </c>
    </row>
    <row r="114" spans="20:30">
      <c r="T114" t="s">
        <v>4</v>
      </c>
      <c r="U114">
        <v>0</v>
      </c>
      <c r="V114" t="s">
        <v>5</v>
      </c>
      <c r="W114">
        <v>111</v>
      </c>
      <c r="X114" t="s">
        <v>6</v>
      </c>
      <c r="Y114" s="1">
        <v>0.5</v>
      </c>
      <c r="Z114" t="s">
        <v>7</v>
      </c>
      <c r="AA114" s="1">
        <v>0.25691239999999999</v>
      </c>
      <c r="AB114" t="s">
        <v>8</v>
      </c>
      <c r="AC114" s="1">
        <v>0</v>
      </c>
      <c r="AD114" s="1">
        <v>0.20385910259749901</v>
      </c>
    </row>
    <row r="115" spans="20:30">
      <c r="T115" t="s">
        <v>4</v>
      </c>
      <c r="U115">
        <v>0</v>
      </c>
      <c r="V115" t="s">
        <v>5</v>
      </c>
      <c r="W115">
        <v>112</v>
      </c>
      <c r="X115" t="s">
        <v>6</v>
      </c>
      <c r="Y115" s="1">
        <v>0.5</v>
      </c>
      <c r="Z115" t="s">
        <v>7</v>
      </c>
      <c r="AA115" s="1">
        <v>0.25921660000000002</v>
      </c>
      <c r="AB115" t="s">
        <v>8</v>
      </c>
      <c r="AC115" s="1">
        <v>0</v>
      </c>
      <c r="AD115" s="1">
        <v>0.20391099165342</v>
      </c>
    </row>
    <row r="116" spans="20:30">
      <c r="T116" t="s">
        <v>4</v>
      </c>
      <c r="U116">
        <v>0</v>
      </c>
      <c r="V116" t="s">
        <v>5</v>
      </c>
      <c r="W116">
        <v>113</v>
      </c>
      <c r="X116" t="s">
        <v>6</v>
      </c>
      <c r="Y116" s="1">
        <v>0.5</v>
      </c>
      <c r="Z116" t="s">
        <v>7</v>
      </c>
      <c r="AA116" s="1">
        <v>0.26152069999999999</v>
      </c>
      <c r="AB116" t="s">
        <v>8</v>
      </c>
      <c r="AC116" s="1">
        <v>0</v>
      </c>
      <c r="AD116" s="1">
        <v>0.203963664796218</v>
      </c>
    </row>
    <row r="117" spans="20:30">
      <c r="T117" t="s">
        <v>4</v>
      </c>
      <c r="U117">
        <v>0</v>
      </c>
      <c r="V117" t="s">
        <v>5</v>
      </c>
      <c r="W117">
        <v>114</v>
      </c>
      <c r="X117" t="s">
        <v>6</v>
      </c>
      <c r="Y117" s="1">
        <v>0.5</v>
      </c>
      <c r="Z117" t="s">
        <v>7</v>
      </c>
      <c r="AA117" s="1">
        <v>0.26382489999999997</v>
      </c>
      <c r="AB117" t="s">
        <v>8</v>
      </c>
      <c r="AC117" s="1">
        <v>0</v>
      </c>
      <c r="AD117" s="1">
        <v>0.20401628124536</v>
      </c>
    </row>
    <row r="118" spans="20:30">
      <c r="T118" t="s">
        <v>4</v>
      </c>
      <c r="U118">
        <v>0</v>
      </c>
      <c r="V118" t="s">
        <v>5</v>
      </c>
      <c r="W118">
        <v>115</v>
      </c>
      <c r="X118" t="s">
        <v>6</v>
      </c>
      <c r="Y118" s="1">
        <v>0.5</v>
      </c>
      <c r="Z118" t="s">
        <v>7</v>
      </c>
      <c r="AA118" s="1">
        <v>0.266129</v>
      </c>
      <c r="AB118" t="s">
        <v>8</v>
      </c>
      <c r="AC118" s="1">
        <v>0</v>
      </c>
      <c r="AD118" s="1">
        <v>0.20406882208111199</v>
      </c>
    </row>
    <row r="119" spans="20:30">
      <c r="T119" t="s">
        <v>4</v>
      </c>
      <c r="U119">
        <v>0</v>
      </c>
      <c r="V119" t="s">
        <v>5</v>
      </c>
      <c r="W119">
        <v>116</v>
      </c>
      <c r="X119" t="s">
        <v>6</v>
      </c>
      <c r="Y119" s="1">
        <v>0.5</v>
      </c>
      <c r="Z119" t="s">
        <v>7</v>
      </c>
      <c r="AA119" s="1">
        <v>0.26843319999999998</v>
      </c>
      <c r="AB119" t="s">
        <v>8</v>
      </c>
      <c r="AC119" s="1">
        <v>0</v>
      </c>
      <c r="AD119" s="1">
        <v>0.20412126847319501</v>
      </c>
    </row>
    <row r="120" spans="20:30">
      <c r="T120" t="s">
        <v>4</v>
      </c>
      <c r="U120">
        <v>0</v>
      </c>
      <c r="V120" t="s">
        <v>5</v>
      </c>
      <c r="W120">
        <v>117</v>
      </c>
      <c r="X120" t="s">
        <v>6</v>
      </c>
      <c r="Y120" s="1">
        <v>0.5</v>
      </c>
      <c r="Z120" t="s">
        <v>7</v>
      </c>
      <c r="AA120" s="1">
        <v>0.27073730000000001</v>
      </c>
      <c r="AB120" t="s">
        <v>8</v>
      </c>
      <c r="AC120" s="1">
        <v>0</v>
      </c>
      <c r="AD120" s="1">
        <v>0.20417360168156601</v>
      </c>
    </row>
    <row r="121" spans="20:30">
      <c r="T121" t="s">
        <v>4</v>
      </c>
      <c r="U121">
        <v>0</v>
      </c>
      <c r="V121" t="s">
        <v>5</v>
      </c>
      <c r="W121">
        <v>118</v>
      </c>
      <c r="X121" t="s">
        <v>6</v>
      </c>
      <c r="Y121" s="1">
        <v>0.5</v>
      </c>
      <c r="Z121" t="s">
        <v>7</v>
      </c>
      <c r="AA121" s="1">
        <v>0.27304149999999999</v>
      </c>
      <c r="AB121" t="s">
        <v>8</v>
      </c>
      <c r="AC121" s="1">
        <v>0</v>
      </c>
      <c r="AD121" s="1">
        <v>0.204225803056369</v>
      </c>
    </row>
    <row r="122" spans="20:30">
      <c r="T122" t="s">
        <v>4</v>
      </c>
      <c r="U122">
        <v>0</v>
      </c>
      <c r="V122" t="s">
        <v>5</v>
      </c>
      <c r="W122">
        <v>119</v>
      </c>
      <c r="X122" t="s">
        <v>6</v>
      </c>
      <c r="Y122" s="1">
        <v>0.5</v>
      </c>
      <c r="Z122" t="s">
        <v>7</v>
      </c>
      <c r="AA122" s="1">
        <v>0.27534560000000002</v>
      </c>
      <c r="AB122" t="s">
        <v>8</v>
      </c>
      <c r="AC122" s="1">
        <v>0</v>
      </c>
      <c r="AD122" s="1">
        <v>0.204278822097061</v>
      </c>
    </row>
    <row r="123" spans="20:30">
      <c r="T123" t="s">
        <v>4</v>
      </c>
      <c r="U123">
        <v>0</v>
      </c>
      <c r="V123" t="s">
        <v>5</v>
      </c>
      <c r="W123">
        <v>120</v>
      </c>
      <c r="X123" t="s">
        <v>6</v>
      </c>
      <c r="Y123" s="1">
        <v>0.5</v>
      </c>
      <c r="Z123" t="s">
        <v>7</v>
      </c>
      <c r="AA123" s="1">
        <v>0.2776498</v>
      </c>
      <c r="AB123" t="s">
        <v>8</v>
      </c>
      <c r="AC123" s="1">
        <v>0</v>
      </c>
      <c r="AD123" s="1">
        <v>0.204332622890913</v>
      </c>
    </row>
    <row r="124" spans="20:30">
      <c r="T124" t="s">
        <v>4</v>
      </c>
      <c r="U124">
        <v>0</v>
      </c>
      <c r="V124" t="s">
        <v>5</v>
      </c>
      <c r="W124">
        <v>121</v>
      </c>
      <c r="X124" t="s">
        <v>6</v>
      </c>
      <c r="Y124" s="1">
        <v>0.5</v>
      </c>
      <c r="Z124" t="s">
        <v>7</v>
      </c>
      <c r="AA124" s="1">
        <v>0.27995389999999998</v>
      </c>
      <c r="AB124" t="s">
        <v>8</v>
      </c>
      <c r="AC124" s="1">
        <v>0</v>
      </c>
      <c r="AD124" s="1">
        <v>0.20438620749667399</v>
      </c>
    </row>
    <row r="125" spans="20:30">
      <c r="T125" t="s">
        <v>4</v>
      </c>
      <c r="U125">
        <v>0</v>
      </c>
      <c r="V125" t="s">
        <v>5</v>
      </c>
      <c r="W125">
        <v>122</v>
      </c>
      <c r="X125" t="s">
        <v>6</v>
      </c>
      <c r="Y125" s="1">
        <v>0.5</v>
      </c>
      <c r="Z125" t="s">
        <v>7</v>
      </c>
      <c r="AA125" s="1">
        <v>0.28225810000000001</v>
      </c>
      <c r="AB125" t="s">
        <v>8</v>
      </c>
      <c r="AC125" s="1">
        <v>0</v>
      </c>
      <c r="AD125" s="1">
        <v>0.20443955219756901</v>
      </c>
    </row>
    <row r="126" spans="20:30">
      <c r="T126" t="s">
        <v>4</v>
      </c>
      <c r="U126">
        <v>0</v>
      </c>
      <c r="V126" t="s">
        <v>5</v>
      </c>
      <c r="W126">
        <v>123</v>
      </c>
      <c r="X126" t="s">
        <v>6</v>
      </c>
      <c r="Y126" s="1">
        <v>0.5</v>
      </c>
      <c r="Z126" t="s">
        <v>7</v>
      </c>
      <c r="AA126" s="1">
        <v>0.28456219999999999</v>
      </c>
      <c r="AB126" t="s">
        <v>8</v>
      </c>
      <c r="AC126" s="1">
        <v>0</v>
      </c>
      <c r="AD126" s="1">
        <v>0.204492633382483</v>
      </c>
    </row>
    <row r="127" spans="20:30">
      <c r="T127" t="s">
        <v>4</v>
      </c>
      <c r="U127">
        <v>0</v>
      </c>
      <c r="V127" t="s">
        <v>5</v>
      </c>
      <c r="W127">
        <v>124</v>
      </c>
      <c r="X127" t="s">
        <v>6</v>
      </c>
      <c r="Y127" s="1">
        <v>0.5</v>
      </c>
      <c r="Z127" t="s">
        <v>7</v>
      </c>
      <c r="AA127" s="1">
        <v>0.28686640000000002</v>
      </c>
      <c r="AB127" t="s">
        <v>8</v>
      </c>
      <c r="AC127" s="1">
        <v>0</v>
      </c>
      <c r="AD127" s="1">
        <v>0.204545427546761</v>
      </c>
    </row>
    <row r="128" spans="20:30">
      <c r="T128" t="s">
        <v>4</v>
      </c>
      <c r="U128">
        <v>0</v>
      </c>
      <c r="V128" t="s">
        <v>5</v>
      </c>
      <c r="W128">
        <v>125</v>
      </c>
      <c r="X128" t="s">
        <v>6</v>
      </c>
      <c r="Y128" s="1">
        <v>0.5</v>
      </c>
      <c r="Z128" t="s">
        <v>7</v>
      </c>
      <c r="AA128" s="1">
        <v>0.2891705</v>
      </c>
      <c r="AB128" t="s">
        <v>8</v>
      </c>
      <c r="AC128" s="1">
        <v>0</v>
      </c>
      <c r="AD128" s="1">
        <v>0.204597911292487</v>
      </c>
    </row>
    <row r="129" spans="20:30">
      <c r="T129" t="s">
        <v>4</v>
      </c>
      <c r="U129">
        <v>0</v>
      </c>
      <c r="V129" t="s">
        <v>5</v>
      </c>
      <c r="W129">
        <v>126</v>
      </c>
      <c r="X129" t="s">
        <v>6</v>
      </c>
      <c r="Y129" s="1">
        <v>0.5</v>
      </c>
      <c r="Z129" t="s">
        <v>7</v>
      </c>
      <c r="AA129" s="1">
        <v>0.29147469999999998</v>
      </c>
      <c r="AB129" t="s">
        <v>8</v>
      </c>
      <c r="AC129" s="1">
        <v>0</v>
      </c>
      <c r="AD129" s="1">
        <v>0.20465120164504699</v>
      </c>
    </row>
    <row r="130" spans="20:30">
      <c r="T130" t="s">
        <v>4</v>
      </c>
      <c r="U130">
        <v>0</v>
      </c>
      <c r="V130" t="s">
        <v>5</v>
      </c>
      <c r="W130">
        <v>127</v>
      </c>
      <c r="X130" t="s">
        <v>6</v>
      </c>
      <c r="Y130" s="1">
        <v>0.5</v>
      </c>
      <c r="Z130" t="s">
        <v>7</v>
      </c>
      <c r="AA130" s="1">
        <v>0.29377880000000001</v>
      </c>
      <c r="AB130" t="s">
        <v>8</v>
      </c>
      <c r="AC130" s="1">
        <v>0</v>
      </c>
      <c r="AD130" s="1">
        <v>0.204705253588396</v>
      </c>
    </row>
    <row r="131" spans="20:30">
      <c r="T131" t="s">
        <v>4</v>
      </c>
      <c r="U131">
        <v>0</v>
      </c>
      <c r="V131" t="s">
        <v>5</v>
      </c>
      <c r="W131">
        <v>128</v>
      </c>
      <c r="X131" t="s">
        <v>6</v>
      </c>
      <c r="Y131" s="1">
        <v>0.5</v>
      </c>
      <c r="Z131" t="s">
        <v>7</v>
      </c>
      <c r="AA131" s="1">
        <v>0.29608289999999998</v>
      </c>
      <c r="AB131" t="s">
        <v>8</v>
      </c>
      <c r="AC131" s="1">
        <v>0</v>
      </c>
      <c r="AD131" s="1">
        <v>0.20475888443026999</v>
      </c>
    </row>
    <row r="132" spans="20:30">
      <c r="T132" t="s">
        <v>4</v>
      </c>
      <c r="U132">
        <v>0</v>
      </c>
      <c r="V132" t="s">
        <v>5</v>
      </c>
      <c r="W132">
        <v>129</v>
      </c>
      <c r="X132" t="s">
        <v>6</v>
      </c>
      <c r="Y132" s="1">
        <v>0.5</v>
      </c>
      <c r="Z132" t="s">
        <v>7</v>
      </c>
      <c r="AA132" s="1">
        <v>0.29838710000000002</v>
      </c>
      <c r="AB132" t="s">
        <v>8</v>
      </c>
      <c r="AC132" s="1">
        <v>0</v>
      </c>
      <c r="AD132" s="1">
        <v>0.20481205823607801</v>
      </c>
    </row>
    <row r="133" spans="20:30">
      <c r="T133" t="s">
        <v>4</v>
      </c>
      <c r="U133">
        <v>0</v>
      </c>
      <c r="V133" t="s">
        <v>5</v>
      </c>
      <c r="W133">
        <v>130</v>
      </c>
      <c r="X133" t="s">
        <v>6</v>
      </c>
      <c r="Y133" s="1">
        <v>0.5</v>
      </c>
      <c r="Z133" t="s">
        <v>7</v>
      </c>
      <c r="AA133" s="1">
        <v>0.30069119999999999</v>
      </c>
      <c r="AB133" t="s">
        <v>8</v>
      </c>
      <c r="AC133" s="1">
        <v>0</v>
      </c>
      <c r="AD133" s="1">
        <v>0.20486473919971801</v>
      </c>
    </row>
    <row r="134" spans="20:30">
      <c r="T134" t="s">
        <v>4</v>
      </c>
      <c r="U134">
        <v>0</v>
      </c>
      <c r="V134" t="s">
        <v>5</v>
      </c>
      <c r="W134">
        <v>131</v>
      </c>
      <c r="X134" t="s">
        <v>6</v>
      </c>
      <c r="Y134" s="1">
        <v>0.5</v>
      </c>
      <c r="Z134" t="s">
        <v>7</v>
      </c>
      <c r="AA134" s="1">
        <v>0.30299540000000003</v>
      </c>
      <c r="AB134" t="s">
        <v>8</v>
      </c>
      <c r="AC134" s="1">
        <v>0</v>
      </c>
      <c r="AD134" s="1">
        <v>0.204916891644607</v>
      </c>
    </row>
    <row r="135" spans="20:30">
      <c r="T135" t="s">
        <v>4</v>
      </c>
      <c r="U135">
        <v>0</v>
      </c>
      <c r="V135" t="s">
        <v>5</v>
      </c>
      <c r="W135">
        <v>132</v>
      </c>
      <c r="X135" t="s">
        <v>6</v>
      </c>
      <c r="Y135" s="1">
        <v>0.5</v>
      </c>
      <c r="Z135" t="s">
        <v>7</v>
      </c>
      <c r="AA135" s="1">
        <v>0.3052995</v>
      </c>
      <c r="AB135" t="s">
        <v>8</v>
      </c>
      <c r="AC135" s="1">
        <v>0</v>
      </c>
      <c r="AD135" s="1">
        <v>0.20496848002491599</v>
      </c>
    </row>
    <row r="136" spans="20:30">
      <c r="T136" t="s">
        <v>4</v>
      </c>
      <c r="U136">
        <v>0</v>
      </c>
      <c r="V136" t="s">
        <v>5</v>
      </c>
      <c r="W136">
        <v>133</v>
      </c>
      <c r="X136" t="s">
        <v>6</v>
      </c>
      <c r="Y136" s="1">
        <v>0.5</v>
      </c>
      <c r="Z136" t="s">
        <v>7</v>
      </c>
      <c r="AA136" s="1">
        <v>0.30760369999999998</v>
      </c>
      <c r="AB136" t="s">
        <v>8</v>
      </c>
      <c r="AC136" s="1">
        <v>0</v>
      </c>
      <c r="AD136" s="1">
        <v>0.20502081347723999</v>
      </c>
    </row>
    <row r="137" spans="20:30">
      <c r="T137" t="s">
        <v>4</v>
      </c>
      <c r="U137">
        <v>0</v>
      </c>
      <c r="V137" t="s">
        <v>5</v>
      </c>
      <c r="W137">
        <v>134</v>
      </c>
      <c r="X137" t="s">
        <v>6</v>
      </c>
      <c r="Y137" s="1">
        <v>0.5</v>
      </c>
      <c r="Z137" t="s">
        <v>7</v>
      </c>
      <c r="AA137" s="1">
        <v>0.30990780000000001</v>
      </c>
      <c r="AB137" t="s">
        <v>8</v>
      </c>
      <c r="AC137" s="1">
        <v>0</v>
      </c>
      <c r="AD137" s="1">
        <v>0.20507382736780799</v>
      </c>
    </row>
    <row r="138" spans="20:30">
      <c r="T138" t="s">
        <v>4</v>
      </c>
      <c r="U138">
        <v>0</v>
      </c>
      <c r="V138" t="s">
        <v>5</v>
      </c>
      <c r="W138">
        <v>135</v>
      </c>
      <c r="X138" t="s">
        <v>6</v>
      </c>
      <c r="Y138" s="1">
        <v>0.5</v>
      </c>
      <c r="Z138" t="s">
        <v>7</v>
      </c>
      <c r="AA138" s="1">
        <v>0.31221199999999999</v>
      </c>
      <c r="AB138" t="s">
        <v>8</v>
      </c>
      <c r="AC138" s="1">
        <v>0</v>
      </c>
      <c r="AD138" s="1">
        <v>0.20512612384762199</v>
      </c>
    </row>
    <row r="139" spans="20:30">
      <c r="T139" t="s">
        <v>4</v>
      </c>
      <c r="U139">
        <v>0</v>
      </c>
      <c r="V139" t="s">
        <v>5</v>
      </c>
      <c r="W139">
        <v>136</v>
      </c>
      <c r="X139" t="s">
        <v>6</v>
      </c>
      <c r="Y139" s="1">
        <v>0.5</v>
      </c>
      <c r="Z139" t="s">
        <v>7</v>
      </c>
      <c r="AA139" s="1">
        <v>0.31451610000000002</v>
      </c>
      <c r="AB139" t="s">
        <v>8</v>
      </c>
      <c r="AC139" s="1">
        <v>0</v>
      </c>
      <c r="AD139" s="1">
        <v>0.205177660291497</v>
      </c>
    </row>
    <row r="140" spans="20:30">
      <c r="T140" t="s">
        <v>4</v>
      </c>
      <c r="U140">
        <v>0</v>
      </c>
      <c r="V140" t="s">
        <v>5</v>
      </c>
      <c r="W140">
        <v>137</v>
      </c>
      <c r="X140" t="s">
        <v>6</v>
      </c>
      <c r="Y140" s="1">
        <v>0.5</v>
      </c>
      <c r="Z140" t="s">
        <v>7</v>
      </c>
      <c r="AA140" s="1">
        <v>0.3168203</v>
      </c>
      <c r="AB140" t="s">
        <v>8</v>
      </c>
      <c r="AC140" s="1">
        <v>0</v>
      </c>
      <c r="AD140" s="1">
        <v>0.20522839423918601</v>
      </c>
    </row>
    <row r="141" spans="20:30">
      <c r="T141" t="s">
        <v>4</v>
      </c>
      <c r="U141">
        <v>0</v>
      </c>
      <c r="V141" t="s">
        <v>5</v>
      </c>
      <c r="W141">
        <v>138</v>
      </c>
      <c r="X141" t="s">
        <v>6</v>
      </c>
      <c r="Y141" s="1">
        <v>0.5</v>
      </c>
      <c r="Z141" t="s">
        <v>7</v>
      </c>
      <c r="AA141" s="1">
        <v>0.31912439999999997</v>
      </c>
      <c r="AB141" t="s">
        <v>8</v>
      </c>
      <c r="AC141" s="1">
        <v>0</v>
      </c>
      <c r="AD141" s="1">
        <v>0.20527828339812701</v>
      </c>
    </row>
    <row r="142" spans="20:30">
      <c r="T142" t="s">
        <v>4</v>
      </c>
      <c r="U142">
        <v>0</v>
      </c>
      <c r="V142" t="s">
        <v>5</v>
      </c>
      <c r="W142">
        <v>139</v>
      </c>
      <c r="X142" t="s">
        <v>6</v>
      </c>
      <c r="Y142" s="1">
        <v>0.5</v>
      </c>
      <c r="Z142" t="s">
        <v>7</v>
      </c>
      <c r="AA142" s="1">
        <v>0.32142860000000001</v>
      </c>
      <c r="AB142" t="s">
        <v>8</v>
      </c>
      <c r="AC142" s="1">
        <v>0</v>
      </c>
      <c r="AD142" s="1">
        <v>0.20532728564489799</v>
      </c>
    </row>
    <row r="143" spans="20:30">
      <c r="T143" t="s">
        <v>4</v>
      </c>
      <c r="U143">
        <v>0</v>
      </c>
      <c r="V143" t="s">
        <v>5</v>
      </c>
      <c r="W143">
        <v>140</v>
      </c>
      <c r="X143" t="s">
        <v>6</v>
      </c>
      <c r="Y143" s="1">
        <v>0.5</v>
      </c>
      <c r="Z143" t="s">
        <v>7</v>
      </c>
      <c r="AA143" s="1">
        <v>0.32373269999999998</v>
      </c>
      <c r="AB143" t="s">
        <v>8</v>
      </c>
      <c r="AC143" s="1">
        <v>0</v>
      </c>
      <c r="AD143" s="1">
        <v>0.20537709853514499</v>
      </c>
    </row>
    <row r="144" spans="20:30">
      <c r="T144" t="s">
        <v>4</v>
      </c>
      <c r="U144">
        <v>0</v>
      </c>
      <c r="V144" t="s">
        <v>5</v>
      </c>
      <c r="W144">
        <v>141</v>
      </c>
      <c r="X144" t="s">
        <v>6</v>
      </c>
      <c r="Y144" s="1">
        <v>0.5</v>
      </c>
      <c r="Z144" t="s">
        <v>7</v>
      </c>
      <c r="AA144" s="1">
        <v>0.32603690000000002</v>
      </c>
      <c r="AB144" t="s">
        <v>8</v>
      </c>
      <c r="AC144" s="1">
        <v>0</v>
      </c>
      <c r="AD144" s="1">
        <v>0.20542765301729601</v>
      </c>
    </row>
    <row r="145" spans="20:30">
      <c r="T145" t="s">
        <v>4</v>
      </c>
      <c r="U145">
        <v>0</v>
      </c>
      <c r="V145" t="s">
        <v>5</v>
      </c>
      <c r="W145">
        <v>142</v>
      </c>
      <c r="X145" t="s">
        <v>6</v>
      </c>
      <c r="Y145" s="1">
        <v>0.5</v>
      </c>
      <c r="Z145" t="s">
        <v>7</v>
      </c>
      <c r="AA145" s="1">
        <v>0.32834099999999999</v>
      </c>
      <c r="AB145" t="s">
        <v>8</v>
      </c>
      <c r="AC145" s="1">
        <v>0</v>
      </c>
      <c r="AD145" s="1">
        <v>0.20547713468947101</v>
      </c>
    </row>
    <row r="146" spans="20:30">
      <c r="T146" t="s">
        <v>4</v>
      </c>
      <c r="U146">
        <v>0</v>
      </c>
      <c r="V146" t="s">
        <v>5</v>
      </c>
      <c r="W146">
        <v>143</v>
      </c>
      <c r="X146" t="s">
        <v>6</v>
      </c>
      <c r="Y146" s="1">
        <v>0.5</v>
      </c>
      <c r="Z146" t="s">
        <v>7</v>
      </c>
      <c r="AA146" s="1">
        <v>0.33064519999999997</v>
      </c>
      <c r="AB146" t="s">
        <v>8</v>
      </c>
      <c r="AC146" s="1">
        <v>0</v>
      </c>
      <c r="AD146" s="1">
        <v>0.20552547436628199</v>
      </c>
    </row>
    <row r="147" spans="20:30">
      <c r="T147" t="s">
        <v>4</v>
      </c>
      <c r="U147">
        <v>0</v>
      </c>
      <c r="V147" t="s">
        <v>5</v>
      </c>
      <c r="W147">
        <v>144</v>
      </c>
      <c r="X147" t="s">
        <v>6</v>
      </c>
      <c r="Y147" s="1">
        <v>0.5</v>
      </c>
      <c r="Z147" t="s">
        <v>7</v>
      </c>
      <c r="AA147" s="1">
        <v>0.3329493</v>
      </c>
      <c r="AB147" t="s">
        <v>8</v>
      </c>
      <c r="AC147" s="1">
        <v>0</v>
      </c>
      <c r="AD147" s="1">
        <v>0.20557260306915401</v>
      </c>
    </row>
    <row r="148" spans="20:30">
      <c r="T148" t="s">
        <v>4</v>
      </c>
      <c r="U148">
        <v>0</v>
      </c>
      <c r="V148" t="s">
        <v>5</v>
      </c>
      <c r="W148">
        <v>145</v>
      </c>
      <c r="X148" t="s">
        <v>6</v>
      </c>
      <c r="Y148" s="1">
        <v>0.5</v>
      </c>
      <c r="Z148" t="s">
        <v>7</v>
      </c>
      <c r="AA148" s="1">
        <v>0.33525349999999998</v>
      </c>
      <c r="AB148" t="s">
        <v>8</v>
      </c>
      <c r="AC148" s="1">
        <v>0</v>
      </c>
      <c r="AD148" s="1">
        <v>0.20561845203215301</v>
      </c>
    </row>
    <row r="149" spans="20:30">
      <c r="T149" t="s">
        <v>4</v>
      </c>
      <c r="U149">
        <v>0</v>
      </c>
      <c r="V149" t="s">
        <v>5</v>
      </c>
      <c r="W149">
        <v>146</v>
      </c>
      <c r="X149" t="s">
        <v>6</v>
      </c>
      <c r="Y149" s="1">
        <v>0.5</v>
      </c>
      <c r="Z149" t="s">
        <v>7</v>
      </c>
      <c r="AA149" s="1">
        <v>0.33755760000000001</v>
      </c>
      <c r="AB149" t="s">
        <v>8</v>
      </c>
      <c r="AC149" s="1">
        <v>0</v>
      </c>
      <c r="AD149" s="1">
        <v>0.20566295270662599</v>
      </c>
    </row>
    <row r="150" spans="20:30">
      <c r="T150" t="s">
        <v>4</v>
      </c>
      <c r="U150">
        <v>0</v>
      </c>
      <c r="V150" t="s">
        <v>5</v>
      </c>
      <c r="W150">
        <v>147</v>
      </c>
      <c r="X150" t="s">
        <v>6</v>
      </c>
      <c r="Y150" s="1">
        <v>0.5</v>
      </c>
      <c r="Z150" t="s">
        <v>7</v>
      </c>
      <c r="AA150" s="1">
        <v>0.33986179999999999</v>
      </c>
      <c r="AB150" t="s">
        <v>8</v>
      </c>
      <c r="AC150" s="1">
        <v>0</v>
      </c>
      <c r="AD150" s="1">
        <v>0.205707784367161</v>
      </c>
    </row>
    <row r="151" spans="20:30">
      <c r="T151" t="s">
        <v>4</v>
      </c>
      <c r="U151">
        <v>0</v>
      </c>
      <c r="V151" t="s">
        <v>5</v>
      </c>
      <c r="W151">
        <v>148</v>
      </c>
      <c r="X151" t="s">
        <v>6</v>
      </c>
      <c r="Y151" s="1">
        <v>0.5</v>
      </c>
      <c r="Z151" t="s">
        <v>7</v>
      </c>
      <c r="AA151" s="1">
        <v>0.34216590000000002</v>
      </c>
      <c r="AB151" t="s">
        <v>8</v>
      </c>
      <c r="AC151" s="1">
        <v>0</v>
      </c>
      <c r="AD151" s="1">
        <v>0.205752812991809</v>
      </c>
    </row>
    <row r="152" spans="20:30">
      <c r="T152" t="s">
        <v>4</v>
      </c>
      <c r="U152">
        <v>0</v>
      </c>
      <c r="V152" t="s">
        <v>5</v>
      </c>
      <c r="W152">
        <v>149</v>
      </c>
      <c r="X152" t="s">
        <v>6</v>
      </c>
      <c r="Y152" s="1">
        <v>0.5</v>
      </c>
      <c r="Z152" t="s">
        <v>7</v>
      </c>
      <c r="AA152" s="1">
        <v>0.34447</v>
      </c>
      <c r="AB152" t="s">
        <v>8</v>
      </c>
      <c r="AC152" s="1">
        <v>0</v>
      </c>
      <c r="AD152" s="1">
        <v>0.205796191254811</v>
      </c>
    </row>
    <row r="153" spans="20:30">
      <c r="T153" t="s">
        <v>4</v>
      </c>
      <c r="U153">
        <v>0</v>
      </c>
      <c r="V153" t="s">
        <v>5</v>
      </c>
      <c r="W153">
        <v>150</v>
      </c>
      <c r="X153" t="s">
        <v>6</v>
      </c>
      <c r="Y153" s="1">
        <v>0.5</v>
      </c>
      <c r="Z153" t="s">
        <v>7</v>
      </c>
      <c r="AA153" s="1">
        <v>0.34677419999999998</v>
      </c>
      <c r="AB153" t="s">
        <v>8</v>
      </c>
      <c r="AC153" s="1">
        <v>0</v>
      </c>
      <c r="AD153" s="1">
        <v>0.205837845664432</v>
      </c>
    </row>
    <row r="154" spans="20:30">
      <c r="T154" t="s">
        <v>4</v>
      </c>
      <c r="U154">
        <v>0</v>
      </c>
      <c r="V154" t="s">
        <v>5</v>
      </c>
      <c r="W154">
        <v>151</v>
      </c>
      <c r="X154" t="s">
        <v>6</v>
      </c>
      <c r="Y154" s="1">
        <v>0.5</v>
      </c>
      <c r="Z154" t="s">
        <v>7</v>
      </c>
      <c r="AA154" s="1">
        <v>0.34907830000000001</v>
      </c>
      <c r="AB154" t="s">
        <v>8</v>
      </c>
      <c r="AC154" s="1">
        <v>0</v>
      </c>
      <c r="AD154" s="1">
        <v>0.20587770306522199</v>
      </c>
    </row>
    <row r="155" spans="20:30">
      <c r="T155" t="s">
        <v>4</v>
      </c>
      <c r="U155">
        <v>0</v>
      </c>
      <c r="V155" t="s">
        <v>5</v>
      </c>
      <c r="W155">
        <v>152</v>
      </c>
      <c r="X155" t="s">
        <v>6</v>
      </c>
      <c r="Y155" s="1">
        <v>0.5</v>
      </c>
      <c r="Z155" t="s">
        <v>7</v>
      </c>
      <c r="AA155" s="1">
        <v>0.35138249999999999</v>
      </c>
      <c r="AB155" t="s">
        <v>8</v>
      </c>
      <c r="AC155" s="1">
        <v>0</v>
      </c>
      <c r="AD155" s="1">
        <v>0.205915690651058</v>
      </c>
    </row>
    <row r="156" spans="20:30">
      <c r="T156" t="s">
        <v>4</v>
      </c>
      <c r="U156">
        <v>0</v>
      </c>
      <c r="V156" t="s">
        <v>5</v>
      </c>
      <c r="W156">
        <v>153</v>
      </c>
      <c r="X156" t="s">
        <v>6</v>
      </c>
      <c r="Y156" s="1">
        <v>0.5</v>
      </c>
      <c r="Z156" t="s">
        <v>7</v>
      </c>
      <c r="AA156" s="1">
        <v>0.35368660000000002</v>
      </c>
      <c r="AB156" t="s">
        <v>8</v>
      </c>
      <c r="AC156" s="1">
        <v>0</v>
      </c>
      <c r="AD156" s="1">
        <v>0.20595173597817801</v>
      </c>
    </row>
    <row r="157" spans="20:30">
      <c r="T157" t="s">
        <v>4</v>
      </c>
      <c r="U157">
        <v>0</v>
      </c>
      <c r="V157" t="s">
        <v>5</v>
      </c>
      <c r="W157">
        <v>154</v>
      </c>
      <c r="X157" t="s">
        <v>6</v>
      </c>
      <c r="Y157" s="1">
        <v>0.5</v>
      </c>
      <c r="Z157" t="s">
        <v>7</v>
      </c>
      <c r="AA157" s="1">
        <v>0.3559908</v>
      </c>
      <c r="AB157" t="s">
        <v>8</v>
      </c>
      <c r="AC157" s="1">
        <v>0</v>
      </c>
      <c r="AD157" s="1">
        <v>0.20598882056562301</v>
      </c>
    </row>
    <row r="158" spans="20:30">
      <c r="T158" t="s">
        <v>4</v>
      </c>
      <c r="U158">
        <v>0</v>
      </c>
      <c r="V158" t="s">
        <v>5</v>
      </c>
      <c r="W158">
        <v>155</v>
      </c>
      <c r="X158" t="s">
        <v>6</v>
      </c>
      <c r="Y158" s="1">
        <v>0.5</v>
      </c>
      <c r="Z158" t="s">
        <v>7</v>
      </c>
      <c r="AA158" s="1">
        <v>0.35829490000000003</v>
      </c>
      <c r="AB158" t="s">
        <v>8</v>
      </c>
      <c r="AC158" s="1">
        <v>0</v>
      </c>
      <c r="AD158" s="1">
        <v>0.20602679972424701</v>
      </c>
    </row>
    <row r="159" spans="20:30">
      <c r="T159" t="s">
        <v>4</v>
      </c>
      <c r="U159">
        <v>0</v>
      </c>
      <c r="V159" t="s">
        <v>5</v>
      </c>
      <c r="W159">
        <v>156</v>
      </c>
      <c r="X159" t="s">
        <v>6</v>
      </c>
      <c r="Y159" s="1">
        <v>0.5</v>
      </c>
      <c r="Z159" t="s">
        <v>7</v>
      </c>
      <c r="AA159" s="1">
        <v>0.36059910000000001</v>
      </c>
      <c r="AB159" t="s">
        <v>8</v>
      </c>
      <c r="AC159" s="1">
        <v>0</v>
      </c>
      <c r="AD159" s="1">
        <v>0.20606245804093801</v>
      </c>
    </row>
    <row r="160" spans="20:30">
      <c r="T160" t="s">
        <v>4</v>
      </c>
      <c r="U160">
        <v>0</v>
      </c>
      <c r="V160" t="s">
        <v>5</v>
      </c>
      <c r="W160">
        <v>157</v>
      </c>
      <c r="X160" t="s">
        <v>6</v>
      </c>
      <c r="Y160" s="1">
        <v>0.5</v>
      </c>
      <c r="Z160" t="s">
        <v>7</v>
      </c>
      <c r="AA160" s="1">
        <v>0.36290319999999998</v>
      </c>
      <c r="AB160" t="s">
        <v>8</v>
      </c>
      <c r="AC160" s="1">
        <v>0</v>
      </c>
      <c r="AD160" s="1">
        <v>0.20609564842264</v>
      </c>
    </row>
    <row r="161" spans="20:30">
      <c r="T161" t="s">
        <v>4</v>
      </c>
      <c r="U161">
        <v>0</v>
      </c>
      <c r="V161" t="s">
        <v>5</v>
      </c>
      <c r="W161">
        <v>158</v>
      </c>
      <c r="X161" t="s">
        <v>6</v>
      </c>
      <c r="Y161" s="1">
        <v>0.5</v>
      </c>
      <c r="Z161" t="s">
        <v>7</v>
      </c>
      <c r="AA161" s="1">
        <v>0.36520740000000002</v>
      </c>
      <c r="AB161" t="s">
        <v>8</v>
      </c>
      <c r="AC161" s="1">
        <v>0</v>
      </c>
      <c r="AD161" s="1">
        <v>0.206126224143626</v>
      </c>
    </row>
    <row r="162" spans="20:30">
      <c r="T162" t="s">
        <v>4</v>
      </c>
      <c r="U162">
        <v>0</v>
      </c>
      <c r="V162" t="s">
        <v>5</v>
      </c>
      <c r="W162">
        <v>159</v>
      </c>
      <c r="X162" t="s">
        <v>6</v>
      </c>
      <c r="Y162" s="1">
        <v>0.5</v>
      </c>
      <c r="Z162" t="s">
        <v>7</v>
      </c>
      <c r="AA162" s="1">
        <v>0.36751149999999999</v>
      </c>
      <c r="AB162" t="s">
        <v>8</v>
      </c>
      <c r="AC162" s="1">
        <v>0</v>
      </c>
      <c r="AD162" s="1">
        <v>0.206154038877014</v>
      </c>
    </row>
    <row r="163" spans="20:30">
      <c r="T163" t="s">
        <v>4</v>
      </c>
      <c r="U163">
        <v>0</v>
      </c>
      <c r="V163" t="s">
        <v>5</v>
      </c>
      <c r="W163">
        <v>160</v>
      </c>
      <c r="X163" t="s">
        <v>6</v>
      </c>
      <c r="Y163" s="1">
        <v>0.5</v>
      </c>
      <c r="Z163" t="s">
        <v>7</v>
      </c>
      <c r="AA163" s="1">
        <v>0.36981570000000002</v>
      </c>
      <c r="AB163" t="s">
        <v>8</v>
      </c>
      <c r="AC163" s="1">
        <v>0</v>
      </c>
      <c r="AD163" s="1">
        <v>0.206178946726432</v>
      </c>
    </row>
    <row r="164" spans="20:30">
      <c r="T164" t="s">
        <v>4</v>
      </c>
      <c r="U164">
        <v>0</v>
      </c>
      <c r="V164" t="s">
        <v>5</v>
      </c>
      <c r="W164">
        <v>161</v>
      </c>
      <c r="X164" t="s">
        <v>6</v>
      </c>
      <c r="Y164" s="1">
        <v>0.5</v>
      </c>
      <c r="Z164" t="s">
        <v>7</v>
      </c>
      <c r="AA164" s="1">
        <v>0.3721198</v>
      </c>
      <c r="AB164" t="s">
        <v>8</v>
      </c>
      <c r="AC164" s="1">
        <v>0</v>
      </c>
      <c r="AD164" s="1">
        <v>0.20620234109118499</v>
      </c>
    </row>
    <row r="165" spans="20:30">
      <c r="T165" t="s">
        <v>4</v>
      </c>
      <c r="U165">
        <v>0</v>
      </c>
      <c r="V165" t="s">
        <v>5</v>
      </c>
      <c r="W165">
        <v>162</v>
      </c>
      <c r="X165" t="s">
        <v>6</v>
      </c>
      <c r="Y165" s="1">
        <v>0.5</v>
      </c>
      <c r="Z165" t="s">
        <v>7</v>
      </c>
      <c r="AA165" s="1">
        <v>0.37442399999999998</v>
      </c>
      <c r="AB165" t="s">
        <v>8</v>
      </c>
      <c r="AC165" s="1">
        <v>0</v>
      </c>
      <c r="AD165" s="1">
        <v>0.206223975699828</v>
      </c>
    </row>
    <row r="166" spans="20:30">
      <c r="T166" t="s">
        <v>4</v>
      </c>
      <c r="U166">
        <v>0</v>
      </c>
      <c r="V166" t="s">
        <v>5</v>
      </c>
      <c r="W166">
        <v>163</v>
      </c>
      <c r="X166" t="s">
        <v>6</v>
      </c>
      <c r="Y166" s="1">
        <v>0.5</v>
      </c>
      <c r="Z166" t="s">
        <v>7</v>
      </c>
      <c r="AA166" s="1">
        <v>0.37672810000000001</v>
      </c>
      <c r="AB166" t="s">
        <v>8</v>
      </c>
      <c r="AC166" s="1">
        <v>0</v>
      </c>
      <c r="AD166" s="1">
        <v>0.206242155382063</v>
      </c>
    </row>
    <row r="167" spans="20:30">
      <c r="T167" t="s">
        <v>4</v>
      </c>
      <c r="U167">
        <v>0</v>
      </c>
      <c r="V167" t="s">
        <v>5</v>
      </c>
      <c r="W167">
        <v>164</v>
      </c>
      <c r="X167" t="s">
        <v>6</v>
      </c>
      <c r="Y167" s="1">
        <v>0.5</v>
      </c>
      <c r="Z167" t="s">
        <v>7</v>
      </c>
      <c r="AA167" s="1">
        <v>0.37903229999999999</v>
      </c>
      <c r="AB167" t="s">
        <v>8</v>
      </c>
      <c r="AC167" s="1">
        <v>0</v>
      </c>
      <c r="AD167" s="1">
        <v>0.20625677410472701</v>
      </c>
    </row>
    <row r="168" spans="20:30">
      <c r="T168" t="s">
        <v>4</v>
      </c>
      <c r="U168">
        <v>0</v>
      </c>
      <c r="V168" t="s">
        <v>5</v>
      </c>
      <c r="W168">
        <v>165</v>
      </c>
      <c r="X168" t="s">
        <v>6</v>
      </c>
      <c r="Y168" s="1">
        <v>0.5</v>
      </c>
      <c r="Z168" t="s">
        <v>7</v>
      </c>
      <c r="AA168" s="1">
        <v>0.38133640000000002</v>
      </c>
      <c r="AB168" t="s">
        <v>8</v>
      </c>
      <c r="AC168" s="1">
        <v>0</v>
      </c>
      <c r="AD168" s="1">
        <v>0.20626772683382</v>
      </c>
    </row>
    <row r="169" spans="20:30">
      <c r="T169" t="s">
        <v>4</v>
      </c>
      <c r="U169">
        <v>0</v>
      </c>
      <c r="V169" t="s">
        <v>5</v>
      </c>
      <c r="W169">
        <v>166</v>
      </c>
      <c r="X169" t="s">
        <v>6</v>
      </c>
      <c r="Y169" s="1">
        <v>0.5</v>
      </c>
      <c r="Z169" t="s">
        <v>7</v>
      </c>
      <c r="AA169" s="1">
        <v>0.3836406</v>
      </c>
      <c r="AB169" t="s">
        <v>8</v>
      </c>
      <c r="AC169" s="1">
        <v>0</v>
      </c>
      <c r="AD169" s="1">
        <v>0.206274909640035</v>
      </c>
    </row>
    <row r="170" spans="20:30">
      <c r="T170" t="s">
        <v>4</v>
      </c>
      <c r="U170">
        <v>0</v>
      </c>
      <c r="V170" t="s">
        <v>5</v>
      </c>
      <c r="W170">
        <v>167</v>
      </c>
      <c r="X170" t="s">
        <v>6</v>
      </c>
      <c r="Y170" s="1">
        <v>0.5</v>
      </c>
      <c r="Z170" t="s">
        <v>7</v>
      </c>
      <c r="AA170" s="1">
        <v>0.38594469999999997</v>
      </c>
      <c r="AB170" t="s">
        <v>8</v>
      </c>
      <c r="AC170" s="1">
        <v>0</v>
      </c>
      <c r="AD170" s="1">
        <v>0.206278219812012</v>
      </c>
    </row>
    <row r="171" spans="20:30">
      <c r="T171" t="s">
        <v>4</v>
      </c>
      <c r="U171">
        <v>0</v>
      </c>
      <c r="V171" t="s">
        <v>5</v>
      </c>
      <c r="W171">
        <v>168</v>
      </c>
      <c r="X171" t="s">
        <v>6</v>
      </c>
      <c r="Y171" s="1">
        <v>0.5</v>
      </c>
      <c r="Z171" t="s">
        <v>7</v>
      </c>
      <c r="AA171" s="1">
        <v>0.38824880000000001</v>
      </c>
      <c r="AB171" t="s">
        <v>8</v>
      </c>
      <c r="AC171" s="1">
        <v>0</v>
      </c>
      <c r="AD171" s="1">
        <v>0.20628385774775199</v>
      </c>
    </row>
    <row r="172" spans="20:30">
      <c r="T172" t="s">
        <v>4</v>
      </c>
      <c r="U172">
        <v>0</v>
      </c>
      <c r="V172" t="s">
        <v>5</v>
      </c>
      <c r="W172">
        <v>169</v>
      </c>
      <c r="X172" t="s">
        <v>6</v>
      </c>
      <c r="Y172" s="1">
        <v>0.5</v>
      </c>
      <c r="Z172" t="s">
        <v>7</v>
      </c>
      <c r="AA172" s="1">
        <v>0.39055299999999998</v>
      </c>
      <c r="AB172" t="s">
        <v>8</v>
      </c>
      <c r="AC172" s="1">
        <v>0</v>
      </c>
      <c r="AD172" s="1">
        <v>0.206291250739292</v>
      </c>
    </row>
    <row r="173" spans="20:30">
      <c r="T173" t="s">
        <v>4</v>
      </c>
      <c r="U173">
        <v>0</v>
      </c>
      <c r="V173" t="s">
        <v>5</v>
      </c>
      <c r="W173">
        <v>170</v>
      </c>
      <c r="X173" t="s">
        <v>6</v>
      </c>
      <c r="Y173" s="1">
        <v>0.5</v>
      </c>
      <c r="Z173" t="s">
        <v>7</v>
      </c>
      <c r="AA173" s="1">
        <v>0.39285710000000001</v>
      </c>
      <c r="AB173" t="s">
        <v>8</v>
      </c>
      <c r="AC173" s="1">
        <v>0</v>
      </c>
      <c r="AD173" s="1">
        <v>0.206293564948974</v>
      </c>
    </row>
    <row r="174" spans="20:30">
      <c r="T174" t="s">
        <v>4</v>
      </c>
      <c r="U174">
        <v>0</v>
      </c>
      <c r="V174" t="s">
        <v>5</v>
      </c>
      <c r="W174">
        <v>171</v>
      </c>
      <c r="X174" t="s">
        <v>6</v>
      </c>
      <c r="Y174" s="1">
        <v>0.5</v>
      </c>
      <c r="Z174" t="s">
        <v>7</v>
      </c>
      <c r="AA174" s="1">
        <v>0.39516129999999999</v>
      </c>
      <c r="AB174" t="s">
        <v>8</v>
      </c>
      <c r="AC174" s="1">
        <v>0</v>
      </c>
      <c r="AD174" s="1">
        <v>0.20629040159286899</v>
      </c>
    </row>
    <row r="175" spans="20:30">
      <c r="T175" t="s">
        <v>4</v>
      </c>
      <c r="U175">
        <v>0</v>
      </c>
      <c r="V175" t="s">
        <v>5</v>
      </c>
      <c r="W175">
        <v>172</v>
      </c>
      <c r="X175" t="s">
        <v>6</v>
      </c>
      <c r="Y175" s="1">
        <v>0.5</v>
      </c>
      <c r="Z175" t="s">
        <v>7</v>
      </c>
      <c r="AA175" s="1">
        <v>0.39746540000000002</v>
      </c>
      <c r="AB175" t="s">
        <v>8</v>
      </c>
      <c r="AC175" s="1">
        <v>0</v>
      </c>
      <c r="AD175" s="1">
        <v>0.20628136249139201</v>
      </c>
    </row>
    <row r="176" spans="20:30">
      <c r="T176" t="s">
        <v>4</v>
      </c>
      <c r="U176">
        <v>0</v>
      </c>
      <c r="V176" t="s">
        <v>5</v>
      </c>
      <c r="W176">
        <v>173</v>
      </c>
      <c r="X176" t="s">
        <v>6</v>
      </c>
      <c r="Y176" s="1">
        <v>0.5</v>
      </c>
      <c r="Z176" t="s">
        <v>7</v>
      </c>
      <c r="AA176" s="1">
        <v>0.3997696</v>
      </c>
      <c r="AB176" t="s">
        <v>8</v>
      </c>
      <c r="AC176" s="1">
        <v>0</v>
      </c>
      <c r="AD176" s="1">
        <v>0.20626605035370499</v>
      </c>
    </row>
    <row r="177" spans="20:30">
      <c r="T177" t="s">
        <v>4</v>
      </c>
      <c r="U177">
        <v>0</v>
      </c>
      <c r="V177" t="s">
        <v>5</v>
      </c>
      <c r="W177">
        <v>174</v>
      </c>
      <c r="X177" t="s">
        <v>6</v>
      </c>
      <c r="Y177" s="1">
        <v>0.5</v>
      </c>
      <c r="Z177" t="s">
        <v>7</v>
      </c>
      <c r="AA177" s="1">
        <v>0.40207369999999998</v>
      </c>
      <c r="AB177" t="s">
        <v>8</v>
      </c>
      <c r="AC177" s="1">
        <v>0</v>
      </c>
      <c r="AD177" s="1">
        <v>0.20624406909287199</v>
      </c>
    </row>
    <row r="178" spans="20:30">
      <c r="T178" t="s">
        <v>4</v>
      </c>
      <c r="U178">
        <v>0</v>
      </c>
      <c r="V178" t="s">
        <v>5</v>
      </c>
      <c r="W178">
        <v>175</v>
      </c>
      <c r="X178" t="s">
        <v>6</v>
      </c>
      <c r="Y178" s="1">
        <v>0.5</v>
      </c>
      <c r="Z178" t="s">
        <v>7</v>
      </c>
      <c r="AA178" s="1">
        <v>0.40437790000000001</v>
      </c>
      <c r="AB178" t="s">
        <v>8</v>
      </c>
      <c r="AC178" s="1">
        <v>0</v>
      </c>
      <c r="AD178" s="1">
        <v>0.206213562046481</v>
      </c>
    </row>
    <row r="179" spans="20:30">
      <c r="T179" t="s">
        <v>4</v>
      </c>
      <c r="U179">
        <v>0</v>
      </c>
      <c r="V179" t="s">
        <v>5</v>
      </c>
      <c r="W179">
        <v>176</v>
      </c>
      <c r="X179" t="s">
        <v>6</v>
      </c>
      <c r="Y179" s="1">
        <v>0.5</v>
      </c>
      <c r="Z179" t="s">
        <v>7</v>
      </c>
      <c r="AA179" s="1">
        <v>0.40668199999999999</v>
      </c>
      <c r="AB179" t="s">
        <v>8</v>
      </c>
      <c r="AC179" s="1">
        <v>0</v>
      </c>
      <c r="AD179" s="1">
        <v>0.206174397609972</v>
      </c>
    </row>
    <row r="180" spans="20:30">
      <c r="T180" t="s">
        <v>4</v>
      </c>
      <c r="U180">
        <v>0</v>
      </c>
      <c r="V180" t="s">
        <v>5</v>
      </c>
      <c r="W180">
        <v>177</v>
      </c>
      <c r="X180" t="s">
        <v>6</v>
      </c>
      <c r="Y180" s="1">
        <v>0.5</v>
      </c>
      <c r="Z180" t="s">
        <v>7</v>
      </c>
      <c r="AA180" s="1">
        <v>0.40898620000000002</v>
      </c>
      <c r="AB180" t="s">
        <v>8</v>
      </c>
      <c r="AC180" s="1">
        <v>0</v>
      </c>
      <c r="AD180" s="1">
        <v>0.206128049621251</v>
      </c>
    </row>
    <row r="181" spans="20:30">
      <c r="T181" t="s">
        <v>4</v>
      </c>
      <c r="U181">
        <v>0</v>
      </c>
      <c r="V181" t="s">
        <v>5</v>
      </c>
      <c r="W181">
        <v>178</v>
      </c>
      <c r="X181" t="s">
        <v>6</v>
      </c>
      <c r="Y181" s="1">
        <v>0.5</v>
      </c>
      <c r="Z181" t="s">
        <v>7</v>
      </c>
      <c r="AA181" s="1">
        <v>0.4112903</v>
      </c>
      <c r="AB181" t="s">
        <v>8</v>
      </c>
      <c r="AC181" s="1">
        <v>0</v>
      </c>
      <c r="AD181" s="1">
        <v>0.20607450176897399</v>
      </c>
    </row>
    <row r="182" spans="20:30">
      <c r="T182" t="s">
        <v>4</v>
      </c>
      <c r="U182">
        <v>0</v>
      </c>
      <c r="V182" t="s">
        <v>5</v>
      </c>
      <c r="W182">
        <v>179</v>
      </c>
      <c r="X182" t="s">
        <v>6</v>
      </c>
      <c r="Y182" s="1">
        <v>0.5</v>
      </c>
      <c r="Z182" t="s">
        <v>7</v>
      </c>
      <c r="AA182" s="1">
        <v>0.41359449999999998</v>
      </c>
      <c r="AB182" t="s">
        <v>8</v>
      </c>
      <c r="AC182" s="1">
        <v>0</v>
      </c>
      <c r="AD182" s="1">
        <v>0.206013741872863</v>
      </c>
    </row>
    <row r="183" spans="20:30">
      <c r="T183" t="s">
        <v>4</v>
      </c>
      <c r="U183">
        <v>0</v>
      </c>
      <c r="V183" t="s">
        <v>5</v>
      </c>
      <c r="W183">
        <v>180</v>
      </c>
      <c r="X183" t="s">
        <v>6</v>
      </c>
      <c r="Y183" s="1">
        <v>0.5</v>
      </c>
      <c r="Z183" t="s">
        <v>7</v>
      </c>
      <c r="AA183" s="1">
        <v>0.41589860000000001</v>
      </c>
      <c r="AB183" t="s">
        <v>8</v>
      </c>
      <c r="AC183" s="1">
        <v>0</v>
      </c>
      <c r="AD183" s="1">
        <v>0.20594576307412399</v>
      </c>
    </row>
    <row r="184" spans="20:30">
      <c r="T184" t="s">
        <v>4</v>
      </c>
      <c r="U184">
        <v>0</v>
      </c>
      <c r="V184" t="s">
        <v>5</v>
      </c>
      <c r="W184">
        <v>181</v>
      </c>
      <c r="X184" t="s">
        <v>6</v>
      </c>
      <c r="Y184" s="1">
        <v>0.5</v>
      </c>
      <c r="Z184" t="s">
        <v>7</v>
      </c>
      <c r="AA184" s="1">
        <v>0.41820279999999999</v>
      </c>
      <c r="AB184" t="s">
        <v>8</v>
      </c>
      <c r="AC184" s="1">
        <v>0</v>
      </c>
      <c r="AD184" s="1">
        <v>0.20587056517219099</v>
      </c>
    </row>
    <row r="185" spans="20:30">
      <c r="T185" t="s">
        <v>4</v>
      </c>
      <c r="U185">
        <v>0</v>
      </c>
      <c r="V185" t="s">
        <v>5</v>
      </c>
      <c r="W185">
        <v>182</v>
      </c>
      <c r="X185" t="s">
        <v>6</v>
      </c>
      <c r="Y185" s="1">
        <v>0.5</v>
      </c>
      <c r="Z185" t="s">
        <v>7</v>
      </c>
      <c r="AA185" s="1">
        <v>0.42050690000000002</v>
      </c>
      <c r="AB185" t="s">
        <v>8</v>
      </c>
      <c r="AC185" s="1">
        <v>0</v>
      </c>
      <c r="AD185" s="1">
        <v>0.20580134705731501</v>
      </c>
    </row>
    <row r="186" spans="20:30">
      <c r="T186" t="s">
        <v>4</v>
      </c>
      <c r="U186">
        <v>0</v>
      </c>
      <c r="V186" t="s">
        <v>5</v>
      </c>
      <c r="W186">
        <v>183</v>
      </c>
      <c r="X186" t="s">
        <v>6</v>
      </c>
      <c r="Y186" s="1">
        <v>0.5</v>
      </c>
      <c r="Z186" t="s">
        <v>7</v>
      </c>
      <c r="AA186" s="1">
        <v>0.4228111</v>
      </c>
      <c r="AB186" t="s">
        <v>8</v>
      </c>
      <c r="AC186" s="1">
        <v>0</v>
      </c>
      <c r="AD186" s="1">
        <v>0.205735087306185</v>
      </c>
    </row>
    <row r="187" spans="20:30">
      <c r="T187" t="s">
        <v>4</v>
      </c>
      <c r="U187">
        <v>0</v>
      </c>
      <c r="V187" t="s">
        <v>5</v>
      </c>
      <c r="W187">
        <v>184</v>
      </c>
      <c r="X187" t="s">
        <v>6</v>
      </c>
      <c r="Y187" s="1">
        <v>0.5</v>
      </c>
      <c r="Z187" t="s">
        <v>7</v>
      </c>
      <c r="AA187" s="1">
        <v>0.42511520000000003</v>
      </c>
      <c r="AB187" t="s">
        <v>8</v>
      </c>
      <c r="AC187" s="1">
        <v>0</v>
      </c>
      <c r="AD187" s="1">
        <v>0.205656171169768</v>
      </c>
    </row>
    <row r="188" spans="20:30">
      <c r="T188" t="s">
        <v>4</v>
      </c>
      <c r="U188">
        <v>0</v>
      </c>
      <c r="V188" t="s">
        <v>5</v>
      </c>
      <c r="W188">
        <v>185</v>
      </c>
      <c r="X188" t="s">
        <v>6</v>
      </c>
      <c r="Y188" s="1">
        <v>0.5</v>
      </c>
      <c r="Z188" t="s">
        <v>7</v>
      </c>
      <c r="AA188" s="1">
        <v>0.4274194</v>
      </c>
      <c r="AB188" t="s">
        <v>8</v>
      </c>
      <c r="AC188" s="1">
        <v>0</v>
      </c>
      <c r="AD188" s="1">
        <v>0.205563114648151</v>
      </c>
    </row>
    <row r="189" spans="20:30">
      <c r="T189" t="s">
        <v>4</v>
      </c>
      <c r="U189">
        <v>0</v>
      </c>
      <c r="V189" t="s">
        <v>5</v>
      </c>
      <c r="W189">
        <v>186</v>
      </c>
      <c r="X189" t="s">
        <v>6</v>
      </c>
      <c r="Y189" s="1">
        <v>0.5</v>
      </c>
      <c r="Z189" t="s">
        <v>7</v>
      </c>
      <c r="AA189" s="1">
        <v>0.42972349999999998</v>
      </c>
      <c r="AB189" t="s">
        <v>8</v>
      </c>
      <c r="AC189" s="1">
        <v>0</v>
      </c>
      <c r="AD189" s="1">
        <v>0.20545443420499501</v>
      </c>
    </row>
    <row r="190" spans="20:30">
      <c r="T190" t="s">
        <v>4</v>
      </c>
      <c r="U190">
        <v>0</v>
      </c>
      <c r="V190" t="s">
        <v>5</v>
      </c>
      <c r="W190">
        <v>187</v>
      </c>
      <c r="X190" t="s">
        <v>6</v>
      </c>
      <c r="Y190" s="1">
        <v>0.5</v>
      </c>
      <c r="Z190" t="s">
        <v>7</v>
      </c>
      <c r="AA190" s="1">
        <v>0.43202760000000001</v>
      </c>
      <c r="AB190" t="s">
        <v>8</v>
      </c>
      <c r="AC190" s="1">
        <v>0</v>
      </c>
      <c r="AD190" s="1">
        <v>0.20532865049816401</v>
      </c>
    </row>
    <row r="191" spans="20:30">
      <c r="T191" t="s">
        <v>4</v>
      </c>
      <c r="U191">
        <v>0</v>
      </c>
      <c r="V191" t="s">
        <v>5</v>
      </c>
      <c r="W191">
        <v>188</v>
      </c>
      <c r="X191" t="s">
        <v>6</v>
      </c>
      <c r="Y191" s="1">
        <v>0.5</v>
      </c>
      <c r="Z191" t="s">
        <v>7</v>
      </c>
      <c r="AA191" s="1">
        <v>0.43433179999999999</v>
      </c>
      <c r="AB191" t="s">
        <v>8</v>
      </c>
      <c r="AC191" s="1">
        <v>0</v>
      </c>
      <c r="AD191" s="1">
        <v>0.20518429262339899</v>
      </c>
    </row>
    <row r="192" spans="20:30">
      <c r="T192" t="s">
        <v>4</v>
      </c>
      <c r="U192">
        <v>0</v>
      </c>
      <c r="V192" t="s">
        <v>5</v>
      </c>
      <c r="W192">
        <v>189</v>
      </c>
      <c r="X192" t="s">
        <v>6</v>
      </c>
      <c r="Y192" s="1">
        <v>0.5</v>
      </c>
      <c r="Z192" t="s">
        <v>7</v>
      </c>
      <c r="AA192" s="1">
        <v>0.43663590000000002</v>
      </c>
      <c r="AB192" t="s">
        <v>8</v>
      </c>
      <c r="AC192" s="1">
        <v>0</v>
      </c>
      <c r="AD192" s="1">
        <v>0.205007662718141</v>
      </c>
    </row>
    <row r="193" spans="20:30">
      <c r="T193" t="s">
        <v>4</v>
      </c>
      <c r="U193">
        <v>0</v>
      </c>
      <c r="V193" t="s">
        <v>5</v>
      </c>
      <c r="W193">
        <v>190</v>
      </c>
      <c r="X193" t="s">
        <v>6</v>
      </c>
      <c r="Y193" s="1">
        <v>0.5</v>
      </c>
      <c r="Z193" t="s">
        <v>7</v>
      </c>
      <c r="AA193" s="1">
        <v>0.4389401</v>
      </c>
      <c r="AB193" t="s">
        <v>8</v>
      </c>
      <c r="AC193" s="1">
        <v>0</v>
      </c>
      <c r="AD193" s="1">
        <v>0.204800107200165</v>
      </c>
    </row>
    <row r="194" spans="20:30">
      <c r="T194" t="s">
        <v>4</v>
      </c>
      <c r="U194">
        <v>0</v>
      </c>
      <c r="V194" t="s">
        <v>5</v>
      </c>
      <c r="W194">
        <v>191</v>
      </c>
      <c r="X194" t="s">
        <v>6</v>
      </c>
      <c r="Y194" s="1">
        <v>0.5</v>
      </c>
      <c r="Z194" t="s">
        <v>7</v>
      </c>
      <c r="AA194" s="1">
        <v>0.44124419999999998</v>
      </c>
      <c r="AB194" t="s">
        <v>8</v>
      </c>
      <c r="AC194" s="1">
        <v>0</v>
      </c>
      <c r="AD194" s="1">
        <v>0.204575393444868</v>
      </c>
    </row>
    <row r="195" spans="20:30">
      <c r="T195" t="s">
        <v>4</v>
      </c>
      <c r="U195">
        <v>0</v>
      </c>
      <c r="V195" t="s">
        <v>5</v>
      </c>
      <c r="W195">
        <v>192</v>
      </c>
      <c r="X195" t="s">
        <v>6</v>
      </c>
      <c r="Y195" s="1">
        <v>0.5</v>
      </c>
      <c r="Z195" t="s">
        <v>7</v>
      </c>
      <c r="AA195" s="1">
        <v>0.44354840000000001</v>
      </c>
      <c r="AB195" t="s">
        <v>8</v>
      </c>
      <c r="AC195" s="1">
        <v>0</v>
      </c>
      <c r="AD195" s="1">
        <v>0.204334382038146</v>
      </c>
    </row>
    <row r="196" spans="20:30">
      <c r="T196" t="s">
        <v>4</v>
      </c>
      <c r="U196">
        <v>0</v>
      </c>
      <c r="V196" t="s">
        <v>5</v>
      </c>
      <c r="W196">
        <v>193</v>
      </c>
      <c r="X196" t="s">
        <v>6</v>
      </c>
      <c r="Y196" s="1">
        <v>0.5</v>
      </c>
      <c r="Z196" t="s">
        <v>7</v>
      </c>
      <c r="AA196" s="1">
        <v>0.44585249999999998</v>
      </c>
      <c r="AB196" t="s">
        <v>8</v>
      </c>
      <c r="AC196" s="1">
        <v>0</v>
      </c>
      <c r="AD196" s="1">
        <v>0.20407796043731799</v>
      </c>
    </row>
    <row r="197" spans="20:30">
      <c r="T197" t="s">
        <v>4</v>
      </c>
      <c r="U197">
        <v>0</v>
      </c>
      <c r="V197" t="s">
        <v>5</v>
      </c>
      <c r="W197">
        <v>194</v>
      </c>
      <c r="X197" t="s">
        <v>6</v>
      </c>
      <c r="Y197" s="1">
        <v>0.5</v>
      </c>
      <c r="Z197" t="s">
        <v>7</v>
      </c>
      <c r="AA197" s="1">
        <v>0.44815670000000002</v>
      </c>
      <c r="AB197" t="s">
        <v>8</v>
      </c>
      <c r="AC197" s="1">
        <v>0</v>
      </c>
      <c r="AD197" s="1">
        <v>0.203807060935352</v>
      </c>
    </row>
    <row r="198" spans="20:30">
      <c r="T198" t="s">
        <v>4</v>
      </c>
      <c r="U198">
        <v>0</v>
      </c>
      <c r="V198" t="s">
        <v>5</v>
      </c>
      <c r="W198">
        <v>195</v>
      </c>
      <c r="X198" t="s">
        <v>6</v>
      </c>
      <c r="Y198" s="1">
        <v>0.5</v>
      </c>
      <c r="Z198" t="s">
        <v>7</v>
      </c>
      <c r="AA198" s="1">
        <v>0.45046079999999999</v>
      </c>
      <c r="AB198" t="s">
        <v>8</v>
      </c>
      <c r="AC198" s="1">
        <v>0</v>
      </c>
      <c r="AD198" s="1">
        <v>0.20352268071273899</v>
      </c>
    </row>
    <row r="199" spans="20:30">
      <c r="T199" t="s">
        <v>4</v>
      </c>
      <c r="U199">
        <v>0</v>
      </c>
      <c r="V199" t="s">
        <v>5</v>
      </c>
      <c r="W199">
        <v>196</v>
      </c>
      <c r="X199" t="s">
        <v>6</v>
      </c>
      <c r="Y199" s="1">
        <v>0.5</v>
      </c>
      <c r="Z199" t="s">
        <v>7</v>
      </c>
      <c r="AA199" s="1">
        <v>0.45276499999999997</v>
      </c>
      <c r="AB199" t="s">
        <v>8</v>
      </c>
      <c r="AC199" s="1">
        <v>0</v>
      </c>
      <c r="AD199" s="1">
        <v>0.20323864402226599</v>
      </c>
    </row>
    <row r="200" spans="20:30">
      <c r="T200" t="s">
        <v>4</v>
      </c>
      <c r="U200">
        <v>0</v>
      </c>
      <c r="V200" t="s">
        <v>5</v>
      </c>
      <c r="W200">
        <v>197</v>
      </c>
      <c r="X200" t="s">
        <v>6</v>
      </c>
      <c r="Y200" s="1">
        <v>0.5</v>
      </c>
      <c r="Z200" t="s">
        <v>7</v>
      </c>
      <c r="AA200" s="1">
        <v>0.4550691</v>
      </c>
      <c r="AB200" t="s">
        <v>8</v>
      </c>
      <c r="AC200" s="1">
        <v>0</v>
      </c>
      <c r="AD200" s="1">
        <v>0.20293855643876699</v>
      </c>
    </row>
    <row r="201" spans="20:30">
      <c r="T201" t="s">
        <v>4</v>
      </c>
      <c r="U201">
        <v>0</v>
      </c>
      <c r="V201" t="s">
        <v>5</v>
      </c>
      <c r="W201">
        <v>198</v>
      </c>
      <c r="X201" t="s">
        <v>6</v>
      </c>
      <c r="Y201" s="1">
        <v>0.5</v>
      </c>
      <c r="Z201" t="s">
        <v>7</v>
      </c>
      <c r="AA201" s="1">
        <v>0.45737329999999998</v>
      </c>
      <c r="AB201" t="s">
        <v>8</v>
      </c>
      <c r="AC201" s="1">
        <v>0</v>
      </c>
      <c r="AD201" s="1">
        <v>0.20259682937744999</v>
      </c>
    </row>
    <row r="202" spans="20:30">
      <c r="T202" t="s">
        <v>4</v>
      </c>
      <c r="U202">
        <v>0</v>
      </c>
      <c r="V202" t="s">
        <v>5</v>
      </c>
      <c r="W202">
        <v>199</v>
      </c>
      <c r="X202" t="s">
        <v>6</v>
      </c>
      <c r="Y202" s="1">
        <v>0.5</v>
      </c>
      <c r="Z202" t="s">
        <v>7</v>
      </c>
      <c r="AA202" s="1">
        <v>0.45967740000000001</v>
      </c>
      <c r="AB202" t="s">
        <v>8</v>
      </c>
      <c r="AC202" s="1">
        <v>0</v>
      </c>
      <c r="AD202" s="1">
        <v>0.202206042554777</v>
      </c>
    </row>
    <row r="203" spans="20:30">
      <c r="T203" t="s">
        <v>4</v>
      </c>
      <c r="U203">
        <v>0</v>
      </c>
      <c r="V203" t="s">
        <v>5</v>
      </c>
      <c r="W203">
        <v>200</v>
      </c>
      <c r="X203" t="s">
        <v>6</v>
      </c>
      <c r="Y203" s="1">
        <v>0.5</v>
      </c>
      <c r="Z203" t="s">
        <v>7</v>
      </c>
      <c r="AA203" s="1">
        <v>0.46198159999999999</v>
      </c>
      <c r="AB203" t="s">
        <v>8</v>
      </c>
      <c r="AC203" s="1">
        <v>0</v>
      </c>
      <c r="AD203" s="1">
        <v>0.20175877423515401</v>
      </c>
    </row>
    <row r="204" spans="20:30">
      <c r="T204" t="s">
        <v>4</v>
      </c>
      <c r="U204">
        <v>0</v>
      </c>
      <c r="V204" t="s">
        <v>5</v>
      </c>
      <c r="W204">
        <v>201</v>
      </c>
      <c r="X204" t="s">
        <v>6</v>
      </c>
      <c r="Y204" s="1">
        <v>0.5</v>
      </c>
      <c r="Z204" t="s">
        <v>7</v>
      </c>
      <c r="AA204" s="1">
        <v>0.46428570000000002</v>
      </c>
      <c r="AB204" t="s">
        <v>8</v>
      </c>
      <c r="AC204" s="1">
        <v>0</v>
      </c>
      <c r="AD204" s="1">
        <v>0.20124765939651301</v>
      </c>
    </row>
    <row r="205" spans="20:30">
      <c r="T205" t="s">
        <v>4</v>
      </c>
      <c r="U205">
        <v>0</v>
      </c>
      <c r="V205" t="s">
        <v>5</v>
      </c>
      <c r="W205">
        <v>202</v>
      </c>
      <c r="X205" t="s">
        <v>6</v>
      </c>
      <c r="Y205" s="1">
        <v>0.5</v>
      </c>
      <c r="Z205" t="s">
        <v>7</v>
      </c>
      <c r="AA205" s="1">
        <v>0.4665899</v>
      </c>
      <c r="AB205" t="s">
        <v>8</v>
      </c>
      <c r="AC205" s="1">
        <v>0</v>
      </c>
      <c r="AD205" s="1">
        <v>0.20066545511654199</v>
      </c>
    </row>
    <row r="206" spans="20:30">
      <c r="T206" t="s">
        <v>4</v>
      </c>
      <c r="U206">
        <v>0</v>
      </c>
      <c r="V206" t="s">
        <v>5</v>
      </c>
      <c r="W206">
        <v>203</v>
      </c>
      <c r="X206" t="s">
        <v>6</v>
      </c>
      <c r="Y206" s="1">
        <v>0.5</v>
      </c>
      <c r="Z206" t="s">
        <v>7</v>
      </c>
      <c r="AA206" s="1">
        <v>0.46889399999999998</v>
      </c>
      <c r="AB206" t="s">
        <v>8</v>
      </c>
      <c r="AC206" s="1">
        <v>0</v>
      </c>
      <c r="AD206" s="1">
        <v>0.19994440000036601</v>
      </c>
    </row>
    <row r="207" spans="20:30">
      <c r="T207" t="s">
        <v>4</v>
      </c>
      <c r="U207">
        <v>0</v>
      </c>
      <c r="V207" t="s">
        <v>5</v>
      </c>
      <c r="W207">
        <v>204</v>
      </c>
      <c r="X207" t="s">
        <v>6</v>
      </c>
      <c r="Y207" s="1">
        <v>0.5</v>
      </c>
      <c r="Z207" t="s">
        <v>7</v>
      </c>
      <c r="AA207" s="1">
        <v>0.47119820000000001</v>
      </c>
      <c r="AB207" t="s">
        <v>8</v>
      </c>
      <c r="AC207" s="1">
        <v>0</v>
      </c>
      <c r="AD207" s="1">
        <v>0.19908192575502101</v>
      </c>
    </row>
    <row r="208" spans="20:30">
      <c r="T208" t="s">
        <v>4</v>
      </c>
      <c r="U208">
        <v>0</v>
      </c>
      <c r="V208" t="s">
        <v>5</v>
      </c>
      <c r="W208">
        <v>205</v>
      </c>
      <c r="X208" t="s">
        <v>6</v>
      </c>
      <c r="Y208" s="1">
        <v>0.5</v>
      </c>
      <c r="Z208" t="s">
        <v>7</v>
      </c>
      <c r="AA208" s="1">
        <v>0.47350229999999999</v>
      </c>
      <c r="AB208" t="s">
        <v>8</v>
      </c>
      <c r="AC208" s="1">
        <v>0</v>
      </c>
      <c r="AD208" s="1">
        <v>0.19814275837130299</v>
      </c>
    </row>
    <row r="209" spans="20:30">
      <c r="T209" t="s">
        <v>4</v>
      </c>
      <c r="U209">
        <v>0</v>
      </c>
      <c r="V209" t="s">
        <v>5</v>
      </c>
      <c r="W209">
        <v>206</v>
      </c>
      <c r="X209" t="s">
        <v>6</v>
      </c>
      <c r="Y209" s="1">
        <v>0.5</v>
      </c>
      <c r="Z209" t="s">
        <v>7</v>
      </c>
      <c r="AA209" s="1">
        <v>0.47580650000000002</v>
      </c>
      <c r="AB209" t="s">
        <v>8</v>
      </c>
      <c r="AC209" s="1">
        <v>0</v>
      </c>
      <c r="AD209" s="1">
        <v>0.197132083244108</v>
      </c>
    </row>
    <row r="210" spans="20:30">
      <c r="T210" t="s">
        <v>4</v>
      </c>
      <c r="U210">
        <v>0</v>
      </c>
      <c r="V210" t="s">
        <v>5</v>
      </c>
      <c r="W210">
        <v>207</v>
      </c>
      <c r="X210" t="s">
        <v>6</v>
      </c>
      <c r="Y210" s="1">
        <v>0.5</v>
      </c>
      <c r="Z210" t="s">
        <v>7</v>
      </c>
      <c r="AA210" s="1">
        <v>0.4781106</v>
      </c>
      <c r="AB210" t="s">
        <v>8</v>
      </c>
      <c r="AC210" s="1">
        <v>0</v>
      </c>
      <c r="AD210" s="1">
        <v>0.19605649063726199</v>
      </c>
    </row>
    <row r="211" spans="20:30">
      <c r="T211" t="s">
        <v>4</v>
      </c>
      <c r="U211">
        <v>0</v>
      </c>
      <c r="V211" t="s">
        <v>5</v>
      </c>
      <c r="W211">
        <v>208</v>
      </c>
      <c r="X211" t="s">
        <v>6</v>
      </c>
      <c r="Y211" s="1">
        <v>0.5</v>
      </c>
      <c r="Z211" t="s">
        <v>7</v>
      </c>
      <c r="AA211" s="1">
        <v>0.48041469999999997</v>
      </c>
      <c r="AB211" t="s">
        <v>8</v>
      </c>
      <c r="AC211" s="1">
        <v>0</v>
      </c>
      <c r="AD211" s="1">
        <v>0.19492481931757499</v>
      </c>
    </row>
    <row r="212" spans="20:30">
      <c r="T212" t="s">
        <v>4</v>
      </c>
      <c r="U212">
        <v>0</v>
      </c>
      <c r="V212" t="s">
        <v>5</v>
      </c>
      <c r="W212">
        <v>209</v>
      </c>
      <c r="X212" t="s">
        <v>6</v>
      </c>
      <c r="Y212" s="1">
        <v>0.5</v>
      </c>
      <c r="Z212" t="s">
        <v>7</v>
      </c>
      <c r="AA212" s="1">
        <v>0.48271890000000001</v>
      </c>
      <c r="AB212" t="s">
        <v>8</v>
      </c>
      <c r="AC212" s="1">
        <v>0</v>
      </c>
      <c r="AD212" s="1">
        <v>0.193749037069505</v>
      </c>
    </row>
    <row r="213" spans="20:30">
      <c r="T213" t="s">
        <v>4</v>
      </c>
      <c r="U213">
        <v>0</v>
      </c>
      <c r="V213" t="s">
        <v>5</v>
      </c>
      <c r="W213">
        <v>210</v>
      </c>
      <c r="X213" t="s">
        <v>6</v>
      </c>
      <c r="Y213" s="1">
        <v>0.5</v>
      </c>
      <c r="Z213" t="s">
        <v>7</v>
      </c>
      <c r="AA213" s="1">
        <v>0.48502299999999998</v>
      </c>
      <c r="AB213" t="s">
        <v>8</v>
      </c>
      <c r="AC213" s="1">
        <v>0</v>
      </c>
      <c r="AD213" s="1">
        <v>0.192126460228875</v>
      </c>
    </row>
    <row r="214" spans="20:30">
      <c r="T214" t="s">
        <v>4</v>
      </c>
      <c r="U214">
        <v>0</v>
      </c>
      <c r="V214" t="s">
        <v>5</v>
      </c>
      <c r="W214">
        <v>211</v>
      </c>
      <c r="X214" t="s">
        <v>6</v>
      </c>
      <c r="Y214" s="1">
        <v>0.5</v>
      </c>
      <c r="Z214" t="s">
        <v>7</v>
      </c>
      <c r="AA214" s="1">
        <v>0.48732720000000002</v>
      </c>
      <c r="AB214" t="s">
        <v>8</v>
      </c>
      <c r="AC214" s="1">
        <v>0</v>
      </c>
      <c r="AD214" s="1">
        <v>0.189756199029534</v>
      </c>
    </row>
    <row r="215" spans="20:30">
      <c r="T215" t="s">
        <v>4</v>
      </c>
      <c r="U215">
        <v>0</v>
      </c>
      <c r="V215" t="s">
        <v>5</v>
      </c>
      <c r="W215">
        <v>212</v>
      </c>
      <c r="X215" t="s">
        <v>6</v>
      </c>
      <c r="Y215" s="1">
        <v>0.5</v>
      </c>
      <c r="Z215" t="s">
        <v>7</v>
      </c>
      <c r="AA215" s="1">
        <v>0.48963129999999999</v>
      </c>
      <c r="AB215" t="s">
        <v>8</v>
      </c>
      <c r="AC215" s="1">
        <v>0</v>
      </c>
      <c r="AD215" s="1">
        <v>0.18679185194341</v>
      </c>
    </row>
    <row r="216" spans="20:30">
      <c r="T216" t="s">
        <v>4</v>
      </c>
      <c r="U216">
        <v>0</v>
      </c>
      <c r="V216" t="s">
        <v>5</v>
      </c>
      <c r="W216">
        <v>213</v>
      </c>
      <c r="X216" t="s">
        <v>6</v>
      </c>
      <c r="Y216" s="1">
        <v>0.5</v>
      </c>
      <c r="Z216" t="s">
        <v>7</v>
      </c>
      <c r="AA216" s="1">
        <v>0.49193550000000003</v>
      </c>
      <c r="AB216" t="s">
        <v>8</v>
      </c>
      <c r="AC216" s="1">
        <v>0</v>
      </c>
      <c r="AD216" s="1">
        <v>0.183070467690091</v>
      </c>
    </row>
    <row r="217" spans="20:30">
      <c r="T217" t="s">
        <v>4</v>
      </c>
      <c r="U217">
        <v>0</v>
      </c>
      <c r="V217" t="s">
        <v>5</v>
      </c>
      <c r="W217">
        <v>214</v>
      </c>
      <c r="X217" t="s">
        <v>6</v>
      </c>
      <c r="Y217" s="1">
        <v>0.5</v>
      </c>
      <c r="Z217" t="s">
        <v>7</v>
      </c>
      <c r="AA217" s="1">
        <v>0.4942396</v>
      </c>
      <c r="AB217" t="s">
        <v>8</v>
      </c>
      <c r="AC217" s="1">
        <v>0</v>
      </c>
      <c r="AD217" s="1">
        <v>0.17845709469892801</v>
      </c>
    </row>
    <row r="218" spans="20:30">
      <c r="T218" t="s">
        <v>4</v>
      </c>
      <c r="U218">
        <v>0</v>
      </c>
      <c r="V218" t="s">
        <v>5</v>
      </c>
      <c r="W218">
        <v>215</v>
      </c>
      <c r="X218" t="s">
        <v>6</v>
      </c>
      <c r="Y218" s="1">
        <v>0.5</v>
      </c>
      <c r="Z218" t="s">
        <v>7</v>
      </c>
      <c r="AA218" s="1">
        <v>0.49654379999999998</v>
      </c>
      <c r="AB218" t="s">
        <v>8</v>
      </c>
      <c r="AC218" s="1">
        <v>0</v>
      </c>
      <c r="AD218" s="1">
        <v>0.17286499990902199</v>
      </c>
    </row>
    <row r="219" spans="20:30">
      <c r="T219" t="s">
        <v>4</v>
      </c>
      <c r="U219">
        <v>0</v>
      </c>
      <c r="V219" t="s">
        <v>5</v>
      </c>
      <c r="W219">
        <v>216</v>
      </c>
      <c r="X219" t="s">
        <v>6</v>
      </c>
      <c r="Y219" s="1">
        <v>0.5</v>
      </c>
      <c r="Z219" t="s">
        <v>7</v>
      </c>
      <c r="AA219" s="1">
        <v>0.49884790000000001</v>
      </c>
      <c r="AB219" t="s">
        <v>8</v>
      </c>
      <c r="AC219" s="1">
        <v>0</v>
      </c>
      <c r="AD219" s="1">
        <v>0.16627773679514299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3FB0-C398-4F7C-ADAB-D9C4C257FFF5}">
  <dimension ref="A1:AO219"/>
  <sheetViews>
    <sheetView zoomScale="45" zoomScaleNormal="130" workbookViewId="0">
      <selection activeCell="T8" sqref="T8"/>
    </sheetView>
  </sheetViews>
  <sheetFormatPr defaultRowHeight="18"/>
  <sheetData>
    <row r="1" spans="1:41">
      <c r="A1" t="s">
        <v>0</v>
      </c>
      <c r="B1" t="s">
        <v>11</v>
      </c>
      <c r="C1" t="s">
        <v>1</v>
      </c>
      <c r="D1" t="s">
        <v>12</v>
      </c>
      <c r="S1" t="s">
        <v>1</v>
      </c>
      <c r="T1" t="s">
        <v>13</v>
      </c>
      <c r="AE1" t="s">
        <v>10</v>
      </c>
      <c r="AF1" t="s">
        <v>13</v>
      </c>
    </row>
    <row r="2" spans="1:41">
      <c r="A2" t="s">
        <v>2</v>
      </c>
      <c r="B2" t="s">
        <v>3</v>
      </c>
      <c r="S2" t="s">
        <v>2</v>
      </c>
      <c r="T2" t="s">
        <v>3</v>
      </c>
      <c r="AE2" t="s">
        <v>2</v>
      </c>
      <c r="AF2" t="s">
        <v>3</v>
      </c>
    </row>
    <row r="3" spans="1:41">
      <c r="A3" t="s">
        <v>4</v>
      </c>
      <c r="B3">
        <v>0</v>
      </c>
      <c r="C3" t="s">
        <v>5</v>
      </c>
      <c r="D3">
        <v>0</v>
      </c>
      <c r="E3" t="s">
        <v>6</v>
      </c>
      <c r="F3" s="1">
        <v>0.5</v>
      </c>
      <c r="G3" t="s">
        <v>7</v>
      </c>
      <c r="H3" s="1">
        <v>8.0645160000000007E-3</v>
      </c>
      <c r="I3" t="s">
        <v>8</v>
      </c>
      <c r="J3" s="1">
        <v>0</v>
      </c>
      <c r="K3" s="1">
        <v>0.20060054101702199</v>
      </c>
      <c r="S3" t="s">
        <v>4</v>
      </c>
      <c r="T3">
        <v>0</v>
      </c>
      <c r="U3" t="s">
        <v>5</v>
      </c>
      <c r="V3">
        <v>0</v>
      </c>
      <c r="W3" t="s">
        <v>6</v>
      </c>
      <c r="X3" s="1">
        <v>0.5</v>
      </c>
      <c r="Y3" t="s">
        <v>7</v>
      </c>
      <c r="Z3" s="1">
        <v>8.0645160000000007E-3</v>
      </c>
      <c r="AA3" t="s">
        <v>8</v>
      </c>
      <c r="AB3" s="1">
        <v>0</v>
      </c>
      <c r="AC3" s="1">
        <v>0.20064928331685</v>
      </c>
      <c r="AE3" t="s">
        <v>4</v>
      </c>
      <c r="AF3">
        <v>0</v>
      </c>
      <c r="AG3" t="s">
        <v>5</v>
      </c>
      <c r="AH3">
        <v>0</v>
      </c>
      <c r="AI3" t="s">
        <v>6</v>
      </c>
      <c r="AJ3" s="1">
        <v>0.5</v>
      </c>
      <c r="AK3" t="s">
        <v>7</v>
      </c>
      <c r="AL3" s="1">
        <v>1.1520739999999999E-3</v>
      </c>
      <c r="AM3" t="s">
        <v>8</v>
      </c>
      <c r="AN3" s="1">
        <v>0</v>
      </c>
      <c r="AO3" s="1">
        <v>0.20139351612919201</v>
      </c>
    </row>
    <row r="4" spans="1:41">
      <c r="A4" t="s">
        <v>4</v>
      </c>
      <c r="B4">
        <v>0</v>
      </c>
      <c r="C4" t="s">
        <v>5</v>
      </c>
      <c r="D4">
        <v>1</v>
      </c>
      <c r="E4" t="s">
        <v>6</v>
      </c>
      <c r="F4" s="1">
        <v>0.5</v>
      </c>
      <c r="G4" t="s">
        <v>7</v>
      </c>
      <c r="H4" s="1">
        <v>2.4193550000000001E-2</v>
      </c>
      <c r="I4" t="s">
        <v>8</v>
      </c>
      <c r="J4" s="1">
        <v>0</v>
      </c>
      <c r="K4" s="1">
        <v>0.20062643210105199</v>
      </c>
      <c r="S4" t="s">
        <v>4</v>
      </c>
      <c r="T4">
        <v>0</v>
      </c>
      <c r="U4" t="s">
        <v>5</v>
      </c>
      <c r="V4">
        <v>1</v>
      </c>
      <c r="W4" t="s">
        <v>6</v>
      </c>
      <c r="X4" s="1">
        <v>0.5</v>
      </c>
      <c r="Y4" t="s">
        <v>7</v>
      </c>
      <c r="Z4" s="1">
        <v>2.4193550000000001E-2</v>
      </c>
      <c r="AA4" t="s">
        <v>8</v>
      </c>
      <c r="AB4" s="1">
        <v>0</v>
      </c>
      <c r="AC4" s="1">
        <v>0.20066914256576199</v>
      </c>
      <c r="AE4" t="s">
        <v>4</v>
      </c>
      <c r="AF4">
        <v>0</v>
      </c>
      <c r="AG4" t="s">
        <v>5</v>
      </c>
      <c r="AH4">
        <v>1</v>
      </c>
      <c r="AI4" t="s">
        <v>6</v>
      </c>
      <c r="AJ4" s="1">
        <v>0.5</v>
      </c>
      <c r="AK4" t="s">
        <v>7</v>
      </c>
      <c r="AL4" s="1">
        <v>3.4562210000000002E-3</v>
      </c>
      <c r="AM4" t="s">
        <v>8</v>
      </c>
      <c r="AN4" s="1">
        <v>0</v>
      </c>
      <c r="AO4" s="1">
        <v>0.19990462831004199</v>
      </c>
    </row>
    <row r="5" spans="1:41">
      <c r="A5" t="s">
        <v>4</v>
      </c>
      <c r="B5">
        <v>0</v>
      </c>
      <c r="C5" t="s">
        <v>5</v>
      </c>
      <c r="D5">
        <v>2</v>
      </c>
      <c r="E5" t="s">
        <v>6</v>
      </c>
      <c r="F5" s="1">
        <v>0.5</v>
      </c>
      <c r="G5" t="s">
        <v>7</v>
      </c>
      <c r="H5" s="1">
        <v>4.0322579999999997E-2</v>
      </c>
      <c r="I5" t="s">
        <v>8</v>
      </c>
      <c r="J5" s="1">
        <v>0</v>
      </c>
      <c r="K5" s="1">
        <v>0.200678052299265</v>
      </c>
      <c r="S5" t="s">
        <v>4</v>
      </c>
      <c r="T5">
        <v>0</v>
      </c>
      <c r="U5" t="s">
        <v>5</v>
      </c>
      <c r="V5">
        <v>2</v>
      </c>
      <c r="W5" t="s">
        <v>6</v>
      </c>
      <c r="X5" s="1">
        <v>0.5</v>
      </c>
      <c r="Y5" t="s">
        <v>7</v>
      </c>
      <c r="Z5" s="1">
        <v>4.0322579999999997E-2</v>
      </c>
      <c r="AA5" t="s">
        <v>8</v>
      </c>
      <c r="AB5" s="1">
        <v>0</v>
      </c>
      <c r="AC5" s="1">
        <v>0.20072042771295001</v>
      </c>
      <c r="AE5" t="s">
        <v>4</v>
      </c>
      <c r="AF5">
        <v>0</v>
      </c>
      <c r="AG5" t="s">
        <v>5</v>
      </c>
      <c r="AH5">
        <v>2</v>
      </c>
      <c r="AI5" t="s">
        <v>6</v>
      </c>
      <c r="AJ5" s="1">
        <v>0.5</v>
      </c>
      <c r="AK5" t="s">
        <v>7</v>
      </c>
      <c r="AL5" s="1">
        <v>5.7603690000000004E-3</v>
      </c>
      <c r="AM5" t="s">
        <v>8</v>
      </c>
      <c r="AN5" s="1">
        <v>0</v>
      </c>
      <c r="AO5" s="1">
        <v>0.20139183845563499</v>
      </c>
    </row>
    <row r="6" spans="1:41">
      <c r="A6" t="s">
        <v>4</v>
      </c>
      <c r="B6">
        <v>0</v>
      </c>
      <c r="C6" t="s">
        <v>5</v>
      </c>
      <c r="D6">
        <v>3</v>
      </c>
      <c r="E6" t="s">
        <v>6</v>
      </c>
      <c r="F6" s="1">
        <v>0.5</v>
      </c>
      <c r="G6" t="s">
        <v>7</v>
      </c>
      <c r="H6" s="1">
        <v>5.6451609999999999E-2</v>
      </c>
      <c r="I6" t="s">
        <v>8</v>
      </c>
      <c r="J6" s="1">
        <v>0</v>
      </c>
      <c r="K6" s="1">
        <v>0.20075546697975699</v>
      </c>
      <c r="S6" t="s">
        <v>4</v>
      </c>
      <c r="T6">
        <v>0</v>
      </c>
      <c r="U6" t="s">
        <v>5</v>
      </c>
      <c r="V6">
        <v>3</v>
      </c>
      <c r="W6" t="s">
        <v>6</v>
      </c>
      <c r="X6" s="1">
        <v>0.5</v>
      </c>
      <c r="Y6" t="s">
        <v>7</v>
      </c>
      <c r="Z6" s="1">
        <v>5.6451609999999999E-2</v>
      </c>
      <c r="AA6" t="s">
        <v>8</v>
      </c>
      <c r="AB6" s="1">
        <v>0</v>
      </c>
      <c r="AC6" s="1">
        <v>0.20079732898764899</v>
      </c>
      <c r="AE6" t="s">
        <v>4</v>
      </c>
      <c r="AF6">
        <v>0</v>
      </c>
      <c r="AG6" t="s">
        <v>5</v>
      </c>
      <c r="AH6">
        <v>3</v>
      </c>
      <c r="AI6" t="s">
        <v>6</v>
      </c>
      <c r="AJ6" s="1">
        <v>0.5</v>
      </c>
      <c r="AK6" t="s">
        <v>7</v>
      </c>
      <c r="AL6" s="1">
        <v>8.0645160000000007E-3</v>
      </c>
      <c r="AM6" t="s">
        <v>8</v>
      </c>
      <c r="AN6" s="1">
        <v>0</v>
      </c>
      <c r="AO6" s="1">
        <v>0.199298906717467</v>
      </c>
    </row>
    <row r="7" spans="1:41">
      <c r="A7" t="s">
        <v>4</v>
      </c>
      <c r="B7">
        <v>0</v>
      </c>
      <c r="C7" t="s">
        <v>5</v>
      </c>
      <c r="D7">
        <v>4</v>
      </c>
      <c r="E7" t="s">
        <v>6</v>
      </c>
      <c r="F7" s="1">
        <v>0.5</v>
      </c>
      <c r="G7" t="s">
        <v>7</v>
      </c>
      <c r="H7" s="1">
        <v>7.2580649999999997E-2</v>
      </c>
      <c r="I7" t="s">
        <v>8</v>
      </c>
      <c r="J7" s="1">
        <v>0</v>
      </c>
      <c r="K7" s="1">
        <v>0.200858595692814</v>
      </c>
      <c r="S7" t="s">
        <v>4</v>
      </c>
      <c r="T7">
        <v>0</v>
      </c>
      <c r="U7" t="s">
        <v>5</v>
      </c>
      <c r="V7">
        <v>4</v>
      </c>
      <c r="W7" t="s">
        <v>6</v>
      </c>
      <c r="X7" s="1">
        <v>0.5</v>
      </c>
      <c r="Y7" t="s">
        <v>7</v>
      </c>
      <c r="Z7" s="1">
        <v>7.2580649999999997E-2</v>
      </c>
      <c r="AA7" t="s">
        <v>8</v>
      </c>
      <c r="AB7" s="1">
        <v>0</v>
      </c>
      <c r="AC7" s="1">
        <v>0.20089975602114299</v>
      </c>
      <c r="AE7" t="s">
        <v>4</v>
      </c>
      <c r="AF7">
        <v>0</v>
      </c>
      <c r="AG7" t="s">
        <v>5</v>
      </c>
      <c r="AH7">
        <v>4</v>
      </c>
      <c r="AI7" t="s">
        <v>6</v>
      </c>
      <c r="AJ7" s="1">
        <v>0.5</v>
      </c>
      <c r="AK7" t="s">
        <v>7</v>
      </c>
      <c r="AL7" s="1">
        <v>1.036866E-2</v>
      </c>
      <c r="AM7" t="s">
        <v>8</v>
      </c>
      <c r="AN7" s="1">
        <v>0</v>
      </c>
      <c r="AO7" s="1">
        <v>0.20139462226992699</v>
      </c>
    </row>
    <row r="8" spans="1:41">
      <c r="A8" t="s">
        <v>4</v>
      </c>
      <c r="B8">
        <v>0</v>
      </c>
      <c r="C8" t="s">
        <v>5</v>
      </c>
      <c r="D8">
        <v>5</v>
      </c>
      <c r="E8" t="s">
        <v>6</v>
      </c>
      <c r="F8" s="1">
        <v>0.5</v>
      </c>
      <c r="G8" t="s">
        <v>7</v>
      </c>
      <c r="H8" s="1">
        <v>8.8709679999999999E-2</v>
      </c>
      <c r="I8" t="s">
        <v>8</v>
      </c>
      <c r="J8" s="1">
        <v>0</v>
      </c>
      <c r="K8" s="1">
        <v>0.20098736097285599</v>
      </c>
      <c r="S8" t="s">
        <v>4</v>
      </c>
      <c r="T8">
        <v>0</v>
      </c>
      <c r="U8" t="s">
        <v>5</v>
      </c>
      <c r="V8">
        <v>5</v>
      </c>
      <c r="W8" t="s">
        <v>6</v>
      </c>
      <c r="X8" s="1">
        <v>0.5</v>
      </c>
      <c r="Y8" t="s">
        <v>7</v>
      </c>
      <c r="Z8" s="1">
        <v>8.8709679999999999E-2</v>
      </c>
      <c r="AA8" t="s">
        <v>8</v>
      </c>
      <c r="AB8" s="1">
        <v>0</v>
      </c>
      <c r="AC8" s="1">
        <v>0.20102761466249799</v>
      </c>
      <c r="AE8" t="s">
        <v>4</v>
      </c>
      <c r="AF8">
        <v>0</v>
      </c>
      <c r="AG8" t="s">
        <v>5</v>
      </c>
      <c r="AH8">
        <v>5</v>
      </c>
      <c r="AI8" t="s">
        <v>6</v>
      </c>
      <c r="AJ8" s="1">
        <v>0.5</v>
      </c>
      <c r="AK8" t="s">
        <v>7</v>
      </c>
      <c r="AL8" s="1">
        <v>1.267281E-2</v>
      </c>
      <c r="AM8" t="s">
        <v>8</v>
      </c>
      <c r="AN8" s="1">
        <v>0</v>
      </c>
      <c r="AO8" s="1">
        <v>0.199881155331501</v>
      </c>
    </row>
    <row r="9" spans="1:41">
      <c r="A9" t="s">
        <v>4</v>
      </c>
      <c r="B9">
        <v>0</v>
      </c>
      <c r="C9" t="s">
        <v>5</v>
      </c>
      <c r="D9">
        <v>6</v>
      </c>
      <c r="E9" t="s">
        <v>6</v>
      </c>
      <c r="F9" s="1">
        <v>0.5</v>
      </c>
      <c r="G9" t="s">
        <v>7</v>
      </c>
      <c r="H9" s="1">
        <v>0.10483870000000001</v>
      </c>
      <c r="I9" t="s">
        <v>8</v>
      </c>
      <c r="J9" s="1">
        <v>0</v>
      </c>
      <c r="K9" s="1">
        <v>0.20114162763211099</v>
      </c>
      <c r="S9" t="s">
        <v>4</v>
      </c>
      <c r="T9">
        <v>0</v>
      </c>
      <c r="U9" t="s">
        <v>5</v>
      </c>
      <c r="V9">
        <v>6</v>
      </c>
      <c r="W9" t="s">
        <v>6</v>
      </c>
      <c r="X9" s="1">
        <v>0.5</v>
      </c>
      <c r="Y9" t="s">
        <v>7</v>
      </c>
      <c r="Z9" s="1">
        <v>0.10483870000000001</v>
      </c>
      <c r="AA9" t="s">
        <v>8</v>
      </c>
      <c r="AB9" s="1">
        <v>0</v>
      </c>
      <c r="AC9" s="1">
        <v>0.20118074879970199</v>
      </c>
      <c r="AE9" t="s">
        <v>4</v>
      </c>
      <c r="AF9">
        <v>0</v>
      </c>
      <c r="AG9" t="s">
        <v>5</v>
      </c>
      <c r="AH9">
        <v>6</v>
      </c>
      <c r="AI9" t="s">
        <v>6</v>
      </c>
      <c r="AJ9" s="1">
        <v>0.5</v>
      </c>
      <c r="AK9" t="s">
        <v>7</v>
      </c>
      <c r="AL9" s="1">
        <v>1.4976959999999999E-2</v>
      </c>
      <c r="AM9" t="s">
        <v>8</v>
      </c>
      <c r="AN9" s="1">
        <v>0</v>
      </c>
      <c r="AO9" s="1">
        <v>0.20124333209199199</v>
      </c>
    </row>
    <row r="10" spans="1:41">
      <c r="A10" t="s">
        <v>4</v>
      </c>
      <c r="B10">
        <v>0</v>
      </c>
      <c r="C10" t="s">
        <v>5</v>
      </c>
      <c r="D10">
        <v>7</v>
      </c>
      <c r="E10" t="s">
        <v>6</v>
      </c>
      <c r="F10" s="1">
        <v>0.5</v>
      </c>
      <c r="G10" t="s">
        <v>7</v>
      </c>
      <c r="H10" s="1">
        <v>0.1209677</v>
      </c>
      <c r="I10" t="s">
        <v>8</v>
      </c>
      <c r="J10" s="1">
        <v>0</v>
      </c>
      <c r="K10" s="1">
        <v>0.20132120578340301</v>
      </c>
      <c r="S10" t="s">
        <v>4</v>
      </c>
      <c r="T10">
        <v>0</v>
      </c>
      <c r="U10" t="s">
        <v>5</v>
      </c>
      <c r="V10">
        <v>7</v>
      </c>
      <c r="W10" t="s">
        <v>6</v>
      </c>
      <c r="X10" s="1">
        <v>0.5</v>
      </c>
      <c r="Y10" t="s">
        <v>7</v>
      </c>
      <c r="Z10" s="1">
        <v>0.1209677</v>
      </c>
      <c r="AA10" t="s">
        <v>8</v>
      </c>
      <c r="AB10" s="1">
        <v>0</v>
      </c>
      <c r="AC10" s="1">
        <v>0.20135894123117601</v>
      </c>
      <c r="AE10" t="s">
        <v>4</v>
      </c>
      <c r="AF10">
        <v>0</v>
      </c>
      <c r="AG10" t="s">
        <v>5</v>
      </c>
      <c r="AH10">
        <v>7</v>
      </c>
      <c r="AI10" t="s">
        <v>6</v>
      </c>
      <c r="AJ10" s="1">
        <v>0.5</v>
      </c>
      <c r="AK10" t="s">
        <v>7</v>
      </c>
      <c r="AL10" s="1">
        <v>1.7281109999999999E-2</v>
      </c>
      <c r="AM10" t="s">
        <v>8</v>
      </c>
      <c r="AN10" s="1">
        <v>0</v>
      </c>
      <c r="AO10" s="1">
        <v>0.201247719904321</v>
      </c>
    </row>
    <row r="11" spans="1:41">
      <c r="A11" t="s">
        <v>4</v>
      </c>
      <c r="B11">
        <v>0</v>
      </c>
      <c r="C11" t="s">
        <v>5</v>
      </c>
      <c r="D11">
        <v>8</v>
      </c>
      <c r="E11" t="s">
        <v>6</v>
      </c>
      <c r="F11" s="1">
        <v>0.5</v>
      </c>
      <c r="G11" t="s">
        <v>7</v>
      </c>
      <c r="H11" s="1">
        <v>0.13709679999999999</v>
      </c>
      <c r="I11" t="s">
        <v>8</v>
      </c>
      <c r="J11" s="1">
        <v>0</v>
      </c>
      <c r="K11" s="1">
        <v>0.20152582168500899</v>
      </c>
      <c r="S11" t="s">
        <v>4</v>
      </c>
      <c r="T11">
        <v>0</v>
      </c>
      <c r="U11" t="s">
        <v>5</v>
      </c>
      <c r="V11">
        <v>8</v>
      </c>
      <c r="W11" t="s">
        <v>6</v>
      </c>
      <c r="X11" s="1">
        <v>0.5</v>
      </c>
      <c r="Y11" t="s">
        <v>7</v>
      </c>
      <c r="Z11" s="1">
        <v>0.13709679999999999</v>
      </c>
      <c r="AA11" t="s">
        <v>8</v>
      </c>
      <c r="AB11" s="1">
        <v>0</v>
      </c>
      <c r="AC11" s="1">
        <v>0.201561884074654</v>
      </c>
      <c r="AE11" t="s">
        <v>4</v>
      </c>
      <c r="AF11">
        <v>0</v>
      </c>
      <c r="AG11" t="s">
        <v>5</v>
      </c>
      <c r="AH11">
        <v>8</v>
      </c>
      <c r="AI11" t="s">
        <v>6</v>
      </c>
      <c r="AJ11" s="1">
        <v>0.5</v>
      </c>
      <c r="AK11" t="s">
        <v>7</v>
      </c>
      <c r="AL11" s="1">
        <v>1.9585249999999998E-2</v>
      </c>
      <c r="AM11" t="s">
        <v>8</v>
      </c>
      <c r="AN11" s="1">
        <v>0</v>
      </c>
      <c r="AO11" s="1">
        <v>0.19989345817225199</v>
      </c>
    </row>
    <row r="12" spans="1:41">
      <c r="A12" t="s">
        <v>4</v>
      </c>
      <c r="B12">
        <v>0</v>
      </c>
      <c r="C12" t="s">
        <v>5</v>
      </c>
      <c r="D12">
        <v>9</v>
      </c>
      <c r="E12" t="s">
        <v>6</v>
      </c>
      <c r="F12" s="1">
        <v>0.5</v>
      </c>
      <c r="G12" t="s">
        <v>7</v>
      </c>
      <c r="H12" s="1">
        <v>0.1532258</v>
      </c>
      <c r="I12" t="s">
        <v>8</v>
      </c>
      <c r="J12" s="1">
        <v>0</v>
      </c>
      <c r="K12" s="1">
        <v>0.201755090968121</v>
      </c>
      <c r="S12" t="s">
        <v>4</v>
      </c>
      <c r="T12">
        <v>0</v>
      </c>
      <c r="U12" t="s">
        <v>5</v>
      </c>
      <c r="V12">
        <v>9</v>
      </c>
      <c r="W12" t="s">
        <v>6</v>
      </c>
      <c r="X12" s="1">
        <v>0.5</v>
      </c>
      <c r="Y12" t="s">
        <v>7</v>
      </c>
      <c r="Z12" s="1">
        <v>0.1532258</v>
      </c>
      <c r="AA12" t="s">
        <v>8</v>
      </c>
      <c r="AB12" s="1">
        <v>0</v>
      </c>
      <c r="AC12" s="1">
        <v>0.20178915034941999</v>
      </c>
      <c r="AE12" t="s">
        <v>4</v>
      </c>
      <c r="AF12">
        <v>0</v>
      </c>
      <c r="AG12" t="s">
        <v>5</v>
      </c>
      <c r="AH12">
        <v>9</v>
      </c>
      <c r="AI12" t="s">
        <v>6</v>
      </c>
      <c r="AJ12" s="1">
        <v>0.5</v>
      </c>
      <c r="AK12" t="s">
        <v>7</v>
      </c>
      <c r="AL12" s="1">
        <v>2.18894E-2</v>
      </c>
      <c r="AM12" t="s">
        <v>8</v>
      </c>
      <c r="AN12" s="1">
        <v>0</v>
      </c>
      <c r="AO12" s="1">
        <v>0.20141397029291999</v>
      </c>
    </row>
    <row r="13" spans="1:41">
      <c r="A13" t="s">
        <v>4</v>
      </c>
      <c r="B13">
        <v>0</v>
      </c>
      <c r="C13" t="s">
        <v>5</v>
      </c>
      <c r="D13">
        <v>10</v>
      </c>
      <c r="E13" t="s">
        <v>6</v>
      </c>
      <c r="F13" s="1">
        <v>0.5</v>
      </c>
      <c r="G13" t="s">
        <v>7</v>
      </c>
      <c r="H13" s="1">
        <v>0.1693548</v>
      </c>
      <c r="I13" t="s">
        <v>8</v>
      </c>
      <c r="J13" s="1">
        <v>0</v>
      </c>
      <c r="K13" s="1">
        <v>0.20200848360896301</v>
      </c>
      <c r="S13" t="s">
        <v>4</v>
      </c>
      <c r="T13">
        <v>0</v>
      </c>
      <c r="U13" t="s">
        <v>5</v>
      </c>
      <c r="V13">
        <v>10</v>
      </c>
      <c r="W13" t="s">
        <v>6</v>
      </c>
      <c r="X13" s="1">
        <v>0.5</v>
      </c>
      <c r="Y13" t="s">
        <v>7</v>
      </c>
      <c r="Z13" s="1">
        <v>0.1693548</v>
      </c>
      <c r="AA13" t="s">
        <v>8</v>
      </c>
      <c r="AB13" s="1">
        <v>0</v>
      </c>
      <c r="AC13" s="1">
        <v>0.202040157673889</v>
      </c>
      <c r="AE13" t="s">
        <v>4</v>
      </c>
      <c r="AF13">
        <v>0</v>
      </c>
      <c r="AG13" t="s">
        <v>5</v>
      </c>
      <c r="AH13">
        <v>10</v>
      </c>
      <c r="AI13" t="s">
        <v>6</v>
      </c>
      <c r="AJ13" s="1">
        <v>0.5</v>
      </c>
      <c r="AK13" t="s">
        <v>7</v>
      </c>
      <c r="AL13" s="1">
        <v>2.4193550000000001E-2</v>
      </c>
      <c r="AM13" t="s">
        <v>8</v>
      </c>
      <c r="AN13" s="1">
        <v>0</v>
      </c>
      <c r="AO13" s="1">
        <v>0.199324694807366</v>
      </c>
    </row>
    <row r="14" spans="1:41">
      <c r="A14" t="s">
        <v>4</v>
      </c>
      <c r="B14">
        <v>0</v>
      </c>
      <c r="C14" t="s">
        <v>5</v>
      </c>
      <c r="D14">
        <v>11</v>
      </c>
      <c r="E14" t="s">
        <v>6</v>
      </c>
      <c r="F14" s="1">
        <v>0.5</v>
      </c>
      <c r="G14" t="s">
        <v>7</v>
      </c>
      <c r="H14" s="1">
        <v>0.18548390000000001</v>
      </c>
      <c r="I14" t="s">
        <v>8</v>
      </c>
      <c r="J14" s="1">
        <v>0</v>
      </c>
      <c r="K14" s="1">
        <v>0.20228527031417101</v>
      </c>
      <c r="S14" t="s">
        <v>4</v>
      </c>
      <c r="T14">
        <v>0</v>
      </c>
      <c r="U14" t="s">
        <v>5</v>
      </c>
      <c r="V14">
        <v>11</v>
      </c>
      <c r="W14" t="s">
        <v>6</v>
      </c>
      <c r="X14" s="1">
        <v>0.5</v>
      </c>
      <c r="Y14" t="s">
        <v>7</v>
      </c>
      <c r="Z14" s="1">
        <v>0.18548390000000001</v>
      </c>
      <c r="AA14" t="s">
        <v>8</v>
      </c>
      <c r="AB14" s="1">
        <v>0</v>
      </c>
      <c r="AC14" s="1">
        <v>0.20231411239202701</v>
      </c>
      <c r="AE14" t="s">
        <v>4</v>
      </c>
      <c r="AF14">
        <v>0</v>
      </c>
      <c r="AG14" t="s">
        <v>5</v>
      </c>
      <c r="AH14">
        <v>11</v>
      </c>
      <c r="AI14" t="s">
        <v>6</v>
      </c>
      <c r="AJ14" s="1">
        <v>0.5</v>
      </c>
      <c r="AK14" t="s">
        <v>7</v>
      </c>
      <c r="AL14" s="1">
        <v>2.6497699999999999E-2</v>
      </c>
      <c r="AM14" t="s">
        <v>8</v>
      </c>
      <c r="AN14" s="1">
        <v>0</v>
      </c>
      <c r="AO14" s="1">
        <v>0.201422307073575</v>
      </c>
    </row>
    <row r="15" spans="1:41">
      <c r="A15" t="s">
        <v>4</v>
      </c>
      <c r="B15">
        <v>0</v>
      </c>
      <c r="C15" t="s">
        <v>5</v>
      </c>
      <c r="D15">
        <v>12</v>
      </c>
      <c r="E15" t="s">
        <v>6</v>
      </c>
      <c r="F15" s="1">
        <v>0.5</v>
      </c>
      <c r="G15" t="s">
        <v>7</v>
      </c>
      <c r="H15" s="1">
        <v>0.20161290000000001</v>
      </c>
      <c r="I15" t="s">
        <v>8</v>
      </c>
      <c r="J15" s="1">
        <v>0</v>
      </c>
      <c r="K15" s="1">
        <v>0.20258446867981</v>
      </c>
      <c r="S15" t="s">
        <v>4</v>
      </c>
      <c r="T15">
        <v>0</v>
      </c>
      <c r="U15" t="s">
        <v>5</v>
      </c>
      <c r="V15">
        <v>12</v>
      </c>
      <c r="W15" t="s">
        <v>6</v>
      </c>
      <c r="X15" s="1">
        <v>0.5</v>
      </c>
      <c r="Y15" t="s">
        <v>7</v>
      </c>
      <c r="Z15" s="1">
        <v>0.20161290000000001</v>
      </c>
      <c r="AA15" t="s">
        <v>8</v>
      </c>
      <c r="AB15" s="1">
        <v>0</v>
      </c>
      <c r="AC15" s="1">
        <v>0.202609954300457</v>
      </c>
      <c r="AE15" t="s">
        <v>4</v>
      </c>
      <c r="AF15">
        <v>0</v>
      </c>
      <c r="AG15" t="s">
        <v>5</v>
      </c>
      <c r="AH15">
        <v>12</v>
      </c>
      <c r="AI15" t="s">
        <v>6</v>
      </c>
      <c r="AJ15" s="1">
        <v>0.5</v>
      </c>
      <c r="AK15" t="s">
        <v>7</v>
      </c>
      <c r="AL15" s="1">
        <v>2.8801839999999999E-2</v>
      </c>
      <c r="AM15" t="s">
        <v>8</v>
      </c>
      <c r="AN15" s="1">
        <v>0</v>
      </c>
      <c r="AO15" s="1">
        <v>0.19991391459909899</v>
      </c>
    </row>
    <row r="16" spans="1:41">
      <c r="A16" t="s">
        <v>4</v>
      </c>
      <c r="B16">
        <v>0</v>
      </c>
      <c r="C16" t="s">
        <v>5</v>
      </c>
      <c r="D16">
        <v>13</v>
      </c>
      <c r="E16" t="s">
        <v>6</v>
      </c>
      <c r="F16" s="1">
        <v>0.5</v>
      </c>
      <c r="G16" t="s">
        <v>7</v>
      </c>
      <c r="H16" s="1">
        <v>0.21774189999999999</v>
      </c>
      <c r="I16" t="s">
        <v>8</v>
      </c>
      <c r="J16" s="1">
        <v>0</v>
      </c>
      <c r="K16" s="1">
        <v>0.20290474356765401</v>
      </c>
      <c r="S16" t="s">
        <v>4</v>
      </c>
      <c r="T16">
        <v>0</v>
      </c>
      <c r="U16" t="s">
        <v>5</v>
      </c>
      <c r="V16">
        <v>13</v>
      </c>
      <c r="W16" t="s">
        <v>6</v>
      </c>
      <c r="X16" s="1">
        <v>0.5</v>
      </c>
      <c r="Y16" t="s">
        <v>7</v>
      </c>
      <c r="Z16" s="1">
        <v>0.21774189999999999</v>
      </c>
      <c r="AA16" t="s">
        <v>8</v>
      </c>
      <c r="AB16" s="1">
        <v>0</v>
      </c>
      <c r="AC16" s="1">
        <v>0.20292625353924501</v>
      </c>
      <c r="AE16" t="s">
        <v>4</v>
      </c>
      <c r="AF16">
        <v>0</v>
      </c>
      <c r="AG16" t="s">
        <v>5</v>
      </c>
      <c r="AH16">
        <v>13</v>
      </c>
      <c r="AI16" t="s">
        <v>6</v>
      </c>
      <c r="AJ16" s="1">
        <v>0.5</v>
      </c>
      <c r="AK16" t="s">
        <v>7</v>
      </c>
      <c r="AL16" s="1">
        <v>3.110599E-2</v>
      </c>
      <c r="AM16" t="s">
        <v>8</v>
      </c>
      <c r="AN16" s="1">
        <v>0</v>
      </c>
      <c r="AO16" s="1">
        <v>0.20127879447222599</v>
      </c>
    </row>
    <row r="17" spans="1:41">
      <c r="A17" t="s">
        <v>4</v>
      </c>
      <c r="B17">
        <v>0</v>
      </c>
      <c r="C17" t="s">
        <v>5</v>
      </c>
      <c r="D17">
        <v>14</v>
      </c>
      <c r="E17" t="s">
        <v>6</v>
      </c>
      <c r="F17" s="1">
        <v>0.5</v>
      </c>
      <c r="G17" t="s">
        <v>7</v>
      </c>
      <c r="H17" s="1">
        <v>0.233871</v>
      </c>
      <c r="I17" t="s">
        <v>8</v>
      </c>
      <c r="J17" s="1">
        <v>0</v>
      </c>
      <c r="K17" s="1">
        <v>0.203244319313026</v>
      </c>
      <c r="S17" t="s">
        <v>4</v>
      </c>
      <c r="T17">
        <v>0</v>
      </c>
      <c r="U17" t="s">
        <v>5</v>
      </c>
      <c r="V17">
        <v>14</v>
      </c>
      <c r="W17" t="s">
        <v>6</v>
      </c>
      <c r="X17" s="1">
        <v>0.5</v>
      </c>
      <c r="Y17" t="s">
        <v>7</v>
      </c>
      <c r="Z17" s="1">
        <v>0.233871</v>
      </c>
      <c r="AA17" t="s">
        <v>8</v>
      </c>
      <c r="AB17" s="1">
        <v>0</v>
      </c>
      <c r="AC17" s="1">
        <v>0.203261122709189</v>
      </c>
      <c r="AE17" t="s">
        <v>4</v>
      </c>
      <c r="AF17">
        <v>0</v>
      </c>
      <c r="AG17" t="s">
        <v>5</v>
      </c>
      <c r="AH17">
        <v>14</v>
      </c>
      <c r="AI17" t="s">
        <v>6</v>
      </c>
      <c r="AJ17" s="1">
        <v>0.5</v>
      </c>
      <c r="AK17" t="s">
        <v>7</v>
      </c>
      <c r="AL17" s="1">
        <v>3.3410139999999998E-2</v>
      </c>
      <c r="AM17" t="s">
        <v>8</v>
      </c>
      <c r="AN17" s="1">
        <v>0</v>
      </c>
      <c r="AO17" s="1">
        <v>0.20128756864032801</v>
      </c>
    </row>
    <row r="18" spans="1:41">
      <c r="A18" t="s">
        <v>4</v>
      </c>
      <c r="B18">
        <v>0</v>
      </c>
      <c r="C18" t="s">
        <v>5</v>
      </c>
      <c r="D18">
        <v>15</v>
      </c>
      <c r="E18" t="s">
        <v>6</v>
      </c>
      <c r="F18" s="1">
        <v>0.5</v>
      </c>
      <c r="G18" t="s">
        <v>7</v>
      </c>
      <c r="H18" s="1">
        <v>0.25</v>
      </c>
      <c r="I18" t="s">
        <v>8</v>
      </c>
      <c r="J18" s="1">
        <v>0</v>
      </c>
      <c r="K18" s="1">
        <v>0.20360078806780499</v>
      </c>
      <c r="S18" t="s">
        <v>4</v>
      </c>
      <c r="T18">
        <v>0</v>
      </c>
      <c r="U18" t="s">
        <v>5</v>
      </c>
      <c r="V18">
        <v>15</v>
      </c>
      <c r="W18" t="s">
        <v>6</v>
      </c>
      <c r="X18" s="1">
        <v>0.5</v>
      </c>
      <c r="Y18" t="s">
        <v>7</v>
      </c>
      <c r="Z18" s="1">
        <v>0.25</v>
      </c>
      <c r="AA18" t="s">
        <v>8</v>
      </c>
      <c r="AB18" s="1">
        <v>0</v>
      </c>
      <c r="AC18" s="1">
        <v>0.20361201952656099</v>
      </c>
      <c r="AE18" t="s">
        <v>4</v>
      </c>
      <c r="AF18">
        <v>0</v>
      </c>
      <c r="AG18" t="s">
        <v>5</v>
      </c>
      <c r="AH18">
        <v>15</v>
      </c>
      <c r="AI18" t="s">
        <v>6</v>
      </c>
      <c r="AJ18" s="1">
        <v>0.5</v>
      </c>
      <c r="AK18" t="s">
        <v>7</v>
      </c>
      <c r="AL18" s="1">
        <v>3.5714290000000003E-2</v>
      </c>
      <c r="AM18" t="s">
        <v>8</v>
      </c>
      <c r="AN18" s="1">
        <v>0</v>
      </c>
      <c r="AO18" s="1">
        <v>0.19993840509014801</v>
      </c>
    </row>
    <row r="19" spans="1:41">
      <c r="A19" t="s">
        <v>4</v>
      </c>
      <c r="B19">
        <v>0</v>
      </c>
      <c r="C19" t="s">
        <v>5</v>
      </c>
      <c r="D19">
        <v>16</v>
      </c>
      <c r="E19" t="s">
        <v>6</v>
      </c>
      <c r="F19" s="1">
        <v>0.5</v>
      </c>
      <c r="G19" t="s">
        <v>7</v>
      </c>
      <c r="H19" s="1">
        <v>0.266129</v>
      </c>
      <c r="I19" t="s">
        <v>8</v>
      </c>
      <c r="J19" s="1">
        <v>0</v>
      </c>
      <c r="K19" s="1">
        <v>0.20397096366401801</v>
      </c>
      <c r="S19" t="s">
        <v>4</v>
      </c>
      <c r="T19">
        <v>0</v>
      </c>
      <c r="U19" t="s">
        <v>5</v>
      </c>
      <c r="V19">
        <v>16</v>
      </c>
      <c r="W19" t="s">
        <v>6</v>
      </c>
      <c r="X19" s="1">
        <v>0.5</v>
      </c>
      <c r="Y19" t="s">
        <v>7</v>
      </c>
      <c r="Z19" s="1">
        <v>0.266129</v>
      </c>
      <c r="AA19" t="s">
        <v>8</v>
      </c>
      <c r="AB19" s="1">
        <v>0</v>
      </c>
      <c r="AC19" s="1">
        <v>0.20397560699721401</v>
      </c>
      <c r="AE19" t="s">
        <v>4</v>
      </c>
      <c r="AF19">
        <v>0</v>
      </c>
      <c r="AG19" t="s">
        <v>5</v>
      </c>
      <c r="AH19">
        <v>16</v>
      </c>
      <c r="AI19" t="s">
        <v>6</v>
      </c>
      <c r="AJ19" s="1">
        <v>0.5</v>
      </c>
      <c r="AK19" t="s">
        <v>7</v>
      </c>
      <c r="AL19" s="1">
        <v>3.8018429999999999E-2</v>
      </c>
      <c r="AM19" t="s">
        <v>8</v>
      </c>
      <c r="AN19" s="1">
        <v>0</v>
      </c>
      <c r="AO19" s="1">
        <v>0.20146098843072699</v>
      </c>
    </row>
    <row r="20" spans="1:41">
      <c r="A20" t="s">
        <v>4</v>
      </c>
      <c r="B20">
        <v>0</v>
      </c>
      <c r="C20" t="s">
        <v>5</v>
      </c>
      <c r="D20">
        <v>17</v>
      </c>
      <c r="E20" t="s">
        <v>6</v>
      </c>
      <c r="F20" s="1">
        <v>0.5</v>
      </c>
      <c r="G20" t="s">
        <v>7</v>
      </c>
      <c r="H20" s="1">
        <v>0.28225810000000001</v>
      </c>
      <c r="I20" t="s">
        <v>8</v>
      </c>
      <c r="J20" s="1">
        <v>0</v>
      </c>
      <c r="K20" s="1">
        <v>0.20435046699864801</v>
      </c>
      <c r="S20" t="s">
        <v>4</v>
      </c>
      <c r="T20">
        <v>0</v>
      </c>
      <c r="U20" t="s">
        <v>5</v>
      </c>
      <c r="V20">
        <v>17</v>
      </c>
      <c r="W20" t="s">
        <v>6</v>
      </c>
      <c r="X20" s="1">
        <v>0.5</v>
      </c>
      <c r="Y20" t="s">
        <v>7</v>
      </c>
      <c r="Z20" s="1">
        <v>0.28225810000000001</v>
      </c>
      <c r="AA20" t="s">
        <v>8</v>
      </c>
      <c r="AB20" s="1">
        <v>0</v>
      </c>
      <c r="AC20" s="1">
        <v>0.20434732855304399</v>
      </c>
      <c r="AE20" t="s">
        <v>4</v>
      </c>
      <c r="AF20">
        <v>0</v>
      </c>
      <c r="AG20" t="s">
        <v>5</v>
      </c>
      <c r="AH20">
        <v>17</v>
      </c>
      <c r="AI20" t="s">
        <v>6</v>
      </c>
      <c r="AJ20" s="1">
        <v>0.5</v>
      </c>
      <c r="AK20" t="s">
        <v>7</v>
      </c>
      <c r="AL20" s="1">
        <v>4.0322579999999997E-2</v>
      </c>
      <c r="AM20" t="s">
        <v>8</v>
      </c>
      <c r="AN20" s="1">
        <v>0</v>
      </c>
      <c r="AO20" s="1">
        <v>0.199375882487556</v>
      </c>
    </row>
    <row r="21" spans="1:41">
      <c r="A21" t="s">
        <v>4</v>
      </c>
      <c r="B21">
        <v>0</v>
      </c>
      <c r="C21" t="s">
        <v>5</v>
      </c>
      <c r="D21">
        <v>18</v>
      </c>
      <c r="E21" t="s">
        <v>6</v>
      </c>
      <c r="F21" s="1">
        <v>0.5</v>
      </c>
      <c r="G21" t="s">
        <v>7</v>
      </c>
      <c r="H21" s="1">
        <v>0.29838710000000002</v>
      </c>
      <c r="I21" t="s">
        <v>8</v>
      </c>
      <c r="J21" s="1">
        <v>0</v>
      </c>
      <c r="K21" s="1">
        <v>0.204733554170344</v>
      </c>
      <c r="S21" t="s">
        <v>4</v>
      </c>
      <c r="T21">
        <v>0</v>
      </c>
      <c r="U21" t="s">
        <v>5</v>
      </c>
      <c r="V21">
        <v>18</v>
      </c>
      <c r="W21" t="s">
        <v>6</v>
      </c>
      <c r="X21" s="1">
        <v>0.5</v>
      </c>
      <c r="Y21" t="s">
        <v>7</v>
      </c>
      <c r="Z21" s="1">
        <v>0.29838710000000002</v>
      </c>
      <c r="AA21" t="s">
        <v>8</v>
      </c>
      <c r="AB21" s="1">
        <v>0</v>
      </c>
      <c r="AC21" s="1">
        <v>0.20472126476602201</v>
      </c>
      <c r="AE21" t="s">
        <v>4</v>
      </c>
      <c r="AF21">
        <v>0</v>
      </c>
      <c r="AG21" t="s">
        <v>5</v>
      </c>
      <c r="AH21">
        <v>18</v>
      </c>
      <c r="AI21" t="s">
        <v>6</v>
      </c>
      <c r="AJ21" s="1">
        <v>0.5</v>
      </c>
      <c r="AK21" t="s">
        <v>7</v>
      </c>
      <c r="AL21" s="1">
        <v>4.2626730000000002E-2</v>
      </c>
      <c r="AM21" t="s">
        <v>8</v>
      </c>
      <c r="AN21" s="1">
        <v>0</v>
      </c>
      <c r="AO21" s="1">
        <v>0.201474844499265</v>
      </c>
    </row>
    <row r="22" spans="1:41">
      <c r="A22" t="s">
        <v>4</v>
      </c>
      <c r="B22">
        <v>0</v>
      </c>
      <c r="C22" t="s">
        <v>5</v>
      </c>
      <c r="D22">
        <v>19</v>
      </c>
      <c r="E22" t="s">
        <v>6</v>
      </c>
      <c r="F22" s="1">
        <v>0.5</v>
      </c>
      <c r="G22" t="s">
        <v>7</v>
      </c>
      <c r="H22" s="1">
        <v>0.31451610000000002</v>
      </c>
      <c r="I22" t="s">
        <v>8</v>
      </c>
      <c r="J22" s="1">
        <v>0</v>
      </c>
      <c r="K22" s="1">
        <v>0.20511189719564299</v>
      </c>
      <c r="S22" t="s">
        <v>4</v>
      </c>
      <c r="T22">
        <v>0</v>
      </c>
      <c r="U22" t="s">
        <v>5</v>
      </c>
      <c r="V22">
        <v>19</v>
      </c>
      <c r="W22" t="s">
        <v>6</v>
      </c>
      <c r="X22" s="1">
        <v>0.5</v>
      </c>
      <c r="Y22" t="s">
        <v>7</v>
      </c>
      <c r="Z22" s="1">
        <v>0.31451610000000002</v>
      </c>
      <c r="AA22" t="s">
        <v>8</v>
      </c>
      <c r="AB22" s="1">
        <v>0</v>
      </c>
      <c r="AC22" s="1">
        <v>0.20508889298219499</v>
      </c>
      <c r="AE22" t="s">
        <v>4</v>
      </c>
      <c r="AF22">
        <v>0</v>
      </c>
      <c r="AG22" t="s">
        <v>5</v>
      </c>
      <c r="AH22">
        <v>19</v>
      </c>
      <c r="AI22" t="s">
        <v>6</v>
      </c>
      <c r="AJ22" s="1">
        <v>0.5</v>
      </c>
      <c r="AK22" t="s">
        <v>7</v>
      </c>
      <c r="AL22" s="1">
        <v>4.4930879999999999E-2</v>
      </c>
      <c r="AM22" t="s">
        <v>8</v>
      </c>
      <c r="AN22" s="1">
        <v>0</v>
      </c>
      <c r="AO22" s="1">
        <v>0.19997257965427301</v>
      </c>
    </row>
    <row r="23" spans="1:41">
      <c r="A23" t="s">
        <v>4</v>
      </c>
      <c r="B23">
        <v>0</v>
      </c>
      <c r="C23" t="s">
        <v>5</v>
      </c>
      <c r="D23">
        <v>20</v>
      </c>
      <c r="E23" t="s">
        <v>6</v>
      </c>
      <c r="F23" s="1">
        <v>0.5</v>
      </c>
      <c r="G23" t="s">
        <v>7</v>
      </c>
      <c r="H23" s="1">
        <v>0.33064519999999997</v>
      </c>
      <c r="I23" t="s">
        <v>8</v>
      </c>
      <c r="J23" s="1">
        <v>0</v>
      </c>
      <c r="K23" s="1">
        <v>0.20547513597259401</v>
      </c>
      <c r="S23" t="s">
        <v>4</v>
      </c>
      <c r="T23">
        <v>0</v>
      </c>
      <c r="U23" t="s">
        <v>5</v>
      </c>
      <c r="V23">
        <v>20</v>
      </c>
      <c r="W23" t="s">
        <v>6</v>
      </c>
      <c r="X23" s="1">
        <v>0.5</v>
      </c>
      <c r="Y23" t="s">
        <v>7</v>
      </c>
      <c r="Z23" s="1">
        <v>0.33064519999999997</v>
      </c>
      <c r="AA23" t="s">
        <v>8</v>
      </c>
      <c r="AB23" s="1">
        <v>0</v>
      </c>
      <c r="AC23" s="1">
        <v>0.20543973648583</v>
      </c>
      <c r="AE23" t="s">
        <v>4</v>
      </c>
      <c r="AF23">
        <v>0</v>
      </c>
      <c r="AG23" t="s">
        <v>5</v>
      </c>
      <c r="AH23">
        <v>20</v>
      </c>
      <c r="AI23" t="s">
        <v>6</v>
      </c>
      <c r="AJ23" s="1">
        <v>0.5</v>
      </c>
      <c r="AK23" t="s">
        <v>7</v>
      </c>
      <c r="AL23" s="1">
        <v>4.7235020000000003E-2</v>
      </c>
      <c r="AM23" t="s">
        <v>8</v>
      </c>
      <c r="AN23" s="1">
        <v>0</v>
      </c>
      <c r="AO23" s="1">
        <v>0.20133933371936899</v>
      </c>
    </row>
    <row r="24" spans="1:41">
      <c r="A24" t="s">
        <v>4</v>
      </c>
      <c r="B24">
        <v>0</v>
      </c>
      <c r="C24" t="s">
        <v>5</v>
      </c>
      <c r="D24">
        <v>21</v>
      </c>
      <c r="E24" t="s">
        <v>6</v>
      </c>
      <c r="F24" s="1">
        <v>0.5</v>
      </c>
      <c r="G24" t="s">
        <v>7</v>
      </c>
      <c r="H24" s="1">
        <v>0.34677419999999998</v>
      </c>
      <c r="I24" t="s">
        <v>8</v>
      </c>
      <c r="J24" s="1">
        <v>0</v>
      </c>
      <c r="K24" s="1">
        <v>0.20580570009591201</v>
      </c>
      <c r="S24" t="s">
        <v>4</v>
      </c>
      <c r="T24">
        <v>0</v>
      </c>
      <c r="U24" t="s">
        <v>5</v>
      </c>
      <c r="V24">
        <v>21</v>
      </c>
      <c r="W24" t="s">
        <v>6</v>
      </c>
      <c r="X24" s="1">
        <v>0.5</v>
      </c>
      <c r="Y24" t="s">
        <v>7</v>
      </c>
      <c r="Z24" s="1">
        <v>0.34677419999999998</v>
      </c>
      <c r="AA24" t="s">
        <v>8</v>
      </c>
      <c r="AB24" s="1">
        <v>0</v>
      </c>
      <c r="AC24" s="1">
        <v>0.20575613856331301</v>
      </c>
      <c r="AE24" t="s">
        <v>4</v>
      </c>
      <c r="AF24">
        <v>0</v>
      </c>
      <c r="AG24" t="s">
        <v>5</v>
      </c>
      <c r="AH24">
        <v>21</v>
      </c>
      <c r="AI24" t="s">
        <v>6</v>
      </c>
      <c r="AJ24" s="1">
        <v>0.5</v>
      </c>
      <c r="AK24" t="s">
        <v>7</v>
      </c>
      <c r="AL24" s="1">
        <v>4.953917E-2</v>
      </c>
      <c r="AM24" t="s">
        <v>8</v>
      </c>
      <c r="AN24" s="1">
        <v>0</v>
      </c>
      <c r="AO24" s="1">
        <v>0.20135249713422099</v>
      </c>
    </row>
    <row r="25" spans="1:41">
      <c r="A25" t="s">
        <v>4</v>
      </c>
      <c r="B25">
        <v>0</v>
      </c>
      <c r="C25" t="s">
        <v>5</v>
      </c>
      <c r="D25">
        <v>22</v>
      </c>
      <c r="E25" t="s">
        <v>6</v>
      </c>
      <c r="F25" s="1">
        <v>0.5</v>
      </c>
      <c r="G25" t="s">
        <v>7</v>
      </c>
      <c r="H25" s="1">
        <v>0.36290319999999998</v>
      </c>
      <c r="I25" t="s">
        <v>8</v>
      </c>
      <c r="J25" s="1">
        <v>0</v>
      </c>
      <c r="K25" s="1">
        <v>0.20608553678845601</v>
      </c>
      <c r="S25" t="s">
        <v>4</v>
      </c>
      <c r="T25">
        <v>0</v>
      </c>
      <c r="U25" t="s">
        <v>5</v>
      </c>
      <c r="V25">
        <v>22</v>
      </c>
      <c r="W25" t="s">
        <v>6</v>
      </c>
      <c r="X25" s="1">
        <v>0.5</v>
      </c>
      <c r="Y25" t="s">
        <v>7</v>
      </c>
      <c r="Z25" s="1">
        <v>0.36290319999999998</v>
      </c>
      <c r="AA25" t="s">
        <v>8</v>
      </c>
      <c r="AB25" s="1">
        <v>0</v>
      </c>
      <c r="AC25" s="1">
        <v>0.20602028051628599</v>
      </c>
      <c r="AE25" t="s">
        <v>4</v>
      </c>
      <c r="AF25">
        <v>0</v>
      </c>
      <c r="AG25" t="s">
        <v>5</v>
      </c>
      <c r="AH25">
        <v>22</v>
      </c>
      <c r="AI25" t="s">
        <v>6</v>
      </c>
      <c r="AJ25" s="1">
        <v>0.5</v>
      </c>
      <c r="AK25" t="s">
        <v>7</v>
      </c>
      <c r="AL25" s="1">
        <v>5.1843319999999998E-2</v>
      </c>
      <c r="AM25" t="s">
        <v>8</v>
      </c>
      <c r="AN25" s="1">
        <v>0</v>
      </c>
      <c r="AO25" s="1">
        <v>0.200009302613915</v>
      </c>
    </row>
    <row r="26" spans="1:41">
      <c r="A26" t="s">
        <v>4</v>
      </c>
      <c r="B26">
        <v>0</v>
      </c>
      <c r="C26" t="s">
        <v>5</v>
      </c>
      <c r="D26">
        <v>23</v>
      </c>
      <c r="E26" t="s">
        <v>6</v>
      </c>
      <c r="F26" s="1">
        <v>0.5</v>
      </c>
      <c r="G26" t="s">
        <v>7</v>
      </c>
      <c r="H26" s="1">
        <v>0.37903229999999999</v>
      </c>
      <c r="I26" t="s">
        <v>8</v>
      </c>
      <c r="J26" s="1">
        <v>0</v>
      </c>
      <c r="K26" s="1">
        <v>0.206270808840119</v>
      </c>
      <c r="S26" t="s">
        <v>4</v>
      </c>
      <c r="T26">
        <v>0</v>
      </c>
      <c r="U26" t="s">
        <v>5</v>
      </c>
      <c r="V26">
        <v>23</v>
      </c>
      <c r="W26" t="s">
        <v>6</v>
      </c>
      <c r="X26" s="1">
        <v>0.5</v>
      </c>
      <c r="Y26" t="s">
        <v>7</v>
      </c>
      <c r="Z26" s="1">
        <v>0.37903229999999999</v>
      </c>
      <c r="AA26" t="s">
        <v>8</v>
      </c>
      <c r="AB26" s="1">
        <v>0</v>
      </c>
      <c r="AC26" s="1">
        <v>0.206188767862998</v>
      </c>
      <c r="AE26" t="s">
        <v>4</v>
      </c>
      <c r="AF26">
        <v>0</v>
      </c>
      <c r="AG26" t="s">
        <v>5</v>
      </c>
      <c r="AH26">
        <v>23</v>
      </c>
      <c r="AI26" t="s">
        <v>6</v>
      </c>
      <c r="AJ26" s="1">
        <v>0.5</v>
      </c>
      <c r="AK26" t="s">
        <v>7</v>
      </c>
      <c r="AL26" s="1">
        <v>5.4147470000000003E-2</v>
      </c>
      <c r="AM26" t="s">
        <v>8</v>
      </c>
      <c r="AN26" s="1">
        <v>0</v>
      </c>
      <c r="AO26" s="1">
        <v>0.20153284763287699</v>
      </c>
    </row>
    <row r="27" spans="1:41">
      <c r="A27" t="s">
        <v>4</v>
      </c>
      <c r="B27">
        <v>0</v>
      </c>
      <c r="C27" t="s">
        <v>5</v>
      </c>
      <c r="D27">
        <v>24</v>
      </c>
      <c r="E27" t="s">
        <v>6</v>
      </c>
      <c r="F27" s="1">
        <v>0.5</v>
      </c>
      <c r="G27" t="s">
        <v>7</v>
      </c>
      <c r="H27" s="1">
        <v>0.39516129999999999</v>
      </c>
      <c r="I27" t="s">
        <v>8</v>
      </c>
      <c r="J27" s="1">
        <v>0</v>
      </c>
      <c r="K27" s="1">
        <v>0.20633310284651099</v>
      </c>
      <c r="S27" t="s">
        <v>4</v>
      </c>
      <c r="T27">
        <v>0</v>
      </c>
      <c r="U27" t="s">
        <v>5</v>
      </c>
      <c r="V27">
        <v>24</v>
      </c>
      <c r="W27" t="s">
        <v>6</v>
      </c>
      <c r="X27" s="1">
        <v>0.5</v>
      </c>
      <c r="Y27" t="s">
        <v>7</v>
      </c>
      <c r="Z27" s="1">
        <v>0.39516129999999999</v>
      </c>
      <c r="AA27" t="s">
        <v>8</v>
      </c>
      <c r="AB27" s="1">
        <v>0</v>
      </c>
      <c r="AC27" s="1">
        <v>0.20623460160555299</v>
      </c>
      <c r="AE27" t="s">
        <v>4</v>
      </c>
      <c r="AF27">
        <v>0</v>
      </c>
      <c r="AG27" t="s">
        <v>5</v>
      </c>
      <c r="AH27">
        <v>24</v>
      </c>
      <c r="AI27" t="s">
        <v>6</v>
      </c>
      <c r="AJ27" s="1">
        <v>0.5</v>
      </c>
      <c r="AK27" t="s">
        <v>7</v>
      </c>
      <c r="AL27" s="1">
        <v>5.6451609999999999E-2</v>
      </c>
      <c r="AM27" t="s">
        <v>8</v>
      </c>
      <c r="AN27" s="1">
        <v>0</v>
      </c>
      <c r="AO27" s="1">
        <v>0.19945263508524799</v>
      </c>
    </row>
    <row r="28" spans="1:41">
      <c r="A28" t="s">
        <v>4</v>
      </c>
      <c r="B28">
        <v>0</v>
      </c>
      <c r="C28" t="s">
        <v>5</v>
      </c>
      <c r="D28">
        <v>25</v>
      </c>
      <c r="E28" t="s">
        <v>6</v>
      </c>
      <c r="F28" s="1">
        <v>0.5</v>
      </c>
      <c r="G28" t="s">
        <v>7</v>
      </c>
      <c r="H28" s="1">
        <v>0.4112903</v>
      </c>
      <c r="I28" t="s">
        <v>8</v>
      </c>
      <c r="J28" s="1">
        <v>0</v>
      </c>
      <c r="K28" s="1">
        <v>0.20614165428023101</v>
      </c>
      <c r="S28" t="s">
        <v>4</v>
      </c>
      <c r="T28">
        <v>0</v>
      </c>
      <c r="U28" t="s">
        <v>5</v>
      </c>
      <c r="V28">
        <v>25</v>
      </c>
      <c r="W28" t="s">
        <v>6</v>
      </c>
      <c r="X28" s="1">
        <v>0.5</v>
      </c>
      <c r="Y28" t="s">
        <v>7</v>
      </c>
      <c r="Z28" s="1">
        <v>0.4112903</v>
      </c>
      <c r="AA28" t="s">
        <v>8</v>
      </c>
      <c r="AB28" s="1">
        <v>0</v>
      </c>
      <c r="AC28" s="1">
        <v>0.206029100379578</v>
      </c>
      <c r="AE28" t="s">
        <v>4</v>
      </c>
      <c r="AF28">
        <v>0</v>
      </c>
      <c r="AG28" t="s">
        <v>5</v>
      </c>
      <c r="AH28">
        <v>25</v>
      </c>
      <c r="AI28" t="s">
        <v>6</v>
      </c>
      <c r="AJ28" s="1">
        <v>0.5</v>
      </c>
      <c r="AK28" t="s">
        <v>7</v>
      </c>
      <c r="AL28" s="1">
        <v>5.8755759999999997E-2</v>
      </c>
      <c r="AM28" t="s">
        <v>8</v>
      </c>
      <c r="AN28" s="1">
        <v>0</v>
      </c>
      <c r="AO28" s="1">
        <v>0.20155216147812599</v>
      </c>
    </row>
    <row r="29" spans="1:41">
      <c r="A29" t="s">
        <v>4</v>
      </c>
      <c r="B29">
        <v>0</v>
      </c>
      <c r="C29" t="s">
        <v>5</v>
      </c>
      <c r="D29">
        <v>26</v>
      </c>
      <c r="E29" t="s">
        <v>6</v>
      </c>
      <c r="F29" s="1">
        <v>0.5</v>
      </c>
      <c r="G29" t="s">
        <v>7</v>
      </c>
      <c r="H29" s="1">
        <v>0.4274194</v>
      </c>
      <c r="I29" t="s">
        <v>8</v>
      </c>
      <c r="J29" s="1">
        <v>0</v>
      </c>
      <c r="K29" s="1">
        <v>0.20565213091157</v>
      </c>
      <c r="S29" t="s">
        <v>4</v>
      </c>
      <c r="T29">
        <v>0</v>
      </c>
      <c r="U29" t="s">
        <v>5</v>
      </c>
      <c r="V29">
        <v>26</v>
      </c>
      <c r="W29" t="s">
        <v>6</v>
      </c>
      <c r="X29" s="1">
        <v>0.5</v>
      </c>
      <c r="Y29" t="s">
        <v>7</v>
      </c>
      <c r="Z29" s="1">
        <v>0.4274194</v>
      </c>
      <c r="AA29" t="s">
        <v>8</v>
      </c>
      <c r="AB29" s="1">
        <v>0</v>
      </c>
      <c r="AC29" s="1">
        <v>0.20553222563939499</v>
      </c>
      <c r="AE29" t="s">
        <v>4</v>
      </c>
      <c r="AF29">
        <v>0</v>
      </c>
      <c r="AG29" t="s">
        <v>5</v>
      </c>
      <c r="AH29">
        <v>26</v>
      </c>
      <c r="AI29" t="s">
        <v>6</v>
      </c>
      <c r="AJ29" s="1">
        <v>0.5</v>
      </c>
      <c r="AK29" t="s">
        <v>7</v>
      </c>
      <c r="AL29" s="1">
        <v>6.1059910000000002E-2</v>
      </c>
      <c r="AM29" t="s">
        <v>8</v>
      </c>
      <c r="AN29" s="1">
        <v>0</v>
      </c>
      <c r="AO29" s="1">
        <v>0.200057076425675</v>
      </c>
    </row>
    <row r="30" spans="1:41">
      <c r="A30" t="s">
        <v>4</v>
      </c>
      <c r="B30">
        <v>0</v>
      </c>
      <c r="C30" t="s">
        <v>5</v>
      </c>
      <c r="D30">
        <v>27</v>
      </c>
      <c r="E30" t="s">
        <v>6</v>
      </c>
      <c r="F30" s="1">
        <v>0.5</v>
      </c>
      <c r="G30" t="s">
        <v>7</v>
      </c>
      <c r="H30" s="1">
        <v>0.44354840000000001</v>
      </c>
      <c r="I30" t="s">
        <v>8</v>
      </c>
      <c r="J30" s="1">
        <v>0</v>
      </c>
      <c r="K30" s="1">
        <v>0.20441150638585601</v>
      </c>
      <c r="S30" t="s">
        <v>4</v>
      </c>
      <c r="T30">
        <v>0</v>
      </c>
      <c r="U30" t="s">
        <v>5</v>
      </c>
      <c r="V30">
        <v>27</v>
      </c>
      <c r="W30" t="s">
        <v>6</v>
      </c>
      <c r="X30" s="1">
        <v>0.5</v>
      </c>
      <c r="Y30" t="s">
        <v>7</v>
      </c>
      <c r="Z30" s="1">
        <v>0.44354840000000001</v>
      </c>
      <c r="AA30" t="s">
        <v>8</v>
      </c>
      <c r="AB30" s="1">
        <v>0</v>
      </c>
      <c r="AC30" s="1">
        <v>0.20429612032545699</v>
      </c>
      <c r="AE30" t="s">
        <v>4</v>
      </c>
      <c r="AF30">
        <v>0</v>
      </c>
      <c r="AG30" t="s">
        <v>5</v>
      </c>
      <c r="AH30">
        <v>27</v>
      </c>
      <c r="AI30" t="s">
        <v>6</v>
      </c>
      <c r="AJ30" s="1">
        <v>0.5</v>
      </c>
      <c r="AK30" t="s">
        <v>7</v>
      </c>
      <c r="AL30" s="1">
        <v>6.336406E-2</v>
      </c>
      <c r="AM30" t="s">
        <v>8</v>
      </c>
      <c r="AN30" s="1">
        <v>0</v>
      </c>
      <c r="AO30" s="1">
        <v>0.20142486194961401</v>
      </c>
    </row>
    <row r="31" spans="1:41">
      <c r="A31" t="s">
        <v>4</v>
      </c>
      <c r="B31">
        <v>0</v>
      </c>
      <c r="C31" t="s">
        <v>5</v>
      </c>
      <c r="D31">
        <v>28</v>
      </c>
      <c r="E31" t="s">
        <v>6</v>
      </c>
      <c r="F31" s="1">
        <v>0.5</v>
      </c>
      <c r="G31" t="s">
        <v>7</v>
      </c>
      <c r="H31" s="1">
        <v>0.45967740000000001</v>
      </c>
      <c r="I31" t="s">
        <v>8</v>
      </c>
      <c r="J31" s="1">
        <v>0</v>
      </c>
      <c r="K31" s="1">
        <v>0.20218738373134801</v>
      </c>
      <c r="S31" t="s">
        <v>4</v>
      </c>
      <c r="T31">
        <v>0</v>
      </c>
      <c r="U31" t="s">
        <v>5</v>
      </c>
      <c r="V31">
        <v>28</v>
      </c>
      <c r="W31" t="s">
        <v>6</v>
      </c>
      <c r="X31" s="1">
        <v>0.5</v>
      </c>
      <c r="Y31" t="s">
        <v>7</v>
      </c>
      <c r="Z31" s="1">
        <v>0.45967740000000001</v>
      </c>
      <c r="AA31" t="s">
        <v>8</v>
      </c>
      <c r="AB31" s="1">
        <v>0</v>
      </c>
      <c r="AC31" s="1">
        <v>0.202095395697659</v>
      </c>
      <c r="AE31" t="s">
        <v>4</v>
      </c>
      <c r="AF31">
        <v>0</v>
      </c>
      <c r="AG31" t="s">
        <v>5</v>
      </c>
      <c r="AH31">
        <v>28</v>
      </c>
      <c r="AI31" t="s">
        <v>6</v>
      </c>
      <c r="AJ31" s="1">
        <v>0.5</v>
      </c>
      <c r="AK31" t="s">
        <v>7</v>
      </c>
      <c r="AL31" s="1">
        <v>6.5668199999999996E-2</v>
      </c>
      <c r="AM31" t="s">
        <v>8</v>
      </c>
      <c r="AN31" s="1">
        <v>0</v>
      </c>
      <c r="AO31" s="1">
        <v>0.20144241524363801</v>
      </c>
    </row>
    <row r="32" spans="1:41">
      <c r="A32" t="s">
        <v>4</v>
      </c>
      <c r="B32">
        <v>0</v>
      </c>
      <c r="C32" t="s">
        <v>5</v>
      </c>
      <c r="D32">
        <v>29</v>
      </c>
      <c r="E32" t="s">
        <v>6</v>
      </c>
      <c r="F32" s="1">
        <v>0.5</v>
      </c>
      <c r="G32" t="s">
        <v>7</v>
      </c>
      <c r="H32" s="1">
        <v>0.47580650000000002</v>
      </c>
      <c r="I32" t="s">
        <v>8</v>
      </c>
      <c r="J32" s="1">
        <v>0</v>
      </c>
      <c r="K32" s="1">
        <v>0.19677419531620699</v>
      </c>
      <c r="S32" t="s">
        <v>4</v>
      </c>
      <c r="T32">
        <v>0</v>
      </c>
      <c r="U32" t="s">
        <v>5</v>
      </c>
      <c r="V32">
        <v>29</v>
      </c>
      <c r="W32" t="s">
        <v>6</v>
      </c>
      <c r="X32" s="1">
        <v>0.5</v>
      </c>
      <c r="Y32" t="s">
        <v>7</v>
      </c>
      <c r="Z32" s="1">
        <v>0.47580650000000002</v>
      </c>
      <c r="AA32" t="s">
        <v>8</v>
      </c>
      <c r="AB32" s="1">
        <v>0</v>
      </c>
      <c r="AC32" s="1">
        <v>0.19672752727336201</v>
      </c>
      <c r="AE32" t="s">
        <v>4</v>
      </c>
      <c r="AF32">
        <v>0</v>
      </c>
      <c r="AG32" t="s">
        <v>5</v>
      </c>
      <c r="AH32">
        <v>29</v>
      </c>
      <c r="AI32" t="s">
        <v>6</v>
      </c>
      <c r="AJ32" s="1">
        <v>0.5</v>
      </c>
      <c r="AK32" t="s">
        <v>7</v>
      </c>
      <c r="AL32" s="1">
        <v>6.7972350000000001E-2</v>
      </c>
      <c r="AM32" t="s">
        <v>8</v>
      </c>
      <c r="AN32" s="1">
        <v>0</v>
      </c>
      <c r="AO32" s="1">
        <v>0.20010597500079799</v>
      </c>
    </row>
    <row r="33" spans="1:41">
      <c r="A33" t="s">
        <v>4</v>
      </c>
      <c r="B33">
        <v>0</v>
      </c>
      <c r="C33" t="s">
        <v>5</v>
      </c>
      <c r="D33">
        <v>30</v>
      </c>
      <c r="E33" t="s">
        <v>6</v>
      </c>
      <c r="F33" s="1">
        <v>0.5</v>
      </c>
      <c r="G33" t="s">
        <v>7</v>
      </c>
      <c r="H33" s="1">
        <v>0.49193550000000003</v>
      </c>
      <c r="I33" t="s">
        <v>8</v>
      </c>
      <c r="J33" s="1">
        <v>0</v>
      </c>
      <c r="K33" s="1">
        <v>0.180016608880116</v>
      </c>
      <c r="S33" t="s">
        <v>4</v>
      </c>
      <c r="T33">
        <v>0</v>
      </c>
      <c r="U33" t="s">
        <v>5</v>
      </c>
      <c r="V33">
        <v>30</v>
      </c>
      <c r="W33" t="s">
        <v>6</v>
      </c>
      <c r="X33" s="1">
        <v>0.5</v>
      </c>
      <c r="Y33" t="s">
        <v>7</v>
      </c>
      <c r="Z33" s="1">
        <v>0.49193550000000003</v>
      </c>
      <c r="AA33" t="s">
        <v>8</v>
      </c>
      <c r="AB33" s="1">
        <v>0</v>
      </c>
      <c r="AC33" s="1">
        <v>0.180048454743785</v>
      </c>
      <c r="AE33" t="s">
        <v>4</v>
      </c>
      <c r="AF33">
        <v>0</v>
      </c>
      <c r="AG33" t="s">
        <v>5</v>
      </c>
      <c r="AH33">
        <v>30</v>
      </c>
      <c r="AI33" t="s">
        <v>6</v>
      </c>
      <c r="AJ33" s="1">
        <v>0.5</v>
      </c>
      <c r="AK33" t="s">
        <v>7</v>
      </c>
      <c r="AL33" s="1">
        <v>7.0276500000000006E-2</v>
      </c>
      <c r="AM33" t="s">
        <v>8</v>
      </c>
      <c r="AN33" s="1">
        <v>0</v>
      </c>
      <c r="AO33" s="1">
        <v>0.201629454673699</v>
      </c>
    </row>
    <row r="34" spans="1:41">
      <c r="AE34" t="s">
        <v>4</v>
      </c>
      <c r="AF34">
        <v>0</v>
      </c>
      <c r="AG34" t="s">
        <v>5</v>
      </c>
      <c r="AH34">
        <v>31</v>
      </c>
      <c r="AI34" t="s">
        <v>6</v>
      </c>
      <c r="AJ34" s="1">
        <v>0.5</v>
      </c>
      <c r="AK34" t="s">
        <v>7</v>
      </c>
      <c r="AL34" s="1">
        <v>7.2580649999999997E-2</v>
      </c>
      <c r="AM34" t="s">
        <v>8</v>
      </c>
      <c r="AN34" s="1">
        <v>0</v>
      </c>
      <c r="AO34" s="1">
        <v>0.199554780196878</v>
      </c>
    </row>
    <row r="35" spans="1:41">
      <c r="AE35" t="s">
        <v>4</v>
      </c>
      <c r="AF35">
        <v>0</v>
      </c>
      <c r="AG35" t="s">
        <v>5</v>
      </c>
      <c r="AH35">
        <v>32</v>
      </c>
      <c r="AI35" t="s">
        <v>6</v>
      </c>
      <c r="AJ35" s="1">
        <v>0.5</v>
      </c>
      <c r="AK35" t="s">
        <v>7</v>
      </c>
      <c r="AL35" s="1">
        <v>7.4884790000000007E-2</v>
      </c>
      <c r="AM35" t="s">
        <v>8</v>
      </c>
      <c r="AN35" s="1">
        <v>0</v>
      </c>
      <c r="AO35" s="1">
        <v>0.201654136093119</v>
      </c>
    </row>
    <row r="36" spans="1:41">
      <c r="AE36" t="s">
        <v>4</v>
      </c>
      <c r="AF36">
        <v>0</v>
      </c>
      <c r="AG36" t="s">
        <v>5</v>
      </c>
      <c r="AH36">
        <v>33</v>
      </c>
      <c r="AI36" t="s">
        <v>6</v>
      </c>
      <c r="AJ36" s="1">
        <v>0.5</v>
      </c>
      <c r="AK36" t="s">
        <v>7</v>
      </c>
      <c r="AL36" s="1">
        <v>7.7188939999999998E-2</v>
      </c>
      <c r="AM36" t="s">
        <v>8</v>
      </c>
      <c r="AN36" s="1">
        <v>0</v>
      </c>
      <c r="AO36" s="1">
        <v>0.20016734337928399</v>
      </c>
    </row>
    <row r="37" spans="1:41">
      <c r="AE37" t="s">
        <v>4</v>
      </c>
      <c r="AF37">
        <v>0</v>
      </c>
      <c r="AG37" t="s">
        <v>5</v>
      </c>
      <c r="AH37">
        <v>34</v>
      </c>
      <c r="AI37" t="s">
        <v>6</v>
      </c>
      <c r="AJ37" s="1">
        <v>0.5</v>
      </c>
      <c r="AK37" t="s">
        <v>7</v>
      </c>
      <c r="AL37" s="1">
        <v>7.9493090000000002E-2</v>
      </c>
      <c r="AM37" t="s">
        <v>8</v>
      </c>
      <c r="AN37" s="1">
        <v>0</v>
      </c>
      <c r="AO37" s="1">
        <v>0.20153527543747299</v>
      </c>
    </row>
    <row r="38" spans="1:41">
      <c r="AE38" t="s">
        <v>4</v>
      </c>
      <c r="AF38">
        <v>0</v>
      </c>
      <c r="AG38" t="s">
        <v>5</v>
      </c>
      <c r="AH38">
        <v>35</v>
      </c>
      <c r="AI38" t="s">
        <v>6</v>
      </c>
      <c r="AJ38" s="1">
        <v>0.5</v>
      </c>
      <c r="AK38" t="s">
        <v>7</v>
      </c>
      <c r="AL38" s="1">
        <v>8.1797239999999993E-2</v>
      </c>
      <c r="AM38" t="s">
        <v>8</v>
      </c>
      <c r="AN38" s="1">
        <v>0</v>
      </c>
      <c r="AO38" s="1">
        <v>0.201557218078429</v>
      </c>
    </row>
    <row r="39" spans="1:41">
      <c r="AE39" t="s">
        <v>4</v>
      </c>
      <c r="AF39">
        <v>0</v>
      </c>
      <c r="AG39" t="s">
        <v>5</v>
      </c>
      <c r="AH39">
        <v>36</v>
      </c>
      <c r="AI39" t="s">
        <v>6</v>
      </c>
      <c r="AJ39" s="1">
        <v>0.5</v>
      </c>
      <c r="AK39" t="s">
        <v>7</v>
      </c>
      <c r="AL39" s="1">
        <v>8.4101380000000003E-2</v>
      </c>
      <c r="AM39" t="s">
        <v>8</v>
      </c>
      <c r="AN39" s="1">
        <v>0</v>
      </c>
      <c r="AO39" s="1">
        <v>0.20022836535097999</v>
      </c>
    </row>
    <row r="40" spans="1:41">
      <c r="AE40" t="s">
        <v>4</v>
      </c>
      <c r="AF40">
        <v>0</v>
      </c>
      <c r="AG40" t="s">
        <v>5</v>
      </c>
      <c r="AH40">
        <v>37</v>
      </c>
      <c r="AI40" t="s">
        <v>6</v>
      </c>
      <c r="AJ40" s="1">
        <v>0.5</v>
      </c>
      <c r="AK40" t="s">
        <v>7</v>
      </c>
      <c r="AL40" s="1">
        <v>8.6405529999999994E-2</v>
      </c>
      <c r="AM40" t="s">
        <v>8</v>
      </c>
      <c r="AN40" s="1">
        <v>0</v>
      </c>
      <c r="AO40" s="1">
        <v>0.20175066794657101</v>
      </c>
    </row>
    <row r="41" spans="1:41">
      <c r="AE41" t="s">
        <v>4</v>
      </c>
      <c r="AF41">
        <v>0</v>
      </c>
      <c r="AG41" t="s">
        <v>5</v>
      </c>
      <c r="AH41">
        <v>38</v>
      </c>
      <c r="AI41" t="s">
        <v>6</v>
      </c>
      <c r="AJ41" s="1">
        <v>0.5</v>
      </c>
      <c r="AK41" t="s">
        <v>7</v>
      </c>
      <c r="AL41" s="1">
        <v>8.8709679999999999E-2</v>
      </c>
      <c r="AM41" t="s">
        <v>8</v>
      </c>
      <c r="AN41" s="1">
        <v>0</v>
      </c>
      <c r="AO41" s="1">
        <v>0.19968217808166999</v>
      </c>
    </row>
    <row r="42" spans="1:41">
      <c r="AE42" t="s">
        <v>4</v>
      </c>
      <c r="AF42">
        <v>0</v>
      </c>
      <c r="AG42" t="s">
        <v>5</v>
      </c>
      <c r="AH42">
        <v>39</v>
      </c>
      <c r="AI42" t="s">
        <v>6</v>
      </c>
      <c r="AJ42" s="1">
        <v>0.5</v>
      </c>
      <c r="AK42" t="s">
        <v>7</v>
      </c>
      <c r="AL42" s="1">
        <v>9.1013819999999995E-2</v>
      </c>
      <c r="AM42" t="s">
        <v>8</v>
      </c>
      <c r="AN42" s="1">
        <v>0</v>
      </c>
      <c r="AO42" s="1">
        <v>0.201780591759946</v>
      </c>
    </row>
    <row r="43" spans="1:41">
      <c r="AE43" t="s">
        <v>4</v>
      </c>
      <c r="AF43">
        <v>0</v>
      </c>
      <c r="AG43" t="s">
        <v>5</v>
      </c>
      <c r="AH43">
        <v>40</v>
      </c>
      <c r="AI43" t="s">
        <v>6</v>
      </c>
      <c r="AJ43" s="1">
        <v>0.5</v>
      </c>
      <c r="AK43" t="s">
        <v>7</v>
      </c>
      <c r="AL43" s="1">
        <v>9.331797E-2</v>
      </c>
      <c r="AM43" t="s">
        <v>8</v>
      </c>
      <c r="AN43" s="1">
        <v>0</v>
      </c>
      <c r="AO43" s="1">
        <v>0.200303249689642</v>
      </c>
    </row>
    <row r="44" spans="1:41">
      <c r="AE44" t="s">
        <v>4</v>
      </c>
      <c r="AF44">
        <v>0</v>
      </c>
      <c r="AG44" t="s">
        <v>5</v>
      </c>
      <c r="AH44">
        <v>41</v>
      </c>
      <c r="AI44" t="s">
        <v>6</v>
      </c>
      <c r="AJ44" s="1">
        <v>0.5</v>
      </c>
      <c r="AK44" t="s">
        <v>7</v>
      </c>
      <c r="AL44" s="1">
        <v>9.5622120000000005E-2</v>
      </c>
      <c r="AM44" t="s">
        <v>8</v>
      </c>
      <c r="AN44" s="1">
        <v>0</v>
      </c>
      <c r="AO44" s="1">
        <v>0.20167040754815599</v>
      </c>
    </row>
    <row r="45" spans="1:41">
      <c r="AE45" t="s">
        <v>4</v>
      </c>
      <c r="AF45">
        <v>0</v>
      </c>
      <c r="AG45" t="s">
        <v>5</v>
      </c>
      <c r="AH45">
        <v>42</v>
      </c>
      <c r="AI45" t="s">
        <v>6</v>
      </c>
      <c r="AJ45" s="1">
        <v>0.5</v>
      </c>
      <c r="AK45" t="s">
        <v>7</v>
      </c>
      <c r="AL45" s="1">
        <v>9.7926269999999996E-2</v>
      </c>
      <c r="AM45" t="s">
        <v>8</v>
      </c>
      <c r="AN45" s="1">
        <v>0</v>
      </c>
      <c r="AO45" s="1">
        <v>0.20169673523930601</v>
      </c>
    </row>
    <row r="46" spans="1:41">
      <c r="AE46" t="s">
        <v>4</v>
      </c>
      <c r="AF46">
        <v>0</v>
      </c>
      <c r="AG46" t="s">
        <v>5</v>
      </c>
      <c r="AH46">
        <v>43</v>
      </c>
      <c r="AI46" t="s">
        <v>6</v>
      </c>
      <c r="AJ46" s="1">
        <v>0.5</v>
      </c>
      <c r="AK46" t="s">
        <v>7</v>
      </c>
      <c r="AL46" s="1">
        <v>0.1002304</v>
      </c>
      <c r="AM46" t="s">
        <v>8</v>
      </c>
      <c r="AN46" s="1">
        <v>0</v>
      </c>
      <c r="AO46" s="1">
        <v>0.200376308236104</v>
      </c>
    </row>
    <row r="47" spans="1:41">
      <c r="AE47" t="s">
        <v>4</v>
      </c>
      <c r="AF47">
        <v>0</v>
      </c>
      <c r="AG47" t="s">
        <v>5</v>
      </c>
      <c r="AH47">
        <v>44</v>
      </c>
      <c r="AI47" t="s">
        <v>6</v>
      </c>
      <c r="AJ47" s="1">
        <v>0.5</v>
      </c>
      <c r="AK47" t="s">
        <v>7</v>
      </c>
      <c r="AL47" s="1">
        <v>0.1025346</v>
      </c>
      <c r="AM47" t="s">
        <v>8</v>
      </c>
      <c r="AN47" s="1">
        <v>0</v>
      </c>
      <c r="AO47" s="1">
        <v>0.201896278465796</v>
      </c>
    </row>
    <row r="48" spans="1:41">
      <c r="AE48" t="s">
        <v>4</v>
      </c>
      <c r="AF48">
        <v>0</v>
      </c>
      <c r="AG48" t="s">
        <v>5</v>
      </c>
      <c r="AH48">
        <v>45</v>
      </c>
      <c r="AI48" t="s">
        <v>6</v>
      </c>
      <c r="AJ48" s="1">
        <v>0.5</v>
      </c>
      <c r="AK48" t="s">
        <v>7</v>
      </c>
      <c r="AL48" s="1">
        <v>0.10483870000000001</v>
      </c>
      <c r="AM48" t="s">
        <v>8</v>
      </c>
      <c r="AN48" s="1">
        <v>0</v>
      </c>
      <c r="AO48" s="1">
        <v>0.19983459406531701</v>
      </c>
    </row>
    <row r="49" spans="31:41">
      <c r="AE49" t="s">
        <v>4</v>
      </c>
      <c r="AF49">
        <v>0</v>
      </c>
      <c r="AG49" t="s">
        <v>5</v>
      </c>
      <c r="AH49">
        <v>46</v>
      </c>
      <c r="AI49" t="s">
        <v>6</v>
      </c>
      <c r="AJ49" s="1">
        <v>0.5</v>
      </c>
      <c r="AK49" t="s">
        <v>7</v>
      </c>
      <c r="AL49" s="1">
        <v>0.1071429</v>
      </c>
      <c r="AM49" t="s">
        <v>8</v>
      </c>
      <c r="AN49" s="1">
        <v>0</v>
      </c>
      <c r="AO49" s="1">
        <v>0.20193127766215799</v>
      </c>
    </row>
    <row r="50" spans="31:41">
      <c r="AE50" t="s">
        <v>4</v>
      </c>
      <c r="AF50">
        <v>0</v>
      </c>
      <c r="AG50" t="s">
        <v>5</v>
      </c>
      <c r="AH50">
        <v>47</v>
      </c>
      <c r="AI50" t="s">
        <v>6</v>
      </c>
      <c r="AJ50" s="1">
        <v>0.5</v>
      </c>
      <c r="AK50" t="s">
        <v>7</v>
      </c>
      <c r="AL50" s="1">
        <v>0.109447</v>
      </c>
      <c r="AM50" t="s">
        <v>8</v>
      </c>
      <c r="AN50" s="1">
        <v>0</v>
      </c>
      <c r="AO50" s="1">
        <v>0.20046462512433499</v>
      </c>
    </row>
    <row r="51" spans="31:41">
      <c r="AE51" t="s">
        <v>4</v>
      </c>
      <c r="AF51">
        <v>0</v>
      </c>
      <c r="AG51" t="s">
        <v>5</v>
      </c>
      <c r="AH51">
        <v>48</v>
      </c>
      <c r="AI51" t="s">
        <v>6</v>
      </c>
      <c r="AJ51" s="1">
        <v>0.5</v>
      </c>
      <c r="AK51" t="s">
        <v>7</v>
      </c>
      <c r="AL51" s="1">
        <v>0.11175119999999999</v>
      </c>
      <c r="AM51" t="s">
        <v>8</v>
      </c>
      <c r="AN51" s="1">
        <v>0</v>
      </c>
      <c r="AO51" s="1">
        <v>0.20183002637030101</v>
      </c>
    </row>
    <row r="52" spans="31:41">
      <c r="AE52" t="s">
        <v>4</v>
      </c>
      <c r="AF52">
        <v>0</v>
      </c>
      <c r="AG52" t="s">
        <v>5</v>
      </c>
      <c r="AH52">
        <v>49</v>
      </c>
      <c r="AI52" t="s">
        <v>6</v>
      </c>
      <c r="AJ52" s="1">
        <v>0.5</v>
      </c>
      <c r="AK52" t="s">
        <v>7</v>
      </c>
      <c r="AL52" s="1">
        <v>0.1140553</v>
      </c>
      <c r="AM52" t="s">
        <v>8</v>
      </c>
      <c r="AN52" s="1">
        <v>0</v>
      </c>
      <c r="AO52" s="1">
        <v>0.20186072875553601</v>
      </c>
    </row>
    <row r="53" spans="31:41">
      <c r="AE53" t="s">
        <v>4</v>
      </c>
      <c r="AF53">
        <v>0</v>
      </c>
      <c r="AG53" t="s">
        <v>5</v>
      </c>
      <c r="AH53">
        <v>50</v>
      </c>
      <c r="AI53" t="s">
        <v>6</v>
      </c>
      <c r="AJ53" s="1">
        <v>0.5</v>
      </c>
      <c r="AK53" t="s">
        <v>7</v>
      </c>
      <c r="AL53" s="1">
        <v>0.1163594</v>
      </c>
      <c r="AM53" t="s">
        <v>8</v>
      </c>
      <c r="AN53" s="1">
        <v>0</v>
      </c>
      <c r="AO53" s="1">
        <v>0.20054960380351999</v>
      </c>
    </row>
    <row r="54" spans="31:41">
      <c r="AE54" t="s">
        <v>4</v>
      </c>
      <c r="AF54">
        <v>0</v>
      </c>
      <c r="AG54" t="s">
        <v>5</v>
      </c>
      <c r="AH54">
        <v>51</v>
      </c>
      <c r="AI54" t="s">
        <v>6</v>
      </c>
      <c r="AJ54" s="1">
        <v>0.5</v>
      </c>
      <c r="AK54" t="s">
        <v>7</v>
      </c>
      <c r="AL54" s="1">
        <v>0.11866359999999999</v>
      </c>
      <c r="AM54" t="s">
        <v>8</v>
      </c>
      <c r="AN54" s="1">
        <v>0</v>
      </c>
      <c r="AO54" s="1">
        <v>0.202065989633016</v>
      </c>
    </row>
    <row r="55" spans="31:41">
      <c r="AE55" t="s">
        <v>4</v>
      </c>
      <c r="AF55">
        <v>0</v>
      </c>
      <c r="AG55" t="s">
        <v>5</v>
      </c>
      <c r="AH55">
        <v>52</v>
      </c>
      <c r="AI55" t="s">
        <v>6</v>
      </c>
      <c r="AJ55" s="1">
        <v>0.5</v>
      </c>
      <c r="AK55" t="s">
        <v>7</v>
      </c>
      <c r="AL55" s="1">
        <v>0.1209677</v>
      </c>
      <c r="AM55" t="s">
        <v>8</v>
      </c>
      <c r="AN55" s="1">
        <v>0</v>
      </c>
      <c r="AO55" s="1">
        <v>0.20001172891135599</v>
      </c>
    </row>
    <row r="56" spans="31:41">
      <c r="AE56" t="s">
        <v>4</v>
      </c>
      <c r="AF56">
        <v>0</v>
      </c>
      <c r="AG56" t="s">
        <v>5</v>
      </c>
      <c r="AH56">
        <v>53</v>
      </c>
      <c r="AI56" t="s">
        <v>6</v>
      </c>
      <c r="AJ56" s="1">
        <v>0.5</v>
      </c>
      <c r="AK56" t="s">
        <v>7</v>
      </c>
      <c r="AL56" s="1">
        <v>0.1232719</v>
      </c>
      <c r="AM56" t="s">
        <v>8</v>
      </c>
      <c r="AN56" s="1">
        <v>0</v>
      </c>
      <c r="AO56" s="1">
        <v>0.20210584540069801</v>
      </c>
    </row>
    <row r="57" spans="31:41">
      <c r="AE57" t="s">
        <v>4</v>
      </c>
      <c r="AF57">
        <v>0</v>
      </c>
      <c r="AG57" t="s">
        <v>5</v>
      </c>
      <c r="AH57">
        <v>54</v>
      </c>
      <c r="AI57" t="s">
        <v>6</v>
      </c>
      <c r="AJ57" s="1">
        <v>0.5</v>
      </c>
      <c r="AK57" t="s">
        <v>7</v>
      </c>
      <c r="AL57" s="1">
        <v>0.12557599999999999</v>
      </c>
      <c r="AM57" t="s">
        <v>8</v>
      </c>
      <c r="AN57" s="1">
        <v>0</v>
      </c>
      <c r="AO57" s="1">
        <v>0.20065122509224401</v>
      </c>
    </row>
    <row r="58" spans="31:41">
      <c r="AE58" t="s">
        <v>4</v>
      </c>
      <c r="AF58">
        <v>0</v>
      </c>
      <c r="AG58" t="s">
        <v>5</v>
      </c>
      <c r="AH58">
        <v>55</v>
      </c>
      <c r="AI58" t="s">
        <v>6</v>
      </c>
      <c r="AJ58" s="1">
        <v>0.5</v>
      </c>
      <c r="AK58" t="s">
        <v>7</v>
      </c>
      <c r="AL58" s="1">
        <v>0.1278802</v>
      </c>
      <c r="AM58" t="s">
        <v>8</v>
      </c>
      <c r="AN58" s="1">
        <v>0</v>
      </c>
      <c r="AO58" s="1">
        <v>0.20201380474678399</v>
      </c>
    </row>
    <row r="59" spans="31:41">
      <c r="AE59" t="s">
        <v>4</v>
      </c>
      <c r="AF59">
        <v>0</v>
      </c>
      <c r="AG59" t="s">
        <v>5</v>
      </c>
      <c r="AH59">
        <v>56</v>
      </c>
      <c r="AI59" t="s">
        <v>6</v>
      </c>
      <c r="AJ59" s="1">
        <v>0.5</v>
      </c>
      <c r="AK59" t="s">
        <v>7</v>
      </c>
      <c r="AL59" s="1">
        <v>0.1301843</v>
      </c>
      <c r="AM59" t="s">
        <v>8</v>
      </c>
      <c r="AN59" s="1">
        <v>0</v>
      </c>
      <c r="AO59" s="1">
        <v>0.202048861886648</v>
      </c>
    </row>
    <row r="60" spans="31:41">
      <c r="AE60" t="s">
        <v>4</v>
      </c>
      <c r="AF60">
        <v>0</v>
      </c>
      <c r="AG60" t="s">
        <v>5</v>
      </c>
      <c r="AH60">
        <v>57</v>
      </c>
      <c r="AI60" t="s">
        <v>6</v>
      </c>
      <c r="AJ60" s="1">
        <v>0.5</v>
      </c>
      <c r="AK60" t="s">
        <v>7</v>
      </c>
      <c r="AL60" s="1">
        <v>0.13248850000000001</v>
      </c>
      <c r="AM60" t="s">
        <v>8</v>
      </c>
      <c r="AN60" s="1">
        <v>0</v>
      </c>
      <c r="AO60" s="1">
        <v>0.20074796431851399</v>
      </c>
    </row>
    <row r="61" spans="31:41">
      <c r="AE61" t="s">
        <v>4</v>
      </c>
      <c r="AF61">
        <v>0</v>
      </c>
      <c r="AG61" t="s">
        <v>5</v>
      </c>
      <c r="AH61">
        <v>58</v>
      </c>
      <c r="AI61" t="s">
        <v>6</v>
      </c>
      <c r="AJ61" s="1">
        <v>0.5</v>
      </c>
      <c r="AK61" t="s">
        <v>7</v>
      </c>
      <c r="AL61" s="1">
        <v>0.13479260000000001</v>
      </c>
      <c r="AM61" t="s">
        <v>8</v>
      </c>
      <c r="AN61" s="1">
        <v>0</v>
      </c>
      <c r="AO61" s="1">
        <v>0.20225938819536199</v>
      </c>
    </row>
    <row r="62" spans="31:41">
      <c r="AE62" t="s">
        <v>4</v>
      </c>
      <c r="AF62">
        <v>0</v>
      </c>
      <c r="AG62" t="s">
        <v>5</v>
      </c>
      <c r="AH62">
        <v>59</v>
      </c>
      <c r="AI62" t="s">
        <v>6</v>
      </c>
      <c r="AJ62" s="1">
        <v>0.5</v>
      </c>
      <c r="AK62" t="s">
        <v>7</v>
      </c>
      <c r="AL62" s="1">
        <v>0.13709679999999999</v>
      </c>
      <c r="AM62" t="s">
        <v>8</v>
      </c>
      <c r="AN62" s="1">
        <v>0</v>
      </c>
      <c r="AO62" s="1">
        <v>0.200213183882612</v>
      </c>
    </row>
    <row r="63" spans="31:41">
      <c r="AE63" t="s">
        <v>4</v>
      </c>
      <c r="AF63">
        <v>0</v>
      </c>
      <c r="AG63" t="s">
        <v>5</v>
      </c>
      <c r="AH63">
        <v>60</v>
      </c>
      <c r="AI63" t="s">
        <v>6</v>
      </c>
      <c r="AJ63" s="1">
        <v>0.5</v>
      </c>
      <c r="AK63" t="s">
        <v>7</v>
      </c>
      <c r="AL63" s="1">
        <v>0.13940089999999999</v>
      </c>
      <c r="AM63" t="s">
        <v>8</v>
      </c>
      <c r="AN63" s="1">
        <v>0</v>
      </c>
      <c r="AO63" s="1">
        <v>0.20230381741837999</v>
      </c>
    </row>
    <row r="64" spans="31:41">
      <c r="AE64" t="s">
        <v>4</v>
      </c>
      <c r="AF64">
        <v>0</v>
      </c>
      <c r="AG64" t="s">
        <v>5</v>
      </c>
      <c r="AH64">
        <v>61</v>
      </c>
      <c r="AI64" t="s">
        <v>6</v>
      </c>
      <c r="AJ64" s="1">
        <v>0.5</v>
      </c>
      <c r="AK64" t="s">
        <v>7</v>
      </c>
      <c r="AL64" s="1">
        <v>0.1417051</v>
      </c>
      <c r="AM64" t="s">
        <v>8</v>
      </c>
      <c r="AN64" s="1">
        <v>0</v>
      </c>
      <c r="AO64" s="1">
        <v>0.20086271613696499</v>
      </c>
    </row>
    <row r="65" spans="31:41">
      <c r="AE65" t="s">
        <v>4</v>
      </c>
      <c r="AF65">
        <v>0</v>
      </c>
      <c r="AG65" t="s">
        <v>5</v>
      </c>
      <c r="AH65">
        <v>62</v>
      </c>
      <c r="AI65" t="s">
        <v>6</v>
      </c>
      <c r="AJ65" s="1">
        <v>0.5</v>
      </c>
      <c r="AK65" t="s">
        <v>7</v>
      </c>
      <c r="AL65" s="1">
        <v>0.1440092</v>
      </c>
      <c r="AM65" t="s">
        <v>8</v>
      </c>
      <c r="AN65" s="1">
        <v>0</v>
      </c>
      <c r="AO65" s="1">
        <v>0.20222129305984499</v>
      </c>
    </row>
    <row r="66" spans="31:41">
      <c r="AE66" t="s">
        <v>4</v>
      </c>
      <c r="AF66">
        <v>0</v>
      </c>
      <c r="AG66" t="s">
        <v>5</v>
      </c>
      <c r="AH66">
        <v>63</v>
      </c>
      <c r="AI66" t="s">
        <v>6</v>
      </c>
      <c r="AJ66" s="1">
        <v>0.5</v>
      </c>
      <c r="AK66" t="s">
        <v>7</v>
      </c>
      <c r="AL66" s="1">
        <v>0.14631340000000001</v>
      </c>
      <c r="AM66" t="s">
        <v>8</v>
      </c>
      <c r="AN66" s="1">
        <v>0</v>
      </c>
      <c r="AO66" s="1">
        <v>0.20226067085107899</v>
      </c>
    </row>
    <row r="67" spans="31:41">
      <c r="AE67" t="s">
        <v>4</v>
      </c>
      <c r="AF67">
        <v>0</v>
      </c>
      <c r="AG67" t="s">
        <v>5</v>
      </c>
      <c r="AH67">
        <v>64</v>
      </c>
      <c r="AI67" t="s">
        <v>6</v>
      </c>
      <c r="AJ67" s="1">
        <v>0.5</v>
      </c>
      <c r="AK67" t="s">
        <v>7</v>
      </c>
      <c r="AL67" s="1">
        <v>0.14861750000000001</v>
      </c>
      <c r="AM67" t="s">
        <v>8</v>
      </c>
      <c r="AN67" s="1">
        <v>0</v>
      </c>
      <c r="AO67" s="1">
        <v>0.20097099828201101</v>
      </c>
    </row>
    <row r="68" spans="31:41">
      <c r="AE68" t="s">
        <v>4</v>
      </c>
      <c r="AF68">
        <v>0</v>
      </c>
      <c r="AG68" t="s">
        <v>5</v>
      </c>
      <c r="AH68">
        <v>65</v>
      </c>
      <c r="AI68" t="s">
        <v>6</v>
      </c>
      <c r="AJ68" s="1">
        <v>0.5</v>
      </c>
      <c r="AK68" t="s">
        <v>7</v>
      </c>
      <c r="AL68" s="1">
        <v>0.15092169999999999</v>
      </c>
      <c r="AM68" t="s">
        <v>8</v>
      </c>
      <c r="AN68" s="1">
        <v>0</v>
      </c>
      <c r="AO68" s="1">
        <v>0.20247590646885599</v>
      </c>
    </row>
    <row r="69" spans="31:41">
      <c r="AE69" t="s">
        <v>4</v>
      </c>
      <c r="AF69">
        <v>0</v>
      </c>
      <c r="AG69" t="s">
        <v>5</v>
      </c>
      <c r="AH69">
        <v>66</v>
      </c>
      <c r="AI69" t="s">
        <v>6</v>
      </c>
      <c r="AJ69" s="1">
        <v>0.5</v>
      </c>
      <c r="AK69" t="s">
        <v>7</v>
      </c>
      <c r="AL69" s="1">
        <v>0.1532258</v>
      </c>
      <c r="AM69" t="s">
        <v>8</v>
      </c>
      <c r="AN69" s="1">
        <v>0</v>
      </c>
      <c r="AO69" s="1">
        <v>0.20043843681965301</v>
      </c>
    </row>
    <row r="70" spans="31:41">
      <c r="AE70" t="s">
        <v>4</v>
      </c>
      <c r="AF70">
        <v>0</v>
      </c>
      <c r="AG70" t="s">
        <v>5</v>
      </c>
      <c r="AH70">
        <v>67</v>
      </c>
      <c r="AI70" t="s">
        <v>6</v>
      </c>
      <c r="AJ70" s="1">
        <v>0.5</v>
      </c>
      <c r="AK70" t="s">
        <v>7</v>
      </c>
      <c r="AL70" s="1">
        <v>0.15553</v>
      </c>
      <c r="AM70" t="s">
        <v>8</v>
      </c>
      <c r="AN70" s="1">
        <v>0</v>
      </c>
      <c r="AO70" s="1">
        <v>0.20252454492288499</v>
      </c>
    </row>
    <row r="71" spans="31:41">
      <c r="AE71" t="s">
        <v>4</v>
      </c>
      <c r="AF71">
        <v>0</v>
      </c>
      <c r="AG71" t="s">
        <v>5</v>
      </c>
      <c r="AH71">
        <v>68</v>
      </c>
      <c r="AI71" t="s">
        <v>6</v>
      </c>
      <c r="AJ71" s="1">
        <v>0.5</v>
      </c>
      <c r="AK71" t="s">
        <v>7</v>
      </c>
      <c r="AL71" s="1">
        <v>0.1578341</v>
      </c>
      <c r="AM71" t="s">
        <v>8</v>
      </c>
      <c r="AN71" s="1">
        <v>0</v>
      </c>
      <c r="AO71" s="1">
        <v>0.2010986477085</v>
      </c>
    </row>
    <row r="72" spans="31:41">
      <c r="AE72" t="s">
        <v>4</v>
      </c>
      <c r="AF72">
        <v>0</v>
      </c>
      <c r="AG72" t="s">
        <v>5</v>
      </c>
      <c r="AH72">
        <v>69</v>
      </c>
      <c r="AI72" t="s">
        <v>6</v>
      </c>
      <c r="AJ72" s="1">
        <v>0.5</v>
      </c>
      <c r="AK72" t="s">
        <v>7</v>
      </c>
      <c r="AL72" s="1">
        <v>0.16013820000000001</v>
      </c>
      <c r="AM72" t="s">
        <v>8</v>
      </c>
      <c r="AN72" s="1">
        <v>0</v>
      </c>
      <c r="AO72" s="1">
        <v>0.20245187703026901</v>
      </c>
    </row>
    <row r="73" spans="31:41">
      <c r="AE73" t="s">
        <v>4</v>
      </c>
      <c r="AF73">
        <v>0</v>
      </c>
      <c r="AG73" t="s">
        <v>5</v>
      </c>
      <c r="AH73">
        <v>70</v>
      </c>
      <c r="AI73" t="s">
        <v>6</v>
      </c>
      <c r="AJ73" s="1">
        <v>0.5</v>
      </c>
      <c r="AK73" t="s">
        <v>7</v>
      </c>
      <c r="AL73" s="1">
        <v>0.16244239999999999</v>
      </c>
      <c r="AM73" t="s">
        <v>8</v>
      </c>
      <c r="AN73" s="1">
        <v>0</v>
      </c>
      <c r="AO73" s="1">
        <v>0.20249552145792499</v>
      </c>
    </row>
    <row r="74" spans="31:41">
      <c r="AE74" t="s">
        <v>4</v>
      </c>
      <c r="AF74">
        <v>0</v>
      </c>
      <c r="AG74" t="s">
        <v>5</v>
      </c>
      <c r="AH74">
        <v>71</v>
      </c>
      <c r="AI74" t="s">
        <v>6</v>
      </c>
      <c r="AJ74" s="1">
        <v>0.5</v>
      </c>
      <c r="AK74" t="s">
        <v>7</v>
      </c>
      <c r="AL74" s="1">
        <v>0.16474649999999999</v>
      </c>
      <c r="AM74" t="s">
        <v>8</v>
      </c>
      <c r="AN74" s="1">
        <v>0</v>
      </c>
      <c r="AO74" s="1">
        <v>0.20121818752878401</v>
      </c>
    </row>
    <row r="75" spans="31:41">
      <c r="AE75" t="s">
        <v>4</v>
      </c>
      <c r="AF75">
        <v>0</v>
      </c>
      <c r="AG75" t="s">
        <v>5</v>
      </c>
      <c r="AH75">
        <v>72</v>
      </c>
      <c r="AI75" t="s">
        <v>6</v>
      </c>
      <c r="AJ75" s="1">
        <v>0.5</v>
      </c>
      <c r="AK75" t="s">
        <v>7</v>
      </c>
      <c r="AL75" s="1">
        <v>0.1670507</v>
      </c>
      <c r="AM75" t="s">
        <v>8</v>
      </c>
      <c r="AN75" s="1">
        <v>0</v>
      </c>
      <c r="AO75" s="1">
        <v>0.20271477413293801</v>
      </c>
    </row>
    <row r="76" spans="31:41">
      <c r="AE76" t="s">
        <v>4</v>
      </c>
      <c r="AF76">
        <v>0</v>
      </c>
      <c r="AG76" t="s">
        <v>5</v>
      </c>
      <c r="AH76">
        <v>73</v>
      </c>
      <c r="AI76" t="s">
        <v>6</v>
      </c>
      <c r="AJ76" s="1">
        <v>0.5</v>
      </c>
      <c r="AK76" t="s">
        <v>7</v>
      </c>
      <c r="AL76" s="1">
        <v>0.1693548</v>
      </c>
      <c r="AM76" t="s">
        <v>8</v>
      </c>
      <c r="AN76" s="1">
        <v>0</v>
      </c>
      <c r="AO76" s="1">
        <v>0.20068682289083201</v>
      </c>
    </row>
    <row r="77" spans="31:41">
      <c r="AE77" t="s">
        <v>4</v>
      </c>
      <c r="AF77">
        <v>0</v>
      </c>
      <c r="AG77" t="s">
        <v>5</v>
      </c>
      <c r="AH77">
        <v>74</v>
      </c>
      <c r="AI77" t="s">
        <v>6</v>
      </c>
      <c r="AJ77" s="1">
        <v>0.5</v>
      </c>
      <c r="AK77" t="s">
        <v>7</v>
      </c>
      <c r="AL77" s="1">
        <v>0.17165900000000001</v>
      </c>
      <c r="AM77" t="s">
        <v>8</v>
      </c>
      <c r="AN77" s="1">
        <v>0</v>
      </c>
      <c r="AO77" s="1">
        <v>0.20276715573367801</v>
      </c>
    </row>
    <row r="78" spans="31:41">
      <c r="AE78" t="s">
        <v>4</v>
      </c>
      <c r="AF78">
        <v>0</v>
      </c>
      <c r="AG78" t="s">
        <v>5</v>
      </c>
      <c r="AH78">
        <v>75</v>
      </c>
      <c r="AI78" t="s">
        <v>6</v>
      </c>
      <c r="AJ78" s="1">
        <v>0.5</v>
      </c>
      <c r="AK78" t="s">
        <v>7</v>
      </c>
      <c r="AL78" s="1">
        <v>0.17396310000000001</v>
      </c>
      <c r="AM78" t="s">
        <v>8</v>
      </c>
      <c r="AN78" s="1">
        <v>0</v>
      </c>
      <c r="AO78" s="1">
        <v>0.20135841072921301</v>
      </c>
    </row>
    <row r="79" spans="31:41">
      <c r="AE79" t="s">
        <v>4</v>
      </c>
      <c r="AF79">
        <v>0</v>
      </c>
      <c r="AG79" t="s">
        <v>5</v>
      </c>
      <c r="AH79">
        <v>76</v>
      </c>
      <c r="AI79" t="s">
        <v>6</v>
      </c>
      <c r="AJ79" s="1">
        <v>0.5</v>
      </c>
      <c r="AK79" t="s">
        <v>7</v>
      </c>
      <c r="AL79" s="1">
        <v>0.17626729999999999</v>
      </c>
      <c r="AM79" t="s">
        <v>8</v>
      </c>
      <c r="AN79" s="1">
        <v>0</v>
      </c>
      <c r="AO79" s="1">
        <v>0.202704728938402</v>
      </c>
    </row>
    <row r="80" spans="31:41">
      <c r="AE80" t="s">
        <v>4</v>
      </c>
      <c r="AF80">
        <v>0</v>
      </c>
      <c r="AG80" t="s">
        <v>5</v>
      </c>
      <c r="AH80">
        <v>77</v>
      </c>
      <c r="AI80" t="s">
        <v>6</v>
      </c>
      <c r="AJ80" s="1">
        <v>0.5</v>
      </c>
      <c r="AK80" t="s">
        <v>7</v>
      </c>
      <c r="AL80" s="1">
        <v>0.17857139999999999</v>
      </c>
      <c r="AM80" t="s">
        <v>8</v>
      </c>
      <c r="AN80" s="1">
        <v>0</v>
      </c>
      <c r="AO80" s="1">
        <v>0.20275255772980899</v>
      </c>
    </row>
    <row r="81" spans="31:41">
      <c r="AE81" t="s">
        <v>4</v>
      </c>
      <c r="AF81">
        <v>0</v>
      </c>
      <c r="AG81" t="s">
        <v>5</v>
      </c>
      <c r="AH81">
        <v>78</v>
      </c>
      <c r="AI81" t="s">
        <v>6</v>
      </c>
      <c r="AJ81" s="1">
        <v>0.5</v>
      </c>
      <c r="AK81" t="s">
        <v>7</v>
      </c>
      <c r="AL81" s="1">
        <v>0.1808756</v>
      </c>
      <c r="AM81" t="s">
        <v>8</v>
      </c>
      <c r="AN81" s="1">
        <v>0</v>
      </c>
      <c r="AO81" s="1">
        <v>0.20148882070045701</v>
      </c>
    </row>
    <row r="82" spans="31:41">
      <c r="AE82" t="s">
        <v>4</v>
      </c>
      <c r="AF82">
        <v>0</v>
      </c>
      <c r="AG82" t="s">
        <v>5</v>
      </c>
      <c r="AH82">
        <v>79</v>
      </c>
      <c r="AI82" t="s">
        <v>6</v>
      </c>
      <c r="AJ82" s="1">
        <v>0.5</v>
      </c>
      <c r="AK82" t="s">
        <v>7</v>
      </c>
      <c r="AL82" s="1">
        <v>0.1831797</v>
      </c>
      <c r="AM82" t="s">
        <v>8</v>
      </c>
      <c r="AN82" s="1">
        <v>0</v>
      </c>
      <c r="AO82" s="1">
        <v>0.20297495236037699</v>
      </c>
    </row>
    <row r="83" spans="31:41">
      <c r="AE83" t="s">
        <v>4</v>
      </c>
      <c r="AF83">
        <v>0</v>
      </c>
      <c r="AG83" t="s">
        <v>5</v>
      </c>
      <c r="AH83">
        <v>80</v>
      </c>
      <c r="AI83" t="s">
        <v>6</v>
      </c>
      <c r="AJ83" s="1">
        <v>0.5</v>
      </c>
      <c r="AK83" t="s">
        <v>7</v>
      </c>
      <c r="AL83" s="1">
        <v>0.18548390000000001</v>
      </c>
      <c r="AM83" t="s">
        <v>8</v>
      </c>
      <c r="AN83" s="1">
        <v>0</v>
      </c>
      <c r="AO83" s="1">
        <v>0.20095747555854501</v>
      </c>
    </row>
    <row r="84" spans="31:41">
      <c r="AE84" t="s">
        <v>4</v>
      </c>
      <c r="AF84">
        <v>0</v>
      </c>
      <c r="AG84" t="s">
        <v>5</v>
      </c>
      <c r="AH84">
        <v>81</v>
      </c>
      <c r="AI84" t="s">
        <v>6</v>
      </c>
      <c r="AJ84" s="1">
        <v>0.5</v>
      </c>
      <c r="AK84" t="s">
        <v>7</v>
      </c>
      <c r="AL84" s="1">
        <v>0.18778800000000001</v>
      </c>
      <c r="AM84" t="s">
        <v>8</v>
      </c>
      <c r="AN84" s="1">
        <v>0</v>
      </c>
      <c r="AO84" s="1">
        <v>0.203030480591158</v>
      </c>
    </row>
    <row r="85" spans="31:41">
      <c r="AE85" t="s">
        <v>4</v>
      </c>
      <c r="AF85">
        <v>0</v>
      </c>
      <c r="AG85" t="s">
        <v>5</v>
      </c>
      <c r="AH85">
        <v>82</v>
      </c>
      <c r="AI85" t="s">
        <v>6</v>
      </c>
      <c r="AJ85" s="1">
        <v>0.5</v>
      </c>
      <c r="AK85" t="s">
        <v>7</v>
      </c>
      <c r="AL85" s="1">
        <v>0.19009219999999999</v>
      </c>
      <c r="AM85" t="s">
        <v>8</v>
      </c>
      <c r="AN85" s="1">
        <v>0</v>
      </c>
      <c r="AO85" s="1">
        <v>0.20164120931290799</v>
      </c>
    </row>
    <row r="86" spans="31:41">
      <c r="AE86" t="s">
        <v>4</v>
      </c>
      <c r="AF86">
        <v>0</v>
      </c>
      <c r="AG86" t="s">
        <v>5</v>
      </c>
      <c r="AH86">
        <v>83</v>
      </c>
      <c r="AI86" t="s">
        <v>6</v>
      </c>
      <c r="AJ86" s="1">
        <v>0.5</v>
      </c>
      <c r="AK86" t="s">
        <v>7</v>
      </c>
      <c r="AL86" s="1">
        <v>0.19239629999999999</v>
      </c>
      <c r="AM86" t="s">
        <v>8</v>
      </c>
      <c r="AN86" s="1">
        <v>0</v>
      </c>
      <c r="AO86" s="1">
        <v>0.20297873574125699</v>
      </c>
    </row>
    <row r="87" spans="31:41">
      <c r="AE87" t="s">
        <v>4</v>
      </c>
      <c r="AF87">
        <v>0</v>
      </c>
      <c r="AG87" t="s">
        <v>5</v>
      </c>
      <c r="AH87">
        <v>84</v>
      </c>
      <c r="AI87" t="s">
        <v>6</v>
      </c>
      <c r="AJ87" s="1">
        <v>0.5</v>
      </c>
      <c r="AK87" t="s">
        <v>7</v>
      </c>
      <c r="AL87" s="1">
        <v>0.1947005</v>
      </c>
      <c r="AM87" t="s">
        <v>8</v>
      </c>
      <c r="AN87" s="1">
        <v>0</v>
      </c>
      <c r="AO87" s="1">
        <v>0.203030629242032</v>
      </c>
    </row>
    <row r="88" spans="31:41">
      <c r="AE88" t="s">
        <v>4</v>
      </c>
      <c r="AF88">
        <v>0</v>
      </c>
      <c r="AG88" t="s">
        <v>5</v>
      </c>
      <c r="AH88">
        <v>85</v>
      </c>
      <c r="AI88" t="s">
        <v>6</v>
      </c>
      <c r="AJ88" s="1">
        <v>0.5</v>
      </c>
      <c r="AK88" t="s">
        <v>7</v>
      </c>
      <c r="AL88" s="1">
        <v>0.1970046</v>
      </c>
      <c r="AM88" t="s">
        <v>8</v>
      </c>
      <c r="AN88" s="1">
        <v>0</v>
      </c>
      <c r="AO88" s="1">
        <v>0.201781995326025</v>
      </c>
    </row>
    <row r="89" spans="31:41">
      <c r="AE89" t="s">
        <v>4</v>
      </c>
      <c r="AF89">
        <v>0</v>
      </c>
      <c r="AG89" t="s">
        <v>5</v>
      </c>
      <c r="AH89">
        <v>86</v>
      </c>
      <c r="AI89" t="s">
        <v>6</v>
      </c>
      <c r="AJ89" s="1">
        <v>0.5</v>
      </c>
      <c r="AK89" t="s">
        <v>7</v>
      </c>
      <c r="AL89" s="1">
        <v>0.19930880000000001</v>
      </c>
      <c r="AM89" t="s">
        <v>8</v>
      </c>
      <c r="AN89" s="1">
        <v>0</v>
      </c>
      <c r="AO89" s="1">
        <v>0.203255055001475</v>
      </c>
    </row>
    <row r="90" spans="31:41">
      <c r="AE90" t="s">
        <v>4</v>
      </c>
      <c r="AF90">
        <v>0</v>
      </c>
      <c r="AG90" t="s">
        <v>5</v>
      </c>
      <c r="AH90">
        <v>87</v>
      </c>
      <c r="AI90" t="s">
        <v>6</v>
      </c>
      <c r="AJ90" s="1">
        <v>0.5</v>
      </c>
      <c r="AK90" t="s">
        <v>7</v>
      </c>
      <c r="AL90" s="1">
        <v>0.20161290000000001</v>
      </c>
      <c r="AM90" t="s">
        <v>8</v>
      </c>
      <c r="AN90" s="1">
        <v>0</v>
      </c>
      <c r="AO90" s="1">
        <v>0.201249316066061</v>
      </c>
    </row>
    <row r="91" spans="31:41">
      <c r="AE91" t="s">
        <v>4</v>
      </c>
      <c r="AF91">
        <v>0</v>
      </c>
      <c r="AG91" t="s">
        <v>5</v>
      </c>
      <c r="AH91">
        <v>88</v>
      </c>
      <c r="AI91" t="s">
        <v>6</v>
      </c>
      <c r="AJ91" s="1">
        <v>0.5</v>
      </c>
      <c r="AK91" t="s">
        <v>7</v>
      </c>
      <c r="AL91" s="1">
        <v>0.20391709999999999</v>
      </c>
      <c r="AM91" t="s">
        <v>8</v>
      </c>
      <c r="AN91" s="1">
        <v>0</v>
      </c>
      <c r="AO91" s="1">
        <v>0.20331296915475899</v>
      </c>
    </row>
    <row r="92" spans="31:41">
      <c r="AE92" t="s">
        <v>4</v>
      </c>
      <c r="AF92">
        <v>0</v>
      </c>
      <c r="AG92" t="s">
        <v>5</v>
      </c>
      <c r="AH92">
        <v>89</v>
      </c>
      <c r="AI92" t="s">
        <v>6</v>
      </c>
      <c r="AJ92" s="1">
        <v>0.5</v>
      </c>
      <c r="AK92" t="s">
        <v>7</v>
      </c>
      <c r="AL92" s="1">
        <v>0.20622119999999999</v>
      </c>
      <c r="AM92" t="s">
        <v>8</v>
      </c>
      <c r="AN92" s="1">
        <v>0</v>
      </c>
      <c r="AO92" s="1">
        <v>0.20194596234807199</v>
      </c>
    </row>
    <row r="93" spans="31:41">
      <c r="AE93" t="s">
        <v>4</v>
      </c>
      <c r="AF93">
        <v>0</v>
      </c>
      <c r="AG93" t="s">
        <v>5</v>
      </c>
      <c r="AH93">
        <v>90</v>
      </c>
      <c r="AI93" t="s">
        <v>6</v>
      </c>
      <c r="AJ93" s="1">
        <v>0.5</v>
      </c>
      <c r="AK93" t="s">
        <v>7</v>
      </c>
      <c r="AL93" s="1">
        <v>0.2085253</v>
      </c>
      <c r="AM93" t="s">
        <v>8</v>
      </c>
      <c r="AN93" s="1">
        <v>0</v>
      </c>
      <c r="AO93" s="1">
        <v>0.20327242040590299</v>
      </c>
    </row>
    <row r="94" spans="31:41">
      <c r="AE94" t="s">
        <v>4</v>
      </c>
      <c r="AF94">
        <v>0</v>
      </c>
      <c r="AG94" t="s">
        <v>5</v>
      </c>
      <c r="AH94">
        <v>91</v>
      </c>
      <c r="AI94" t="s">
        <v>6</v>
      </c>
      <c r="AJ94" s="1">
        <v>0.5</v>
      </c>
      <c r="AK94" t="s">
        <v>7</v>
      </c>
      <c r="AL94" s="1">
        <v>0.2108295</v>
      </c>
      <c r="AM94" t="s">
        <v>8</v>
      </c>
      <c r="AN94" s="1">
        <v>0</v>
      </c>
      <c r="AO94" s="1">
        <v>0.20332820551098599</v>
      </c>
    </row>
    <row r="95" spans="31:41">
      <c r="AE95" t="s">
        <v>4</v>
      </c>
      <c r="AF95">
        <v>0</v>
      </c>
      <c r="AG95" t="s">
        <v>5</v>
      </c>
      <c r="AH95">
        <v>92</v>
      </c>
      <c r="AI95" t="s">
        <v>6</v>
      </c>
      <c r="AJ95" s="1">
        <v>0.5</v>
      </c>
      <c r="AK95" t="s">
        <v>7</v>
      </c>
      <c r="AL95" s="1">
        <v>0.21313360000000001</v>
      </c>
      <c r="AM95" t="s">
        <v>8</v>
      </c>
      <c r="AN95" s="1">
        <v>0</v>
      </c>
      <c r="AO95" s="1">
        <v>0.202096451350462</v>
      </c>
    </row>
    <row r="96" spans="31:41">
      <c r="AE96" t="s">
        <v>4</v>
      </c>
      <c r="AF96">
        <v>0</v>
      </c>
      <c r="AG96" t="s">
        <v>5</v>
      </c>
      <c r="AH96">
        <v>93</v>
      </c>
      <c r="AI96" t="s">
        <v>6</v>
      </c>
      <c r="AJ96" s="1">
        <v>0.5</v>
      </c>
      <c r="AK96" t="s">
        <v>7</v>
      </c>
      <c r="AL96" s="1">
        <v>0.21543780000000001</v>
      </c>
      <c r="AM96" t="s">
        <v>8</v>
      </c>
      <c r="AN96" s="1">
        <v>0</v>
      </c>
      <c r="AO96" s="1">
        <v>0.203553230657781</v>
      </c>
    </row>
    <row r="97" spans="31:41">
      <c r="AE97" t="s">
        <v>4</v>
      </c>
      <c r="AF97">
        <v>0</v>
      </c>
      <c r="AG97" t="s">
        <v>5</v>
      </c>
      <c r="AH97">
        <v>94</v>
      </c>
      <c r="AI97" t="s">
        <v>6</v>
      </c>
      <c r="AJ97" s="1">
        <v>0.5</v>
      </c>
      <c r="AK97" t="s">
        <v>7</v>
      </c>
      <c r="AL97" s="1">
        <v>0.21774189999999999</v>
      </c>
      <c r="AM97" t="s">
        <v>8</v>
      </c>
      <c r="AN97" s="1">
        <v>0</v>
      </c>
      <c r="AO97" s="1">
        <v>0.20156094332294</v>
      </c>
    </row>
    <row r="98" spans="31:41">
      <c r="AE98" t="s">
        <v>4</v>
      </c>
      <c r="AF98">
        <v>0</v>
      </c>
      <c r="AG98" t="s">
        <v>5</v>
      </c>
      <c r="AH98">
        <v>95</v>
      </c>
      <c r="AI98" t="s">
        <v>6</v>
      </c>
      <c r="AJ98" s="1">
        <v>0.5</v>
      </c>
      <c r="AK98" t="s">
        <v>7</v>
      </c>
      <c r="AL98" s="1">
        <v>0.22004609999999999</v>
      </c>
      <c r="AM98" t="s">
        <v>8</v>
      </c>
      <c r="AN98" s="1">
        <v>0</v>
      </c>
      <c r="AO98" s="1">
        <v>0.20361255609689499</v>
      </c>
    </row>
    <row r="99" spans="31:41">
      <c r="AE99" t="s">
        <v>4</v>
      </c>
      <c r="AF99">
        <v>0</v>
      </c>
      <c r="AG99" t="s">
        <v>5</v>
      </c>
      <c r="AH99">
        <v>96</v>
      </c>
      <c r="AI99" t="s">
        <v>6</v>
      </c>
      <c r="AJ99" s="1">
        <v>0.5</v>
      </c>
      <c r="AK99" t="s">
        <v>7</v>
      </c>
      <c r="AL99" s="1">
        <v>0.2223502</v>
      </c>
      <c r="AM99" t="s">
        <v>8</v>
      </c>
      <c r="AN99" s="1">
        <v>0</v>
      </c>
      <c r="AO99" s="1">
        <v>0.20227130886957401</v>
      </c>
    </row>
    <row r="100" spans="31:41">
      <c r="AE100" t="s">
        <v>4</v>
      </c>
      <c r="AF100">
        <v>0</v>
      </c>
      <c r="AG100" t="s">
        <v>5</v>
      </c>
      <c r="AH100">
        <v>97</v>
      </c>
      <c r="AI100" t="s">
        <v>6</v>
      </c>
      <c r="AJ100" s="1">
        <v>0.5</v>
      </c>
      <c r="AK100" t="s">
        <v>7</v>
      </c>
      <c r="AL100" s="1">
        <v>0.2246544</v>
      </c>
      <c r="AM100" t="s">
        <v>8</v>
      </c>
      <c r="AN100" s="1">
        <v>0</v>
      </c>
      <c r="AO100" s="1">
        <v>0.20358381130665601</v>
      </c>
    </row>
    <row r="101" spans="31:41">
      <c r="AE101" t="s">
        <v>4</v>
      </c>
      <c r="AF101">
        <v>0</v>
      </c>
      <c r="AG101" t="s">
        <v>5</v>
      </c>
      <c r="AH101">
        <v>98</v>
      </c>
      <c r="AI101" t="s">
        <v>6</v>
      </c>
      <c r="AJ101" s="1">
        <v>0.5</v>
      </c>
      <c r="AK101" t="s">
        <v>7</v>
      </c>
      <c r="AL101" s="1">
        <v>0.22695850000000001</v>
      </c>
      <c r="AM101" t="s">
        <v>8</v>
      </c>
      <c r="AN101" s="1">
        <v>0</v>
      </c>
      <c r="AO101" s="1">
        <v>0.203643248467683</v>
      </c>
    </row>
    <row r="102" spans="31:41">
      <c r="AE102" t="s">
        <v>4</v>
      </c>
      <c r="AF102">
        <v>0</v>
      </c>
      <c r="AG102" t="s">
        <v>5</v>
      </c>
      <c r="AH102">
        <v>99</v>
      </c>
      <c r="AI102" t="s">
        <v>6</v>
      </c>
      <c r="AJ102" s="1">
        <v>0.5</v>
      </c>
      <c r="AK102" t="s">
        <v>7</v>
      </c>
      <c r="AL102" s="1">
        <v>0.22926270000000001</v>
      </c>
      <c r="AM102" t="s">
        <v>8</v>
      </c>
      <c r="AN102" s="1">
        <v>0</v>
      </c>
      <c r="AO102" s="1">
        <v>0.202430658313039</v>
      </c>
    </row>
    <row r="103" spans="31:41">
      <c r="AE103" t="s">
        <v>4</v>
      </c>
      <c r="AF103">
        <v>0</v>
      </c>
      <c r="AG103" t="s">
        <v>5</v>
      </c>
      <c r="AH103">
        <v>100</v>
      </c>
      <c r="AI103" t="s">
        <v>6</v>
      </c>
      <c r="AJ103" s="1">
        <v>0.5</v>
      </c>
      <c r="AK103" t="s">
        <v>7</v>
      </c>
      <c r="AL103" s="1">
        <v>0.23156679999999999</v>
      </c>
      <c r="AM103" t="s">
        <v>8</v>
      </c>
      <c r="AN103" s="1">
        <v>0</v>
      </c>
      <c r="AO103" s="1">
        <v>0.20386703845683801</v>
      </c>
    </row>
    <row r="104" spans="31:41">
      <c r="AE104" t="s">
        <v>4</v>
      </c>
      <c r="AF104">
        <v>0</v>
      </c>
      <c r="AG104" t="s">
        <v>5</v>
      </c>
      <c r="AH104">
        <v>101</v>
      </c>
      <c r="AI104" t="s">
        <v>6</v>
      </c>
      <c r="AJ104" s="1">
        <v>0.5</v>
      </c>
      <c r="AK104" t="s">
        <v>7</v>
      </c>
      <c r="AL104" s="1">
        <v>0.233871</v>
      </c>
      <c r="AM104" t="s">
        <v>8</v>
      </c>
      <c r="AN104" s="1">
        <v>0</v>
      </c>
      <c r="AO104" s="1">
        <v>0.20189063050431399</v>
      </c>
    </row>
    <row r="105" spans="31:41">
      <c r="AE105" t="s">
        <v>4</v>
      </c>
      <c r="AF105">
        <v>0</v>
      </c>
      <c r="AG105" t="s">
        <v>5</v>
      </c>
      <c r="AH105">
        <v>102</v>
      </c>
      <c r="AI105" t="s">
        <v>6</v>
      </c>
      <c r="AJ105" s="1">
        <v>0.5</v>
      </c>
      <c r="AK105" t="s">
        <v>7</v>
      </c>
      <c r="AL105" s="1">
        <v>0.2361751</v>
      </c>
      <c r="AM105" t="s">
        <v>8</v>
      </c>
      <c r="AN105" s="1">
        <v>0</v>
      </c>
      <c r="AO105" s="1">
        <v>0.20392653185017101</v>
      </c>
    </row>
    <row r="106" spans="31:41">
      <c r="AE106" t="s">
        <v>4</v>
      </c>
      <c r="AF106">
        <v>0</v>
      </c>
      <c r="AG106" t="s">
        <v>5</v>
      </c>
      <c r="AH106">
        <v>103</v>
      </c>
      <c r="AI106" t="s">
        <v>6</v>
      </c>
      <c r="AJ106" s="1">
        <v>0.5</v>
      </c>
      <c r="AK106" t="s">
        <v>7</v>
      </c>
      <c r="AL106" s="1">
        <v>0.23847930000000001</v>
      </c>
      <c r="AM106" t="s">
        <v>8</v>
      </c>
      <c r="AN106" s="1">
        <v>0</v>
      </c>
      <c r="AO106" s="1">
        <v>0.20261534655477001</v>
      </c>
    </row>
    <row r="107" spans="31:41">
      <c r="AE107" t="s">
        <v>4</v>
      </c>
      <c r="AF107">
        <v>0</v>
      </c>
      <c r="AG107" t="s">
        <v>5</v>
      </c>
      <c r="AH107">
        <v>104</v>
      </c>
      <c r="AI107" t="s">
        <v>6</v>
      </c>
      <c r="AJ107" s="1">
        <v>0.5</v>
      </c>
      <c r="AK107" t="s">
        <v>7</v>
      </c>
      <c r="AL107" s="1">
        <v>0.24078340000000001</v>
      </c>
      <c r="AM107" t="s">
        <v>8</v>
      </c>
      <c r="AN107" s="1">
        <v>0</v>
      </c>
      <c r="AO107" s="1">
        <v>0.203910321125018</v>
      </c>
    </row>
    <row r="108" spans="31:41">
      <c r="AE108" t="s">
        <v>4</v>
      </c>
      <c r="AF108">
        <v>0</v>
      </c>
      <c r="AG108" t="s">
        <v>5</v>
      </c>
      <c r="AH108">
        <v>105</v>
      </c>
      <c r="AI108" t="s">
        <v>6</v>
      </c>
      <c r="AJ108" s="1">
        <v>0.5</v>
      </c>
      <c r="AK108" t="s">
        <v>7</v>
      </c>
      <c r="AL108" s="1">
        <v>0.24308759999999999</v>
      </c>
      <c r="AM108" t="s">
        <v>8</v>
      </c>
      <c r="AN108" s="1">
        <v>0</v>
      </c>
      <c r="AO108" s="1">
        <v>0.20397307028122399</v>
      </c>
    </row>
    <row r="109" spans="31:41">
      <c r="AE109" t="s">
        <v>4</v>
      </c>
      <c r="AF109">
        <v>0</v>
      </c>
      <c r="AG109" t="s">
        <v>5</v>
      </c>
      <c r="AH109">
        <v>106</v>
      </c>
      <c r="AI109" t="s">
        <v>6</v>
      </c>
      <c r="AJ109" s="1">
        <v>0.5</v>
      </c>
      <c r="AK109" t="s">
        <v>7</v>
      </c>
      <c r="AL109" s="1">
        <v>0.24539169999999999</v>
      </c>
      <c r="AM109" t="s">
        <v>8</v>
      </c>
      <c r="AN109" s="1">
        <v>0</v>
      </c>
      <c r="AO109" s="1">
        <v>0.202782402301938</v>
      </c>
    </row>
    <row r="110" spans="31:41">
      <c r="AE110" t="s">
        <v>4</v>
      </c>
      <c r="AF110">
        <v>0</v>
      </c>
      <c r="AG110" t="s">
        <v>5</v>
      </c>
      <c r="AH110">
        <v>107</v>
      </c>
      <c r="AI110" t="s">
        <v>6</v>
      </c>
      <c r="AJ110" s="1">
        <v>0.5</v>
      </c>
      <c r="AK110" t="s">
        <v>7</v>
      </c>
      <c r="AL110" s="1">
        <v>0.2476959</v>
      </c>
      <c r="AM110" t="s">
        <v>8</v>
      </c>
      <c r="AN110" s="1">
        <v>0</v>
      </c>
      <c r="AO110" s="1">
        <v>0.20419322313993599</v>
      </c>
    </row>
    <row r="111" spans="31:41">
      <c r="AE111" t="s">
        <v>4</v>
      </c>
      <c r="AF111">
        <v>0</v>
      </c>
      <c r="AG111" t="s">
        <v>5</v>
      </c>
      <c r="AH111">
        <v>108</v>
      </c>
      <c r="AI111" t="s">
        <v>6</v>
      </c>
      <c r="AJ111" s="1">
        <v>0.5</v>
      </c>
      <c r="AK111" t="s">
        <v>7</v>
      </c>
      <c r="AL111" s="1">
        <v>0.25</v>
      </c>
      <c r="AM111" t="s">
        <v>8</v>
      </c>
      <c r="AN111" s="1">
        <v>0</v>
      </c>
      <c r="AO111" s="1">
        <v>0.20223614264756401</v>
      </c>
    </row>
    <row r="112" spans="31:41">
      <c r="AE112" t="s">
        <v>4</v>
      </c>
      <c r="AF112">
        <v>0</v>
      </c>
      <c r="AG112" t="s">
        <v>5</v>
      </c>
      <c r="AH112">
        <v>109</v>
      </c>
      <c r="AI112" t="s">
        <v>6</v>
      </c>
      <c r="AJ112" s="1">
        <v>0.5</v>
      </c>
      <c r="AK112" t="s">
        <v>7</v>
      </c>
      <c r="AL112" s="1">
        <v>0.25230409999999998</v>
      </c>
      <c r="AM112" t="s">
        <v>8</v>
      </c>
      <c r="AN112" s="1">
        <v>0</v>
      </c>
      <c r="AO112" s="1">
        <v>0.204251282847809</v>
      </c>
    </row>
    <row r="113" spans="31:41">
      <c r="AE113" t="s">
        <v>4</v>
      </c>
      <c r="AF113">
        <v>0</v>
      </c>
      <c r="AG113" t="s">
        <v>5</v>
      </c>
      <c r="AH113">
        <v>110</v>
      </c>
      <c r="AI113" t="s">
        <v>6</v>
      </c>
      <c r="AJ113" s="1">
        <v>0.5</v>
      </c>
      <c r="AK113" t="s">
        <v>7</v>
      </c>
      <c r="AL113" s="1">
        <v>0.25460830000000001</v>
      </c>
      <c r="AM113" t="s">
        <v>8</v>
      </c>
      <c r="AN113" s="1">
        <v>0</v>
      </c>
      <c r="AO113" s="1">
        <v>0.20297577673133901</v>
      </c>
    </row>
    <row r="114" spans="31:41">
      <c r="AE114" t="s">
        <v>4</v>
      </c>
      <c r="AF114">
        <v>0</v>
      </c>
      <c r="AG114" t="s">
        <v>5</v>
      </c>
      <c r="AH114">
        <v>111</v>
      </c>
      <c r="AI114" t="s">
        <v>6</v>
      </c>
      <c r="AJ114" s="1">
        <v>0.5</v>
      </c>
      <c r="AK114" t="s">
        <v>7</v>
      </c>
      <c r="AL114" s="1">
        <v>0.25691239999999999</v>
      </c>
      <c r="AM114" t="s">
        <v>8</v>
      </c>
      <c r="AN114" s="1">
        <v>0</v>
      </c>
      <c r="AO114" s="1">
        <v>0.204248491874087</v>
      </c>
    </row>
    <row r="115" spans="31:41">
      <c r="AE115" t="s">
        <v>4</v>
      </c>
      <c r="AF115">
        <v>0</v>
      </c>
      <c r="AG115" t="s">
        <v>5</v>
      </c>
      <c r="AH115">
        <v>112</v>
      </c>
      <c r="AI115" t="s">
        <v>6</v>
      </c>
      <c r="AJ115" s="1">
        <v>0.5</v>
      </c>
      <c r="AK115" t="s">
        <v>7</v>
      </c>
      <c r="AL115" s="1">
        <v>0.25921660000000002</v>
      </c>
      <c r="AM115" t="s">
        <v>8</v>
      </c>
      <c r="AN115" s="1">
        <v>0</v>
      </c>
      <c r="AO115" s="1">
        <v>0.20431409864609901</v>
      </c>
    </row>
    <row r="116" spans="31:41">
      <c r="AE116" t="s">
        <v>4</v>
      </c>
      <c r="AF116">
        <v>0</v>
      </c>
      <c r="AG116" t="s">
        <v>5</v>
      </c>
      <c r="AH116">
        <v>113</v>
      </c>
      <c r="AI116" t="s">
        <v>6</v>
      </c>
      <c r="AJ116" s="1">
        <v>0.5</v>
      </c>
      <c r="AK116" t="s">
        <v>7</v>
      </c>
      <c r="AL116" s="1">
        <v>0.26152069999999999</v>
      </c>
      <c r="AM116" t="s">
        <v>8</v>
      </c>
      <c r="AN116" s="1">
        <v>0</v>
      </c>
      <c r="AO116" s="1">
        <v>0.20314909645617499</v>
      </c>
    </row>
    <row r="117" spans="31:41">
      <c r="AE117" t="s">
        <v>4</v>
      </c>
      <c r="AF117">
        <v>0</v>
      </c>
      <c r="AG117" t="s">
        <v>5</v>
      </c>
      <c r="AH117">
        <v>114</v>
      </c>
      <c r="AI117" t="s">
        <v>6</v>
      </c>
      <c r="AJ117" s="1">
        <v>0.5</v>
      </c>
      <c r="AK117" t="s">
        <v>7</v>
      </c>
      <c r="AL117" s="1">
        <v>0.26382489999999997</v>
      </c>
      <c r="AM117" t="s">
        <v>8</v>
      </c>
      <c r="AN117" s="1">
        <v>0</v>
      </c>
      <c r="AO117" s="1">
        <v>0.20452753309354499</v>
      </c>
    </row>
    <row r="118" spans="31:41">
      <c r="AE118" t="s">
        <v>4</v>
      </c>
      <c r="AF118">
        <v>0</v>
      </c>
      <c r="AG118" t="s">
        <v>5</v>
      </c>
      <c r="AH118">
        <v>115</v>
      </c>
      <c r="AI118" t="s">
        <v>6</v>
      </c>
      <c r="AJ118" s="1">
        <v>0.5</v>
      </c>
      <c r="AK118" t="s">
        <v>7</v>
      </c>
      <c r="AL118" s="1">
        <v>0.266129</v>
      </c>
      <c r="AM118" t="s">
        <v>8</v>
      </c>
      <c r="AN118" s="1">
        <v>0</v>
      </c>
      <c r="AO118" s="1">
        <v>0.20259471138721899</v>
      </c>
    </row>
    <row r="119" spans="31:41">
      <c r="AE119" t="s">
        <v>4</v>
      </c>
      <c r="AF119">
        <v>0</v>
      </c>
      <c r="AG119" t="s">
        <v>5</v>
      </c>
      <c r="AH119">
        <v>116</v>
      </c>
      <c r="AI119" t="s">
        <v>6</v>
      </c>
      <c r="AJ119" s="1">
        <v>0.5</v>
      </c>
      <c r="AK119" t="s">
        <v>7</v>
      </c>
      <c r="AL119" s="1">
        <v>0.26843319999999998</v>
      </c>
      <c r="AM119" t="s">
        <v>8</v>
      </c>
      <c r="AN119" s="1">
        <v>0</v>
      </c>
      <c r="AO119" s="1">
        <v>0.20458211015453701</v>
      </c>
    </row>
    <row r="120" spans="31:41">
      <c r="AE120" t="s">
        <v>4</v>
      </c>
      <c r="AF120">
        <v>0</v>
      </c>
      <c r="AG120" t="s">
        <v>5</v>
      </c>
      <c r="AH120">
        <v>117</v>
      </c>
      <c r="AI120" t="s">
        <v>6</v>
      </c>
      <c r="AJ120" s="1">
        <v>0.5</v>
      </c>
      <c r="AK120" t="s">
        <v>7</v>
      </c>
      <c r="AL120" s="1">
        <v>0.27073730000000001</v>
      </c>
      <c r="AM120" t="s">
        <v>8</v>
      </c>
      <c r="AN120" s="1">
        <v>0</v>
      </c>
      <c r="AO120" s="1">
        <v>0.20334927037399</v>
      </c>
    </row>
    <row r="121" spans="31:41">
      <c r="AE121" t="s">
        <v>4</v>
      </c>
      <c r="AF121">
        <v>0</v>
      </c>
      <c r="AG121" t="s">
        <v>5</v>
      </c>
      <c r="AH121">
        <v>118</v>
      </c>
      <c r="AI121" t="s">
        <v>6</v>
      </c>
      <c r="AJ121" s="1">
        <v>0.5</v>
      </c>
      <c r="AK121" t="s">
        <v>7</v>
      </c>
      <c r="AL121" s="1">
        <v>0.27304149999999999</v>
      </c>
      <c r="AM121" t="s">
        <v>8</v>
      </c>
      <c r="AN121" s="1">
        <v>0</v>
      </c>
      <c r="AO121" s="1">
        <v>0.20459382459756401</v>
      </c>
    </row>
    <row r="122" spans="31:41">
      <c r="AE122" t="s">
        <v>4</v>
      </c>
      <c r="AF122">
        <v>0</v>
      </c>
      <c r="AG122" t="s">
        <v>5</v>
      </c>
      <c r="AH122">
        <v>119</v>
      </c>
      <c r="AI122" t="s">
        <v>6</v>
      </c>
      <c r="AJ122" s="1">
        <v>0.5</v>
      </c>
      <c r="AK122" t="s">
        <v>7</v>
      </c>
      <c r="AL122" s="1">
        <v>0.27534560000000002</v>
      </c>
      <c r="AM122" t="s">
        <v>8</v>
      </c>
      <c r="AN122" s="1">
        <v>0</v>
      </c>
      <c r="AO122" s="1">
        <v>0.20466164245312299</v>
      </c>
    </row>
    <row r="123" spans="31:41">
      <c r="AE123" t="s">
        <v>4</v>
      </c>
      <c r="AF123">
        <v>0</v>
      </c>
      <c r="AG123" t="s">
        <v>5</v>
      </c>
      <c r="AH123">
        <v>120</v>
      </c>
      <c r="AI123" t="s">
        <v>6</v>
      </c>
      <c r="AJ123" s="1">
        <v>0.5</v>
      </c>
      <c r="AK123" t="s">
        <v>7</v>
      </c>
      <c r="AL123" s="1">
        <v>0.2776498</v>
      </c>
      <c r="AM123" t="s">
        <v>8</v>
      </c>
      <c r="AN123" s="1">
        <v>0</v>
      </c>
      <c r="AO123" s="1">
        <v>0.20352686748218399</v>
      </c>
    </row>
    <row r="124" spans="31:41">
      <c r="AE124" t="s">
        <v>4</v>
      </c>
      <c r="AF124">
        <v>0</v>
      </c>
      <c r="AG124" t="s">
        <v>5</v>
      </c>
      <c r="AH124">
        <v>121</v>
      </c>
      <c r="AI124" t="s">
        <v>6</v>
      </c>
      <c r="AJ124" s="1">
        <v>0.5</v>
      </c>
      <c r="AK124" t="s">
        <v>7</v>
      </c>
      <c r="AL124" s="1">
        <v>0.27995389999999998</v>
      </c>
      <c r="AM124" t="s">
        <v>8</v>
      </c>
      <c r="AN124" s="1">
        <v>0</v>
      </c>
      <c r="AO124" s="1">
        <v>0.20486426070844499</v>
      </c>
    </row>
    <row r="125" spans="31:41">
      <c r="AE125" t="s">
        <v>4</v>
      </c>
      <c r="AF125">
        <v>0</v>
      </c>
      <c r="AG125" t="s">
        <v>5</v>
      </c>
      <c r="AH125">
        <v>122</v>
      </c>
      <c r="AI125" t="s">
        <v>6</v>
      </c>
      <c r="AJ125" s="1">
        <v>0.5</v>
      </c>
      <c r="AK125" t="s">
        <v>7</v>
      </c>
      <c r="AL125" s="1">
        <v>0.28225810000000001</v>
      </c>
      <c r="AM125" t="s">
        <v>8</v>
      </c>
      <c r="AN125" s="1">
        <v>0</v>
      </c>
      <c r="AO125" s="1">
        <v>0.20296270397072599</v>
      </c>
    </row>
    <row r="126" spans="31:41">
      <c r="AE126" t="s">
        <v>4</v>
      </c>
      <c r="AF126">
        <v>0</v>
      </c>
      <c r="AG126" t="s">
        <v>5</v>
      </c>
      <c r="AH126">
        <v>123</v>
      </c>
      <c r="AI126" t="s">
        <v>6</v>
      </c>
      <c r="AJ126" s="1">
        <v>0.5</v>
      </c>
      <c r="AK126" t="s">
        <v>7</v>
      </c>
      <c r="AL126" s="1">
        <v>0.28456219999999999</v>
      </c>
      <c r="AM126" t="s">
        <v>8</v>
      </c>
      <c r="AN126" s="1">
        <v>0</v>
      </c>
      <c r="AO126" s="1">
        <v>0.20491268851494601</v>
      </c>
    </row>
    <row r="127" spans="31:41">
      <c r="AE127" t="s">
        <v>4</v>
      </c>
      <c r="AF127">
        <v>0</v>
      </c>
      <c r="AG127" t="s">
        <v>5</v>
      </c>
      <c r="AH127">
        <v>124</v>
      </c>
      <c r="AI127" t="s">
        <v>6</v>
      </c>
      <c r="AJ127" s="1">
        <v>0.5</v>
      </c>
      <c r="AK127" t="s">
        <v>7</v>
      </c>
      <c r="AL127" s="1">
        <v>0.28686640000000002</v>
      </c>
      <c r="AM127" t="s">
        <v>8</v>
      </c>
      <c r="AN127" s="1">
        <v>0</v>
      </c>
      <c r="AO127" s="1">
        <v>0.20373176142306401</v>
      </c>
    </row>
    <row r="128" spans="31:41">
      <c r="AE128" t="s">
        <v>4</v>
      </c>
      <c r="AF128">
        <v>0</v>
      </c>
      <c r="AG128" t="s">
        <v>5</v>
      </c>
      <c r="AH128">
        <v>125</v>
      </c>
      <c r="AI128" t="s">
        <v>6</v>
      </c>
      <c r="AJ128" s="1">
        <v>0.5</v>
      </c>
      <c r="AK128" t="s">
        <v>7</v>
      </c>
      <c r="AL128" s="1">
        <v>0.2891705</v>
      </c>
      <c r="AM128" t="s">
        <v>8</v>
      </c>
      <c r="AN128" s="1">
        <v>0</v>
      </c>
      <c r="AO128" s="1">
        <v>0.204940231402478</v>
      </c>
    </row>
    <row r="129" spans="31:41">
      <c r="AE129" t="s">
        <v>4</v>
      </c>
      <c r="AF129">
        <v>0</v>
      </c>
      <c r="AG129" t="s">
        <v>5</v>
      </c>
      <c r="AH129">
        <v>126</v>
      </c>
      <c r="AI129" t="s">
        <v>6</v>
      </c>
      <c r="AJ129" s="1">
        <v>0.5</v>
      </c>
      <c r="AK129" t="s">
        <v>7</v>
      </c>
      <c r="AL129" s="1">
        <v>0.29147469999999998</v>
      </c>
      <c r="AM129" t="s">
        <v>8</v>
      </c>
      <c r="AN129" s="1">
        <v>0</v>
      </c>
      <c r="AO129" s="1">
        <v>0.205009417412504</v>
      </c>
    </row>
    <row r="130" spans="31:41">
      <c r="AE130" t="s">
        <v>4</v>
      </c>
      <c r="AF130">
        <v>0</v>
      </c>
      <c r="AG130" t="s">
        <v>5</v>
      </c>
      <c r="AH130">
        <v>127</v>
      </c>
      <c r="AI130" t="s">
        <v>6</v>
      </c>
      <c r="AJ130" s="1">
        <v>0.5</v>
      </c>
      <c r="AK130" t="s">
        <v>7</v>
      </c>
      <c r="AL130" s="1">
        <v>0.29377880000000001</v>
      </c>
      <c r="AM130" t="s">
        <v>8</v>
      </c>
      <c r="AN130" s="1">
        <v>0</v>
      </c>
      <c r="AO130" s="1">
        <v>0.20391113413346601</v>
      </c>
    </row>
    <row r="131" spans="31:41">
      <c r="AE131" t="s">
        <v>4</v>
      </c>
      <c r="AF131">
        <v>0</v>
      </c>
      <c r="AG131" t="s">
        <v>5</v>
      </c>
      <c r="AH131">
        <v>128</v>
      </c>
      <c r="AI131" t="s">
        <v>6</v>
      </c>
      <c r="AJ131" s="1">
        <v>0.5</v>
      </c>
      <c r="AK131" t="s">
        <v>7</v>
      </c>
      <c r="AL131" s="1">
        <v>0.29608289999999998</v>
      </c>
      <c r="AM131" t="s">
        <v>8</v>
      </c>
      <c r="AN131" s="1">
        <v>0</v>
      </c>
      <c r="AO131" s="1">
        <v>0.20519599855014201</v>
      </c>
    </row>
    <row r="132" spans="31:41">
      <c r="AE132" t="s">
        <v>4</v>
      </c>
      <c r="AF132">
        <v>0</v>
      </c>
      <c r="AG132" t="s">
        <v>5</v>
      </c>
      <c r="AH132">
        <v>129</v>
      </c>
      <c r="AI132" t="s">
        <v>6</v>
      </c>
      <c r="AJ132" s="1">
        <v>0.5</v>
      </c>
      <c r="AK132" t="s">
        <v>7</v>
      </c>
      <c r="AL132" s="1">
        <v>0.29838710000000002</v>
      </c>
      <c r="AM132" t="s">
        <v>8</v>
      </c>
      <c r="AN132" s="1">
        <v>0</v>
      </c>
      <c r="AO132" s="1">
        <v>0.20333573501978799</v>
      </c>
    </row>
    <row r="133" spans="31:41">
      <c r="AE133" t="s">
        <v>4</v>
      </c>
      <c r="AF133">
        <v>0</v>
      </c>
      <c r="AG133" t="s">
        <v>5</v>
      </c>
      <c r="AH133">
        <v>130</v>
      </c>
      <c r="AI133" t="s">
        <v>6</v>
      </c>
      <c r="AJ133" s="1">
        <v>0.5</v>
      </c>
      <c r="AK133" t="s">
        <v>7</v>
      </c>
      <c r="AL133" s="1">
        <v>0.30069119999999999</v>
      </c>
      <c r="AM133" t="s">
        <v>8</v>
      </c>
      <c r="AN133" s="1">
        <v>0</v>
      </c>
      <c r="AO133" s="1">
        <v>0.205234855676906</v>
      </c>
    </row>
    <row r="134" spans="31:41">
      <c r="AE134" t="s">
        <v>4</v>
      </c>
      <c r="AF134">
        <v>0</v>
      </c>
      <c r="AG134" t="s">
        <v>5</v>
      </c>
      <c r="AH134">
        <v>131</v>
      </c>
      <c r="AI134" t="s">
        <v>6</v>
      </c>
      <c r="AJ134" s="1">
        <v>0.5</v>
      </c>
      <c r="AK134" t="s">
        <v>7</v>
      </c>
      <c r="AL134" s="1">
        <v>0.30299540000000003</v>
      </c>
      <c r="AM134" t="s">
        <v>8</v>
      </c>
      <c r="AN134" s="1">
        <v>0</v>
      </c>
      <c r="AO134" s="1">
        <v>0.20411773610488201</v>
      </c>
    </row>
    <row r="135" spans="31:41">
      <c r="AE135" t="s">
        <v>4</v>
      </c>
      <c r="AF135">
        <v>0</v>
      </c>
      <c r="AG135" t="s">
        <v>5</v>
      </c>
      <c r="AH135">
        <v>132</v>
      </c>
      <c r="AI135" t="s">
        <v>6</v>
      </c>
      <c r="AJ135" s="1">
        <v>0.5</v>
      </c>
      <c r="AK135" t="s">
        <v>7</v>
      </c>
      <c r="AL135" s="1">
        <v>0.3052995</v>
      </c>
      <c r="AM135" t="s">
        <v>8</v>
      </c>
      <c r="AN135" s="1">
        <v>0</v>
      </c>
      <c r="AO135" s="1">
        <v>0.20527986520442501</v>
      </c>
    </row>
    <row r="136" spans="31:41">
      <c r="AE136" t="s">
        <v>4</v>
      </c>
      <c r="AF136">
        <v>0</v>
      </c>
      <c r="AG136" t="s">
        <v>5</v>
      </c>
      <c r="AH136">
        <v>133</v>
      </c>
      <c r="AI136" t="s">
        <v>6</v>
      </c>
      <c r="AJ136" s="1">
        <v>0.5</v>
      </c>
      <c r="AK136" t="s">
        <v>7</v>
      </c>
      <c r="AL136" s="1">
        <v>0.30760369999999998</v>
      </c>
      <c r="AM136" t="s">
        <v>8</v>
      </c>
      <c r="AN136" s="1">
        <v>0</v>
      </c>
      <c r="AO136" s="1">
        <v>0.205349207547355</v>
      </c>
    </row>
    <row r="137" spans="31:41">
      <c r="AE137" t="s">
        <v>4</v>
      </c>
      <c r="AF137">
        <v>0</v>
      </c>
      <c r="AG137" t="s">
        <v>5</v>
      </c>
      <c r="AH137">
        <v>134</v>
      </c>
      <c r="AI137" t="s">
        <v>6</v>
      </c>
      <c r="AJ137" s="1">
        <v>0.5</v>
      </c>
      <c r="AK137" t="s">
        <v>7</v>
      </c>
      <c r="AL137" s="1">
        <v>0.30990780000000001</v>
      </c>
      <c r="AM137" t="s">
        <v>8</v>
      </c>
      <c r="AN137" s="1">
        <v>0</v>
      </c>
      <c r="AO137" s="1">
        <v>0.204295261425019</v>
      </c>
    </row>
    <row r="138" spans="31:41">
      <c r="AE138" t="s">
        <v>4</v>
      </c>
      <c r="AF138">
        <v>0</v>
      </c>
      <c r="AG138" t="s">
        <v>5</v>
      </c>
      <c r="AH138">
        <v>135</v>
      </c>
      <c r="AI138" t="s">
        <v>6</v>
      </c>
      <c r="AJ138" s="1">
        <v>0.5</v>
      </c>
      <c r="AK138" t="s">
        <v>7</v>
      </c>
      <c r="AL138" s="1">
        <v>0.31221199999999999</v>
      </c>
      <c r="AM138" t="s">
        <v>8</v>
      </c>
      <c r="AN138" s="1">
        <v>0</v>
      </c>
      <c r="AO138" s="1">
        <v>0.20551268904898301</v>
      </c>
    </row>
    <row r="139" spans="31:41">
      <c r="AE139" t="s">
        <v>4</v>
      </c>
      <c r="AF139">
        <v>0</v>
      </c>
      <c r="AG139" t="s">
        <v>5</v>
      </c>
      <c r="AH139">
        <v>136</v>
      </c>
      <c r="AI139" t="s">
        <v>6</v>
      </c>
      <c r="AJ139" s="1">
        <v>0.5</v>
      </c>
      <c r="AK139" t="s">
        <v>7</v>
      </c>
      <c r="AL139" s="1">
        <v>0.31451610000000002</v>
      </c>
      <c r="AM139" t="s">
        <v>8</v>
      </c>
      <c r="AN139" s="1">
        <v>0</v>
      </c>
      <c r="AO139" s="1">
        <v>0.20370704255216199</v>
      </c>
    </row>
    <row r="140" spans="31:41">
      <c r="AE140" t="s">
        <v>4</v>
      </c>
      <c r="AF140">
        <v>0</v>
      </c>
      <c r="AG140" t="s">
        <v>5</v>
      </c>
      <c r="AH140">
        <v>137</v>
      </c>
      <c r="AI140" t="s">
        <v>6</v>
      </c>
      <c r="AJ140" s="1">
        <v>0.5</v>
      </c>
      <c r="AK140" t="s">
        <v>7</v>
      </c>
      <c r="AL140" s="1">
        <v>0.3168203</v>
      </c>
      <c r="AM140" t="s">
        <v>8</v>
      </c>
      <c r="AN140" s="1">
        <v>0</v>
      </c>
      <c r="AO140" s="1">
        <v>0.20553742581214399</v>
      </c>
    </row>
    <row r="141" spans="31:41">
      <c r="AE141" t="s">
        <v>4</v>
      </c>
      <c r="AF141">
        <v>0</v>
      </c>
      <c r="AG141" t="s">
        <v>5</v>
      </c>
      <c r="AH141">
        <v>138</v>
      </c>
      <c r="AI141" t="s">
        <v>6</v>
      </c>
      <c r="AJ141" s="1">
        <v>0.5</v>
      </c>
      <c r="AK141" t="s">
        <v>7</v>
      </c>
      <c r="AL141" s="1">
        <v>0.31912439999999997</v>
      </c>
      <c r="AM141" t="s">
        <v>8</v>
      </c>
      <c r="AN141" s="1">
        <v>0</v>
      </c>
      <c r="AO141" s="1">
        <v>0.20449853371135801</v>
      </c>
    </row>
    <row r="142" spans="31:41">
      <c r="AE142" t="s">
        <v>4</v>
      </c>
      <c r="AF142">
        <v>0</v>
      </c>
      <c r="AG142" t="s">
        <v>5</v>
      </c>
      <c r="AH142">
        <v>139</v>
      </c>
      <c r="AI142" t="s">
        <v>6</v>
      </c>
      <c r="AJ142" s="1">
        <v>0.5</v>
      </c>
      <c r="AK142" t="s">
        <v>7</v>
      </c>
      <c r="AL142" s="1">
        <v>0.32142860000000001</v>
      </c>
      <c r="AM142" t="s">
        <v>8</v>
      </c>
      <c r="AN142" s="1">
        <v>0</v>
      </c>
      <c r="AO142" s="1">
        <v>0.20560176892252599</v>
      </c>
    </row>
    <row r="143" spans="31:41">
      <c r="AE143" t="s">
        <v>4</v>
      </c>
      <c r="AF143">
        <v>0</v>
      </c>
      <c r="AG143" t="s">
        <v>5</v>
      </c>
      <c r="AH143">
        <v>140</v>
      </c>
      <c r="AI143" t="s">
        <v>6</v>
      </c>
      <c r="AJ143" s="1">
        <v>0.5</v>
      </c>
      <c r="AK143" t="s">
        <v>7</v>
      </c>
      <c r="AL143" s="1">
        <v>0.32373269999999998</v>
      </c>
      <c r="AM143" t="s">
        <v>8</v>
      </c>
      <c r="AN143" s="1">
        <v>0</v>
      </c>
      <c r="AO143" s="1">
        <v>0.20566968380573999</v>
      </c>
    </row>
    <row r="144" spans="31:41">
      <c r="AE144" t="s">
        <v>4</v>
      </c>
      <c r="AF144">
        <v>0</v>
      </c>
      <c r="AG144" t="s">
        <v>5</v>
      </c>
      <c r="AH144">
        <v>141</v>
      </c>
      <c r="AI144" t="s">
        <v>6</v>
      </c>
      <c r="AJ144" s="1">
        <v>0.5</v>
      </c>
      <c r="AK144" t="s">
        <v>7</v>
      </c>
      <c r="AL144" s="1">
        <v>0.32603690000000002</v>
      </c>
      <c r="AM144" t="s">
        <v>8</v>
      </c>
      <c r="AN144" s="1">
        <v>0</v>
      </c>
      <c r="AO144" s="1">
        <v>0.204670044105316</v>
      </c>
    </row>
    <row r="145" spans="31:41">
      <c r="AE145" t="s">
        <v>4</v>
      </c>
      <c r="AF145">
        <v>0</v>
      </c>
      <c r="AG145" t="s">
        <v>5</v>
      </c>
      <c r="AH145">
        <v>142</v>
      </c>
      <c r="AI145" t="s">
        <v>6</v>
      </c>
      <c r="AJ145" s="1">
        <v>0.5</v>
      </c>
      <c r="AK145" t="s">
        <v>7</v>
      </c>
      <c r="AL145" s="1">
        <v>0.32834099999999999</v>
      </c>
      <c r="AM145" t="s">
        <v>8</v>
      </c>
      <c r="AN145" s="1">
        <v>0</v>
      </c>
      <c r="AO145" s="1">
        <v>0.20580120730451201</v>
      </c>
    </row>
    <row r="146" spans="31:41">
      <c r="AE146" t="s">
        <v>4</v>
      </c>
      <c r="AF146">
        <v>0</v>
      </c>
      <c r="AG146" t="s">
        <v>5</v>
      </c>
      <c r="AH146">
        <v>143</v>
      </c>
      <c r="AI146" t="s">
        <v>6</v>
      </c>
      <c r="AJ146" s="1">
        <v>0.5</v>
      </c>
      <c r="AK146" t="s">
        <v>7</v>
      </c>
      <c r="AL146" s="1">
        <v>0.33064519999999997</v>
      </c>
      <c r="AM146" t="s">
        <v>8</v>
      </c>
      <c r="AN146" s="1">
        <v>0</v>
      </c>
      <c r="AO146" s="1">
        <v>0.204070801466326</v>
      </c>
    </row>
    <row r="147" spans="31:41">
      <c r="AE147" t="s">
        <v>4</v>
      </c>
      <c r="AF147">
        <v>0</v>
      </c>
      <c r="AG147" t="s">
        <v>5</v>
      </c>
      <c r="AH147">
        <v>144</v>
      </c>
      <c r="AI147" t="s">
        <v>6</v>
      </c>
      <c r="AJ147" s="1">
        <v>0.5</v>
      </c>
      <c r="AK147" t="s">
        <v>7</v>
      </c>
      <c r="AL147" s="1">
        <v>0.3329493</v>
      </c>
      <c r="AM147" t="s">
        <v>8</v>
      </c>
      <c r="AN147" s="1">
        <v>0</v>
      </c>
      <c r="AO147" s="1">
        <v>0.205806040105249</v>
      </c>
    </row>
    <row r="148" spans="31:41">
      <c r="AE148" t="s">
        <v>4</v>
      </c>
      <c r="AF148">
        <v>0</v>
      </c>
      <c r="AG148" t="s">
        <v>5</v>
      </c>
      <c r="AH148">
        <v>145</v>
      </c>
      <c r="AI148" t="s">
        <v>6</v>
      </c>
      <c r="AJ148" s="1">
        <v>0.5</v>
      </c>
      <c r="AK148" t="s">
        <v>7</v>
      </c>
      <c r="AL148" s="1">
        <v>0.33525349999999998</v>
      </c>
      <c r="AM148" t="s">
        <v>8</v>
      </c>
      <c r="AN148" s="1">
        <v>0</v>
      </c>
      <c r="AO148" s="1">
        <v>0.20486732959450399</v>
      </c>
    </row>
    <row r="149" spans="31:41">
      <c r="AE149" t="s">
        <v>4</v>
      </c>
      <c r="AF149">
        <v>0</v>
      </c>
      <c r="AG149" t="s">
        <v>5</v>
      </c>
      <c r="AH149">
        <v>146</v>
      </c>
      <c r="AI149" t="s">
        <v>6</v>
      </c>
      <c r="AJ149" s="1">
        <v>0.5</v>
      </c>
      <c r="AK149" t="s">
        <v>7</v>
      </c>
      <c r="AL149" s="1">
        <v>0.33755760000000001</v>
      </c>
      <c r="AM149" t="s">
        <v>8</v>
      </c>
      <c r="AN149" s="1">
        <v>0</v>
      </c>
      <c r="AO149" s="1">
        <v>0.20589209821030799</v>
      </c>
    </row>
    <row r="150" spans="31:41">
      <c r="AE150" t="s">
        <v>4</v>
      </c>
      <c r="AF150">
        <v>0</v>
      </c>
      <c r="AG150" t="s">
        <v>5</v>
      </c>
      <c r="AH150">
        <v>147</v>
      </c>
      <c r="AI150" t="s">
        <v>6</v>
      </c>
      <c r="AJ150" s="1">
        <v>0.5</v>
      </c>
      <c r="AK150" t="s">
        <v>7</v>
      </c>
      <c r="AL150" s="1">
        <v>0.33986179999999999</v>
      </c>
      <c r="AM150" t="s">
        <v>8</v>
      </c>
      <c r="AN150" s="1">
        <v>0</v>
      </c>
      <c r="AO150" s="1">
        <v>0.20595634337372301</v>
      </c>
    </row>
    <row r="151" spans="31:41">
      <c r="AE151" t="s">
        <v>4</v>
      </c>
      <c r="AF151">
        <v>0</v>
      </c>
      <c r="AG151" t="s">
        <v>5</v>
      </c>
      <c r="AH151">
        <v>148</v>
      </c>
      <c r="AI151" t="s">
        <v>6</v>
      </c>
      <c r="AJ151" s="1">
        <v>0.5</v>
      </c>
      <c r="AK151" t="s">
        <v>7</v>
      </c>
      <c r="AL151" s="1">
        <v>0.34216590000000002</v>
      </c>
      <c r="AM151" t="s">
        <v>8</v>
      </c>
      <c r="AN151" s="1">
        <v>0</v>
      </c>
      <c r="AO151" s="1">
        <v>0.20502471715139001</v>
      </c>
    </row>
    <row r="152" spans="31:41">
      <c r="AE152" t="s">
        <v>4</v>
      </c>
      <c r="AF152">
        <v>0</v>
      </c>
      <c r="AG152" t="s">
        <v>5</v>
      </c>
      <c r="AH152">
        <v>149</v>
      </c>
      <c r="AI152" t="s">
        <v>6</v>
      </c>
      <c r="AJ152" s="1">
        <v>0.5</v>
      </c>
      <c r="AK152" t="s">
        <v>7</v>
      </c>
      <c r="AL152" s="1">
        <v>0.34447</v>
      </c>
      <c r="AM152" t="s">
        <v>8</v>
      </c>
      <c r="AN152" s="1">
        <v>0</v>
      </c>
      <c r="AO152" s="1">
        <v>0.20604371085979001</v>
      </c>
    </row>
    <row r="153" spans="31:41">
      <c r="AE153" t="s">
        <v>4</v>
      </c>
      <c r="AF153">
        <v>0</v>
      </c>
      <c r="AG153" t="s">
        <v>5</v>
      </c>
      <c r="AH153">
        <v>150</v>
      </c>
      <c r="AI153" t="s">
        <v>6</v>
      </c>
      <c r="AJ153" s="1">
        <v>0.5</v>
      </c>
      <c r="AK153" t="s">
        <v>7</v>
      </c>
      <c r="AL153" s="1">
        <v>0.34677419999999998</v>
      </c>
      <c r="AM153" t="s">
        <v>8</v>
      </c>
      <c r="AN153" s="1">
        <v>0</v>
      </c>
      <c r="AO153" s="1">
        <v>0.20440912114676299</v>
      </c>
    </row>
    <row r="154" spans="31:41">
      <c r="AE154" t="s">
        <v>4</v>
      </c>
      <c r="AF154">
        <v>0</v>
      </c>
      <c r="AG154" t="s">
        <v>5</v>
      </c>
      <c r="AH154">
        <v>151</v>
      </c>
      <c r="AI154" t="s">
        <v>6</v>
      </c>
      <c r="AJ154" s="1">
        <v>0.5</v>
      </c>
      <c r="AK154" t="s">
        <v>7</v>
      </c>
      <c r="AL154" s="1">
        <v>0.34907830000000001</v>
      </c>
      <c r="AM154" t="s">
        <v>8</v>
      </c>
      <c r="AN154" s="1">
        <v>0</v>
      </c>
      <c r="AO154" s="1">
        <v>0.20602046760137199</v>
      </c>
    </row>
    <row r="155" spans="31:41">
      <c r="AE155" t="s">
        <v>4</v>
      </c>
      <c r="AF155">
        <v>0</v>
      </c>
      <c r="AG155" t="s">
        <v>5</v>
      </c>
      <c r="AH155">
        <v>152</v>
      </c>
      <c r="AI155" t="s">
        <v>6</v>
      </c>
      <c r="AJ155" s="1">
        <v>0.5</v>
      </c>
      <c r="AK155" t="s">
        <v>7</v>
      </c>
      <c r="AL155" s="1">
        <v>0.35138249999999999</v>
      </c>
      <c r="AM155" t="s">
        <v>8</v>
      </c>
      <c r="AN155" s="1">
        <v>0</v>
      </c>
      <c r="AO155" s="1">
        <v>0.20519892918876101</v>
      </c>
    </row>
    <row r="156" spans="31:41">
      <c r="AE156" t="s">
        <v>4</v>
      </c>
      <c r="AF156">
        <v>0</v>
      </c>
      <c r="AG156" t="s">
        <v>5</v>
      </c>
      <c r="AH156">
        <v>153</v>
      </c>
      <c r="AI156" t="s">
        <v>6</v>
      </c>
      <c r="AJ156" s="1">
        <v>0.5</v>
      </c>
      <c r="AK156" t="s">
        <v>7</v>
      </c>
      <c r="AL156" s="1">
        <v>0.35368660000000002</v>
      </c>
      <c r="AM156" t="s">
        <v>8</v>
      </c>
      <c r="AN156" s="1">
        <v>0</v>
      </c>
      <c r="AO156" s="1">
        <v>0.20613005607267099</v>
      </c>
    </row>
    <row r="157" spans="31:41">
      <c r="AE157" t="s">
        <v>4</v>
      </c>
      <c r="AF157">
        <v>0</v>
      </c>
      <c r="AG157" t="s">
        <v>5</v>
      </c>
      <c r="AH157">
        <v>154</v>
      </c>
      <c r="AI157" t="s">
        <v>6</v>
      </c>
      <c r="AJ157" s="1">
        <v>0.5</v>
      </c>
      <c r="AK157" t="s">
        <v>7</v>
      </c>
      <c r="AL157" s="1">
        <v>0.3559908</v>
      </c>
      <c r="AM157" t="s">
        <v>8</v>
      </c>
      <c r="AN157" s="1">
        <v>0</v>
      </c>
      <c r="AO157" s="1">
        <v>0.206187455108018</v>
      </c>
    </row>
    <row r="158" spans="31:41">
      <c r="AE158" t="s">
        <v>4</v>
      </c>
      <c r="AF158">
        <v>0</v>
      </c>
      <c r="AG158" t="s">
        <v>5</v>
      </c>
      <c r="AH158">
        <v>155</v>
      </c>
      <c r="AI158" t="s">
        <v>6</v>
      </c>
      <c r="AJ158" s="1">
        <v>0.5</v>
      </c>
      <c r="AK158" t="s">
        <v>7</v>
      </c>
      <c r="AL158" s="1">
        <v>0.35829490000000003</v>
      </c>
      <c r="AM158" t="s">
        <v>8</v>
      </c>
      <c r="AN158" s="1">
        <v>0</v>
      </c>
      <c r="AO158" s="1">
        <v>0.205337348054868</v>
      </c>
    </row>
    <row r="159" spans="31:41">
      <c r="AE159" t="s">
        <v>4</v>
      </c>
      <c r="AF159">
        <v>0</v>
      </c>
      <c r="AG159" t="s">
        <v>5</v>
      </c>
      <c r="AH159">
        <v>156</v>
      </c>
      <c r="AI159" t="s">
        <v>6</v>
      </c>
      <c r="AJ159" s="1">
        <v>0.5</v>
      </c>
      <c r="AK159" t="s">
        <v>7</v>
      </c>
      <c r="AL159" s="1">
        <v>0.36059910000000001</v>
      </c>
      <c r="AM159" t="s">
        <v>8</v>
      </c>
      <c r="AN159" s="1">
        <v>0</v>
      </c>
      <c r="AO159" s="1">
        <v>0.206215800651398</v>
      </c>
    </row>
    <row r="160" spans="31:41">
      <c r="AE160" t="s">
        <v>4</v>
      </c>
      <c r="AF160">
        <v>0</v>
      </c>
      <c r="AG160" t="s">
        <v>5</v>
      </c>
      <c r="AH160">
        <v>157</v>
      </c>
      <c r="AI160" t="s">
        <v>6</v>
      </c>
      <c r="AJ160" s="1">
        <v>0.5</v>
      </c>
      <c r="AK160" t="s">
        <v>7</v>
      </c>
      <c r="AL160" s="1">
        <v>0.36290319999999998</v>
      </c>
      <c r="AM160" t="s">
        <v>8</v>
      </c>
      <c r="AN160" s="1">
        <v>0</v>
      </c>
      <c r="AO160" s="1">
        <v>0.204722381394221</v>
      </c>
    </row>
    <row r="161" spans="31:41">
      <c r="AE161" t="s">
        <v>4</v>
      </c>
      <c r="AF161">
        <v>0</v>
      </c>
      <c r="AG161" t="s">
        <v>5</v>
      </c>
      <c r="AH161">
        <v>158</v>
      </c>
      <c r="AI161" t="s">
        <v>6</v>
      </c>
      <c r="AJ161" s="1">
        <v>0.5</v>
      </c>
      <c r="AK161" t="s">
        <v>7</v>
      </c>
      <c r="AL161" s="1">
        <v>0.36520740000000002</v>
      </c>
      <c r="AM161" t="s">
        <v>8</v>
      </c>
      <c r="AN161" s="1">
        <v>0</v>
      </c>
      <c r="AO161" s="1">
        <v>0.20615479661460001</v>
      </c>
    </row>
    <row r="162" spans="31:41">
      <c r="AE162" t="s">
        <v>4</v>
      </c>
      <c r="AF162">
        <v>0</v>
      </c>
      <c r="AG162" t="s">
        <v>5</v>
      </c>
      <c r="AH162">
        <v>159</v>
      </c>
      <c r="AI162" t="s">
        <v>6</v>
      </c>
      <c r="AJ162" s="1">
        <v>0.5</v>
      </c>
      <c r="AK162" t="s">
        <v>7</v>
      </c>
      <c r="AL162" s="1">
        <v>0.36751149999999999</v>
      </c>
      <c r="AM162" t="s">
        <v>8</v>
      </c>
      <c r="AN162" s="1">
        <v>0</v>
      </c>
      <c r="AO162" s="1">
        <v>0.205496869167482</v>
      </c>
    </row>
    <row r="163" spans="31:41">
      <c r="AE163" t="s">
        <v>4</v>
      </c>
      <c r="AF163">
        <v>0</v>
      </c>
      <c r="AG163" t="s">
        <v>5</v>
      </c>
      <c r="AH163">
        <v>160</v>
      </c>
      <c r="AI163" t="s">
        <v>6</v>
      </c>
      <c r="AJ163" s="1">
        <v>0.5</v>
      </c>
      <c r="AK163" t="s">
        <v>7</v>
      </c>
      <c r="AL163" s="1">
        <v>0.36981570000000002</v>
      </c>
      <c r="AM163" t="s">
        <v>8</v>
      </c>
      <c r="AN163" s="1">
        <v>0</v>
      </c>
      <c r="AO163" s="1">
        <v>0.20629089968883199</v>
      </c>
    </row>
    <row r="164" spans="31:41">
      <c r="AE164" t="s">
        <v>4</v>
      </c>
      <c r="AF164">
        <v>0</v>
      </c>
      <c r="AG164" t="s">
        <v>5</v>
      </c>
      <c r="AH164">
        <v>161</v>
      </c>
      <c r="AI164" t="s">
        <v>6</v>
      </c>
      <c r="AJ164" s="1">
        <v>0.5</v>
      </c>
      <c r="AK164" t="s">
        <v>7</v>
      </c>
      <c r="AL164" s="1">
        <v>0.3721198</v>
      </c>
      <c r="AM164" t="s">
        <v>8</v>
      </c>
      <c r="AN164" s="1">
        <v>0</v>
      </c>
      <c r="AO164" s="1">
        <v>0.20633742415970399</v>
      </c>
    </row>
    <row r="165" spans="31:41">
      <c r="AE165" t="s">
        <v>4</v>
      </c>
      <c r="AF165">
        <v>0</v>
      </c>
      <c r="AG165" t="s">
        <v>5</v>
      </c>
      <c r="AH165">
        <v>162</v>
      </c>
      <c r="AI165" t="s">
        <v>6</v>
      </c>
      <c r="AJ165" s="1">
        <v>0.5</v>
      </c>
      <c r="AK165" t="s">
        <v>7</v>
      </c>
      <c r="AL165" s="1">
        <v>0.37442399999999998</v>
      </c>
      <c r="AM165" t="s">
        <v>8</v>
      </c>
      <c r="AN165" s="1">
        <v>0</v>
      </c>
      <c r="AO165" s="1">
        <v>0.20559061378406601</v>
      </c>
    </row>
    <row r="166" spans="31:41">
      <c r="AE166" t="s">
        <v>4</v>
      </c>
      <c r="AF166">
        <v>0</v>
      </c>
      <c r="AG166" t="s">
        <v>5</v>
      </c>
      <c r="AH166">
        <v>163</v>
      </c>
      <c r="AI166" t="s">
        <v>6</v>
      </c>
      <c r="AJ166" s="1">
        <v>0.5</v>
      </c>
      <c r="AK166" t="s">
        <v>7</v>
      </c>
      <c r="AL166" s="1">
        <v>0.37672810000000001</v>
      </c>
      <c r="AM166" t="s">
        <v>8</v>
      </c>
      <c r="AN166" s="1">
        <v>0</v>
      </c>
      <c r="AO166" s="1">
        <v>0.20628583861164401</v>
      </c>
    </row>
    <row r="167" spans="31:41">
      <c r="AE167" t="s">
        <v>4</v>
      </c>
      <c r="AF167">
        <v>0</v>
      </c>
      <c r="AG167" t="s">
        <v>5</v>
      </c>
      <c r="AH167">
        <v>164</v>
      </c>
      <c r="AI167" t="s">
        <v>6</v>
      </c>
      <c r="AJ167" s="1">
        <v>0.5</v>
      </c>
      <c r="AK167" t="s">
        <v>7</v>
      </c>
      <c r="AL167" s="1">
        <v>0.37903229999999999</v>
      </c>
      <c r="AM167" t="s">
        <v>8</v>
      </c>
      <c r="AN167" s="1">
        <v>0</v>
      </c>
      <c r="AO167" s="1">
        <v>0.20494263567858501</v>
      </c>
    </row>
    <row r="168" spans="31:41">
      <c r="AE168" t="s">
        <v>4</v>
      </c>
      <c r="AF168">
        <v>0</v>
      </c>
      <c r="AG168" t="s">
        <v>5</v>
      </c>
      <c r="AH168">
        <v>165</v>
      </c>
      <c r="AI168" t="s">
        <v>6</v>
      </c>
      <c r="AJ168" s="1">
        <v>0.5</v>
      </c>
      <c r="AK168" t="s">
        <v>7</v>
      </c>
      <c r="AL168" s="1">
        <v>0.38133640000000002</v>
      </c>
      <c r="AM168" t="s">
        <v>8</v>
      </c>
      <c r="AN168" s="1">
        <v>0</v>
      </c>
      <c r="AO168" s="1">
        <v>0.20617062844689699</v>
      </c>
    </row>
    <row r="169" spans="31:41">
      <c r="AE169" t="s">
        <v>4</v>
      </c>
      <c r="AF169">
        <v>0</v>
      </c>
      <c r="AG169" t="s">
        <v>5</v>
      </c>
      <c r="AH169">
        <v>166</v>
      </c>
      <c r="AI169" t="s">
        <v>6</v>
      </c>
      <c r="AJ169" s="1">
        <v>0.5</v>
      </c>
      <c r="AK169" t="s">
        <v>7</v>
      </c>
      <c r="AL169" s="1">
        <v>0.3836406</v>
      </c>
      <c r="AM169" t="s">
        <v>8</v>
      </c>
      <c r="AN169" s="1">
        <v>0</v>
      </c>
      <c r="AO169" s="1">
        <v>0.20567051279411699</v>
      </c>
    </row>
    <row r="170" spans="31:41">
      <c r="AE170" t="s">
        <v>4</v>
      </c>
      <c r="AF170">
        <v>0</v>
      </c>
      <c r="AG170" t="s">
        <v>5</v>
      </c>
      <c r="AH170">
        <v>167</v>
      </c>
      <c r="AI170" t="s">
        <v>6</v>
      </c>
      <c r="AJ170" s="1">
        <v>0.5</v>
      </c>
      <c r="AK170" t="s">
        <v>7</v>
      </c>
      <c r="AL170" s="1">
        <v>0.38594469999999997</v>
      </c>
      <c r="AM170" t="s">
        <v>8</v>
      </c>
      <c r="AN170" s="1">
        <v>0</v>
      </c>
      <c r="AO170" s="1">
        <v>0.20633061737355499</v>
      </c>
    </row>
    <row r="171" spans="31:41">
      <c r="AE171" t="s">
        <v>4</v>
      </c>
      <c r="AF171">
        <v>0</v>
      </c>
      <c r="AG171" t="s">
        <v>5</v>
      </c>
      <c r="AH171">
        <v>168</v>
      </c>
      <c r="AI171" t="s">
        <v>6</v>
      </c>
      <c r="AJ171" s="1">
        <v>0.5</v>
      </c>
      <c r="AK171" t="s">
        <v>7</v>
      </c>
      <c r="AL171" s="1">
        <v>0.38824880000000001</v>
      </c>
      <c r="AM171" t="s">
        <v>8</v>
      </c>
      <c r="AN171" s="1">
        <v>0</v>
      </c>
      <c r="AO171" s="1">
        <v>0.20635903598737301</v>
      </c>
    </row>
    <row r="172" spans="31:41">
      <c r="AE172" t="s">
        <v>4</v>
      </c>
      <c r="AF172">
        <v>0</v>
      </c>
      <c r="AG172" t="s">
        <v>5</v>
      </c>
      <c r="AH172">
        <v>169</v>
      </c>
      <c r="AI172" t="s">
        <v>6</v>
      </c>
      <c r="AJ172" s="1">
        <v>0.5</v>
      </c>
      <c r="AK172" t="s">
        <v>7</v>
      </c>
      <c r="AL172" s="1">
        <v>0.39055299999999998</v>
      </c>
      <c r="AM172" t="s">
        <v>8</v>
      </c>
      <c r="AN172" s="1">
        <v>0</v>
      </c>
      <c r="AO172" s="1">
        <v>0.20572670698930101</v>
      </c>
    </row>
    <row r="173" spans="31:41">
      <c r="AE173" t="s">
        <v>4</v>
      </c>
      <c r="AF173">
        <v>0</v>
      </c>
      <c r="AG173" t="s">
        <v>5</v>
      </c>
      <c r="AH173">
        <v>170</v>
      </c>
      <c r="AI173" t="s">
        <v>6</v>
      </c>
      <c r="AJ173" s="1">
        <v>0.5</v>
      </c>
      <c r="AK173" t="s">
        <v>7</v>
      </c>
      <c r="AL173" s="1">
        <v>0.39285710000000001</v>
      </c>
      <c r="AM173" t="s">
        <v>8</v>
      </c>
      <c r="AN173" s="1">
        <v>0</v>
      </c>
      <c r="AO173" s="1">
        <v>0.20620369189431301</v>
      </c>
    </row>
    <row r="174" spans="31:41">
      <c r="AE174" t="s">
        <v>4</v>
      </c>
      <c r="AF174">
        <v>0</v>
      </c>
      <c r="AG174" t="s">
        <v>5</v>
      </c>
      <c r="AH174">
        <v>171</v>
      </c>
      <c r="AI174" t="s">
        <v>6</v>
      </c>
      <c r="AJ174" s="1">
        <v>0.5</v>
      </c>
      <c r="AK174" t="s">
        <v>7</v>
      </c>
      <c r="AL174" s="1">
        <v>0.39516129999999999</v>
      </c>
      <c r="AM174" t="s">
        <v>8</v>
      </c>
      <c r="AN174" s="1">
        <v>0</v>
      </c>
      <c r="AO174" s="1">
        <v>0.205120799179068</v>
      </c>
    </row>
    <row r="175" spans="31:41">
      <c r="AE175" t="s">
        <v>4</v>
      </c>
      <c r="AF175">
        <v>0</v>
      </c>
      <c r="AG175" t="s">
        <v>5</v>
      </c>
      <c r="AH175">
        <v>172</v>
      </c>
      <c r="AI175" t="s">
        <v>6</v>
      </c>
      <c r="AJ175" s="1">
        <v>0.5</v>
      </c>
      <c r="AK175" t="s">
        <v>7</v>
      </c>
      <c r="AL175" s="1">
        <v>0.39746540000000002</v>
      </c>
      <c r="AM175" t="s">
        <v>8</v>
      </c>
      <c r="AN175" s="1">
        <v>0</v>
      </c>
      <c r="AO175" s="1">
        <v>0.20601951235694599</v>
      </c>
    </row>
    <row r="176" spans="31:41">
      <c r="AE176" t="s">
        <v>4</v>
      </c>
      <c r="AF176">
        <v>0</v>
      </c>
      <c r="AG176" t="s">
        <v>5</v>
      </c>
      <c r="AH176">
        <v>173</v>
      </c>
      <c r="AI176" t="s">
        <v>6</v>
      </c>
      <c r="AJ176" s="1">
        <v>0.5</v>
      </c>
      <c r="AK176" t="s">
        <v>7</v>
      </c>
      <c r="AL176" s="1">
        <v>0.3997696</v>
      </c>
      <c r="AM176" t="s">
        <v>8</v>
      </c>
      <c r="AN176" s="1">
        <v>0</v>
      </c>
      <c r="AO176" s="1">
        <v>0.20578546960473901</v>
      </c>
    </row>
    <row r="177" spans="31:41">
      <c r="AE177" t="s">
        <v>4</v>
      </c>
      <c r="AF177">
        <v>0</v>
      </c>
      <c r="AG177" t="s">
        <v>5</v>
      </c>
      <c r="AH177">
        <v>174</v>
      </c>
      <c r="AI177" t="s">
        <v>6</v>
      </c>
      <c r="AJ177" s="1">
        <v>0.5</v>
      </c>
      <c r="AK177" t="s">
        <v>7</v>
      </c>
      <c r="AL177" s="1">
        <v>0.40207369999999998</v>
      </c>
      <c r="AM177" t="s">
        <v>8</v>
      </c>
      <c r="AN177" s="1">
        <v>0</v>
      </c>
      <c r="AO177" s="1">
        <v>0.206204875082351</v>
      </c>
    </row>
    <row r="178" spans="31:41">
      <c r="AE178" t="s">
        <v>4</v>
      </c>
      <c r="AF178">
        <v>0</v>
      </c>
      <c r="AG178" t="s">
        <v>5</v>
      </c>
      <c r="AH178">
        <v>175</v>
      </c>
      <c r="AI178" t="s">
        <v>6</v>
      </c>
      <c r="AJ178" s="1">
        <v>0.5</v>
      </c>
      <c r="AK178" t="s">
        <v>7</v>
      </c>
      <c r="AL178" s="1">
        <v>0.40437790000000001</v>
      </c>
      <c r="AM178" t="s">
        <v>8</v>
      </c>
      <c r="AN178" s="1">
        <v>0</v>
      </c>
      <c r="AO178" s="1">
        <v>0.20620817785394299</v>
      </c>
    </row>
    <row r="179" spans="31:41">
      <c r="AE179" t="s">
        <v>4</v>
      </c>
      <c r="AF179">
        <v>0</v>
      </c>
      <c r="AG179" t="s">
        <v>5</v>
      </c>
      <c r="AH179">
        <v>176</v>
      </c>
      <c r="AI179" t="s">
        <v>6</v>
      </c>
      <c r="AJ179" s="1">
        <v>0.5</v>
      </c>
      <c r="AK179" t="s">
        <v>7</v>
      </c>
      <c r="AL179" s="1">
        <v>0.40668199999999999</v>
      </c>
      <c r="AM179" t="s">
        <v>8</v>
      </c>
      <c r="AN179" s="1">
        <v>0</v>
      </c>
      <c r="AO179" s="1">
        <v>0.205700407624651</v>
      </c>
    </row>
    <row r="180" spans="31:41">
      <c r="AE180" t="s">
        <v>4</v>
      </c>
      <c r="AF180">
        <v>0</v>
      </c>
      <c r="AG180" t="s">
        <v>5</v>
      </c>
      <c r="AH180">
        <v>177</v>
      </c>
      <c r="AI180" t="s">
        <v>6</v>
      </c>
      <c r="AJ180" s="1">
        <v>0.5</v>
      </c>
      <c r="AK180" t="s">
        <v>7</v>
      </c>
      <c r="AL180" s="1">
        <v>0.40898620000000002</v>
      </c>
      <c r="AM180" t="s">
        <v>8</v>
      </c>
      <c r="AN180" s="1">
        <v>0</v>
      </c>
      <c r="AO180" s="1">
        <v>0.20591341023544299</v>
      </c>
    </row>
    <row r="181" spans="31:41">
      <c r="AE181" t="s">
        <v>4</v>
      </c>
      <c r="AF181">
        <v>0</v>
      </c>
      <c r="AG181" t="s">
        <v>5</v>
      </c>
      <c r="AH181">
        <v>178</v>
      </c>
      <c r="AI181" t="s">
        <v>6</v>
      </c>
      <c r="AJ181" s="1">
        <v>0.5</v>
      </c>
      <c r="AK181" t="s">
        <v>7</v>
      </c>
      <c r="AL181" s="1">
        <v>0.4112903</v>
      </c>
      <c r="AM181" t="s">
        <v>8</v>
      </c>
      <c r="AN181" s="1">
        <v>0</v>
      </c>
      <c r="AO181" s="1">
        <v>0.20496681791298599</v>
      </c>
    </row>
    <row r="182" spans="31:41">
      <c r="AE182" t="s">
        <v>4</v>
      </c>
      <c r="AF182">
        <v>0</v>
      </c>
      <c r="AG182" t="s">
        <v>5</v>
      </c>
      <c r="AH182">
        <v>179</v>
      </c>
      <c r="AI182" t="s">
        <v>6</v>
      </c>
      <c r="AJ182" s="1">
        <v>0.5</v>
      </c>
      <c r="AK182" t="s">
        <v>7</v>
      </c>
      <c r="AL182" s="1">
        <v>0.41359449999999998</v>
      </c>
      <c r="AM182" t="s">
        <v>8</v>
      </c>
      <c r="AN182" s="1">
        <v>0</v>
      </c>
      <c r="AO182" s="1">
        <v>0.205619537929983</v>
      </c>
    </row>
    <row r="183" spans="31:41">
      <c r="AE183" t="s">
        <v>4</v>
      </c>
      <c r="AF183">
        <v>0</v>
      </c>
      <c r="AG183" t="s">
        <v>5</v>
      </c>
      <c r="AH183">
        <v>180</v>
      </c>
      <c r="AI183" t="s">
        <v>6</v>
      </c>
      <c r="AJ183" s="1">
        <v>0.5</v>
      </c>
      <c r="AK183" t="s">
        <v>7</v>
      </c>
      <c r="AL183" s="1">
        <v>0.41589860000000001</v>
      </c>
      <c r="AM183" t="s">
        <v>8</v>
      </c>
      <c r="AN183" s="1">
        <v>0</v>
      </c>
      <c r="AO183" s="1">
        <v>0.205508569535892</v>
      </c>
    </row>
    <row r="184" spans="31:41">
      <c r="AE184" t="s">
        <v>4</v>
      </c>
      <c r="AF184">
        <v>0</v>
      </c>
      <c r="AG184" t="s">
        <v>5</v>
      </c>
      <c r="AH184">
        <v>181</v>
      </c>
      <c r="AI184" t="s">
        <v>6</v>
      </c>
      <c r="AJ184" s="1">
        <v>0.5</v>
      </c>
      <c r="AK184" t="s">
        <v>7</v>
      </c>
      <c r="AL184" s="1">
        <v>0.41820279999999999</v>
      </c>
      <c r="AM184" t="s">
        <v>8</v>
      </c>
      <c r="AN184" s="1">
        <v>0</v>
      </c>
      <c r="AO184" s="1">
        <v>0.205801619497544</v>
      </c>
    </row>
    <row r="185" spans="31:41">
      <c r="AE185" t="s">
        <v>4</v>
      </c>
      <c r="AF185">
        <v>0</v>
      </c>
      <c r="AG185" t="s">
        <v>5</v>
      </c>
      <c r="AH185">
        <v>182</v>
      </c>
      <c r="AI185" t="s">
        <v>6</v>
      </c>
      <c r="AJ185" s="1">
        <v>0.5</v>
      </c>
      <c r="AK185" t="s">
        <v>7</v>
      </c>
      <c r="AL185" s="1">
        <v>0.42050690000000002</v>
      </c>
      <c r="AM185" t="s">
        <v>8</v>
      </c>
      <c r="AN185" s="1">
        <v>0</v>
      </c>
      <c r="AO185" s="1">
        <v>0.205760741563455</v>
      </c>
    </row>
    <row r="186" spans="31:41">
      <c r="AE186" t="s">
        <v>4</v>
      </c>
      <c r="AF186">
        <v>0</v>
      </c>
      <c r="AG186" t="s">
        <v>5</v>
      </c>
      <c r="AH186">
        <v>183</v>
      </c>
      <c r="AI186" t="s">
        <v>6</v>
      </c>
      <c r="AJ186" s="1">
        <v>0.5</v>
      </c>
      <c r="AK186" t="s">
        <v>7</v>
      </c>
      <c r="AL186" s="1">
        <v>0.4228111</v>
      </c>
      <c r="AM186" t="s">
        <v>8</v>
      </c>
      <c r="AN186" s="1">
        <v>0</v>
      </c>
      <c r="AO186" s="1">
        <v>0.20535903766681199</v>
      </c>
    </row>
    <row r="187" spans="31:41">
      <c r="AE187" t="s">
        <v>4</v>
      </c>
      <c r="AF187">
        <v>0</v>
      </c>
      <c r="AG187" t="s">
        <v>5</v>
      </c>
      <c r="AH187">
        <v>184</v>
      </c>
      <c r="AI187" t="s">
        <v>6</v>
      </c>
      <c r="AJ187" s="1">
        <v>0.5</v>
      </c>
      <c r="AK187" t="s">
        <v>7</v>
      </c>
      <c r="AL187" s="1">
        <v>0.42511520000000003</v>
      </c>
      <c r="AM187" t="s">
        <v>8</v>
      </c>
      <c r="AN187" s="1">
        <v>0</v>
      </c>
      <c r="AO187" s="1">
        <v>0.20529470966562599</v>
      </c>
    </row>
    <row r="188" spans="31:41">
      <c r="AE188" t="s">
        <v>4</v>
      </c>
      <c r="AF188">
        <v>0</v>
      </c>
      <c r="AG188" t="s">
        <v>5</v>
      </c>
      <c r="AH188">
        <v>185</v>
      </c>
      <c r="AI188" t="s">
        <v>6</v>
      </c>
      <c r="AJ188" s="1">
        <v>0.5</v>
      </c>
      <c r="AK188" t="s">
        <v>7</v>
      </c>
      <c r="AL188" s="1">
        <v>0.4274194</v>
      </c>
      <c r="AM188" t="s">
        <v>8</v>
      </c>
      <c r="AN188" s="1">
        <v>0</v>
      </c>
      <c r="AO188" s="1">
        <v>0.20473265622689699</v>
      </c>
    </row>
    <row r="189" spans="31:41">
      <c r="AE189" t="s">
        <v>4</v>
      </c>
      <c r="AF189">
        <v>0</v>
      </c>
      <c r="AG189" t="s">
        <v>5</v>
      </c>
      <c r="AH189">
        <v>186</v>
      </c>
      <c r="AI189" t="s">
        <v>6</v>
      </c>
      <c r="AJ189" s="1">
        <v>0.5</v>
      </c>
      <c r="AK189" t="s">
        <v>7</v>
      </c>
      <c r="AL189" s="1">
        <v>0.42972349999999998</v>
      </c>
      <c r="AM189" t="s">
        <v>8</v>
      </c>
      <c r="AN189" s="1">
        <v>0</v>
      </c>
      <c r="AO189" s="1">
        <v>0.20487636930783801</v>
      </c>
    </row>
    <row r="190" spans="31:41">
      <c r="AE190" t="s">
        <v>4</v>
      </c>
      <c r="AF190">
        <v>0</v>
      </c>
      <c r="AG190" t="s">
        <v>5</v>
      </c>
      <c r="AH190">
        <v>187</v>
      </c>
      <c r="AI190" t="s">
        <v>6</v>
      </c>
      <c r="AJ190" s="1">
        <v>0.5</v>
      </c>
      <c r="AK190" t="s">
        <v>7</v>
      </c>
      <c r="AL190" s="1">
        <v>0.43202760000000001</v>
      </c>
      <c r="AM190" t="s">
        <v>8</v>
      </c>
      <c r="AN190" s="1">
        <v>0</v>
      </c>
      <c r="AO190" s="1">
        <v>0.20508578365628499</v>
      </c>
    </row>
    <row r="191" spans="31:41">
      <c r="AE191" t="s">
        <v>4</v>
      </c>
      <c r="AF191">
        <v>0</v>
      </c>
      <c r="AG191" t="s">
        <v>5</v>
      </c>
      <c r="AH191">
        <v>188</v>
      </c>
      <c r="AI191" t="s">
        <v>6</v>
      </c>
      <c r="AJ191" s="1">
        <v>0.5</v>
      </c>
      <c r="AK191" t="s">
        <v>7</v>
      </c>
      <c r="AL191" s="1">
        <v>0.43433179999999999</v>
      </c>
      <c r="AM191" t="s">
        <v>8</v>
      </c>
      <c r="AN191" s="1">
        <v>0</v>
      </c>
      <c r="AO191" s="1">
        <v>0.20503962710767701</v>
      </c>
    </row>
    <row r="192" spans="31:41">
      <c r="AE192" t="s">
        <v>4</v>
      </c>
      <c r="AF192">
        <v>0</v>
      </c>
      <c r="AG192" t="s">
        <v>5</v>
      </c>
      <c r="AH192">
        <v>189</v>
      </c>
      <c r="AI192" t="s">
        <v>6</v>
      </c>
      <c r="AJ192" s="1">
        <v>0.5</v>
      </c>
      <c r="AK192" t="s">
        <v>7</v>
      </c>
      <c r="AL192" s="1">
        <v>0.43663590000000002</v>
      </c>
      <c r="AM192" t="s">
        <v>8</v>
      </c>
      <c r="AN192" s="1">
        <v>0</v>
      </c>
      <c r="AO192" s="1">
        <v>0.20493963713024799</v>
      </c>
    </row>
    <row r="193" spans="31:41">
      <c r="AE193" t="s">
        <v>4</v>
      </c>
      <c r="AF193">
        <v>0</v>
      </c>
      <c r="AG193" t="s">
        <v>5</v>
      </c>
      <c r="AH193">
        <v>190</v>
      </c>
      <c r="AI193" t="s">
        <v>6</v>
      </c>
      <c r="AJ193" s="1">
        <v>0.5</v>
      </c>
      <c r="AK193" t="s">
        <v>7</v>
      </c>
      <c r="AL193" s="1">
        <v>0.4389401</v>
      </c>
      <c r="AM193" t="s">
        <v>8</v>
      </c>
      <c r="AN193" s="1">
        <v>0</v>
      </c>
      <c r="AO193" s="1">
        <v>0.20442918465249299</v>
      </c>
    </row>
    <row r="194" spans="31:41">
      <c r="AE194" t="s">
        <v>4</v>
      </c>
      <c r="AF194">
        <v>0</v>
      </c>
      <c r="AG194" t="s">
        <v>5</v>
      </c>
      <c r="AH194">
        <v>191</v>
      </c>
      <c r="AI194" t="s">
        <v>6</v>
      </c>
      <c r="AJ194" s="1">
        <v>0.5</v>
      </c>
      <c r="AK194" t="s">
        <v>7</v>
      </c>
      <c r="AL194" s="1">
        <v>0.44124419999999998</v>
      </c>
      <c r="AM194" t="s">
        <v>8</v>
      </c>
      <c r="AN194" s="1">
        <v>0</v>
      </c>
      <c r="AO194" s="1">
        <v>0.204236913766212</v>
      </c>
    </row>
    <row r="195" spans="31:41">
      <c r="AE195" t="s">
        <v>4</v>
      </c>
      <c r="AF195">
        <v>0</v>
      </c>
      <c r="AG195" t="s">
        <v>5</v>
      </c>
      <c r="AH195">
        <v>192</v>
      </c>
      <c r="AI195" t="s">
        <v>6</v>
      </c>
      <c r="AJ195" s="1">
        <v>0.5</v>
      </c>
      <c r="AK195" t="s">
        <v>7</v>
      </c>
      <c r="AL195" s="1">
        <v>0.44354840000000001</v>
      </c>
      <c r="AM195" t="s">
        <v>8</v>
      </c>
      <c r="AN195" s="1">
        <v>0</v>
      </c>
      <c r="AO195" s="1">
        <v>0.20319572738144101</v>
      </c>
    </row>
    <row r="196" spans="31:41">
      <c r="AE196" t="s">
        <v>4</v>
      </c>
      <c r="AF196">
        <v>0</v>
      </c>
      <c r="AG196" t="s">
        <v>5</v>
      </c>
      <c r="AH196">
        <v>193</v>
      </c>
      <c r="AI196" t="s">
        <v>6</v>
      </c>
      <c r="AJ196" s="1">
        <v>0.5</v>
      </c>
      <c r="AK196" t="s">
        <v>7</v>
      </c>
      <c r="AL196" s="1">
        <v>0.44585249999999998</v>
      </c>
      <c r="AM196" t="s">
        <v>8</v>
      </c>
      <c r="AN196" s="1">
        <v>0</v>
      </c>
      <c r="AO196" s="1">
        <v>0.20356364957235701</v>
      </c>
    </row>
    <row r="197" spans="31:41">
      <c r="AE197" t="s">
        <v>4</v>
      </c>
      <c r="AF197">
        <v>0</v>
      </c>
      <c r="AG197" t="s">
        <v>5</v>
      </c>
      <c r="AH197">
        <v>194</v>
      </c>
      <c r="AI197" t="s">
        <v>6</v>
      </c>
      <c r="AJ197" s="1">
        <v>0.5</v>
      </c>
      <c r="AK197" t="s">
        <v>7</v>
      </c>
      <c r="AL197" s="1">
        <v>0.44815670000000002</v>
      </c>
      <c r="AM197" t="s">
        <v>8</v>
      </c>
      <c r="AN197" s="1">
        <v>0</v>
      </c>
      <c r="AO197" s="1">
        <v>0.203347453540351</v>
      </c>
    </row>
    <row r="198" spans="31:41">
      <c r="AE198" t="s">
        <v>4</v>
      </c>
      <c r="AF198">
        <v>0</v>
      </c>
      <c r="AG198" t="s">
        <v>5</v>
      </c>
      <c r="AH198">
        <v>195</v>
      </c>
      <c r="AI198" t="s">
        <v>6</v>
      </c>
      <c r="AJ198" s="1">
        <v>0.5</v>
      </c>
      <c r="AK198" t="s">
        <v>7</v>
      </c>
      <c r="AL198" s="1">
        <v>0.45046079999999999</v>
      </c>
      <c r="AM198" t="s">
        <v>8</v>
      </c>
      <c r="AN198" s="1">
        <v>0</v>
      </c>
      <c r="AO198" s="1">
        <v>0.20355555777295301</v>
      </c>
    </row>
    <row r="199" spans="31:41">
      <c r="AE199" t="s">
        <v>4</v>
      </c>
      <c r="AF199">
        <v>0</v>
      </c>
      <c r="AG199" t="s">
        <v>5</v>
      </c>
      <c r="AH199">
        <v>196</v>
      </c>
      <c r="AI199" t="s">
        <v>6</v>
      </c>
      <c r="AJ199" s="1">
        <v>0.5</v>
      </c>
      <c r="AK199" t="s">
        <v>7</v>
      </c>
      <c r="AL199" s="1">
        <v>0.45276499999999997</v>
      </c>
      <c r="AM199" t="s">
        <v>8</v>
      </c>
      <c r="AN199" s="1">
        <v>0</v>
      </c>
      <c r="AO199" s="1">
        <v>0.203340065927792</v>
      </c>
    </row>
    <row r="200" spans="31:41">
      <c r="AE200" t="s">
        <v>4</v>
      </c>
      <c r="AF200">
        <v>0</v>
      </c>
      <c r="AG200" t="s">
        <v>5</v>
      </c>
      <c r="AH200">
        <v>197</v>
      </c>
      <c r="AI200" t="s">
        <v>6</v>
      </c>
      <c r="AJ200" s="1">
        <v>0.5</v>
      </c>
      <c r="AK200" t="s">
        <v>7</v>
      </c>
      <c r="AL200" s="1">
        <v>0.4550691</v>
      </c>
      <c r="AM200" t="s">
        <v>8</v>
      </c>
      <c r="AN200" s="1">
        <v>0</v>
      </c>
      <c r="AO200" s="1">
        <v>0.20241179246082999</v>
      </c>
    </row>
    <row r="201" spans="31:41">
      <c r="AE201" t="s">
        <v>4</v>
      </c>
      <c r="AF201">
        <v>0</v>
      </c>
      <c r="AG201" t="s">
        <v>5</v>
      </c>
      <c r="AH201">
        <v>198</v>
      </c>
      <c r="AI201" t="s">
        <v>6</v>
      </c>
      <c r="AJ201" s="1">
        <v>0.5</v>
      </c>
      <c r="AK201" t="s">
        <v>7</v>
      </c>
      <c r="AL201" s="1">
        <v>0.45737329999999998</v>
      </c>
      <c r="AM201" t="s">
        <v>8</v>
      </c>
      <c r="AN201" s="1">
        <v>0</v>
      </c>
      <c r="AO201" s="1">
        <v>0.20239208582155399</v>
      </c>
    </row>
    <row r="202" spans="31:41">
      <c r="AE202" t="s">
        <v>4</v>
      </c>
      <c r="AF202">
        <v>0</v>
      </c>
      <c r="AG202" t="s">
        <v>5</v>
      </c>
      <c r="AH202">
        <v>199</v>
      </c>
      <c r="AI202" t="s">
        <v>6</v>
      </c>
      <c r="AJ202" s="1">
        <v>0.5</v>
      </c>
      <c r="AK202" t="s">
        <v>7</v>
      </c>
      <c r="AL202" s="1">
        <v>0.45967740000000001</v>
      </c>
      <c r="AM202" t="s">
        <v>8</v>
      </c>
      <c r="AN202" s="1">
        <v>0</v>
      </c>
      <c r="AO202" s="1">
        <v>0.20075764324263601</v>
      </c>
    </row>
    <row r="203" spans="31:41">
      <c r="AE203" t="s">
        <v>4</v>
      </c>
      <c r="AF203">
        <v>0</v>
      </c>
      <c r="AG203" t="s">
        <v>5</v>
      </c>
      <c r="AH203">
        <v>200</v>
      </c>
      <c r="AI203" t="s">
        <v>6</v>
      </c>
      <c r="AJ203" s="1">
        <v>0.5</v>
      </c>
      <c r="AK203" t="s">
        <v>7</v>
      </c>
      <c r="AL203" s="1">
        <v>0.46198159999999999</v>
      </c>
      <c r="AM203" t="s">
        <v>8</v>
      </c>
      <c r="AN203" s="1">
        <v>0</v>
      </c>
      <c r="AO203" s="1">
        <v>0.20146775735057501</v>
      </c>
    </row>
    <row r="204" spans="31:41">
      <c r="AE204" t="s">
        <v>4</v>
      </c>
      <c r="AF204">
        <v>0</v>
      </c>
      <c r="AG204" t="s">
        <v>5</v>
      </c>
      <c r="AH204">
        <v>201</v>
      </c>
      <c r="AI204" t="s">
        <v>6</v>
      </c>
      <c r="AJ204" s="1">
        <v>0.5</v>
      </c>
      <c r="AK204" t="s">
        <v>7</v>
      </c>
      <c r="AL204" s="1">
        <v>0.46428570000000002</v>
      </c>
      <c r="AM204" t="s">
        <v>8</v>
      </c>
      <c r="AN204" s="1">
        <v>0</v>
      </c>
      <c r="AO204" s="1">
        <v>0.20030805712431901</v>
      </c>
    </row>
    <row r="205" spans="31:41">
      <c r="AE205" t="s">
        <v>4</v>
      </c>
      <c r="AF205">
        <v>0</v>
      </c>
      <c r="AG205" t="s">
        <v>5</v>
      </c>
      <c r="AH205">
        <v>202</v>
      </c>
      <c r="AI205" t="s">
        <v>6</v>
      </c>
      <c r="AJ205" s="1">
        <v>0.5</v>
      </c>
      <c r="AK205" t="s">
        <v>7</v>
      </c>
      <c r="AL205" s="1">
        <v>0.4665899</v>
      </c>
      <c r="AM205" t="s">
        <v>8</v>
      </c>
      <c r="AN205" s="1">
        <v>0</v>
      </c>
      <c r="AO205" s="1">
        <v>0.201116470380344</v>
      </c>
    </row>
    <row r="206" spans="31:41">
      <c r="AE206" t="s">
        <v>4</v>
      </c>
      <c r="AF206">
        <v>0</v>
      </c>
      <c r="AG206" t="s">
        <v>5</v>
      </c>
      <c r="AH206">
        <v>203</v>
      </c>
      <c r="AI206" t="s">
        <v>6</v>
      </c>
      <c r="AJ206" s="1">
        <v>0.5</v>
      </c>
      <c r="AK206" t="s">
        <v>7</v>
      </c>
      <c r="AL206" s="1">
        <v>0.46889399999999998</v>
      </c>
      <c r="AM206" t="s">
        <v>8</v>
      </c>
      <c r="AN206" s="1">
        <v>0</v>
      </c>
      <c r="AO206" s="1">
        <v>0.20070294734747901</v>
      </c>
    </row>
    <row r="207" spans="31:41">
      <c r="AE207" t="s">
        <v>4</v>
      </c>
      <c r="AF207">
        <v>0</v>
      </c>
      <c r="AG207" t="s">
        <v>5</v>
      </c>
      <c r="AH207">
        <v>204</v>
      </c>
      <c r="AI207" t="s">
        <v>6</v>
      </c>
      <c r="AJ207" s="1">
        <v>0.5</v>
      </c>
      <c r="AK207" t="s">
        <v>7</v>
      </c>
      <c r="AL207" s="1">
        <v>0.47119820000000001</v>
      </c>
      <c r="AM207" t="s">
        <v>8</v>
      </c>
      <c r="AN207" s="1">
        <v>0</v>
      </c>
      <c r="AO207" s="1">
        <v>0.19689787577726101</v>
      </c>
    </row>
    <row r="208" spans="31:41">
      <c r="AE208" t="s">
        <v>4</v>
      </c>
      <c r="AF208">
        <v>0</v>
      </c>
      <c r="AG208" t="s">
        <v>5</v>
      </c>
      <c r="AH208">
        <v>205</v>
      </c>
      <c r="AI208" t="s">
        <v>6</v>
      </c>
      <c r="AJ208" s="1">
        <v>0.5</v>
      </c>
      <c r="AK208" t="s">
        <v>7</v>
      </c>
      <c r="AL208" s="1">
        <v>0.47350229999999999</v>
      </c>
      <c r="AM208" t="s">
        <v>8</v>
      </c>
      <c r="AN208" s="1">
        <v>0</v>
      </c>
      <c r="AO208" s="1">
        <v>0.19931085590070299</v>
      </c>
    </row>
    <row r="209" spans="31:41">
      <c r="AE209" t="s">
        <v>4</v>
      </c>
      <c r="AF209">
        <v>0</v>
      </c>
      <c r="AG209" t="s">
        <v>5</v>
      </c>
      <c r="AH209">
        <v>206</v>
      </c>
      <c r="AI209" t="s">
        <v>6</v>
      </c>
      <c r="AJ209" s="1">
        <v>0.5</v>
      </c>
      <c r="AK209" t="s">
        <v>7</v>
      </c>
      <c r="AL209" s="1">
        <v>0.47580650000000002</v>
      </c>
      <c r="AM209" t="s">
        <v>8</v>
      </c>
      <c r="AN209" s="1">
        <v>0</v>
      </c>
      <c r="AO209" s="1">
        <v>0.191042101471077</v>
      </c>
    </row>
    <row r="210" spans="31:41">
      <c r="AE210" t="s">
        <v>4</v>
      </c>
      <c r="AF210">
        <v>0</v>
      </c>
      <c r="AG210" t="s">
        <v>5</v>
      </c>
      <c r="AH210">
        <v>207</v>
      </c>
      <c r="AI210" t="s">
        <v>6</v>
      </c>
      <c r="AJ210" s="1">
        <v>0.5</v>
      </c>
      <c r="AK210" t="s">
        <v>7</v>
      </c>
      <c r="AL210" s="1">
        <v>0.4781106</v>
      </c>
      <c r="AM210" t="s">
        <v>8</v>
      </c>
      <c r="AN210" s="1">
        <v>0</v>
      </c>
      <c r="AO210" s="1">
        <v>0.19756361413360199</v>
      </c>
    </row>
    <row r="211" spans="31:41">
      <c r="AE211" t="s">
        <v>4</v>
      </c>
      <c r="AF211">
        <v>0</v>
      </c>
      <c r="AG211" t="s">
        <v>5</v>
      </c>
      <c r="AH211">
        <v>208</v>
      </c>
      <c r="AI211" t="s">
        <v>6</v>
      </c>
      <c r="AJ211" s="1">
        <v>0.5</v>
      </c>
      <c r="AK211" t="s">
        <v>7</v>
      </c>
      <c r="AL211" s="1">
        <v>0.48041469999999997</v>
      </c>
      <c r="AM211" t="s">
        <v>8</v>
      </c>
      <c r="AN211" s="1">
        <v>0</v>
      </c>
      <c r="AO211" s="1">
        <v>0.19050966367245101</v>
      </c>
    </row>
    <row r="212" spans="31:41">
      <c r="AE212" t="s">
        <v>4</v>
      </c>
      <c r="AF212">
        <v>0</v>
      </c>
      <c r="AG212" t="s">
        <v>5</v>
      </c>
      <c r="AH212">
        <v>209</v>
      </c>
      <c r="AI212" t="s">
        <v>6</v>
      </c>
      <c r="AJ212" s="1">
        <v>0.5</v>
      </c>
      <c r="AK212" t="s">
        <v>7</v>
      </c>
      <c r="AL212" s="1">
        <v>0.48271890000000001</v>
      </c>
      <c r="AM212" t="s">
        <v>8</v>
      </c>
      <c r="AN212" s="1">
        <v>0</v>
      </c>
      <c r="AO212" s="1">
        <v>0.19610130821748001</v>
      </c>
    </row>
    <row r="213" spans="31:41">
      <c r="AE213" t="s">
        <v>4</v>
      </c>
      <c r="AF213">
        <v>0</v>
      </c>
      <c r="AG213" t="s">
        <v>5</v>
      </c>
      <c r="AH213">
        <v>210</v>
      </c>
      <c r="AI213" t="s">
        <v>6</v>
      </c>
      <c r="AJ213" s="1">
        <v>0.5</v>
      </c>
      <c r="AK213" t="s">
        <v>7</v>
      </c>
      <c r="AL213" s="1">
        <v>0.48502299999999998</v>
      </c>
      <c r="AM213" t="s">
        <v>8</v>
      </c>
      <c r="AN213" s="1">
        <v>0</v>
      </c>
      <c r="AO213" s="1">
        <v>0.195304436284432</v>
      </c>
    </row>
    <row r="214" spans="31:41">
      <c r="AE214" t="s">
        <v>4</v>
      </c>
      <c r="AF214">
        <v>0</v>
      </c>
      <c r="AG214" t="s">
        <v>5</v>
      </c>
      <c r="AH214">
        <v>211</v>
      </c>
      <c r="AI214" t="s">
        <v>6</v>
      </c>
      <c r="AJ214" s="1">
        <v>0.5</v>
      </c>
      <c r="AK214" t="s">
        <v>7</v>
      </c>
      <c r="AL214" s="1">
        <v>0.48732720000000002</v>
      </c>
      <c r="AM214" t="s">
        <v>8</v>
      </c>
      <c r="AN214" s="1">
        <v>0</v>
      </c>
      <c r="AO214" s="1">
        <v>0.180596267577533</v>
      </c>
    </row>
    <row r="215" spans="31:41">
      <c r="AE215" t="s">
        <v>4</v>
      </c>
      <c r="AF215">
        <v>0</v>
      </c>
      <c r="AG215" t="s">
        <v>5</v>
      </c>
      <c r="AH215">
        <v>212</v>
      </c>
      <c r="AI215" t="s">
        <v>6</v>
      </c>
      <c r="AJ215" s="1">
        <v>0.5</v>
      </c>
      <c r="AK215" t="s">
        <v>7</v>
      </c>
      <c r="AL215" s="1">
        <v>0.48963129999999999</v>
      </c>
      <c r="AM215" t="s">
        <v>8</v>
      </c>
      <c r="AN215" s="1">
        <v>0</v>
      </c>
      <c r="AO215" s="1">
        <v>0.19347760971351399</v>
      </c>
    </row>
    <row r="216" spans="31:41">
      <c r="AE216" t="s">
        <v>4</v>
      </c>
      <c r="AF216">
        <v>0</v>
      </c>
      <c r="AG216" t="s">
        <v>5</v>
      </c>
      <c r="AH216">
        <v>213</v>
      </c>
      <c r="AI216" t="s">
        <v>6</v>
      </c>
      <c r="AJ216" s="1">
        <v>0.5</v>
      </c>
      <c r="AK216" t="s">
        <v>7</v>
      </c>
      <c r="AL216" s="1">
        <v>0.49193550000000003</v>
      </c>
      <c r="AM216" t="s">
        <v>8</v>
      </c>
      <c r="AN216" s="1">
        <v>0</v>
      </c>
      <c r="AO216" s="1">
        <v>0.15147238253753001</v>
      </c>
    </row>
    <row r="217" spans="31:41">
      <c r="AE217" t="s">
        <v>4</v>
      </c>
      <c r="AF217">
        <v>0</v>
      </c>
      <c r="AG217" t="s">
        <v>5</v>
      </c>
      <c r="AH217">
        <v>214</v>
      </c>
      <c r="AI217" t="s">
        <v>6</v>
      </c>
      <c r="AJ217" s="1">
        <v>0.5</v>
      </c>
      <c r="AK217" t="s">
        <v>7</v>
      </c>
      <c r="AL217" s="1">
        <v>0.4942396</v>
      </c>
      <c r="AM217" t="s">
        <v>8</v>
      </c>
      <c r="AN217" s="1">
        <v>0</v>
      </c>
      <c r="AO217" s="1">
        <v>0.189460889172505</v>
      </c>
    </row>
    <row r="218" spans="31:41">
      <c r="AE218" t="s">
        <v>4</v>
      </c>
      <c r="AF218">
        <v>0</v>
      </c>
      <c r="AG218" t="s">
        <v>5</v>
      </c>
      <c r="AH218">
        <v>215</v>
      </c>
      <c r="AI218" t="s">
        <v>6</v>
      </c>
      <c r="AJ218" s="1">
        <v>0.5</v>
      </c>
      <c r="AK218" t="s">
        <v>7</v>
      </c>
      <c r="AL218" s="1">
        <v>0.49654379999999998</v>
      </c>
      <c r="AM218" t="s">
        <v>8</v>
      </c>
      <c r="AN218" s="1">
        <v>0</v>
      </c>
      <c r="AO218" s="1">
        <v>0.14354414722893</v>
      </c>
    </row>
    <row r="219" spans="31:41">
      <c r="AE219" t="s">
        <v>4</v>
      </c>
      <c r="AF219">
        <v>0</v>
      </c>
      <c r="AG219" t="s">
        <v>5</v>
      </c>
      <c r="AH219">
        <v>216</v>
      </c>
      <c r="AI219" t="s">
        <v>6</v>
      </c>
      <c r="AJ219" s="1">
        <v>0.5</v>
      </c>
      <c r="AK219" t="s">
        <v>7</v>
      </c>
      <c r="AL219" s="1">
        <v>0.49884790000000001</v>
      </c>
      <c r="AM219" t="s">
        <v>8</v>
      </c>
      <c r="AN219" s="1">
        <v>0</v>
      </c>
      <c r="AO219" s="1">
        <v>0.18433904490429001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AF6B-6D31-453E-8741-404C43A901EB}">
  <dimension ref="A1:BI81"/>
  <sheetViews>
    <sheetView zoomScale="65" zoomScaleNormal="115" workbookViewId="0">
      <selection activeCell="J18" sqref="J18"/>
    </sheetView>
  </sheetViews>
  <sheetFormatPr defaultRowHeight="18"/>
  <cols>
    <col min="6" max="6" width="9.5" bestFit="1" customWidth="1"/>
    <col min="8" max="8" width="9.5" bestFit="1" customWidth="1"/>
    <col min="10" max="10" width="10.09765625" bestFit="1" customWidth="1"/>
    <col min="11" max="11" width="9.5" bestFit="1" customWidth="1"/>
    <col min="21" max="21" width="8.8984375" bestFit="1" customWidth="1"/>
    <col min="23" max="23" width="8.8984375" bestFit="1" customWidth="1"/>
    <col min="55" max="55" width="9.59765625" bestFit="1" customWidth="1"/>
  </cols>
  <sheetData>
    <row r="1" spans="1:61">
      <c r="A1" t="s">
        <v>14</v>
      </c>
      <c r="T1" t="s">
        <v>2</v>
      </c>
      <c r="U1" t="s">
        <v>3</v>
      </c>
      <c r="BI1" t="s">
        <v>15</v>
      </c>
    </row>
    <row r="2" spans="1:61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0.199878639631451</v>
      </c>
      <c r="T2" t="s">
        <v>4</v>
      </c>
      <c r="U2">
        <v>0</v>
      </c>
      <c r="V2" t="s">
        <v>5</v>
      </c>
      <c r="W2">
        <v>0</v>
      </c>
      <c r="X2" t="s">
        <v>6</v>
      </c>
      <c r="Y2" s="1">
        <v>1.5625E-2</v>
      </c>
      <c r="Z2" t="s">
        <v>7</v>
      </c>
      <c r="AA2" s="1">
        <v>0.5</v>
      </c>
      <c r="AB2" t="s">
        <v>8</v>
      </c>
      <c r="AC2" s="1">
        <v>0</v>
      </c>
      <c r="AD2" s="1">
        <v>0.19987728421887299</v>
      </c>
      <c r="AF2" t="s">
        <v>4</v>
      </c>
      <c r="AG2">
        <v>0</v>
      </c>
      <c r="AH2" t="s">
        <v>5</v>
      </c>
      <c r="AI2">
        <v>0</v>
      </c>
      <c r="AJ2" t="s">
        <v>6</v>
      </c>
      <c r="AK2" s="1">
        <v>3.1250000000000002E-3</v>
      </c>
      <c r="AL2" t="s">
        <v>7</v>
      </c>
      <c r="AM2" s="1">
        <v>0.5</v>
      </c>
      <c r="AN2" t="s">
        <v>8</v>
      </c>
      <c r="AO2" s="1">
        <v>0</v>
      </c>
      <c r="AP2" s="1">
        <v>0.199592180405081</v>
      </c>
      <c r="AR2" t="s">
        <v>4</v>
      </c>
      <c r="AS2">
        <v>0</v>
      </c>
      <c r="AT2" t="s">
        <v>5</v>
      </c>
      <c r="AU2">
        <v>0</v>
      </c>
      <c r="AV2" t="s">
        <v>6</v>
      </c>
      <c r="AW2" s="1">
        <v>1.5625E-2</v>
      </c>
      <c r="AX2" t="s">
        <v>7</v>
      </c>
      <c r="AY2" s="1">
        <v>0.5</v>
      </c>
      <c r="AZ2" t="s">
        <v>8</v>
      </c>
      <c r="BA2" s="1">
        <v>0</v>
      </c>
      <c r="BB2" s="1">
        <v>0.199878639631451</v>
      </c>
      <c r="BC2" s="1">
        <f t="shared" ref="BC2:BC17" si="0">AW2*-1</f>
        <v>-1.5625E-2</v>
      </c>
      <c r="BD2" s="1">
        <f t="shared" ref="BD2:BD33" si="1">BB2</f>
        <v>0.199878639631451</v>
      </c>
    </row>
    <row r="3" spans="1:61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0.19996715117472399</v>
      </c>
      <c r="T3" t="s">
        <v>4</v>
      </c>
      <c r="U3">
        <v>0</v>
      </c>
      <c r="V3" t="s">
        <v>5</v>
      </c>
      <c r="W3">
        <v>1</v>
      </c>
      <c r="X3" t="s">
        <v>6</v>
      </c>
      <c r="Y3" s="1">
        <v>4.6875E-2</v>
      </c>
      <c r="Z3" t="s">
        <v>7</v>
      </c>
      <c r="AA3" s="1">
        <v>0.5</v>
      </c>
      <c r="AB3" t="s">
        <v>8</v>
      </c>
      <c r="AC3" s="1">
        <v>0</v>
      </c>
      <c r="AD3" s="1">
        <v>0.19994515558298501</v>
      </c>
      <c r="AF3" t="s">
        <v>4</v>
      </c>
      <c r="AG3">
        <v>0</v>
      </c>
      <c r="AH3" t="s">
        <v>5</v>
      </c>
      <c r="AI3">
        <v>1</v>
      </c>
      <c r="AJ3" t="s">
        <v>6</v>
      </c>
      <c r="AK3" s="1">
        <v>9.3749999999999997E-3</v>
      </c>
      <c r="AL3" t="s">
        <v>7</v>
      </c>
      <c r="AM3" s="1">
        <v>0.5</v>
      </c>
      <c r="AN3" t="s">
        <v>8</v>
      </c>
      <c r="AO3" s="1">
        <v>0</v>
      </c>
      <c r="AP3" s="1">
        <v>0.19960705471977</v>
      </c>
      <c r="AR3" t="s">
        <v>4</v>
      </c>
      <c r="AS3">
        <v>0</v>
      </c>
      <c r="AT3" t="s">
        <v>5</v>
      </c>
      <c r="AU3">
        <v>15</v>
      </c>
      <c r="AV3" t="s">
        <v>6</v>
      </c>
      <c r="AW3" s="1">
        <v>0.484375</v>
      </c>
      <c r="AX3" t="s">
        <v>7</v>
      </c>
      <c r="AY3" s="1">
        <v>0.5</v>
      </c>
      <c r="AZ3" t="s">
        <v>8</v>
      </c>
      <c r="BA3" s="1">
        <v>0</v>
      </c>
      <c r="BB3" s="1">
        <v>0.19250670265921199</v>
      </c>
      <c r="BC3" s="1">
        <f t="shared" si="0"/>
        <v>-0.484375</v>
      </c>
      <c r="BD3" s="1">
        <f t="shared" si="1"/>
        <v>0.19250670265921199</v>
      </c>
    </row>
    <row r="4" spans="1:61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0.20012428212191799</v>
      </c>
      <c r="T4" t="s">
        <v>4</v>
      </c>
      <c r="U4">
        <v>0</v>
      </c>
      <c r="V4" t="s">
        <v>5</v>
      </c>
      <c r="W4">
        <v>2</v>
      </c>
      <c r="X4" t="s">
        <v>6</v>
      </c>
      <c r="Y4" s="1">
        <v>7.8125E-2</v>
      </c>
      <c r="Z4" t="s">
        <v>7</v>
      </c>
      <c r="AA4" s="1">
        <v>0.5</v>
      </c>
      <c r="AB4" t="s">
        <v>8</v>
      </c>
      <c r="AC4" s="1">
        <v>0</v>
      </c>
      <c r="AD4" s="1">
        <v>0.20016373950545099</v>
      </c>
      <c r="AF4" t="s">
        <v>4</v>
      </c>
      <c r="AG4">
        <v>0</v>
      </c>
      <c r="AH4" t="s">
        <v>5</v>
      </c>
      <c r="AI4">
        <v>2</v>
      </c>
      <c r="AJ4" t="s">
        <v>6</v>
      </c>
      <c r="AK4" s="1">
        <v>1.5625E-2</v>
      </c>
      <c r="AL4" t="s">
        <v>7</v>
      </c>
      <c r="AM4" s="1">
        <v>0.5</v>
      </c>
      <c r="AN4" t="s">
        <v>8</v>
      </c>
      <c r="AO4" s="1">
        <v>0</v>
      </c>
      <c r="AP4" s="1">
        <v>0.199622637805417</v>
      </c>
      <c r="AR4" t="s">
        <v>4</v>
      </c>
      <c r="AS4">
        <v>0</v>
      </c>
      <c r="AT4" t="s">
        <v>5</v>
      </c>
      <c r="AU4">
        <v>14</v>
      </c>
      <c r="AV4" t="s">
        <v>6</v>
      </c>
      <c r="AW4" s="1">
        <v>0.453125</v>
      </c>
      <c r="AX4" t="s">
        <v>7</v>
      </c>
      <c r="AY4" s="1">
        <v>0.5</v>
      </c>
      <c r="AZ4" t="s">
        <v>8</v>
      </c>
      <c r="BA4" s="1">
        <v>0</v>
      </c>
      <c r="BB4" s="1">
        <v>0.20226773253215499</v>
      </c>
      <c r="BC4" s="1">
        <f t="shared" si="0"/>
        <v>-0.453125</v>
      </c>
      <c r="BD4" s="1">
        <f t="shared" si="1"/>
        <v>0.20226773253215499</v>
      </c>
    </row>
    <row r="5" spans="1:61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0.20043016580794201</v>
      </c>
      <c r="T5" t="s">
        <v>4</v>
      </c>
      <c r="U5">
        <v>0</v>
      </c>
      <c r="V5" t="s">
        <v>5</v>
      </c>
      <c r="W5">
        <v>3</v>
      </c>
      <c r="X5" t="s">
        <v>6</v>
      </c>
      <c r="Y5" s="1">
        <v>0.109375</v>
      </c>
      <c r="Z5" t="s">
        <v>7</v>
      </c>
      <c r="AA5" s="1">
        <v>0.5</v>
      </c>
      <c r="AB5" t="s">
        <v>8</v>
      </c>
      <c r="AC5" s="1">
        <v>0</v>
      </c>
      <c r="AD5" s="1">
        <v>0.20041880381239799</v>
      </c>
      <c r="AF5" t="s">
        <v>4</v>
      </c>
      <c r="AG5">
        <v>0</v>
      </c>
      <c r="AH5" t="s">
        <v>5</v>
      </c>
      <c r="AI5">
        <v>3</v>
      </c>
      <c r="AJ5" t="s">
        <v>6</v>
      </c>
      <c r="AK5" s="1">
        <v>2.1874999999999999E-2</v>
      </c>
      <c r="AL5" t="s">
        <v>7</v>
      </c>
      <c r="AM5" s="1">
        <v>0.5</v>
      </c>
      <c r="AN5" t="s">
        <v>8</v>
      </c>
      <c r="AO5" s="1">
        <v>0</v>
      </c>
      <c r="AP5" s="1">
        <v>0.19963890718230301</v>
      </c>
      <c r="AR5" t="s">
        <v>4</v>
      </c>
      <c r="AS5">
        <v>0</v>
      </c>
      <c r="AT5" t="s">
        <v>5</v>
      </c>
      <c r="AU5">
        <v>13</v>
      </c>
      <c r="AV5" t="s">
        <v>6</v>
      </c>
      <c r="AW5" s="1">
        <v>0.421875</v>
      </c>
      <c r="AX5" t="s">
        <v>7</v>
      </c>
      <c r="AY5" s="1">
        <v>0.5</v>
      </c>
      <c r="AZ5" t="s">
        <v>8</v>
      </c>
      <c r="BA5" s="1">
        <v>0</v>
      </c>
      <c r="BB5" s="1">
        <v>0.20423082370818901</v>
      </c>
      <c r="BC5" s="1">
        <f t="shared" si="0"/>
        <v>-0.421875</v>
      </c>
      <c r="BD5" s="1">
        <f t="shared" si="1"/>
        <v>0.20423082370818901</v>
      </c>
    </row>
    <row r="6" spans="1:61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0.20073709624622901</v>
      </c>
      <c r="T6" t="s">
        <v>4</v>
      </c>
      <c r="U6">
        <v>0</v>
      </c>
      <c r="V6" t="s">
        <v>5</v>
      </c>
      <c r="W6">
        <v>4</v>
      </c>
      <c r="X6" t="s">
        <v>6</v>
      </c>
      <c r="Y6" s="1">
        <v>0.140625</v>
      </c>
      <c r="Z6" t="s">
        <v>7</v>
      </c>
      <c r="AA6" s="1">
        <v>0.5</v>
      </c>
      <c r="AB6" t="s">
        <v>8</v>
      </c>
      <c r="AC6" s="1">
        <v>0</v>
      </c>
      <c r="AD6" s="1">
        <v>0.20071156278277699</v>
      </c>
      <c r="AF6" t="s">
        <v>4</v>
      </c>
      <c r="AG6">
        <v>0</v>
      </c>
      <c r="AH6" t="s">
        <v>5</v>
      </c>
      <c r="AI6">
        <v>4</v>
      </c>
      <c r="AJ6" t="s">
        <v>6</v>
      </c>
      <c r="AK6" s="1">
        <v>2.8125000000000001E-2</v>
      </c>
      <c r="AL6" t="s">
        <v>7</v>
      </c>
      <c r="AM6" s="1">
        <v>0.5</v>
      </c>
      <c r="AN6" t="s">
        <v>8</v>
      </c>
      <c r="AO6" s="1">
        <v>0</v>
      </c>
      <c r="AP6" s="1">
        <v>0.199655841164571</v>
      </c>
      <c r="AR6" t="s">
        <v>4</v>
      </c>
      <c r="AS6">
        <v>0</v>
      </c>
      <c r="AT6" t="s">
        <v>5</v>
      </c>
      <c r="AU6">
        <v>12</v>
      </c>
      <c r="AV6" t="s">
        <v>6</v>
      </c>
      <c r="AW6" s="1">
        <v>0.390625</v>
      </c>
      <c r="AX6" t="s">
        <v>7</v>
      </c>
      <c r="AY6" s="1">
        <v>0.5</v>
      </c>
      <c r="AZ6" t="s">
        <v>8</v>
      </c>
      <c r="BA6" s="1">
        <v>0</v>
      </c>
      <c r="BB6" s="1">
        <v>0.20484434001568699</v>
      </c>
      <c r="BC6" s="1">
        <f t="shared" si="0"/>
        <v>-0.390625</v>
      </c>
      <c r="BD6" s="1">
        <f t="shared" si="1"/>
        <v>0.20484434001568699</v>
      </c>
    </row>
    <row r="7" spans="1:61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0.20118723338237501</v>
      </c>
      <c r="T7" t="s">
        <v>4</v>
      </c>
      <c r="U7">
        <v>0</v>
      </c>
      <c r="V7" t="s">
        <v>5</v>
      </c>
      <c r="W7">
        <v>5</v>
      </c>
      <c r="X7" t="s">
        <v>6</v>
      </c>
      <c r="Y7" s="1">
        <v>0.171875</v>
      </c>
      <c r="Z7" t="s">
        <v>7</v>
      </c>
      <c r="AA7" s="1">
        <v>0.5</v>
      </c>
      <c r="AB7" t="s">
        <v>8</v>
      </c>
      <c r="AC7" s="1">
        <v>0</v>
      </c>
      <c r="AD7" s="1">
        <v>0.20120506145705999</v>
      </c>
      <c r="AF7" t="s">
        <v>4</v>
      </c>
      <c r="AG7">
        <v>0</v>
      </c>
      <c r="AH7" t="s">
        <v>5</v>
      </c>
      <c r="AI7">
        <v>5</v>
      </c>
      <c r="AJ7" t="s">
        <v>6</v>
      </c>
      <c r="AK7" s="1">
        <v>3.4375000000000003E-2</v>
      </c>
      <c r="AL7" t="s">
        <v>7</v>
      </c>
      <c r="AM7" s="1">
        <v>0.5</v>
      </c>
      <c r="AN7" t="s">
        <v>8</v>
      </c>
      <c r="AO7" s="1">
        <v>0</v>
      </c>
      <c r="AP7" s="1">
        <v>0.19967341919696899</v>
      </c>
      <c r="AR7" t="s">
        <v>4</v>
      </c>
      <c r="AS7">
        <v>0</v>
      </c>
      <c r="AT7" t="s">
        <v>5</v>
      </c>
      <c r="AU7">
        <v>11</v>
      </c>
      <c r="AV7" t="s">
        <v>6</v>
      </c>
      <c r="AW7" s="1">
        <v>0.359375</v>
      </c>
      <c r="AX7" t="s">
        <v>7</v>
      </c>
      <c r="AY7" s="1">
        <v>0.5</v>
      </c>
      <c r="AZ7" t="s">
        <v>8</v>
      </c>
      <c r="BA7" s="1">
        <v>0</v>
      </c>
      <c r="BB7" s="1">
        <v>0.204740023952829</v>
      </c>
      <c r="BC7" s="1">
        <f t="shared" si="0"/>
        <v>-0.359375</v>
      </c>
      <c r="BD7" s="1">
        <f t="shared" si="1"/>
        <v>0.204740023952829</v>
      </c>
    </row>
    <row r="8" spans="1:61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0.201646576695443</v>
      </c>
      <c r="T8" t="s">
        <v>4</v>
      </c>
      <c r="U8">
        <v>0</v>
      </c>
      <c r="V8" t="s">
        <v>5</v>
      </c>
      <c r="W8">
        <v>6</v>
      </c>
      <c r="X8" t="s">
        <v>6</v>
      </c>
      <c r="Y8" s="1">
        <v>0.203125</v>
      </c>
      <c r="Z8" t="s">
        <v>7</v>
      </c>
      <c r="AA8" s="1">
        <v>0.5</v>
      </c>
      <c r="AB8" t="s">
        <v>8</v>
      </c>
      <c r="AC8" s="1">
        <v>0</v>
      </c>
      <c r="AD8" s="1">
        <v>0.20167410525061899</v>
      </c>
      <c r="AF8" t="s">
        <v>4</v>
      </c>
      <c r="AG8">
        <v>0</v>
      </c>
      <c r="AH8" t="s">
        <v>5</v>
      </c>
      <c r="AI8">
        <v>6</v>
      </c>
      <c r="AJ8" t="s">
        <v>6</v>
      </c>
      <c r="AK8" s="1">
        <v>4.0625000000000001E-2</v>
      </c>
      <c r="AL8" t="s">
        <v>7</v>
      </c>
      <c r="AM8" s="1">
        <v>0.5</v>
      </c>
      <c r="AN8" t="s">
        <v>8</v>
      </c>
      <c r="AO8" s="1">
        <v>0</v>
      </c>
      <c r="AP8" s="1">
        <v>0.19969162219033701</v>
      </c>
      <c r="AR8" t="s">
        <v>4</v>
      </c>
      <c r="AS8">
        <v>0</v>
      </c>
      <c r="AT8" t="s">
        <v>5</v>
      </c>
      <c r="AU8">
        <v>10</v>
      </c>
      <c r="AV8" t="s">
        <v>6</v>
      </c>
      <c r="AW8" s="1">
        <v>0.328125</v>
      </c>
      <c r="AX8" t="s">
        <v>7</v>
      </c>
      <c r="AY8" s="1">
        <v>0.5</v>
      </c>
      <c r="AZ8" t="s">
        <v>8</v>
      </c>
      <c r="BA8" s="1">
        <v>0</v>
      </c>
      <c r="BB8" s="1">
        <v>0.204099756482125</v>
      </c>
      <c r="BC8" s="1">
        <f t="shared" si="0"/>
        <v>-0.328125</v>
      </c>
      <c r="BD8" s="1">
        <f t="shared" si="1"/>
        <v>0.204099756482125</v>
      </c>
    </row>
    <row r="9" spans="1:61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0.20232630473097099</v>
      </c>
      <c r="T9" t="s">
        <v>4</v>
      </c>
      <c r="U9">
        <v>0</v>
      </c>
      <c r="V9" t="s">
        <v>5</v>
      </c>
      <c r="W9">
        <v>7</v>
      </c>
      <c r="X9" t="s">
        <v>6</v>
      </c>
      <c r="Y9" s="1">
        <v>0.234375</v>
      </c>
      <c r="Z9" t="s">
        <v>7</v>
      </c>
      <c r="AA9" s="1">
        <v>0.5</v>
      </c>
      <c r="AB9" t="s">
        <v>8</v>
      </c>
      <c r="AC9" s="1">
        <v>0</v>
      </c>
      <c r="AD9" s="1">
        <v>0.202313020906665</v>
      </c>
      <c r="AF9" t="s">
        <v>4</v>
      </c>
      <c r="AG9">
        <v>0</v>
      </c>
      <c r="AH9" t="s">
        <v>5</v>
      </c>
      <c r="AI9">
        <v>7</v>
      </c>
      <c r="AJ9" t="s">
        <v>6</v>
      </c>
      <c r="AK9" s="1">
        <v>4.6875E-2</v>
      </c>
      <c r="AL9" t="s">
        <v>7</v>
      </c>
      <c r="AM9" s="1">
        <v>0.5</v>
      </c>
      <c r="AN9" t="s">
        <v>8</v>
      </c>
      <c r="AO9" s="1">
        <v>0</v>
      </c>
      <c r="AP9" s="1">
        <v>0.19971043285554099</v>
      </c>
      <c r="AR9" t="s">
        <v>4</v>
      </c>
      <c r="AS9">
        <v>0</v>
      </c>
      <c r="AT9" t="s">
        <v>5</v>
      </c>
      <c r="AU9">
        <v>9</v>
      </c>
      <c r="AV9" t="s">
        <v>6</v>
      </c>
      <c r="AW9" s="1">
        <v>0.296875</v>
      </c>
      <c r="AX9" t="s">
        <v>7</v>
      </c>
      <c r="AY9" s="1">
        <v>0.5</v>
      </c>
      <c r="AZ9" t="s">
        <v>8</v>
      </c>
      <c r="BA9" s="1">
        <v>0</v>
      </c>
      <c r="BB9" s="1">
        <v>0.20352154683951501</v>
      </c>
      <c r="BC9" s="1">
        <f t="shared" si="0"/>
        <v>-0.296875</v>
      </c>
      <c r="BD9" s="1">
        <f t="shared" si="1"/>
        <v>0.20352154683951501</v>
      </c>
    </row>
    <row r="10" spans="1:61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0.202857744787344</v>
      </c>
      <c r="T10" t="s">
        <v>4</v>
      </c>
      <c r="U10">
        <v>0</v>
      </c>
      <c r="V10" t="s">
        <v>5</v>
      </c>
      <c r="W10">
        <v>8</v>
      </c>
      <c r="X10" t="s">
        <v>6</v>
      </c>
      <c r="Y10" s="1">
        <v>0.265625</v>
      </c>
      <c r="Z10" t="s">
        <v>7</v>
      </c>
      <c r="AA10" s="1">
        <v>0.5</v>
      </c>
      <c r="AB10" t="s">
        <v>8</v>
      </c>
      <c r="AC10" s="1">
        <v>0</v>
      </c>
      <c r="AD10" s="1">
        <v>0.20284390215953199</v>
      </c>
      <c r="AF10" t="s">
        <v>4</v>
      </c>
      <c r="AG10">
        <v>0</v>
      </c>
      <c r="AH10" t="s">
        <v>5</v>
      </c>
      <c r="AI10">
        <v>8</v>
      </c>
      <c r="AJ10" t="s">
        <v>6</v>
      </c>
      <c r="AK10" s="1">
        <v>5.3124999999999999E-2</v>
      </c>
      <c r="AL10" t="s">
        <v>7</v>
      </c>
      <c r="AM10" s="1">
        <v>0.5</v>
      </c>
      <c r="AN10" t="s">
        <v>8</v>
      </c>
      <c r="AO10" s="1">
        <v>0</v>
      </c>
      <c r="AP10" s="1">
        <v>0.19972983603594399</v>
      </c>
      <c r="AR10" t="s">
        <v>4</v>
      </c>
      <c r="AS10">
        <v>0</v>
      </c>
      <c r="AT10" t="s">
        <v>5</v>
      </c>
      <c r="AU10">
        <v>8</v>
      </c>
      <c r="AV10" t="s">
        <v>6</v>
      </c>
      <c r="AW10" s="1">
        <v>0.265625</v>
      </c>
      <c r="AX10" t="s">
        <v>7</v>
      </c>
      <c r="AY10" s="1">
        <v>0.5</v>
      </c>
      <c r="AZ10" t="s">
        <v>8</v>
      </c>
      <c r="BA10" s="1">
        <v>0</v>
      </c>
      <c r="BB10" s="1">
        <v>0.202857744787344</v>
      </c>
      <c r="BC10" s="1">
        <f t="shared" si="0"/>
        <v>-0.265625</v>
      </c>
      <c r="BD10" s="1">
        <f t="shared" si="1"/>
        <v>0.202857744787344</v>
      </c>
    </row>
    <row r="11" spans="1:61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0.20352154683951501</v>
      </c>
      <c r="T11" t="s">
        <v>4</v>
      </c>
      <c r="U11">
        <v>0</v>
      </c>
      <c r="V11" t="s">
        <v>5</v>
      </c>
      <c r="W11">
        <v>9</v>
      </c>
      <c r="X11" t="s">
        <v>6</v>
      </c>
      <c r="Y11" s="1">
        <v>0.296875</v>
      </c>
      <c r="Z11" t="s">
        <v>7</v>
      </c>
      <c r="AA11" s="1">
        <v>0.5</v>
      </c>
      <c r="AB11" t="s">
        <v>8</v>
      </c>
      <c r="AC11" s="1">
        <v>0</v>
      </c>
      <c r="AD11" s="1">
        <v>0.20356842248412699</v>
      </c>
      <c r="AF11" t="s">
        <v>4</v>
      </c>
      <c r="AG11">
        <v>0</v>
      </c>
      <c r="AH11" t="s">
        <v>5</v>
      </c>
      <c r="AI11">
        <v>9</v>
      </c>
      <c r="AJ11" t="s">
        <v>6</v>
      </c>
      <c r="AK11" s="1">
        <v>5.9374999999999997E-2</v>
      </c>
      <c r="AL11" t="s">
        <v>7</v>
      </c>
      <c r="AM11" s="1">
        <v>0.5</v>
      </c>
      <c r="AN11" t="s">
        <v>8</v>
      </c>
      <c r="AO11" s="1">
        <v>0</v>
      </c>
      <c r="AP11" s="1">
        <v>0.199749819038499</v>
      </c>
      <c r="AR11" t="s">
        <v>4</v>
      </c>
      <c r="AS11">
        <v>0</v>
      </c>
      <c r="AT11" t="s">
        <v>5</v>
      </c>
      <c r="AU11">
        <v>7</v>
      </c>
      <c r="AV11" t="s">
        <v>6</v>
      </c>
      <c r="AW11" s="1">
        <v>0.234375</v>
      </c>
      <c r="AX11" t="s">
        <v>7</v>
      </c>
      <c r="AY11" s="1">
        <v>0.5</v>
      </c>
      <c r="AZ11" t="s">
        <v>8</v>
      </c>
      <c r="BA11" s="1">
        <v>0</v>
      </c>
      <c r="BB11" s="1">
        <v>0.20232630473097099</v>
      </c>
      <c r="BC11" s="1">
        <f t="shared" si="0"/>
        <v>-0.234375</v>
      </c>
      <c r="BD11" s="1">
        <f t="shared" si="1"/>
        <v>0.20232630473097099</v>
      </c>
    </row>
    <row r="12" spans="1:61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0.204099756482125</v>
      </c>
      <c r="T12" t="s">
        <v>4</v>
      </c>
      <c r="U12">
        <v>0</v>
      </c>
      <c r="V12" t="s">
        <v>5</v>
      </c>
      <c r="W12">
        <v>10</v>
      </c>
      <c r="X12" t="s">
        <v>6</v>
      </c>
      <c r="Y12" s="1">
        <v>0.328125</v>
      </c>
      <c r="Z12" t="s">
        <v>7</v>
      </c>
      <c r="AA12" s="1">
        <v>0.5</v>
      </c>
      <c r="AB12" t="s">
        <v>8</v>
      </c>
      <c r="AC12" s="1">
        <v>0</v>
      </c>
      <c r="AD12" s="1">
        <v>0.20406046700819699</v>
      </c>
      <c r="AF12" t="s">
        <v>4</v>
      </c>
      <c r="AG12">
        <v>0</v>
      </c>
      <c r="AH12" t="s">
        <v>5</v>
      </c>
      <c r="AI12">
        <v>10</v>
      </c>
      <c r="AJ12" t="s">
        <v>6</v>
      </c>
      <c r="AK12" s="1">
        <v>6.5625000000000003E-2</v>
      </c>
      <c r="AL12" t="s">
        <v>7</v>
      </c>
      <c r="AM12" s="1">
        <v>0.5</v>
      </c>
      <c r="AN12" t="s">
        <v>8</v>
      </c>
      <c r="AO12" s="1">
        <v>0</v>
      </c>
      <c r="AP12" s="1">
        <v>0.19978788598952499</v>
      </c>
      <c r="AR12" t="s">
        <v>4</v>
      </c>
      <c r="AS12">
        <v>0</v>
      </c>
      <c r="AT12" t="s">
        <v>5</v>
      </c>
      <c r="AU12">
        <v>6</v>
      </c>
      <c r="AV12" t="s">
        <v>6</v>
      </c>
      <c r="AW12" s="1">
        <v>0.203125</v>
      </c>
      <c r="AX12" t="s">
        <v>7</v>
      </c>
      <c r="AY12" s="1">
        <v>0.5</v>
      </c>
      <c r="AZ12" t="s">
        <v>8</v>
      </c>
      <c r="BA12" s="1">
        <v>0</v>
      </c>
      <c r="BB12" s="1">
        <v>0.201646576695443</v>
      </c>
      <c r="BC12" s="1">
        <f t="shared" si="0"/>
        <v>-0.203125</v>
      </c>
      <c r="BD12" s="1">
        <f t="shared" si="1"/>
        <v>0.201646576695443</v>
      </c>
    </row>
    <row r="13" spans="1:61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0.204740023952829</v>
      </c>
      <c r="T13" t="s">
        <v>4</v>
      </c>
      <c r="U13">
        <v>0</v>
      </c>
      <c r="V13" t="s">
        <v>5</v>
      </c>
      <c r="W13">
        <v>11</v>
      </c>
      <c r="X13" t="s">
        <v>6</v>
      </c>
      <c r="Y13" s="1">
        <v>0.359375</v>
      </c>
      <c r="Z13" t="s">
        <v>7</v>
      </c>
      <c r="AA13" s="1">
        <v>0.5</v>
      </c>
      <c r="AB13" t="s">
        <v>8</v>
      </c>
      <c r="AC13" s="1">
        <v>0</v>
      </c>
      <c r="AD13" s="1">
        <v>0.20477513407895101</v>
      </c>
      <c r="AF13" t="s">
        <v>4</v>
      </c>
      <c r="AG13">
        <v>0</v>
      </c>
      <c r="AH13" t="s">
        <v>5</v>
      </c>
      <c r="AI13">
        <v>11</v>
      </c>
      <c r="AJ13" t="s">
        <v>6</v>
      </c>
      <c r="AK13" s="1">
        <v>7.1874999999999994E-2</v>
      </c>
      <c r="AL13" t="s">
        <v>7</v>
      </c>
      <c r="AM13" s="1">
        <v>0.5</v>
      </c>
      <c r="AN13" t="s">
        <v>8</v>
      </c>
      <c r="AO13" s="1">
        <v>0</v>
      </c>
      <c r="AP13" s="1">
        <v>0.19984442063830901</v>
      </c>
      <c r="AR13" t="s">
        <v>4</v>
      </c>
      <c r="AS13">
        <v>0</v>
      </c>
      <c r="AT13" t="s">
        <v>5</v>
      </c>
      <c r="AU13">
        <v>5</v>
      </c>
      <c r="AV13" t="s">
        <v>6</v>
      </c>
      <c r="AW13" s="1">
        <v>0.171875</v>
      </c>
      <c r="AX13" t="s">
        <v>7</v>
      </c>
      <c r="AY13" s="1">
        <v>0.5</v>
      </c>
      <c r="AZ13" t="s">
        <v>8</v>
      </c>
      <c r="BA13" s="1">
        <v>0</v>
      </c>
      <c r="BB13" s="1">
        <v>0.20118723338237501</v>
      </c>
      <c r="BC13" s="1">
        <f t="shared" si="0"/>
        <v>-0.171875</v>
      </c>
      <c r="BD13" s="1">
        <f t="shared" si="1"/>
        <v>0.20118723338237501</v>
      </c>
    </row>
    <row r="14" spans="1:61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0.20484434001568699</v>
      </c>
      <c r="T14" t="s">
        <v>4</v>
      </c>
      <c r="U14">
        <v>0</v>
      </c>
      <c r="V14" t="s">
        <v>5</v>
      </c>
      <c r="W14">
        <v>12</v>
      </c>
      <c r="X14" t="s">
        <v>6</v>
      </c>
      <c r="Y14" s="1">
        <v>0.390625</v>
      </c>
      <c r="Z14" t="s">
        <v>7</v>
      </c>
      <c r="AA14" s="1">
        <v>0.5</v>
      </c>
      <c r="AB14" t="s">
        <v>8</v>
      </c>
      <c r="AC14" s="1">
        <v>0</v>
      </c>
      <c r="AD14" s="1">
        <v>0.20499643662710099</v>
      </c>
      <c r="AF14" t="s">
        <v>4</v>
      </c>
      <c r="AG14">
        <v>0</v>
      </c>
      <c r="AH14" t="s">
        <v>5</v>
      </c>
      <c r="AI14">
        <v>12</v>
      </c>
      <c r="AJ14" t="s">
        <v>6</v>
      </c>
      <c r="AK14" s="1">
        <v>7.8125E-2</v>
      </c>
      <c r="AL14" t="s">
        <v>7</v>
      </c>
      <c r="AM14" s="1">
        <v>0.5</v>
      </c>
      <c r="AN14" t="s">
        <v>8</v>
      </c>
      <c r="AO14" s="1">
        <v>0</v>
      </c>
      <c r="AP14" s="1">
        <v>0.199902027322305</v>
      </c>
      <c r="AR14" t="s">
        <v>4</v>
      </c>
      <c r="AS14">
        <v>0</v>
      </c>
      <c r="AT14" t="s">
        <v>5</v>
      </c>
      <c r="AU14">
        <v>4</v>
      </c>
      <c r="AV14" t="s">
        <v>6</v>
      </c>
      <c r="AW14" s="1">
        <v>0.140625</v>
      </c>
      <c r="AX14" t="s">
        <v>7</v>
      </c>
      <c r="AY14" s="1">
        <v>0.5</v>
      </c>
      <c r="AZ14" t="s">
        <v>8</v>
      </c>
      <c r="BA14" s="1">
        <v>0</v>
      </c>
      <c r="BB14" s="1">
        <v>0.20073709624622901</v>
      </c>
      <c r="BC14" s="1">
        <f t="shared" si="0"/>
        <v>-0.140625</v>
      </c>
      <c r="BD14" s="1">
        <f t="shared" si="1"/>
        <v>0.20073709624622901</v>
      </c>
    </row>
    <row r="15" spans="1:61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0.20423082370818901</v>
      </c>
      <c r="T15" t="s">
        <v>4</v>
      </c>
      <c r="U15">
        <v>0</v>
      </c>
      <c r="V15" t="s">
        <v>5</v>
      </c>
      <c r="W15">
        <v>13</v>
      </c>
      <c r="X15" t="s">
        <v>6</v>
      </c>
      <c r="Y15" s="1">
        <v>0.421875</v>
      </c>
      <c r="Z15" t="s">
        <v>7</v>
      </c>
      <c r="AA15" s="1">
        <v>0.5</v>
      </c>
      <c r="AB15" t="s">
        <v>8</v>
      </c>
      <c r="AC15" s="1">
        <v>0</v>
      </c>
      <c r="AD15" s="1">
        <v>0.204145576311694</v>
      </c>
      <c r="AF15" t="s">
        <v>4</v>
      </c>
      <c r="AG15">
        <v>0</v>
      </c>
      <c r="AH15" t="s">
        <v>5</v>
      </c>
      <c r="AI15">
        <v>13</v>
      </c>
      <c r="AJ15" t="s">
        <v>6</v>
      </c>
      <c r="AK15" s="1">
        <v>8.4375000000000006E-2</v>
      </c>
      <c r="AL15" t="s">
        <v>7</v>
      </c>
      <c r="AM15" s="1">
        <v>0.5</v>
      </c>
      <c r="AN15" t="s">
        <v>8</v>
      </c>
      <c r="AO15" s="1">
        <v>0</v>
      </c>
      <c r="AP15" s="1">
        <v>0.19996065547443401</v>
      </c>
      <c r="AR15" t="s">
        <v>4</v>
      </c>
      <c r="AS15">
        <v>0</v>
      </c>
      <c r="AT15" t="s">
        <v>5</v>
      </c>
      <c r="AU15">
        <v>3</v>
      </c>
      <c r="AV15" t="s">
        <v>6</v>
      </c>
      <c r="AW15" s="1">
        <v>0.109375</v>
      </c>
      <c r="AX15" t="s">
        <v>7</v>
      </c>
      <c r="AY15" s="1">
        <v>0.5</v>
      </c>
      <c r="AZ15" t="s">
        <v>8</v>
      </c>
      <c r="BA15" s="1">
        <v>0</v>
      </c>
      <c r="BB15" s="1">
        <v>0.20043016580794201</v>
      </c>
      <c r="BC15" s="1">
        <f t="shared" si="0"/>
        <v>-0.109375</v>
      </c>
      <c r="BD15" s="1">
        <f t="shared" si="1"/>
        <v>0.20043016580794201</v>
      </c>
    </row>
    <row r="16" spans="1:61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0.20226773253215499</v>
      </c>
      <c r="T16" t="s">
        <v>4</v>
      </c>
      <c r="U16">
        <v>0</v>
      </c>
      <c r="V16" t="s">
        <v>5</v>
      </c>
      <c r="W16">
        <v>14</v>
      </c>
      <c r="X16" t="s">
        <v>6</v>
      </c>
      <c r="Y16" s="1">
        <v>0.453125</v>
      </c>
      <c r="Z16" t="s">
        <v>7</v>
      </c>
      <c r="AA16" s="1">
        <v>0.5</v>
      </c>
      <c r="AB16" t="s">
        <v>8</v>
      </c>
      <c r="AC16" s="1">
        <v>0</v>
      </c>
      <c r="AD16" s="1">
        <v>0.20236646895780699</v>
      </c>
      <c r="AF16" t="s">
        <v>4</v>
      </c>
      <c r="AG16">
        <v>0</v>
      </c>
      <c r="AH16" t="s">
        <v>5</v>
      </c>
      <c r="AI16">
        <v>14</v>
      </c>
      <c r="AJ16" t="s">
        <v>6</v>
      </c>
      <c r="AK16" s="1">
        <v>9.0624999999999997E-2</v>
      </c>
      <c r="AL16" t="s">
        <v>7</v>
      </c>
      <c r="AM16" s="1">
        <v>0.5</v>
      </c>
      <c r="AN16" t="s">
        <v>8</v>
      </c>
      <c r="AO16" s="1">
        <v>0</v>
      </c>
      <c r="AP16" s="1">
        <v>0.200020256486971</v>
      </c>
      <c r="AR16" t="s">
        <v>4</v>
      </c>
      <c r="AS16">
        <v>0</v>
      </c>
      <c r="AT16" t="s">
        <v>5</v>
      </c>
      <c r="AU16">
        <v>2</v>
      </c>
      <c r="AV16" t="s">
        <v>6</v>
      </c>
      <c r="AW16" s="1">
        <v>7.8125E-2</v>
      </c>
      <c r="AX16" t="s">
        <v>7</v>
      </c>
      <c r="AY16" s="1">
        <v>0.5</v>
      </c>
      <c r="AZ16" t="s">
        <v>8</v>
      </c>
      <c r="BA16" s="1">
        <v>0</v>
      </c>
      <c r="BB16" s="1">
        <v>0.20012428212191799</v>
      </c>
      <c r="BC16" s="1">
        <f t="shared" si="0"/>
        <v>-7.8125E-2</v>
      </c>
      <c r="BD16" s="1">
        <f t="shared" si="1"/>
        <v>0.20012428212191799</v>
      </c>
    </row>
    <row r="17" spans="1:56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0.19250670265921199</v>
      </c>
      <c r="T17" t="s">
        <v>4</v>
      </c>
      <c r="U17">
        <v>0</v>
      </c>
      <c r="V17" t="s">
        <v>5</v>
      </c>
      <c r="W17">
        <v>15</v>
      </c>
      <c r="X17" t="s">
        <v>6</v>
      </c>
      <c r="Y17" s="1">
        <v>0.484375</v>
      </c>
      <c r="Z17" t="s">
        <v>7</v>
      </c>
      <c r="AA17" s="1">
        <v>0.5</v>
      </c>
      <c r="AB17" t="s">
        <v>8</v>
      </c>
      <c r="AC17" s="1">
        <v>0</v>
      </c>
      <c r="AD17" s="1">
        <v>0.192240266331548</v>
      </c>
      <c r="AF17" t="s">
        <v>4</v>
      </c>
      <c r="AG17">
        <v>0</v>
      </c>
      <c r="AH17" t="s">
        <v>5</v>
      </c>
      <c r="AI17">
        <v>15</v>
      </c>
      <c r="AJ17" t="s">
        <v>6</v>
      </c>
      <c r="AK17" s="1">
        <v>9.6875000000000003E-2</v>
      </c>
      <c r="AL17" t="s">
        <v>7</v>
      </c>
      <c r="AM17" s="1">
        <v>0.5</v>
      </c>
      <c r="AN17" t="s">
        <v>8</v>
      </c>
      <c r="AO17" s="1">
        <v>0</v>
      </c>
      <c r="AP17" s="1">
        <v>0.20008078398370399</v>
      </c>
      <c r="AR17" t="s">
        <v>4</v>
      </c>
      <c r="AS17">
        <v>0</v>
      </c>
      <c r="AT17" t="s">
        <v>5</v>
      </c>
      <c r="AU17">
        <v>1</v>
      </c>
      <c r="AV17" t="s">
        <v>6</v>
      </c>
      <c r="AW17" s="1">
        <v>4.6875E-2</v>
      </c>
      <c r="AX17" t="s">
        <v>7</v>
      </c>
      <c r="AY17" s="1">
        <v>0.5</v>
      </c>
      <c r="AZ17" t="s">
        <v>8</v>
      </c>
      <c r="BA17" s="1">
        <v>0</v>
      </c>
      <c r="BB17" s="1">
        <v>0.19996715117472399</v>
      </c>
      <c r="BC17" s="1">
        <f t="shared" si="0"/>
        <v>-4.6875E-2</v>
      </c>
      <c r="BD17" s="1">
        <f t="shared" si="1"/>
        <v>0.19996715117472399</v>
      </c>
    </row>
    <row r="18" spans="1:56">
      <c r="AF18" t="s">
        <v>4</v>
      </c>
      <c r="AG18">
        <v>0</v>
      </c>
      <c r="AH18" t="s">
        <v>5</v>
      </c>
      <c r="AI18">
        <v>16</v>
      </c>
      <c r="AJ18" t="s">
        <v>6</v>
      </c>
      <c r="AK18" s="1">
        <v>0.10312499999999999</v>
      </c>
      <c r="AL18" t="s">
        <v>7</v>
      </c>
      <c r="AM18" s="1">
        <v>0.5</v>
      </c>
      <c r="AN18" t="s">
        <v>8</v>
      </c>
      <c r="AO18" s="1">
        <v>0</v>
      </c>
      <c r="AP18" s="1">
        <v>0.20014219409279699</v>
      </c>
      <c r="AR18" t="s">
        <v>4</v>
      </c>
      <c r="AS18">
        <v>0</v>
      </c>
      <c r="AT18" t="s">
        <v>5</v>
      </c>
      <c r="AU18">
        <v>0</v>
      </c>
      <c r="AV18" t="s">
        <v>6</v>
      </c>
      <c r="AW18" s="1">
        <v>1.5625E-2</v>
      </c>
      <c r="AX18" t="s">
        <v>7</v>
      </c>
      <c r="AY18" s="1">
        <v>0.5</v>
      </c>
      <c r="AZ18" t="s">
        <v>8</v>
      </c>
      <c r="BA18" s="1">
        <v>0</v>
      </c>
      <c r="BB18" s="1">
        <v>0.199878639631451</v>
      </c>
      <c r="BC18" s="1">
        <f t="shared" ref="BC18:BC33" si="2">AW18</f>
        <v>1.5625E-2</v>
      </c>
      <c r="BD18" s="1">
        <f t="shared" si="1"/>
        <v>0.199878639631451</v>
      </c>
    </row>
    <row r="19" spans="1:56">
      <c r="AF19" t="s">
        <v>4</v>
      </c>
      <c r="AG19">
        <v>0</v>
      </c>
      <c r="AH19" t="s">
        <v>5</v>
      </c>
      <c r="AI19">
        <v>17</v>
      </c>
      <c r="AJ19" t="s">
        <v>6</v>
      </c>
      <c r="AK19" s="1">
        <v>0.109375</v>
      </c>
      <c r="AL19" t="s">
        <v>7</v>
      </c>
      <c r="AM19" s="1">
        <v>0.5</v>
      </c>
      <c r="AN19" t="s">
        <v>8</v>
      </c>
      <c r="AO19" s="1">
        <v>0</v>
      </c>
      <c r="AP19" s="1">
        <v>0.20020444572036999</v>
      </c>
      <c r="AR19" t="s">
        <v>4</v>
      </c>
      <c r="AS19">
        <v>0</v>
      </c>
      <c r="AT19" t="s">
        <v>5</v>
      </c>
      <c r="AU19">
        <v>1</v>
      </c>
      <c r="AV19" t="s">
        <v>6</v>
      </c>
      <c r="AW19" s="1">
        <v>4.6875E-2</v>
      </c>
      <c r="AX19" t="s">
        <v>7</v>
      </c>
      <c r="AY19" s="1">
        <v>0.5</v>
      </c>
      <c r="AZ19" t="s">
        <v>8</v>
      </c>
      <c r="BA19" s="1">
        <v>0</v>
      </c>
      <c r="BB19" s="1">
        <v>0.19996715117472399</v>
      </c>
      <c r="BC19" s="1">
        <f t="shared" si="2"/>
        <v>4.6875E-2</v>
      </c>
      <c r="BD19" s="1">
        <f t="shared" si="1"/>
        <v>0.19996715117472399</v>
      </c>
    </row>
    <row r="20" spans="1:56">
      <c r="AF20" t="s">
        <v>4</v>
      </c>
      <c r="AG20">
        <v>0</v>
      </c>
      <c r="AH20" t="s">
        <v>5</v>
      </c>
      <c r="AI20">
        <v>18</v>
      </c>
      <c r="AJ20" t="s">
        <v>6</v>
      </c>
      <c r="AK20" s="1">
        <v>0.11562500000000001</v>
      </c>
      <c r="AL20" t="s">
        <v>7</v>
      </c>
      <c r="AM20" s="1">
        <v>0.5</v>
      </c>
      <c r="AN20" t="s">
        <v>8</v>
      </c>
      <c r="AO20" s="1">
        <v>0</v>
      </c>
      <c r="AP20" s="1">
        <v>0.20026750082486899</v>
      </c>
      <c r="AR20" t="s">
        <v>4</v>
      </c>
      <c r="AS20">
        <v>0</v>
      </c>
      <c r="AT20" t="s">
        <v>5</v>
      </c>
      <c r="AU20">
        <v>2</v>
      </c>
      <c r="AV20" t="s">
        <v>6</v>
      </c>
      <c r="AW20" s="1">
        <v>7.8125E-2</v>
      </c>
      <c r="AX20" t="s">
        <v>7</v>
      </c>
      <c r="AY20" s="1">
        <v>0.5</v>
      </c>
      <c r="AZ20" t="s">
        <v>8</v>
      </c>
      <c r="BA20" s="1">
        <v>0</v>
      </c>
      <c r="BB20" s="1">
        <v>0.20012428212191799</v>
      </c>
      <c r="BC20" s="1">
        <f t="shared" si="2"/>
        <v>7.8125E-2</v>
      </c>
      <c r="BD20" s="1">
        <f t="shared" si="1"/>
        <v>0.20012428212191799</v>
      </c>
    </row>
    <row r="21" spans="1:56">
      <c r="AF21" t="s">
        <v>4</v>
      </c>
      <c r="AG21">
        <v>0</v>
      </c>
      <c r="AH21" t="s">
        <v>5</v>
      </c>
      <c r="AI21">
        <v>19</v>
      </c>
      <c r="AJ21" t="s">
        <v>6</v>
      </c>
      <c r="AK21" s="1">
        <v>0.121875</v>
      </c>
      <c r="AL21" t="s">
        <v>7</v>
      </c>
      <c r="AM21" s="1">
        <v>0.5</v>
      </c>
      <c r="AN21" t="s">
        <v>8</v>
      </c>
      <c r="AO21" s="1">
        <v>0</v>
      </c>
      <c r="AP21" s="1">
        <v>0.20033132469208301</v>
      </c>
      <c r="AR21" t="s">
        <v>4</v>
      </c>
      <c r="AS21">
        <v>0</v>
      </c>
      <c r="AT21" t="s">
        <v>5</v>
      </c>
      <c r="AU21">
        <v>3</v>
      </c>
      <c r="AV21" t="s">
        <v>6</v>
      </c>
      <c r="AW21" s="1">
        <v>0.109375</v>
      </c>
      <c r="AX21" t="s">
        <v>7</v>
      </c>
      <c r="AY21" s="1">
        <v>0.5</v>
      </c>
      <c r="AZ21" t="s">
        <v>8</v>
      </c>
      <c r="BA21" s="1">
        <v>0</v>
      </c>
      <c r="BB21" s="1">
        <v>0.20043016580794201</v>
      </c>
      <c r="BC21" s="1">
        <f t="shared" si="2"/>
        <v>0.109375</v>
      </c>
      <c r="BD21" s="1">
        <f t="shared" si="1"/>
        <v>0.20043016580794201</v>
      </c>
    </row>
    <row r="22" spans="1:56">
      <c r="AF22" t="s">
        <v>4</v>
      </c>
      <c r="AG22">
        <v>0</v>
      </c>
      <c r="AH22" t="s">
        <v>5</v>
      </c>
      <c r="AI22">
        <v>20</v>
      </c>
      <c r="AJ22" t="s">
        <v>6</v>
      </c>
      <c r="AK22" s="1">
        <v>0.12812499999999999</v>
      </c>
      <c r="AL22" t="s">
        <v>7</v>
      </c>
      <c r="AM22" s="1">
        <v>0.5</v>
      </c>
      <c r="AN22" t="s">
        <v>8</v>
      </c>
      <c r="AO22" s="1">
        <v>0</v>
      </c>
      <c r="AP22" s="1">
        <v>0.20040621590088301</v>
      </c>
      <c r="AR22" t="s">
        <v>4</v>
      </c>
      <c r="AS22">
        <v>0</v>
      </c>
      <c r="AT22" t="s">
        <v>5</v>
      </c>
      <c r="AU22">
        <v>4</v>
      </c>
      <c r="AV22" t="s">
        <v>6</v>
      </c>
      <c r="AW22" s="1">
        <v>0.140625</v>
      </c>
      <c r="AX22" t="s">
        <v>7</v>
      </c>
      <c r="AY22" s="1">
        <v>0.5</v>
      </c>
      <c r="AZ22" t="s">
        <v>8</v>
      </c>
      <c r="BA22" s="1">
        <v>0</v>
      </c>
      <c r="BB22" s="1">
        <v>0.20073709624622901</v>
      </c>
      <c r="BC22" s="1">
        <f t="shared" si="2"/>
        <v>0.140625</v>
      </c>
      <c r="BD22" s="1">
        <f t="shared" si="1"/>
        <v>0.20073709624622901</v>
      </c>
    </row>
    <row r="23" spans="1:56">
      <c r="AF23" t="s">
        <v>4</v>
      </c>
      <c r="AG23">
        <v>0</v>
      </c>
      <c r="AH23" t="s">
        <v>5</v>
      </c>
      <c r="AI23">
        <v>21</v>
      </c>
      <c r="AJ23" t="s">
        <v>6</v>
      </c>
      <c r="AK23" s="1">
        <v>0.13437499999999999</v>
      </c>
      <c r="AL23" t="s">
        <v>7</v>
      </c>
      <c r="AM23" s="1">
        <v>0.5</v>
      </c>
      <c r="AN23" t="s">
        <v>8</v>
      </c>
      <c r="AO23" s="1">
        <v>0</v>
      </c>
      <c r="AP23" s="1">
        <v>0.200492405524588</v>
      </c>
      <c r="AR23" t="s">
        <v>4</v>
      </c>
      <c r="AS23">
        <v>0</v>
      </c>
      <c r="AT23" t="s">
        <v>5</v>
      </c>
      <c r="AU23">
        <v>5</v>
      </c>
      <c r="AV23" t="s">
        <v>6</v>
      </c>
      <c r="AW23" s="1">
        <v>0.171875</v>
      </c>
      <c r="AX23" t="s">
        <v>7</v>
      </c>
      <c r="AY23" s="1">
        <v>0.5</v>
      </c>
      <c r="AZ23" t="s">
        <v>8</v>
      </c>
      <c r="BA23" s="1">
        <v>0</v>
      </c>
      <c r="BB23" s="1">
        <v>0.20118723338237501</v>
      </c>
      <c r="BC23" s="1">
        <f t="shared" si="2"/>
        <v>0.171875</v>
      </c>
      <c r="BD23" s="1">
        <f t="shared" si="1"/>
        <v>0.20118723338237501</v>
      </c>
    </row>
    <row r="24" spans="1:56">
      <c r="AF24" t="s">
        <v>4</v>
      </c>
      <c r="AG24">
        <v>0</v>
      </c>
      <c r="AH24" t="s">
        <v>5</v>
      </c>
      <c r="AI24">
        <v>22</v>
      </c>
      <c r="AJ24" t="s">
        <v>6</v>
      </c>
      <c r="AK24" s="1">
        <v>0.140625</v>
      </c>
      <c r="AL24" t="s">
        <v>7</v>
      </c>
      <c r="AM24" s="1">
        <v>0.5</v>
      </c>
      <c r="AN24" t="s">
        <v>8</v>
      </c>
      <c r="AO24" s="1">
        <v>0</v>
      </c>
      <c r="AP24" s="1">
        <v>0.20057956892873899</v>
      </c>
      <c r="AR24" t="s">
        <v>4</v>
      </c>
      <c r="AS24">
        <v>0</v>
      </c>
      <c r="AT24" t="s">
        <v>5</v>
      </c>
      <c r="AU24">
        <v>6</v>
      </c>
      <c r="AV24" t="s">
        <v>6</v>
      </c>
      <c r="AW24" s="1">
        <v>0.203125</v>
      </c>
      <c r="AX24" t="s">
        <v>7</v>
      </c>
      <c r="AY24" s="1">
        <v>0.5</v>
      </c>
      <c r="AZ24" t="s">
        <v>8</v>
      </c>
      <c r="BA24" s="1">
        <v>0</v>
      </c>
      <c r="BB24" s="1">
        <v>0.201646576695443</v>
      </c>
      <c r="BC24" s="1">
        <f t="shared" si="2"/>
        <v>0.203125</v>
      </c>
      <c r="BD24" s="1">
        <f t="shared" si="1"/>
        <v>0.201646576695443</v>
      </c>
    </row>
    <row r="25" spans="1:56">
      <c r="AF25" t="s">
        <v>4</v>
      </c>
      <c r="AG25">
        <v>0</v>
      </c>
      <c r="AH25" t="s">
        <v>5</v>
      </c>
      <c r="AI25">
        <v>23</v>
      </c>
      <c r="AJ25" t="s">
        <v>6</v>
      </c>
      <c r="AK25" s="1">
        <v>0.14687500000000001</v>
      </c>
      <c r="AL25" t="s">
        <v>7</v>
      </c>
      <c r="AM25" s="1">
        <v>0.5</v>
      </c>
      <c r="AN25" t="s">
        <v>8</v>
      </c>
      <c r="AO25" s="1">
        <v>0</v>
      </c>
      <c r="AP25" s="1">
        <v>0.200667587871316</v>
      </c>
      <c r="AR25" t="s">
        <v>4</v>
      </c>
      <c r="AS25">
        <v>0</v>
      </c>
      <c r="AT25" t="s">
        <v>5</v>
      </c>
      <c r="AU25">
        <v>7</v>
      </c>
      <c r="AV25" t="s">
        <v>6</v>
      </c>
      <c r="AW25" s="1">
        <v>0.234375</v>
      </c>
      <c r="AX25" t="s">
        <v>7</v>
      </c>
      <c r="AY25" s="1">
        <v>0.5</v>
      </c>
      <c r="AZ25" t="s">
        <v>8</v>
      </c>
      <c r="BA25" s="1">
        <v>0</v>
      </c>
      <c r="BB25" s="1">
        <v>0.20232630473097099</v>
      </c>
      <c r="BC25" s="1">
        <f t="shared" si="2"/>
        <v>0.234375</v>
      </c>
      <c r="BD25" s="1">
        <f t="shared" si="1"/>
        <v>0.20232630473097099</v>
      </c>
    </row>
    <row r="26" spans="1:56">
      <c r="AF26" t="s">
        <v>4</v>
      </c>
      <c r="AG26">
        <v>0</v>
      </c>
      <c r="AH26" t="s">
        <v>5</v>
      </c>
      <c r="AI26">
        <v>24</v>
      </c>
      <c r="AJ26" t="s">
        <v>6</v>
      </c>
      <c r="AK26" s="1">
        <v>0.15312500000000001</v>
      </c>
      <c r="AL26" t="s">
        <v>7</v>
      </c>
      <c r="AM26" s="1">
        <v>0.5</v>
      </c>
      <c r="AN26" t="s">
        <v>8</v>
      </c>
      <c r="AO26" s="1">
        <v>0</v>
      </c>
      <c r="AP26" s="1">
        <v>0.20075634786765401</v>
      </c>
      <c r="AR26" t="s">
        <v>4</v>
      </c>
      <c r="AS26">
        <v>0</v>
      </c>
      <c r="AT26" t="s">
        <v>5</v>
      </c>
      <c r="AU26">
        <v>8</v>
      </c>
      <c r="AV26" t="s">
        <v>6</v>
      </c>
      <c r="AW26" s="1">
        <v>0.265625</v>
      </c>
      <c r="AX26" t="s">
        <v>7</v>
      </c>
      <c r="AY26" s="1">
        <v>0.5</v>
      </c>
      <c r="AZ26" t="s">
        <v>8</v>
      </c>
      <c r="BA26" s="1">
        <v>0</v>
      </c>
      <c r="BB26" s="1">
        <v>0.202857744787344</v>
      </c>
      <c r="BC26" s="1">
        <f t="shared" si="2"/>
        <v>0.265625</v>
      </c>
      <c r="BD26" s="1">
        <f t="shared" si="1"/>
        <v>0.202857744787344</v>
      </c>
    </row>
    <row r="27" spans="1:56">
      <c r="AF27" t="s">
        <v>4</v>
      </c>
      <c r="AG27">
        <v>0</v>
      </c>
      <c r="AH27" t="s">
        <v>5</v>
      </c>
      <c r="AI27">
        <v>25</v>
      </c>
      <c r="AJ27" t="s">
        <v>6</v>
      </c>
      <c r="AK27" s="1">
        <v>0.15937499999999999</v>
      </c>
      <c r="AL27" t="s">
        <v>7</v>
      </c>
      <c r="AM27" s="1">
        <v>0.5</v>
      </c>
      <c r="AN27" t="s">
        <v>8</v>
      </c>
      <c r="AO27" s="1">
        <v>0</v>
      </c>
      <c r="AP27" s="1">
        <v>0.20084573886612</v>
      </c>
      <c r="AR27" t="s">
        <v>4</v>
      </c>
      <c r="AS27">
        <v>0</v>
      </c>
      <c r="AT27" t="s">
        <v>5</v>
      </c>
      <c r="AU27">
        <v>9</v>
      </c>
      <c r="AV27" t="s">
        <v>6</v>
      </c>
      <c r="AW27" s="1">
        <v>0.296875</v>
      </c>
      <c r="AX27" t="s">
        <v>7</v>
      </c>
      <c r="AY27" s="1">
        <v>0.5</v>
      </c>
      <c r="AZ27" t="s">
        <v>8</v>
      </c>
      <c r="BA27" s="1">
        <v>0</v>
      </c>
      <c r="BB27" s="1">
        <v>0.20352154683951501</v>
      </c>
      <c r="BC27" s="1">
        <f t="shared" si="2"/>
        <v>0.296875</v>
      </c>
      <c r="BD27" s="1">
        <f t="shared" si="1"/>
        <v>0.20352154683951501</v>
      </c>
    </row>
    <row r="28" spans="1:56">
      <c r="AF28" t="s">
        <v>4</v>
      </c>
      <c r="AG28">
        <v>0</v>
      </c>
      <c r="AH28" t="s">
        <v>5</v>
      </c>
      <c r="AI28">
        <v>26</v>
      </c>
      <c r="AJ28" t="s">
        <v>6</v>
      </c>
      <c r="AK28" s="1">
        <v>0.16562499999999999</v>
      </c>
      <c r="AL28" t="s">
        <v>7</v>
      </c>
      <c r="AM28" s="1">
        <v>0.5</v>
      </c>
      <c r="AN28" t="s">
        <v>8</v>
      </c>
      <c r="AO28" s="1">
        <v>0</v>
      </c>
      <c r="AP28" s="1">
        <v>0.20093565592957499</v>
      </c>
      <c r="AR28" t="s">
        <v>4</v>
      </c>
      <c r="AS28">
        <v>0</v>
      </c>
      <c r="AT28" t="s">
        <v>5</v>
      </c>
      <c r="AU28">
        <v>10</v>
      </c>
      <c r="AV28" t="s">
        <v>6</v>
      </c>
      <c r="AW28" s="1">
        <v>0.328125</v>
      </c>
      <c r="AX28" t="s">
        <v>7</v>
      </c>
      <c r="AY28" s="1">
        <v>0.5</v>
      </c>
      <c r="AZ28" t="s">
        <v>8</v>
      </c>
      <c r="BA28" s="1">
        <v>0</v>
      </c>
      <c r="BB28" s="1">
        <v>0.204099756482125</v>
      </c>
      <c r="BC28" s="1">
        <f t="shared" si="2"/>
        <v>0.328125</v>
      </c>
      <c r="BD28" s="1">
        <f t="shared" si="1"/>
        <v>0.204099756482125</v>
      </c>
    </row>
    <row r="29" spans="1:56">
      <c r="AF29" t="s">
        <v>4</v>
      </c>
      <c r="AG29">
        <v>0</v>
      </c>
      <c r="AH29" t="s">
        <v>5</v>
      </c>
      <c r="AI29">
        <v>27</v>
      </c>
      <c r="AJ29" t="s">
        <v>6</v>
      </c>
      <c r="AK29" s="1">
        <v>0.171875</v>
      </c>
      <c r="AL29" t="s">
        <v>7</v>
      </c>
      <c r="AM29" s="1">
        <v>0.5</v>
      </c>
      <c r="AN29" t="s">
        <v>8</v>
      </c>
      <c r="AO29" s="1">
        <v>0</v>
      </c>
      <c r="AP29" s="1">
        <v>0.20102599992320599</v>
      </c>
      <c r="AR29" t="s">
        <v>4</v>
      </c>
      <c r="AS29">
        <v>0</v>
      </c>
      <c r="AT29" t="s">
        <v>5</v>
      </c>
      <c r="AU29">
        <v>11</v>
      </c>
      <c r="AV29" t="s">
        <v>6</v>
      </c>
      <c r="AW29" s="1">
        <v>0.359375</v>
      </c>
      <c r="AX29" t="s">
        <v>7</v>
      </c>
      <c r="AY29" s="1">
        <v>0.5</v>
      </c>
      <c r="AZ29" t="s">
        <v>8</v>
      </c>
      <c r="BA29" s="1">
        <v>0</v>
      </c>
      <c r="BB29" s="1">
        <v>0.204740023952829</v>
      </c>
      <c r="BC29" s="1">
        <f t="shared" si="2"/>
        <v>0.359375</v>
      </c>
      <c r="BD29" s="1">
        <f t="shared" si="1"/>
        <v>0.204740023952829</v>
      </c>
    </row>
    <row r="30" spans="1:56">
      <c r="AF30" t="s">
        <v>4</v>
      </c>
      <c r="AG30">
        <v>0</v>
      </c>
      <c r="AH30" t="s">
        <v>5</v>
      </c>
      <c r="AI30">
        <v>28</v>
      </c>
      <c r="AJ30" t="s">
        <v>6</v>
      </c>
      <c r="AK30" s="1">
        <v>0.17812500000000001</v>
      </c>
      <c r="AL30" t="s">
        <v>7</v>
      </c>
      <c r="AM30" s="1">
        <v>0.5</v>
      </c>
      <c r="AN30" t="s">
        <v>8</v>
      </c>
      <c r="AO30" s="1">
        <v>0</v>
      </c>
      <c r="AP30" s="1">
        <v>0.20111667820811299</v>
      </c>
      <c r="AR30" t="s">
        <v>4</v>
      </c>
      <c r="AS30">
        <v>0</v>
      </c>
      <c r="AT30" t="s">
        <v>5</v>
      </c>
      <c r="AU30">
        <v>12</v>
      </c>
      <c r="AV30" t="s">
        <v>6</v>
      </c>
      <c r="AW30" s="1">
        <v>0.390625</v>
      </c>
      <c r="AX30" t="s">
        <v>7</v>
      </c>
      <c r="AY30" s="1">
        <v>0.5</v>
      </c>
      <c r="AZ30" t="s">
        <v>8</v>
      </c>
      <c r="BA30" s="1">
        <v>0</v>
      </c>
      <c r="BB30" s="1">
        <v>0.20484434001568699</v>
      </c>
      <c r="BC30" s="1">
        <f t="shared" si="2"/>
        <v>0.390625</v>
      </c>
      <c r="BD30" s="1">
        <f t="shared" si="1"/>
        <v>0.20484434001568699</v>
      </c>
    </row>
    <row r="31" spans="1:56">
      <c r="AF31" t="s">
        <v>4</v>
      </c>
      <c r="AG31">
        <v>0</v>
      </c>
      <c r="AH31" t="s">
        <v>5</v>
      </c>
      <c r="AI31">
        <v>29</v>
      </c>
      <c r="AJ31" t="s">
        <v>6</v>
      </c>
      <c r="AK31" s="1">
        <v>0.18437500000000001</v>
      </c>
      <c r="AL31" t="s">
        <v>7</v>
      </c>
      <c r="AM31" s="1">
        <v>0.5</v>
      </c>
      <c r="AN31" t="s">
        <v>8</v>
      </c>
      <c r="AO31" s="1">
        <v>0</v>
      </c>
      <c r="AP31" s="1">
        <v>0.20120760534118001</v>
      </c>
      <c r="AR31" t="s">
        <v>4</v>
      </c>
      <c r="AS31">
        <v>0</v>
      </c>
      <c r="AT31" t="s">
        <v>5</v>
      </c>
      <c r="AU31">
        <v>13</v>
      </c>
      <c r="AV31" t="s">
        <v>6</v>
      </c>
      <c r="AW31" s="1">
        <v>0.421875</v>
      </c>
      <c r="AX31" t="s">
        <v>7</v>
      </c>
      <c r="AY31" s="1">
        <v>0.5</v>
      </c>
      <c r="AZ31" t="s">
        <v>8</v>
      </c>
      <c r="BA31" s="1">
        <v>0</v>
      </c>
      <c r="BB31" s="1">
        <v>0.20423082370818901</v>
      </c>
      <c r="BC31" s="1">
        <f t="shared" si="2"/>
        <v>0.421875</v>
      </c>
      <c r="BD31" s="1">
        <f t="shared" si="1"/>
        <v>0.20423082370818901</v>
      </c>
    </row>
    <row r="32" spans="1:56">
      <c r="AF32" t="s">
        <v>4</v>
      </c>
      <c r="AG32">
        <v>0</v>
      </c>
      <c r="AH32" t="s">
        <v>5</v>
      </c>
      <c r="AI32">
        <v>30</v>
      </c>
      <c r="AJ32" t="s">
        <v>6</v>
      </c>
      <c r="AK32" s="1">
        <v>0.19062499999999999</v>
      </c>
      <c r="AL32" t="s">
        <v>7</v>
      </c>
      <c r="AM32" s="1">
        <v>0.5</v>
      </c>
      <c r="AN32" t="s">
        <v>8</v>
      </c>
      <c r="AO32" s="1">
        <v>0</v>
      </c>
      <c r="AP32" s="1">
        <v>0.20132211487822699</v>
      </c>
      <c r="AR32" t="s">
        <v>4</v>
      </c>
      <c r="AS32">
        <v>0</v>
      </c>
      <c r="AT32" t="s">
        <v>5</v>
      </c>
      <c r="AU32">
        <v>14</v>
      </c>
      <c r="AV32" t="s">
        <v>6</v>
      </c>
      <c r="AW32" s="1">
        <v>0.453125</v>
      </c>
      <c r="AX32" t="s">
        <v>7</v>
      </c>
      <c r="AY32" s="1">
        <v>0.5</v>
      </c>
      <c r="AZ32" t="s">
        <v>8</v>
      </c>
      <c r="BA32" s="1">
        <v>0</v>
      </c>
      <c r="BB32" s="1">
        <v>0.20226773253215499</v>
      </c>
      <c r="BC32" s="1">
        <f t="shared" si="2"/>
        <v>0.453125</v>
      </c>
      <c r="BD32" s="1">
        <f t="shared" si="1"/>
        <v>0.20226773253215499</v>
      </c>
    </row>
    <row r="33" spans="32:56">
      <c r="AF33" t="s">
        <v>4</v>
      </c>
      <c r="AG33">
        <v>0</v>
      </c>
      <c r="AH33" t="s">
        <v>5</v>
      </c>
      <c r="AI33">
        <v>31</v>
      </c>
      <c r="AJ33" t="s">
        <v>6</v>
      </c>
      <c r="AK33" s="1">
        <v>0.19687499999999999</v>
      </c>
      <c r="AL33" t="s">
        <v>7</v>
      </c>
      <c r="AM33" s="1">
        <v>0.5</v>
      </c>
      <c r="AN33" t="s">
        <v>8</v>
      </c>
      <c r="AO33" s="1">
        <v>0</v>
      </c>
      <c r="AP33" s="1">
        <v>0.20145989156452401</v>
      </c>
      <c r="AR33" t="s">
        <v>4</v>
      </c>
      <c r="AS33">
        <v>0</v>
      </c>
      <c r="AT33" t="s">
        <v>5</v>
      </c>
      <c r="AU33">
        <v>15</v>
      </c>
      <c r="AV33" t="s">
        <v>6</v>
      </c>
      <c r="AW33" s="1">
        <v>0.484375</v>
      </c>
      <c r="AX33" t="s">
        <v>7</v>
      </c>
      <c r="AY33" s="1">
        <v>0.5</v>
      </c>
      <c r="AZ33" t="s">
        <v>8</v>
      </c>
      <c r="BA33" s="1">
        <v>0</v>
      </c>
      <c r="BB33" s="1">
        <v>0.19250670265921199</v>
      </c>
      <c r="BC33" s="1">
        <f t="shared" si="2"/>
        <v>0.484375</v>
      </c>
      <c r="BD33" s="1">
        <f t="shared" si="1"/>
        <v>0.19250670265921199</v>
      </c>
    </row>
    <row r="34" spans="32:56">
      <c r="AF34" t="s">
        <v>4</v>
      </c>
      <c r="AG34">
        <v>0</v>
      </c>
      <c r="AH34" t="s">
        <v>5</v>
      </c>
      <c r="AI34">
        <v>32</v>
      </c>
      <c r="AJ34" t="s">
        <v>6</v>
      </c>
      <c r="AK34" s="1">
        <v>0.203125</v>
      </c>
      <c r="AL34" t="s">
        <v>7</v>
      </c>
      <c r="AM34" s="1">
        <v>0.5</v>
      </c>
      <c r="AN34" t="s">
        <v>8</v>
      </c>
      <c r="AO34" s="1">
        <v>0</v>
      </c>
      <c r="AP34" s="1">
        <v>0.201597240245074</v>
      </c>
    </row>
    <row r="35" spans="32:56">
      <c r="AF35" t="s">
        <v>4</v>
      </c>
      <c r="AG35">
        <v>0</v>
      </c>
      <c r="AH35" t="s">
        <v>5</v>
      </c>
      <c r="AI35">
        <v>33</v>
      </c>
      <c r="AJ35" t="s">
        <v>6</v>
      </c>
      <c r="AK35" s="1">
        <v>0.20937500000000001</v>
      </c>
      <c r="AL35" t="s">
        <v>7</v>
      </c>
      <c r="AM35" s="1">
        <v>0.5</v>
      </c>
      <c r="AN35" t="s">
        <v>8</v>
      </c>
      <c r="AO35" s="1">
        <v>0</v>
      </c>
      <c r="AP35" s="1">
        <v>0.201733950241056</v>
      </c>
    </row>
    <row r="36" spans="32:56">
      <c r="AF36" t="s">
        <v>4</v>
      </c>
      <c r="AG36">
        <v>0</v>
      </c>
      <c r="AH36" t="s">
        <v>5</v>
      </c>
      <c r="AI36">
        <v>34</v>
      </c>
      <c r="AJ36" t="s">
        <v>6</v>
      </c>
      <c r="AK36" s="1">
        <v>0.21562500000000001</v>
      </c>
      <c r="AL36" t="s">
        <v>7</v>
      </c>
      <c r="AM36" s="1">
        <v>0.5</v>
      </c>
      <c r="AN36" t="s">
        <v>8</v>
      </c>
      <c r="AO36" s="1">
        <v>0</v>
      </c>
      <c r="AP36" s="1">
        <v>0.201869815231142</v>
      </c>
    </row>
    <row r="37" spans="32:56">
      <c r="AF37" t="s">
        <v>4</v>
      </c>
      <c r="AG37">
        <v>0</v>
      </c>
      <c r="AH37" t="s">
        <v>5</v>
      </c>
      <c r="AI37">
        <v>35</v>
      </c>
      <c r="AJ37" t="s">
        <v>6</v>
      </c>
      <c r="AK37" s="1">
        <v>0.22187499999999999</v>
      </c>
      <c r="AL37" t="s">
        <v>7</v>
      </c>
      <c r="AM37" s="1">
        <v>0.5</v>
      </c>
      <c r="AN37" t="s">
        <v>8</v>
      </c>
      <c r="AO37" s="1">
        <v>0</v>
      </c>
      <c r="AP37" s="1">
        <v>0.202004635100001</v>
      </c>
    </row>
    <row r="38" spans="32:56">
      <c r="AF38" t="s">
        <v>4</v>
      </c>
      <c r="AG38">
        <v>0</v>
      </c>
      <c r="AH38" t="s">
        <v>5</v>
      </c>
      <c r="AI38">
        <v>36</v>
      </c>
      <c r="AJ38" t="s">
        <v>6</v>
      </c>
      <c r="AK38" s="1">
        <v>0.22812499999999999</v>
      </c>
      <c r="AL38" t="s">
        <v>7</v>
      </c>
      <c r="AM38" s="1">
        <v>0.5</v>
      </c>
      <c r="AN38" t="s">
        <v>8</v>
      </c>
      <c r="AO38" s="1">
        <v>0</v>
      </c>
      <c r="AP38" s="1">
        <v>0.20213821780348801</v>
      </c>
    </row>
    <row r="39" spans="32:56">
      <c r="AF39" t="s">
        <v>4</v>
      </c>
      <c r="AG39">
        <v>0</v>
      </c>
      <c r="AH39" t="s">
        <v>5</v>
      </c>
      <c r="AI39">
        <v>37</v>
      </c>
      <c r="AJ39" t="s">
        <v>6</v>
      </c>
      <c r="AK39" s="1">
        <v>0.234375</v>
      </c>
      <c r="AL39" t="s">
        <v>7</v>
      </c>
      <c r="AM39" s="1">
        <v>0.5</v>
      </c>
      <c r="AN39" t="s">
        <v>8</v>
      </c>
      <c r="AO39" s="1">
        <v>0</v>
      </c>
      <c r="AP39" s="1">
        <v>0.20227038125083199</v>
      </c>
    </row>
    <row r="40" spans="32:56">
      <c r="AF40" t="s">
        <v>4</v>
      </c>
      <c r="AG40">
        <v>0</v>
      </c>
      <c r="AH40" t="s">
        <v>5</v>
      </c>
      <c r="AI40">
        <v>38</v>
      </c>
      <c r="AJ40" t="s">
        <v>6</v>
      </c>
      <c r="AK40" s="1">
        <v>0.24062500000000001</v>
      </c>
      <c r="AL40" t="s">
        <v>7</v>
      </c>
      <c r="AM40" s="1">
        <v>0.5</v>
      </c>
      <c r="AN40" t="s">
        <v>8</v>
      </c>
      <c r="AO40" s="1">
        <v>0</v>
      </c>
      <c r="AP40" s="1">
        <v>0.20240095520350301</v>
      </c>
    </row>
    <row r="41" spans="32:56">
      <c r="AF41" t="s">
        <v>4</v>
      </c>
      <c r="AG41">
        <v>0</v>
      </c>
      <c r="AH41" t="s">
        <v>5</v>
      </c>
      <c r="AI41">
        <v>39</v>
      </c>
      <c r="AJ41" t="s">
        <v>6</v>
      </c>
      <c r="AK41" s="1">
        <v>0.24687500000000001</v>
      </c>
      <c r="AL41" t="s">
        <v>7</v>
      </c>
      <c r="AM41" s="1">
        <v>0.5</v>
      </c>
      <c r="AN41" t="s">
        <v>8</v>
      </c>
      <c r="AO41" s="1">
        <v>0</v>
      </c>
      <c r="AP41" s="1">
        <v>0.202529783190987</v>
      </c>
    </row>
    <row r="42" spans="32:56">
      <c r="AF42" t="s">
        <v>4</v>
      </c>
      <c r="AG42">
        <v>0</v>
      </c>
      <c r="AH42" t="s">
        <v>5</v>
      </c>
      <c r="AI42">
        <v>40</v>
      </c>
      <c r="AJ42" t="s">
        <v>6</v>
      </c>
      <c r="AK42" s="1">
        <v>0.25312499999999999</v>
      </c>
      <c r="AL42" t="s">
        <v>7</v>
      </c>
      <c r="AM42" s="1">
        <v>0.5</v>
      </c>
      <c r="AN42" t="s">
        <v>8</v>
      </c>
      <c r="AO42" s="1">
        <v>0</v>
      </c>
      <c r="AP42" s="1">
        <v>0.20266085118402999</v>
      </c>
    </row>
    <row r="43" spans="32:56">
      <c r="AF43" t="s">
        <v>4</v>
      </c>
      <c r="AG43">
        <v>0</v>
      </c>
      <c r="AH43" t="s">
        <v>5</v>
      </c>
      <c r="AI43">
        <v>41</v>
      </c>
      <c r="AJ43" t="s">
        <v>6</v>
      </c>
      <c r="AK43" s="1">
        <v>0.25937500000000002</v>
      </c>
      <c r="AL43" t="s">
        <v>7</v>
      </c>
      <c r="AM43" s="1">
        <v>0.5</v>
      </c>
      <c r="AN43" t="s">
        <v>8</v>
      </c>
      <c r="AO43" s="1">
        <v>0</v>
      </c>
      <c r="AP43" s="1">
        <v>0.20279584980868001</v>
      </c>
    </row>
    <row r="44" spans="32:56">
      <c r="AF44" t="s">
        <v>4</v>
      </c>
      <c r="AG44">
        <v>0</v>
      </c>
      <c r="AH44" t="s">
        <v>5</v>
      </c>
      <c r="AI44">
        <v>42</v>
      </c>
      <c r="AJ44" t="s">
        <v>6</v>
      </c>
      <c r="AK44" s="1">
        <v>0.265625</v>
      </c>
      <c r="AL44" t="s">
        <v>7</v>
      </c>
      <c r="AM44" s="1">
        <v>0.5</v>
      </c>
      <c r="AN44" t="s">
        <v>8</v>
      </c>
      <c r="AO44" s="1">
        <v>0</v>
      </c>
      <c r="AP44" s="1">
        <v>0.202931000217832</v>
      </c>
    </row>
    <row r="45" spans="32:56">
      <c r="AF45" t="s">
        <v>4</v>
      </c>
      <c r="AG45">
        <v>0</v>
      </c>
      <c r="AH45" t="s">
        <v>5</v>
      </c>
      <c r="AI45">
        <v>43</v>
      </c>
      <c r="AJ45" t="s">
        <v>6</v>
      </c>
      <c r="AK45" s="1">
        <v>0.27187499999999998</v>
      </c>
      <c r="AL45" t="s">
        <v>7</v>
      </c>
      <c r="AM45" s="1">
        <v>0.5</v>
      </c>
      <c r="AN45" t="s">
        <v>8</v>
      </c>
      <c r="AO45" s="1">
        <v>0</v>
      </c>
      <c r="AP45" s="1">
        <v>0.20306583720580601</v>
      </c>
    </row>
    <row r="46" spans="32:56">
      <c r="AF46" t="s">
        <v>4</v>
      </c>
      <c r="AG46">
        <v>0</v>
      </c>
      <c r="AH46" t="s">
        <v>5</v>
      </c>
      <c r="AI46">
        <v>44</v>
      </c>
      <c r="AJ46" t="s">
        <v>6</v>
      </c>
      <c r="AK46" s="1">
        <v>0.27812500000000001</v>
      </c>
      <c r="AL46" t="s">
        <v>7</v>
      </c>
      <c r="AM46" s="1">
        <v>0.5</v>
      </c>
      <c r="AN46" t="s">
        <v>8</v>
      </c>
      <c r="AO46" s="1">
        <v>0</v>
      </c>
      <c r="AP46" s="1">
        <v>0.203199909981882</v>
      </c>
    </row>
    <row r="47" spans="32:56">
      <c r="AF47" t="s">
        <v>4</v>
      </c>
      <c r="AG47">
        <v>0</v>
      </c>
      <c r="AH47" t="s">
        <v>5</v>
      </c>
      <c r="AI47">
        <v>45</v>
      </c>
      <c r="AJ47" t="s">
        <v>6</v>
      </c>
      <c r="AK47" s="1">
        <v>0.28437499999999999</v>
      </c>
      <c r="AL47" t="s">
        <v>7</v>
      </c>
      <c r="AM47" s="1">
        <v>0.5</v>
      </c>
      <c r="AN47" t="s">
        <v>8</v>
      </c>
      <c r="AO47" s="1">
        <v>0</v>
      </c>
      <c r="AP47" s="1">
        <v>0.20333278911302399</v>
      </c>
    </row>
    <row r="48" spans="32:56">
      <c r="AF48" t="s">
        <v>4</v>
      </c>
      <c r="AG48">
        <v>0</v>
      </c>
      <c r="AH48" t="s">
        <v>5</v>
      </c>
      <c r="AI48">
        <v>46</v>
      </c>
      <c r="AJ48" t="s">
        <v>6</v>
      </c>
      <c r="AK48" s="1">
        <v>0.29062500000000002</v>
      </c>
      <c r="AL48" t="s">
        <v>7</v>
      </c>
      <c r="AM48" s="1">
        <v>0.5</v>
      </c>
      <c r="AN48" t="s">
        <v>8</v>
      </c>
      <c r="AO48" s="1">
        <v>0</v>
      </c>
      <c r="AP48" s="1">
        <v>0.20346407356260501</v>
      </c>
    </row>
    <row r="49" spans="32:42">
      <c r="AF49" t="s">
        <v>4</v>
      </c>
      <c r="AG49">
        <v>0</v>
      </c>
      <c r="AH49" t="s">
        <v>5</v>
      </c>
      <c r="AI49">
        <v>47</v>
      </c>
      <c r="AJ49" t="s">
        <v>6</v>
      </c>
      <c r="AK49" s="1">
        <v>0.296875</v>
      </c>
      <c r="AL49" t="s">
        <v>7</v>
      </c>
      <c r="AM49" s="1">
        <v>0.5</v>
      </c>
      <c r="AN49" t="s">
        <v>8</v>
      </c>
      <c r="AO49" s="1">
        <v>0</v>
      </c>
      <c r="AP49" s="1">
        <v>0.203593397825617</v>
      </c>
    </row>
    <row r="50" spans="32:42">
      <c r="AF50" t="s">
        <v>4</v>
      </c>
      <c r="AG50">
        <v>0</v>
      </c>
      <c r="AH50" t="s">
        <v>5</v>
      </c>
      <c r="AI50">
        <v>48</v>
      </c>
      <c r="AJ50" t="s">
        <v>6</v>
      </c>
      <c r="AK50" s="1">
        <v>0.30312499999999998</v>
      </c>
      <c r="AL50" t="s">
        <v>7</v>
      </c>
      <c r="AM50" s="1">
        <v>0.5</v>
      </c>
      <c r="AN50" t="s">
        <v>8</v>
      </c>
      <c r="AO50" s="1">
        <v>0</v>
      </c>
      <c r="AP50" s="1">
        <v>0.20372043915993501</v>
      </c>
    </row>
    <row r="51" spans="32:42">
      <c r="AF51" t="s">
        <v>4</v>
      </c>
      <c r="AG51">
        <v>0</v>
      </c>
      <c r="AH51" t="s">
        <v>5</v>
      </c>
      <c r="AI51">
        <v>49</v>
      </c>
      <c r="AJ51" t="s">
        <v>6</v>
      </c>
      <c r="AK51" s="1">
        <v>0.30937500000000001</v>
      </c>
      <c r="AL51" t="s">
        <v>7</v>
      </c>
      <c r="AM51" s="1">
        <v>0.5</v>
      </c>
      <c r="AN51" t="s">
        <v>8</v>
      </c>
      <c r="AO51" s="1">
        <v>0</v>
      </c>
      <c r="AP51" s="1">
        <v>0.20384492491391401</v>
      </c>
    </row>
    <row r="52" spans="32:42">
      <c r="AF52" t="s">
        <v>4</v>
      </c>
      <c r="AG52">
        <v>0</v>
      </c>
      <c r="AH52" t="s">
        <v>5</v>
      </c>
      <c r="AI52">
        <v>50</v>
      </c>
      <c r="AJ52" t="s">
        <v>6</v>
      </c>
      <c r="AK52" s="1">
        <v>0.31562499999999999</v>
      </c>
      <c r="AL52" t="s">
        <v>7</v>
      </c>
      <c r="AM52" s="1">
        <v>0.5</v>
      </c>
      <c r="AN52" t="s">
        <v>8</v>
      </c>
      <c r="AO52" s="1">
        <v>0</v>
      </c>
      <c r="AP52" s="1">
        <v>0.203999460943184</v>
      </c>
    </row>
    <row r="53" spans="32:42">
      <c r="AF53" t="s">
        <v>4</v>
      </c>
      <c r="AG53">
        <v>0</v>
      </c>
      <c r="AH53" t="s">
        <v>5</v>
      </c>
      <c r="AI53">
        <v>51</v>
      </c>
      <c r="AJ53" t="s">
        <v>6</v>
      </c>
      <c r="AK53" s="1">
        <v>0.32187500000000002</v>
      </c>
      <c r="AL53" t="s">
        <v>7</v>
      </c>
      <c r="AM53" s="1">
        <v>0.5</v>
      </c>
      <c r="AN53" t="s">
        <v>8</v>
      </c>
      <c r="AO53" s="1">
        <v>0</v>
      </c>
      <c r="AP53" s="1">
        <v>0.204178708715957</v>
      </c>
    </row>
    <row r="54" spans="32:42">
      <c r="AF54" t="s">
        <v>4</v>
      </c>
      <c r="AG54">
        <v>0</v>
      </c>
      <c r="AH54" t="s">
        <v>5</v>
      </c>
      <c r="AI54">
        <v>52</v>
      </c>
      <c r="AJ54" t="s">
        <v>6</v>
      </c>
      <c r="AK54" s="1">
        <v>0.328125</v>
      </c>
      <c r="AL54" t="s">
        <v>7</v>
      </c>
      <c r="AM54" s="1">
        <v>0.5</v>
      </c>
      <c r="AN54" t="s">
        <v>8</v>
      </c>
      <c r="AO54" s="1">
        <v>0</v>
      </c>
      <c r="AP54" s="1">
        <v>0.20434697004039101</v>
      </c>
    </row>
    <row r="55" spans="32:42">
      <c r="AF55" t="s">
        <v>4</v>
      </c>
      <c r="AG55">
        <v>0</v>
      </c>
      <c r="AH55" t="s">
        <v>5</v>
      </c>
      <c r="AI55">
        <v>53</v>
      </c>
      <c r="AJ55" t="s">
        <v>6</v>
      </c>
      <c r="AK55" s="1">
        <v>0.33437499999999998</v>
      </c>
      <c r="AL55" t="s">
        <v>7</v>
      </c>
      <c r="AM55" s="1">
        <v>0.5</v>
      </c>
      <c r="AN55" t="s">
        <v>8</v>
      </c>
      <c r="AO55" s="1">
        <v>0</v>
      </c>
      <c r="AP55" s="1">
        <v>0.20450332969093599</v>
      </c>
    </row>
    <row r="56" spans="32:42">
      <c r="AF56" t="s">
        <v>4</v>
      </c>
      <c r="AG56">
        <v>0</v>
      </c>
      <c r="AH56" t="s">
        <v>5</v>
      </c>
      <c r="AI56">
        <v>54</v>
      </c>
      <c r="AJ56" t="s">
        <v>6</v>
      </c>
      <c r="AK56" s="1">
        <v>0.34062500000000001</v>
      </c>
      <c r="AL56" t="s">
        <v>7</v>
      </c>
      <c r="AM56" s="1">
        <v>0.5</v>
      </c>
      <c r="AN56" t="s">
        <v>8</v>
      </c>
      <c r="AO56" s="1">
        <v>0</v>
      </c>
      <c r="AP56" s="1">
        <v>0.20464687430790299</v>
      </c>
    </row>
    <row r="57" spans="32:42">
      <c r="AF57" t="s">
        <v>4</v>
      </c>
      <c r="AG57">
        <v>0</v>
      </c>
      <c r="AH57" t="s">
        <v>5</v>
      </c>
      <c r="AI57">
        <v>55</v>
      </c>
      <c r="AJ57" t="s">
        <v>6</v>
      </c>
      <c r="AK57" s="1">
        <v>0.34687499999999999</v>
      </c>
      <c r="AL57" t="s">
        <v>7</v>
      </c>
      <c r="AM57" s="1">
        <v>0.5</v>
      </c>
      <c r="AN57" t="s">
        <v>8</v>
      </c>
      <c r="AO57" s="1">
        <v>0</v>
      </c>
      <c r="AP57" s="1">
        <v>0.20477671449830401</v>
      </c>
    </row>
    <row r="58" spans="32:42">
      <c r="AF58" t="s">
        <v>4</v>
      </c>
      <c r="AG58">
        <v>0</v>
      </c>
      <c r="AH58" t="s">
        <v>5</v>
      </c>
      <c r="AI58">
        <v>56</v>
      </c>
      <c r="AJ58" t="s">
        <v>6</v>
      </c>
      <c r="AK58" s="1">
        <v>0.35312500000000002</v>
      </c>
      <c r="AL58" t="s">
        <v>7</v>
      </c>
      <c r="AM58" s="1">
        <v>0.5</v>
      </c>
      <c r="AN58" t="s">
        <v>8</v>
      </c>
      <c r="AO58" s="1">
        <v>0</v>
      </c>
      <c r="AP58" s="1">
        <v>0.204892007157739</v>
      </c>
    </row>
    <row r="59" spans="32:42">
      <c r="AF59" t="s">
        <v>4</v>
      </c>
      <c r="AG59">
        <v>0</v>
      </c>
      <c r="AH59" t="s">
        <v>5</v>
      </c>
      <c r="AI59">
        <v>57</v>
      </c>
      <c r="AJ59" t="s">
        <v>6</v>
      </c>
      <c r="AK59" s="1">
        <v>0.359375</v>
      </c>
      <c r="AL59" t="s">
        <v>7</v>
      </c>
      <c r="AM59" s="1">
        <v>0.5</v>
      </c>
      <c r="AN59" t="s">
        <v>8</v>
      </c>
      <c r="AO59" s="1">
        <v>0</v>
      </c>
      <c r="AP59" s="1">
        <v>0.20499197801357999</v>
      </c>
    </row>
    <row r="60" spans="32:42">
      <c r="AF60" t="s">
        <v>4</v>
      </c>
      <c r="AG60">
        <v>0</v>
      </c>
      <c r="AH60" t="s">
        <v>5</v>
      </c>
      <c r="AI60">
        <v>58</v>
      </c>
      <c r="AJ60" t="s">
        <v>6</v>
      </c>
      <c r="AK60" s="1">
        <v>0.36562499999999998</v>
      </c>
      <c r="AL60" t="s">
        <v>7</v>
      </c>
      <c r="AM60" s="1">
        <v>0.5</v>
      </c>
      <c r="AN60" t="s">
        <v>8</v>
      </c>
      <c r="AO60" s="1">
        <v>0</v>
      </c>
      <c r="AP60" s="1">
        <v>0.20507594438930199</v>
      </c>
    </row>
    <row r="61" spans="32:42">
      <c r="AF61" t="s">
        <v>4</v>
      </c>
      <c r="AG61">
        <v>0</v>
      </c>
      <c r="AH61" t="s">
        <v>5</v>
      </c>
      <c r="AI61">
        <v>59</v>
      </c>
      <c r="AJ61" t="s">
        <v>6</v>
      </c>
      <c r="AK61" s="1">
        <v>0.37187500000000001</v>
      </c>
      <c r="AL61" t="s">
        <v>7</v>
      </c>
      <c r="AM61" s="1">
        <v>0.5</v>
      </c>
      <c r="AN61" t="s">
        <v>8</v>
      </c>
      <c r="AO61" s="1">
        <v>0</v>
      </c>
      <c r="AP61" s="1">
        <v>0.20514333819000899</v>
      </c>
    </row>
    <row r="62" spans="32:42">
      <c r="AF62" t="s">
        <v>4</v>
      </c>
      <c r="AG62">
        <v>0</v>
      </c>
      <c r="AH62" t="s">
        <v>5</v>
      </c>
      <c r="AI62">
        <v>60</v>
      </c>
      <c r="AJ62" t="s">
        <v>6</v>
      </c>
      <c r="AK62" s="1">
        <v>0.37812499999999999</v>
      </c>
      <c r="AL62" t="s">
        <v>7</v>
      </c>
      <c r="AM62" s="1">
        <v>0.5</v>
      </c>
      <c r="AN62" t="s">
        <v>8</v>
      </c>
      <c r="AO62" s="1">
        <v>0</v>
      </c>
      <c r="AP62" s="1">
        <v>0.205169434244798</v>
      </c>
    </row>
    <row r="63" spans="32:42">
      <c r="AF63" t="s">
        <v>4</v>
      </c>
      <c r="AG63">
        <v>0</v>
      </c>
      <c r="AH63" t="s">
        <v>5</v>
      </c>
      <c r="AI63">
        <v>61</v>
      </c>
      <c r="AJ63" t="s">
        <v>6</v>
      </c>
      <c r="AK63" s="1">
        <v>0.38437500000000002</v>
      </c>
      <c r="AL63" t="s">
        <v>7</v>
      </c>
      <c r="AM63" s="1">
        <v>0.5</v>
      </c>
      <c r="AN63" t="s">
        <v>8</v>
      </c>
      <c r="AO63" s="1">
        <v>0</v>
      </c>
      <c r="AP63" s="1">
        <v>0.20515346571226101</v>
      </c>
    </row>
    <row r="64" spans="32:42">
      <c r="AF64" t="s">
        <v>4</v>
      </c>
      <c r="AG64">
        <v>0</v>
      </c>
      <c r="AH64" t="s">
        <v>5</v>
      </c>
      <c r="AI64">
        <v>62</v>
      </c>
      <c r="AJ64" t="s">
        <v>6</v>
      </c>
      <c r="AK64" s="1">
        <v>0.390625</v>
      </c>
      <c r="AL64" t="s">
        <v>7</v>
      </c>
      <c r="AM64" s="1">
        <v>0.5</v>
      </c>
      <c r="AN64" t="s">
        <v>8</v>
      </c>
      <c r="AO64" s="1">
        <v>0</v>
      </c>
      <c r="AP64" s="1">
        <v>0.20511716270312799</v>
      </c>
    </row>
    <row r="65" spans="32:42">
      <c r="AF65" t="s">
        <v>4</v>
      </c>
      <c r="AG65">
        <v>0</v>
      </c>
      <c r="AH65" t="s">
        <v>5</v>
      </c>
      <c r="AI65">
        <v>63</v>
      </c>
      <c r="AJ65" t="s">
        <v>6</v>
      </c>
      <c r="AK65" s="1">
        <v>0.39687499999999998</v>
      </c>
      <c r="AL65" t="s">
        <v>7</v>
      </c>
      <c r="AM65" s="1">
        <v>0.5</v>
      </c>
      <c r="AN65" t="s">
        <v>8</v>
      </c>
      <c r="AO65" s="1">
        <v>0</v>
      </c>
      <c r="AP65" s="1">
        <v>0.20505774992292999</v>
      </c>
    </row>
    <row r="66" spans="32:42">
      <c r="AF66" t="s">
        <v>4</v>
      </c>
      <c r="AG66">
        <v>0</v>
      </c>
      <c r="AH66" t="s">
        <v>5</v>
      </c>
      <c r="AI66">
        <v>64</v>
      </c>
      <c r="AJ66" t="s">
        <v>6</v>
      </c>
      <c r="AK66" s="1">
        <v>0.40312500000000001</v>
      </c>
      <c r="AL66" t="s">
        <v>7</v>
      </c>
      <c r="AM66" s="1">
        <v>0.5</v>
      </c>
      <c r="AN66" t="s">
        <v>8</v>
      </c>
      <c r="AO66" s="1">
        <v>0</v>
      </c>
      <c r="AP66" s="1">
        <v>0.20497284767576901</v>
      </c>
    </row>
    <row r="67" spans="32:42">
      <c r="AF67" t="s">
        <v>4</v>
      </c>
      <c r="AG67">
        <v>0</v>
      </c>
      <c r="AH67" t="s">
        <v>5</v>
      </c>
      <c r="AI67">
        <v>65</v>
      </c>
      <c r="AJ67" t="s">
        <v>6</v>
      </c>
      <c r="AK67" s="1">
        <v>0.40937499999999999</v>
      </c>
      <c r="AL67" t="s">
        <v>7</v>
      </c>
      <c r="AM67" s="1">
        <v>0.5</v>
      </c>
      <c r="AN67" t="s">
        <v>8</v>
      </c>
      <c r="AO67" s="1">
        <v>0</v>
      </c>
      <c r="AP67" s="1">
        <v>0.20486073373060201</v>
      </c>
    </row>
    <row r="68" spans="32:42">
      <c r="AF68" t="s">
        <v>4</v>
      </c>
      <c r="AG68">
        <v>0</v>
      </c>
      <c r="AH68" t="s">
        <v>5</v>
      </c>
      <c r="AI68">
        <v>66</v>
      </c>
      <c r="AJ68" t="s">
        <v>6</v>
      </c>
      <c r="AK68" s="1">
        <v>0.41562500000000002</v>
      </c>
      <c r="AL68" t="s">
        <v>7</v>
      </c>
      <c r="AM68" s="1">
        <v>0.5</v>
      </c>
      <c r="AN68" t="s">
        <v>8</v>
      </c>
      <c r="AO68" s="1">
        <v>0</v>
      </c>
      <c r="AP68" s="1">
        <v>0.20472060927809799</v>
      </c>
    </row>
    <row r="69" spans="32:42">
      <c r="AF69" t="s">
        <v>4</v>
      </c>
      <c r="AG69">
        <v>0</v>
      </c>
      <c r="AH69" t="s">
        <v>5</v>
      </c>
      <c r="AI69">
        <v>67</v>
      </c>
      <c r="AJ69" t="s">
        <v>6</v>
      </c>
      <c r="AK69" s="1">
        <v>0.421875</v>
      </c>
      <c r="AL69" t="s">
        <v>7</v>
      </c>
      <c r="AM69" s="1">
        <v>0.5</v>
      </c>
      <c r="AN69" t="s">
        <v>8</v>
      </c>
      <c r="AO69" s="1">
        <v>0</v>
      </c>
      <c r="AP69" s="1">
        <v>0.204552868978571</v>
      </c>
    </row>
    <row r="70" spans="32:42">
      <c r="AF70" t="s">
        <v>4</v>
      </c>
      <c r="AG70">
        <v>0</v>
      </c>
      <c r="AH70" t="s">
        <v>5</v>
      </c>
      <c r="AI70">
        <v>68</v>
      </c>
      <c r="AJ70" t="s">
        <v>6</v>
      </c>
      <c r="AK70" s="1">
        <v>0.42812499999999998</v>
      </c>
      <c r="AL70" t="s">
        <v>7</v>
      </c>
      <c r="AM70" s="1">
        <v>0.5</v>
      </c>
      <c r="AN70" t="s">
        <v>8</v>
      </c>
      <c r="AO70" s="1">
        <v>0</v>
      </c>
      <c r="AP70" s="1">
        <v>0.20435937510049501</v>
      </c>
    </row>
    <row r="71" spans="32:42">
      <c r="AF71" t="s">
        <v>4</v>
      </c>
      <c r="AG71">
        <v>0</v>
      </c>
      <c r="AH71" t="s">
        <v>5</v>
      </c>
      <c r="AI71">
        <v>69</v>
      </c>
      <c r="AJ71" t="s">
        <v>6</v>
      </c>
      <c r="AK71" s="1">
        <v>0.43437500000000001</v>
      </c>
      <c r="AL71" t="s">
        <v>7</v>
      </c>
      <c r="AM71" s="1">
        <v>0.5</v>
      </c>
      <c r="AN71" t="s">
        <v>8</v>
      </c>
      <c r="AO71" s="1">
        <v>0</v>
      </c>
      <c r="AP71" s="1">
        <v>0.20414373574997599</v>
      </c>
    </row>
    <row r="72" spans="32:42">
      <c r="AF72" t="s">
        <v>4</v>
      </c>
      <c r="AG72">
        <v>0</v>
      </c>
      <c r="AH72" t="s">
        <v>5</v>
      </c>
      <c r="AI72">
        <v>70</v>
      </c>
      <c r="AJ72" t="s">
        <v>6</v>
      </c>
      <c r="AK72" s="1">
        <v>0.44062499999999999</v>
      </c>
      <c r="AL72" t="s">
        <v>7</v>
      </c>
      <c r="AM72" s="1">
        <v>0.5</v>
      </c>
      <c r="AN72" t="s">
        <v>8</v>
      </c>
      <c r="AO72" s="1">
        <v>0</v>
      </c>
      <c r="AP72" s="1">
        <v>0.20369910174782199</v>
      </c>
    </row>
    <row r="73" spans="32:42">
      <c r="AF73" t="s">
        <v>4</v>
      </c>
      <c r="AG73">
        <v>0</v>
      </c>
      <c r="AH73" t="s">
        <v>5</v>
      </c>
      <c r="AI73">
        <v>71</v>
      </c>
      <c r="AJ73" t="s">
        <v>6</v>
      </c>
      <c r="AK73" s="1">
        <v>0.44687500000000002</v>
      </c>
      <c r="AL73" t="s">
        <v>7</v>
      </c>
      <c r="AM73" s="1">
        <v>0.5</v>
      </c>
      <c r="AN73" t="s">
        <v>8</v>
      </c>
      <c r="AO73" s="1">
        <v>0</v>
      </c>
      <c r="AP73" s="1">
        <v>0.20289640603092801</v>
      </c>
    </row>
    <row r="74" spans="32:42">
      <c r="AF74" t="s">
        <v>4</v>
      </c>
      <c r="AG74">
        <v>0</v>
      </c>
      <c r="AH74" t="s">
        <v>5</v>
      </c>
      <c r="AI74">
        <v>72</v>
      </c>
      <c r="AJ74" t="s">
        <v>6</v>
      </c>
      <c r="AK74" s="1">
        <v>0.453125</v>
      </c>
      <c r="AL74" t="s">
        <v>7</v>
      </c>
      <c r="AM74" s="1">
        <v>0.5</v>
      </c>
      <c r="AN74" t="s">
        <v>8</v>
      </c>
      <c r="AO74" s="1">
        <v>0</v>
      </c>
      <c r="AP74" s="1">
        <v>0.20187008712705801</v>
      </c>
    </row>
    <row r="75" spans="32:42">
      <c r="AF75" t="s">
        <v>4</v>
      </c>
      <c r="AG75">
        <v>0</v>
      </c>
      <c r="AH75" t="s">
        <v>5</v>
      </c>
      <c r="AI75">
        <v>73</v>
      </c>
      <c r="AJ75" t="s">
        <v>6</v>
      </c>
      <c r="AK75" s="1">
        <v>0.45937499999999998</v>
      </c>
      <c r="AL75" t="s">
        <v>7</v>
      </c>
      <c r="AM75" s="1">
        <v>0.5</v>
      </c>
      <c r="AN75" t="s">
        <v>8</v>
      </c>
      <c r="AO75" s="1">
        <v>0</v>
      </c>
      <c r="AP75" s="1">
        <v>0.200590296680866</v>
      </c>
    </row>
    <row r="76" spans="32:42">
      <c r="AF76" t="s">
        <v>4</v>
      </c>
      <c r="AG76">
        <v>0</v>
      </c>
      <c r="AH76" t="s">
        <v>5</v>
      </c>
      <c r="AI76">
        <v>74</v>
      </c>
      <c r="AJ76" t="s">
        <v>6</v>
      </c>
      <c r="AK76" s="1">
        <v>0.46562500000000001</v>
      </c>
      <c r="AL76" t="s">
        <v>7</v>
      </c>
      <c r="AM76" s="1">
        <v>0.5</v>
      </c>
      <c r="AN76" t="s">
        <v>8</v>
      </c>
      <c r="AO76" s="1">
        <v>0</v>
      </c>
      <c r="AP76" s="1">
        <v>0.19902984129076601</v>
      </c>
    </row>
    <row r="77" spans="32:42">
      <c r="AF77" t="s">
        <v>4</v>
      </c>
      <c r="AG77">
        <v>0</v>
      </c>
      <c r="AH77" t="s">
        <v>5</v>
      </c>
      <c r="AI77">
        <v>75</v>
      </c>
      <c r="AJ77" t="s">
        <v>6</v>
      </c>
      <c r="AK77" s="1">
        <v>0.47187499999999999</v>
      </c>
      <c r="AL77" t="s">
        <v>7</v>
      </c>
      <c r="AM77" s="1">
        <v>0.5</v>
      </c>
      <c r="AN77" t="s">
        <v>8</v>
      </c>
      <c r="AO77" s="1">
        <v>0</v>
      </c>
      <c r="AP77" s="1">
        <v>0.197167741012474</v>
      </c>
    </row>
    <row r="78" spans="32:42">
      <c r="AF78" t="s">
        <v>4</v>
      </c>
      <c r="AG78">
        <v>0</v>
      </c>
      <c r="AH78" t="s">
        <v>5</v>
      </c>
      <c r="AI78">
        <v>76</v>
      </c>
      <c r="AJ78" t="s">
        <v>6</v>
      </c>
      <c r="AK78" s="1">
        <v>0.47812500000000002</v>
      </c>
      <c r="AL78" t="s">
        <v>7</v>
      </c>
      <c r="AM78" s="1">
        <v>0.5</v>
      </c>
      <c r="AN78" t="s">
        <v>8</v>
      </c>
      <c r="AO78" s="1">
        <v>0</v>
      </c>
      <c r="AP78" s="1">
        <v>0.19499288329575301</v>
      </c>
    </row>
    <row r="79" spans="32:42">
      <c r="AF79" t="s">
        <v>4</v>
      </c>
      <c r="AG79">
        <v>0</v>
      </c>
      <c r="AH79" t="s">
        <v>5</v>
      </c>
      <c r="AI79">
        <v>77</v>
      </c>
      <c r="AJ79" t="s">
        <v>6</v>
      </c>
      <c r="AK79" s="1">
        <v>0.484375</v>
      </c>
      <c r="AL79" t="s">
        <v>7</v>
      </c>
      <c r="AM79" s="1">
        <v>0.5</v>
      </c>
      <c r="AN79" t="s">
        <v>8</v>
      </c>
      <c r="AO79" s="1">
        <v>0</v>
      </c>
      <c r="AP79" s="1">
        <v>0.19250777235438299</v>
      </c>
    </row>
    <row r="80" spans="32:42">
      <c r="AF80" t="s">
        <v>4</v>
      </c>
      <c r="AG80">
        <v>0</v>
      </c>
      <c r="AH80" t="s">
        <v>5</v>
      </c>
      <c r="AI80">
        <v>78</v>
      </c>
      <c r="AJ80" t="s">
        <v>6</v>
      </c>
      <c r="AK80" s="1">
        <v>0.49062499999999998</v>
      </c>
      <c r="AL80" t="s">
        <v>7</v>
      </c>
      <c r="AM80" s="1">
        <v>0.5</v>
      </c>
      <c r="AN80" t="s">
        <v>8</v>
      </c>
      <c r="AO80" s="1">
        <v>0</v>
      </c>
      <c r="AP80" s="1">
        <v>0.18973237396920101</v>
      </c>
    </row>
    <row r="81" spans="32:42">
      <c r="AF81" t="s">
        <v>4</v>
      </c>
      <c r="AG81">
        <v>0</v>
      </c>
      <c r="AH81" t="s">
        <v>5</v>
      </c>
      <c r="AI81">
        <v>79</v>
      </c>
      <c r="AJ81" t="s">
        <v>6</v>
      </c>
      <c r="AK81" s="1">
        <v>0.49687500000000001</v>
      </c>
      <c r="AL81" t="s">
        <v>7</v>
      </c>
      <c r="AM81" s="1">
        <v>0.5</v>
      </c>
      <c r="AN81" t="s">
        <v>8</v>
      </c>
      <c r="AO81" s="1">
        <v>0</v>
      </c>
      <c r="AP81" s="1">
        <v>0.18670805572452001</v>
      </c>
    </row>
  </sheetData>
  <autoFilter ref="AR2:BD33" xr:uid="{3B5CAF6B-6D31-453E-8741-404C43A901EB}">
    <sortState xmlns:xlrd2="http://schemas.microsoft.com/office/spreadsheetml/2017/richdata2" ref="AR3:BD33">
      <sortCondition ref="BC2:BC33"/>
    </sortState>
  </autoFilter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D43E-B7A5-4258-A524-210218F2D1AC}">
  <dimension ref="A1:AG51"/>
  <sheetViews>
    <sheetView topLeftCell="A12" zoomScale="102" zoomScaleNormal="102" workbookViewId="0">
      <selection activeCell="A19" sqref="A19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</cols>
  <sheetData>
    <row r="1" spans="1:33">
      <c r="A1" t="s">
        <v>16</v>
      </c>
      <c r="AB1" s="3" t="s">
        <v>19</v>
      </c>
      <c r="AC1" t="s">
        <v>20</v>
      </c>
    </row>
    <row r="2" spans="1:33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27.500894741615198</v>
      </c>
      <c r="L2" s="1">
        <f>2*F2</f>
        <v>3.125E-2</v>
      </c>
      <c r="M2" s="1">
        <f>K2/2</f>
        <v>13.750447370807599</v>
      </c>
      <c r="AB2" s="3" t="s">
        <v>21</v>
      </c>
    </row>
    <row r="3" spans="1:33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27.4190256278075</v>
      </c>
      <c r="L3" s="1">
        <f t="shared" ref="L3:L51" si="0">2*F3</f>
        <v>9.375E-2</v>
      </c>
      <c r="M3" s="1">
        <f t="shared" ref="M3:M17" si="1">K3/2</f>
        <v>13.70951281390375</v>
      </c>
      <c r="AB3" s="3" t="s">
        <v>22</v>
      </c>
      <c r="AC3" t="s">
        <v>23</v>
      </c>
      <c r="AD3">
        <v>89</v>
      </c>
    </row>
    <row r="4" spans="1:33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27.223640979455102</v>
      </c>
      <c r="L4" s="1">
        <f t="shared" si="0"/>
        <v>0.15625</v>
      </c>
      <c r="M4" s="1">
        <f t="shared" si="1"/>
        <v>13.611820489727551</v>
      </c>
      <c r="AB4" s="3" t="s">
        <v>24</v>
      </c>
      <c r="AC4" t="s">
        <v>23</v>
      </c>
      <c r="AD4" s="1">
        <v>1</v>
      </c>
    </row>
    <row r="5" spans="1:33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26.941766714131798</v>
      </c>
      <c r="L5" s="1">
        <f t="shared" si="0"/>
        <v>0.21875</v>
      </c>
      <c r="M5" s="1">
        <f t="shared" si="1"/>
        <v>13.470883357065899</v>
      </c>
      <c r="AB5" s="3" t="s">
        <v>25</v>
      </c>
      <c r="AC5" t="s">
        <v>23</v>
      </c>
      <c r="AD5" s="1">
        <v>0</v>
      </c>
    </row>
    <row r="6" spans="1:33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26.601314343423802</v>
      </c>
      <c r="L6" s="1">
        <f t="shared" si="0"/>
        <v>0.28125</v>
      </c>
      <c r="M6" s="1">
        <f t="shared" si="1"/>
        <v>13.300657171711901</v>
      </c>
      <c r="AB6" s="2"/>
    </row>
    <row r="7" spans="1:33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26.132062383209</v>
      </c>
      <c r="L7" s="1">
        <f t="shared" si="0"/>
        <v>0.34375</v>
      </c>
      <c r="M7" s="1">
        <f t="shared" si="1"/>
        <v>13.0660311916045</v>
      </c>
      <c r="AB7" s="3" t="s">
        <v>26</v>
      </c>
      <c r="AC7">
        <v>1</v>
      </c>
    </row>
    <row r="8" spans="1:33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25.567387395770901</v>
      </c>
      <c r="L8" s="1">
        <f t="shared" si="0"/>
        <v>0.40625</v>
      </c>
      <c r="M8" s="1">
        <f t="shared" si="1"/>
        <v>12.78369369788545</v>
      </c>
      <c r="AB8" s="3" t="s">
        <v>27</v>
      </c>
      <c r="AC8" t="s">
        <v>23</v>
      </c>
      <c r="AD8" t="s">
        <v>28</v>
      </c>
      <c r="AE8" t="s">
        <v>29</v>
      </c>
    </row>
    <row r="9" spans="1:33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24.964708843172101</v>
      </c>
      <c r="L9" s="1">
        <f t="shared" si="0"/>
        <v>0.46875</v>
      </c>
      <c r="M9" s="1">
        <f t="shared" si="1"/>
        <v>12.48235442158605</v>
      </c>
      <c r="AB9" s="3" t="s">
        <v>30</v>
      </c>
      <c r="AC9" t="s">
        <v>23</v>
      </c>
      <c r="AD9" t="s">
        <v>31</v>
      </c>
    </row>
    <row r="10" spans="1:33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24.210343031190099</v>
      </c>
      <c r="L10" s="1">
        <f t="shared" si="0"/>
        <v>0.53125</v>
      </c>
      <c r="M10" s="1">
        <f t="shared" si="1"/>
        <v>12.10517151559505</v>
      </c>
      <c r="AB10" s="2"/>
    </row>
    <row r="11" spans="1:33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23.229418901751998</v>
      </c>
      <c r="L11" s="1">
        <f t="shared" si="0"/>
        <v>0.59375</v>
      </c>
      <c r="M11" s="1">
        <f t="shared" si="1"/>
        <v>11.614709450875999</v>
      </c>
      <c r="AB11" s="3"/>
      <c r="AC11" t="s">
        <v>32</v>
      </c>
      <c r="AD11" t="s">
        <v>27</v>
      </c>
      <c r="AE11" t="s">
        <v>30</v>
      </c>
    </row>
    <row r="12" spans="1:33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22.5456527936689</v>
      </c>
      <c r="L12" s="1">
        <f t="shared" si="0"/>
        <v>0.65625</v>
      </c>
      <c r="M12" s="1">
        <f t="shared" si="1"/>
        <v>11.27282639683445</v>
      </c>
      <c r="AB12" s="3" t="s">
        <v>33</v>
      </c>
    </row>
    <row r="13" spans="1:33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21.5473743871712</v>
      </c>
      <c r="L13" s="1">
        <f t="shared" si="0"/>
        <v>0.71875</v>
      </c>
      <c r="M13" s="1">
        <f t="shared" si="1"/>
        <v>10.7736871935856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</row>
    <row r="14" spans="1:33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19.290411571295699</v>
      </c>
      <c r="L14" s="1">
        <f t="shared" si="0"/>
        <v>0.78125</v>
      </c>
      <c r="M14" s="1">
        <f t="shared" si="1"/>
        <v>9.6452057856478497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</row>
    <row r="15" spans="1:33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19.027750786605601</v>
      </c>
      <c r="L15" s="1">
        <f t="shared" si="0"/>
        <v>0.84375</v>
      </c>
      <c r="M15" s="1">
        <f t="shared" si="1"/>
        <v>9.5138753933028006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</row>
    <row r="16" spans="1:33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21.622178046924802</v>
      </c>
      <c r="L16" s="1">
        <f t="shared" si="0"/>
        <v>0.90625</v>
      </c>
      <c r="M16" s="1">
        <f t="shared" si="1"/>
        <v>10.811089023462401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</row>
    <row r="17" spans="1:33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17.6233463860519</v>
      </c>
      <c r="L17" s="1">
        <f t="shared" si="0"/>
        <v>0.96875</v>
      </c>
      <c r="M17" s="1">
        <f t="shared" si="1"/>
        <v>8.8116731930259498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</row>
    <row r="18" spans="1:33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</row>
    <row r="19" spans="1:33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27.3456344983558</v>
      </c>
      <c r="L19" s="1">
        <f t="shared" si="0"/>
        <v>3.125E-2</v>
      </c>
      <c r="M19" s="1">
        <f>K19/2</f>
        <v>13.6728172491779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</row>
    <row r="20" spans="1:33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27.252486446677601</v>
      </c>
      <c r="L20" s="1">
        <f t="shared" si="0"/>
        <v>9.375E-2</v>
      </c>
      <c r="M20" s="1">
        <f t="shared" ref="M20:M34" si="4">K20/2</f>
        <v>13.6262432233388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</row>
    <row r="21" spans="1:33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27.046555981138301</v>
      </c>
      <c r="L21" s="1">
        <f t="shared" si="0"/>
        <v>0.15625</v>
      </c>
      <c r="M21" s="1">
        <f t="shared" si="4"/>
        <v>13.52327799056915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</row>
    <row r="22" spans="1:33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26.9095450093449</v>
      </c>
      <c r="L22" s="1">
        <f t="shared" si="0"/>
        <v>0.21875</v>
      </c>
      <c r="M22" s="1">
        <f t="shared" si="4"/>
        <v>13.45477250467245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</row>
    <row r="23" spans="1:33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26.3820306440773</v>
      </c>
      <c r="L23" s="1">
        <f t="shared" si="0"/>
        <v>0.28125</v>
      </c>
      <c r="M23" s="1">
        <f t="shared" si="4"/>
        <v>13.19101532203865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</row>
    <row r="24" spans="1:33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25.9747904127649</v>
      </c>
      <c r="L24" s="1">
        <f t="shared" si="0"/>
        <v>0.34375</v>
      </c>
      <c r="M24" s="1">
        <f t="shared" si="4"/>
        <v>12.98739520638245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</row>
    <row r="25" spans="1:33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25.661801973102701</v>
      </c>
      <c r="L25" s="1">
        <f t="shared" si="0"/>
        <v>0.40625</v>
      </c>
      <c r="M25" s="1">
        <f t="shared" si="4"/>
        <v>12.830900986551351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</row>
    <row r="26" spans="1:33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24.742941401821099</v>
      </c>
      <c r="L26" s="1">
        <f t="shared" si="0"/>
        <v>0.46875</v>
      </c>
      <c r="M26" s="1">
        <f t="shared" si="4"/>
        <v>12.37147070091055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</row>
    <row r="27" spans="1:33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23.920555162227199</v>
      </c>
      <c r="L27" s="1">
        <f t="shared" si="0"/>
        <v>0.53125</v>
      </c>
      <c r="M27" s="1">
        <f t="shared" si="4"/>
        <v>11.9602775811136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</row>
    <row r="28" spans="1:33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23.144643672232998</v>
      </c>
      <c r="L28" s="1">
        <f t="shared" si="0"/>
        <v>0.59375</v>
      </c>
      <c r="M28" s="1">
        <f t="shared" si="4"/>
        <v>11.572321836116499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</row>
    <row r="29" spans="1:33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22.652326760073102</v>
      </c>
      <c r="L29" s="1">
        <f t="shared" si="0"/>
        <v>0.65625</v>
      </c>
      <c r="M29" s="1">
        <f t="shared" si="4"/>
        <v>11.326163380036551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</row>
    <row r="30" spans="1:33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21.086927596911099</v>
      </c>
      <c r="L30" s="1">
        <f t="shared" si="0"/>
        <v>0.71875</v>
      </c>
      <c r="M30" s="1">
        <f t="shared" si="4"/>
        <v>10.54346379845555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</row>
    <row r="31" spans="1:33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19.633210041058</v>
      </c>
      <c r="L31" s="1">
        <f t="shared" si="0"/>
        <v>0.78125</v>
      </c>
      <c r="M31" s="1">
        <f t="shared" si="4"/>
        <v>9.8166050205289999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</row>
    <row r="32" spans="1:33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19.5081509507989</v>
      </c>
      <c r="L32" s="1">
        <f t="shared" si="0"/>
        <v>0.84375</v>
      </c>
      <c r="M32" s="1">
        <f t="shared" si="4"/>
        <v>9.7540754753994499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</row>
    <row r="33" spans="1:33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23.176497112364</v>
      </c>
      <c r="L33" s="1">
        <f t="shared" si="0"/>
        <v>0.90625</v>
      </c>
      <c r="M33" s="1">
        <f t="shared" si="4"/>
        <v>11.588248556182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</row>
    <row r="34" spans="1:33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19.433458012699099</v>
      </c>
      <c r="L34" s="1">
        <f t="shared" si="0"/>
        <v>0.96875</v>
      </c>
      <c r="M34" s="1">
        <f t="shared" si="4"/>
        <v>9.7167290063495493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</row>
    <row r="35" spans="1:33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</row>
    <row r="36" spans="1:33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27.233542557968502</v>
      </c>
      <c r="L36" s="1">
        <f t="shared" si="0"/>
        <v>3.125E-2</v>
      </c>
      <c r="M36" s="1">
        <f>K36/2</f>
        <v>13.616771278984251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</row>
    <row r="37" spans="1:33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27.1530111497554</v>
      </c>
      <c r="L37" s="1">
        <f t="shared" si="0"/>
        <v>9.375E-2</v>
      </c>
      <c r="M37" s="1">
        <f t="shared" ref="M37:M51" si="5">K37/2</f>
        <v>13.5765055748777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</row>
    <row r="38" spans="1:33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26.965531759032501</v>
      </c>
      <c r="L38" s="1">
        <f t="shared" si="0"/>
        <v>0.15625</v>
      </c>
      <c r="M38" s="1">
        <f t="shared" si="5"/>
        <v>13.482765879516251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</row>
    <row r="39" spans="1:33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27.133075219317</v>
      </c>
      <c r="L39" s="1">
        <f t="shared" si="0"/>
        <v>0.21875</v>
      </c>
      <c r="M39" s="1">
        <f t="shared" si="5"/>
        <v>13.5665376096585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</row>
    <row r="40" spans="1:33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26.350310651948199</v>
      </c>
      <c r="L40" s="1">
        <f t="shared" si="0"/>
        <v>0.28125</v>
      </c>
      <c r="M40" s="1">
        <f t="shared" si="5"/>
        <v>13.175155325974099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</row>
    <row r="41" spans="1:33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25.920861964013401</v>
      </c>
      <c r="L41" s="1">
        <f t="shared" si="0"/>
        <v>0.34375</v>
      </c>
      <c r="M41" s="1">
        <f t="shared" si="5"/>
        <v>12.960430982006701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</row>
    <row r="42" spans="1:33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25.8735361106976</v>
      </c>
      <c r="L42" s="1">
        <f t="shared" si="0"/>
        <v>0.40625</v>
      </c>
      <c r="M42" s="1">
        <f t="shared" si="5"/>
        <v>12.9367680553488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</row>
    <row r="43" spans="1:33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24.7889032959202</v>
      </c>
      <c r="L43" s="1">
        <f t="shared" si="0"/>
        <v>0.46875</v>
      </c>
      <c r="M43" s="1">
        <f t="shared" si="5"/>
        <v>12.3944516479601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</row>
    <row r="44" spans="1:33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23.900081807265401</v>
      </c>
      <c r="L44" s="1">
        <f t="shared" si="0"/>
        <v>0.53125</v>
      </c>
      <c r="M44" s="1">
        <f t="shared" si="5"/>
        <v>11.950040903632701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</row>
    <row r="45" spans="1:33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23.395750825623701</v>
      </c>
      <c r="L45" s="1">
        <f t="shared" si="0"/>
        <v>0.59375</v>
      </c>
      <c r="M45" s="1">
        <f t="shared" si="5"/>
        <v>11.69787541281185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</row>
    <row r="46" spans="1:33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22.6528487008115</v>
      </c>
      <c r="L46" s="1">
        <f t="shared" si="0"/>
        <v>0.65625</v>
      </c>
      <c r="M46" s="1">
        <f t="shared" si="5"/>
        <v>11.32642435040575</v>
      </c>
    </row>
    <row r="47" spans="1:33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21.299302368004401</v>
      </c>
      <c r="L47" s="1">
        <f t="shared" si="0"/>
        <v>0.71875</v>
      </c>
      <c r="M47" s="1">
        <f t="shared" si="5"/>
        <v>10.649651184002201</v>
      </c>
    </row>
    <row r="48" spans="1:33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19.898870252936302</v>
      </c>
      <c r="L48" s="1">
        <f t="shared" si="0"/>
        <v>0.78125</v>
      </c>
      <c r="M48" s="1">
        <f t="shared" si="5"/>
        <v>9.9494351264681509</v>
      </c>
    </row>
    <row r="49" spans="1:13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18.773765483322599</v>
      </c>
      <c r="L49" s="1">
        <f t="shared" si="0"/>
        <v>0.84375</v>
      </c>
      <c r="M49" s="1">
        <f t="shared" si="5"/>
        <v>9.3868827416612994</v>
      </c>
    </row>
    <row r="50" spans="1:13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23.222808356738401</v>
      </c>
      <c r="L50" s="1">
        <f t="shared" si="0"/>
        <v>0.90625</v>
      </c>
      <c r="M50" s="1">
        <f t="shared" si="5"/>
        <v>11.611404178369201</v>
      </c>
    </row>
    <row r="51" spans="1:13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17.530790626394499</v>
      </c>
      <c r="L51" s="1">
        <f t="shared" si="0"/>
        <v>0.96875</v>
      </c>
      <c r="M51" s="1">
        <f t="shared" si="5"/>
        <v>8.7653953131972493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7804-BF54-4E88-9C29-B9AFBAD22168}">
  <dimension ref="A1:K51"/>
  <sheetViews>
    <sheetView topLeftCell="V1" zoomScale="69" workbookViewId="0">
      <selection activeCell="AE32" sqref="AE32"/>
    </sheetView>
  </sheetViews>
  <sheetFormatPr defaultRowHeight="18"/>
  <sheetData>
    <row r="1" spans="1:11">
      <c r="A1" t="s">
        <v>16</v>
      </c>
    </row>
    <row r="2" spans="1:11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8.2889931607694702</v>
      </c>
    </row>
    <row r="3" spans="1:11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8.2449649606433297</v>
      </c>
    </row>
    <row r="4" spans="1:11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8.1571409135628095</v>
      </c>
    </row>
    <row r="5" spans="1:11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8.0270197920102593</v>
      </c>
    </row>
    <row r="6" spans="1:11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7.8536881756951802</v>
      </c>
    </row>
    <row r="7" spans="1:11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7.6337749042345902</v>
      </c>
    </row>
    <row r="8" spans="1:11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7.3714212069882903</v>
      </c>
    </row>
    <row r="9" spans="1:11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7.08463707127496</v>
      </c>
    </row>
    <row r="10" spans="1:11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6.7117578494032299</v>
      </c>
    </row>
    <row r="11" spans="1:11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6.2468548092860896</v>
      </c>
    </row>
    <row r="12" spans="1:11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5.9407807792369898</v>
      </c>
    </row>
    <row r="13" spans="1:11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5.4926352555214102</v>
      </c>
    </row>
    <row r="14" spans="1:11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4.1968985035265201</v>
      </c>
    </row>
    <row r="15" spans="1:11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4.2743494778681299</v>
      </c>
    </row>
    <row r="16" spans="1:11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6.7790763626452897</v>
      </c>
    </row>
    <row r="17" spans="1:11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4.5420412204529601</v>
      </c>
    </row>
    <row r="18" spans="1:11">
      <c r="A18" t="s">
        <v>17</v>
      </c>
    </row>
    <row r="19" spans="1:11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8.1707175705758903</v>
      </c>
    </row>
    <row r="20" spans="1:11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8.1315104219857499</v>
      </c>
    </row>
    <row r="21" spans="1:11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8.0795675433656502</v>
      </c>
    </row>
    <row r="22" spans="1:11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7.7443133876888997</v>
      </c>
    </row>
    <row r="23" spans="1:11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7.7024285234593304</v>
      </c>
    </row>
    <row r="24" spans="1:11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7.4889546239515097</v>
      </c>
    </row>
    <row r="25" spans="1:11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7.7040721658117404</v>
      </c>
    </row>
    <row r="26" spans="1:11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6.8871622305609597</v>
      </c>
    </row>
    <row r="27" spans="1:11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6.4761796826909404</v>
      </c>
    </row>
    <row r="28" spans="1:11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5.63817775292625</v>
      </c>
    </row>
    <row r="29" spans="1:11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6.0360820551398904</v>
      </c>
    </row>
    <row r="30" spans="1:11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5.4088933059601398</v>
      </c>
    </row>
    <row r="31" spans="1:11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4.4220836941258597</v>
      </c>
    </row>
    <row r="32" spans="1:11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3.77279632606432</v>
      </c>
    </row>
    <row r="33" spans="1:11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6.6069564028361398</v>
      </c>
    </row>
    <row r="34" spans="1:11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4.6512015009969296</v>
      </c>
    </row>
    <row r="35" spans="1:11">
      <c r="A35" t="s">
        <v>18</v>
      </c>
    </row>
    <row r="36" spans="1:11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8.2791288079124605</v>
      </c>
    </row>
    <row r="37" spans="1:11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8.2415367299934399</v>
      </c>
    </row>
    <row r="38" spans="1:11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8.1900528526622303</v>
      </c>
    </row>
    <row r="39" spans="1:11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7.8689691121033896</v>
      </c>
    </row>
    <row r="40" spans="1:11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7.8243103192975996</v>
      </c>
    </row>
    <row r="41" spans="1:11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7.6120038021886396</v>
      </c>
    </row>
    <row r="42" spans="1:11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7.8740287504899298</v>
      </c>
    </row>
    <row r="43" spans="1:11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7.0142377575167503</v>
      </c>
    </row>
    <row r="44" spans="1:11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6.6117408630210903</v>
      </c>
    </row>
    <row r="45" spans="1:11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5.8884770485370996</v>
      </c>
    </row>
    <row r="46" spans="1:11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6.1467962871018598</v>
      </c>
    </row>
    <row r="47" spans="1:11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5.5574670851055696</v>
      </c>
    </row>
    <row r="48" spans="1:11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4.6528751827260901</v>
      </c>
    </row>
    <row r="49" spans="1:11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3.8604430159103602</v>
      </c>
    </row>
    <row r="50" spans="1:11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6.7909710672370798</v>
      </c>
    </row>
    <row r="51" spans="1:11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4.7611172003524898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D257-1CB1-46C7-9524-95F408F566E4}">
  <dimension ref="A1:AG51"/>
  <sheetViews>
    <sheetView zoomScale="55" zoomScaleNormal="55" workbookViewId="0">
      <selection activeCell="A2" sqref="A2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</cols>
  <sheetData>
    <row r="1" spans="1:33">
      <c r="A1" t="s">
        <v>16</v>
      </c>
      <c r="AB1" s="3" t="s">
        <v>19</v>
      </c>
      <c r="AC1" t="s">
        <v>20</v>
      </c>
    </row>
    <row r="2" spans="1:33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8.3043187750052407</v>
      </c>
      <c r="L2" s="1">
        <f>2*F2</f>
        <v>3.125E-2</v>
      </c>
      <c r="M2" s="1">
        <f>K2*2</f>
        <v>16.608637550010481</v>
      </c>
      <c r="AB2" s="3" t="s">
        <v>21</v>
      </c>
    </row>
    <row r="3" spans="1:33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8.2584226546718593</v>
      </c>
      <c r="L3" s="1">
        <f t="shared" ref="L3:L51" si="0">2*F3</f>
        <v>9.375E-2</v>
      </c>
      <c r="M3" s="1">
        <f t="shared" ref="M3:M51" si="1">K3*2</f>
        <v>16.516845309343719</v>
      </c>
      <c r="AB3" s="3" t="s">
        <v>22</v>
      </c>
      <c r="AC3" t="s">
        <v>23</v>
      </c>
      <c r="AD3">
        <v>89</v>
      </c>
    </row>
    <row r="4" spans="1:33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8.1709965003810598</v>
      </c>
      <c r="L4" s="1">
        <f t="shared" si="0"/>
        <v>0.15625</v>
      </c>
      <c r="M4" s="1">
        <f t="shared" si="1"/>
        <v>16.34199300076212</v>
      </c>
      <c r="AB4" s="3" t="s">
        <v>24</v>
      </c>
      <c r="AC4" t="s">
        <v>23</v>
      </c>
      <c r="AD4" s="1">
        <v>1</v>
      </c>
    </row>
    <row r="5" spans="1:33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8.0423166730588296</v>
      </c>
      <c r="L5" s="1">
        <f t="shared" si="0"/>
        <v>0.21875</v>
      </c>
      <c r="M5" s="1">
        <f t="shared" si="1"/>
        <v>16.084633346117659</v>
      </c>
      <c r="AB5" s="3" t="s">
        <v>25</v>
      </c>
      <c r="AC5" t="s">
        <v>23</v>
      </c>
      <c r="AD5" s="1">
        <v>0</v>
      </c>
    </row>
    <row r="6" spans="1:33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7.8706604069189003</v>
      </c>
      <c r="L6" s="1">
        <f t="shared" si="0"/>
        <v>0.28125</v>
      </c>
      <c r="M6" s="1">
        <f t="shared" si="1"/>
        <v>15.741320813837801</v>
      </c>
      <c r="AB6" s="2"/>
    </row>
    <row r="7" spans="1:33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7.6510962191751197</v>
      </c>
      <c r="L7" s="1">
        <f t="shared" si="0"/>
        <v>0.34375</v>
      </c>
      <c r="M7" s="1">
        <f t="shared" si="1"/>
        <v>15.302192438350239</v>
      </c>
      <c r="AB7" s="3" t="s">
        <v>26</v>
      </c>
      <c r="AC7">
        <v>1</v>
      </c>
    </row>
    <row r="8" spans="1:33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7.3857824082991597</v>
      </c>
      <c r="L8" s="1">
        <f t="shared" si="0"/>
        <v>0.40625</v>
      </c>
      <c r="M8" s="1">
        <f t="shared" si="1"/>
        <v>14.771564816598319</v>
      </c>
      <c r="AB8" s="3" t="s">
        <v>27</v>
      </c>
      <c r="AC8" t="s">
        <v>23</v>
      </c>
      <c r="AD8" t="s">
        <v>28</v>
      </c>
      <c r="AE8" t="s">
        <v>29</v>
      </c>
    </row>
    <row r="9" spans="1:33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7.1020020207673298</v>
      </c>
      <c r="L9" s="1">
        <f t="shared" si="0"/>
        <v>0.46875</v>
      </c>
      <c r="M9" s="1">
        <f t="shared" si="1"/>
        <v>14.20400404153466</v>
      </c>
      <c r="AB9" s="3" t="s">
        <v>30</v>
      </c>
      <c r="AC9" t="s">
        <v>23</v>
      </c>
      <c r="AD9" t="s">
        <v>31</v>
      </c>
    </row>
    <row r="10" spans="1:33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6.7338110187589404</v>
      </c>
      <c r="L10" s="1">
        <f t="shared" si="0"/>
        <v>0.53125</v>
      </c>
      <c r="M10" s="1">
        <f t="shared" si="1"/>
        <v>13.467622037517881</v>
      </c>
      <c r="AB10" s="2"/>
    </row>
    <row r="11" spans="1:33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6.2485386969274304</v>
      </c>
      <c r="L11" s="1">
        <f t="shared" si="0"/>
        <v>0.59375</v>
      </c>
      <c r="M11" s="1">
        <f t="shared" si="1"/>
        <v>12.497077393854861</v>
      </c>
      <c r="AB11" s="3"/>
      <c r="AC11" t="s">
        <v>32</v>
      </c>
      <c r="AD11" t="s">
        <v>27</v>
      </c>
      <c r="AE11" t="s">
        <v>30</v>
      </c>
    </row>
    <row r="12" spans="1:33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5.9431196182542099</v>
      </c>
      <c r="L12" s="1">
        <f t="shared" si="0"/>
        <v>0.65625</v>
      </c>
      <c r="M12" s="1">
        <f t="shared" si="1"/>
        <v>11.88623923650842</v>
      </c>
      <c r="AB12" s="3" t="s">
        <v>33</v>
      </c>
    </row>
    <row r="13" spans="1:33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5.5280789909006502</v>
      </c>
      <c r="L13" s="1">
        <f t="shared" si="0"/>
        <v>0.71875</v>
      </c>
      <c r="M13" s="1">
        <f t="shared" si="1"/>
        <v>11.0561579818013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</row>
    <row r="14" spans="1:33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4.1946596610184201</v>
      </c>
      <c r="L14" s="1">
        <f t="shared" si="0"/>
        <v>0.78125</v>
      </c>
      <c r="M14" s="1">
        <f t="shared" si="1"/>
        <v>8.3893193220368403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</row>
    <row r="15" spans="1:33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4.1889883838578799</v>
      </c>
      <c r="L15" s="1">
        <f t="shared" si="0"/>
        <v>0.84375</v>
      </c>
      <c r="M15" s="1">
        <f t="shared" si="1"/>
        <v>8.3779767677157597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</row>
    <row r="16" spans="1:33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6.8159360328618703</v>
      </c>
      <c r="L16" s="1">
        <f t="shared" si="0"/>
        <v>0.90625</v>
      </c>
      <c r="M16" s="1">
        <f t="shared" si="1"/>
        <v>13.631872065723741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</row>
    <row r="17" spans="1:33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4.5880892605944501</v>
      </c>
      <c r="L17" s="1">
        <f t="shared" si="0"/>
        <v>0.96875</v>
      </c>
      <c r="M17" s="1">
        <f t="shared" si="1"/>
        <v>9.1761785211889002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</row>
    <row r="18" spans="1:33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</row>
    <row r="19" spans="1:33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8.4068562309831396</v>
      </c>
      <c r="L19" s="1">
        <f t="shared" si="0"/>
        <v>3.125E-2</v>
      </c>
      <c r="M19" s="1">
        <f t="shared" si="1"/>
        <v>16.813712461966279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</row>
    <row r="20" spans="1:33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8.3650140201998209</v>
      </c>
      <c r="L20" s="1">
        <f t="shared" si="0"/>
        <v>9.375E-2</v>
      </c>
      <c r="M20" s="1">
        <f t="shared" si="1"/>
        <v>16.730028040399642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</row>
    <row r="21" spans="1:33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8.2684767588809507</v>
      </c>
      <c r="L21" s="1">
        <f t="shared" si="0"/>
        <v>0.15625</v>
      </c>
      <c r="M21" s="1">
        <f t="shared" si="1"/>
        <v>16.536953517761901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</row>
    <row r="22" spans="1:33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8.2144540815585607</v>
      </c>
      <c r="L22" s="1">
        <f t="shared" si="0"/>
        <v>0.21875</v>
      </c>
      <c r="M22" s="1">
        <f t="shared" si="1"/>
        <v>16.428908163117121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</row>
    <row r="23" spans="1:33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7.96631462953086</v>
      </c>
      <c r="L23" s="1">
        <f t="shared" si="0"/>
        <v>0.28125</v>
      </c>
      <c r="M23" s="1">
        <f t="shared" si="1"/>
        <v>15.93262925906172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</row>
    <row r="24" spans="1:33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7.7798666108211298</v>
      </c>
      <c r="L24" s="1">
        <f t="shared" si="0"/>
        <v>0.34375</v>
      </c>
      <c r="M24" s="1">
        <f t="shared" si="1"/>
        <v>15.55973322164226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</row>
    <row r="25" spans="1:33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7.6533665008541201</v>
      </c>
      <c r="L25" s="1">
        <f t="shared" si="0"/>
        <v>0.40625</v>
      </c>
      <c r="M25" s="1">
        <f t="shared" si="1"/>
        <v>15.30673300170824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</row>
    <row r="26" spans="1:33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7.21921934797665</v>
      </c>
      <c r="L26" s="1">
        <f t="shared" si="0"/>
        <v>0.46875</v>
      </c>
      <c r="M26" s="1">
        <f t="shared" si="1"/>
        <v>14.4384386959533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</row>
    <row r="27" spans="1:33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6.8425684634784698</v>
      </c>
      <c r="L27" s="1">
        <f t="shared" si="0"/>
        <v>0.53125</v>
      </c>
      <c r="M27" s="1">
        <f t="shared" si="1"/>
        <v>13.68513692695694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</row>
    <row r="28" spans="1:33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6.4966264831970397</v>
      </c>
      <c r="L28" s="1">
        <f t="shared" si="0"/>
        <v>0.59375</v>
      </c>
      <c r="M28" s="1">
        <f t="shared" si="1"/>
        <v>12.993252966394079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</row>
    <row r="29" spans="1:33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6.2797155918728498</v>
      </c>
      <c r="L29" s="1">
        <f t="shared" si="0"/>
        <v>0.65625</v>
      </c>
      <c r="M29" s="1">
        <f t="shared" si="1"/>
        <v>12.5594311837457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</row>
    <row r="30" spans="1:33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5.5586303471372398</v>
      </c>
      <c r="L30" s="1">
        <f t="shared" si="0"/>
        <v>0.71875</v>
      </c>
      <c r="M30" s="1">
        <f t="shared" si="1"/>
        <v>11.11726069427448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</row>
    <row r="31" spans="1:33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4.8456847706888304</v>
      </c>
      <c r="L31" s="1">
        <f t="shared" si="0"/>
        <v>0.78125</v>
      </c>
      <c r="M31" s="1">
        <f t="shared" si="1"/>
        <v>9.6913695413776608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</row>
    <row r="32" spans="1:33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4.7564913374347704</v>
      </c>
      <c r="L32" s="1">
        <f t="shared" si="0"/>
        <v>0.84375</v>
      </c>
      <c r="M32" s="1">
        <f t="shared" si="1"/>
        <v>9.5129826748695407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</row>
    <row r="33" spans="1:33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6.77978583693515</v>
      </c>
      <c r="L33" s="1">
        <f t="shared" si="0"/>
        <v>0.90625</v>
      </c>
      <c r="M33" s="1">
        <f t="shared" si="1"/>
        <v>13.5595716738703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</row>
    <row r="34" spans="1:33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4.9542558144771798</v>
      </c>
      <c r="L34" s="1">
        <f t="shared" si="0"/>
        <v>0.96875</v>
      </c>
      <c r="M34" s="1">
        <f t="shared" si="1"/>
        <v>9.9085116289543596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</row>
    <row r="35" spans="1:33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</row>
    <row r="36" spans="1:33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8.2688674911035491</v>
      </c>
      <c r="L36" s="1">
        <f t="shared" si="0"/>
        <v>3.125E-2</v>
      </c>
      <c r="M36" s="1">
        <f t="shared" si="1"/>
        <v>16.537734982207098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</row>
    <row r="37" spans="1:33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8.2266154468189594</v>
      </c>
      <c r="L37" s="1">
        <f t="shared" si="0"/>
        <v>9.375E-2</v>
      </c>
      <c r="M37" s="1">
        <f t="shared" si="1"/>
        <v>16.453230893637919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</row>
    <row r="38" spans="1:33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8.1281977381388195</v>
      </c>
      <c r="L38" s="1">
        <f t="shared" si="0"/>
        <v>0.15625</v>
      </c>
      <c r="M38" s="1">
        <f t="shared" si="1"/>
        <v>16.256395476277639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</row>
    <row r="39" spans="1:33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8.0777703963593304</v>
      </c>
      <c r="L39" s="1">
        <f t="shared" si="0"/>
        <v>0.21875</v>
      </c>
      <c r="M39" s="1">
        <f t="shared" si="1"/>
        <v>16.155540792718661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</row>
    <row r="40" spans="1:33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7.8260677685178903</v>
      </c>
      <c r="L40" s="1">
        <f t="shared" si="0"/>
        <v>0.28125</v>
      </c>
      <c r="M40" s="1">
        <f t="shared" si="1"/>
        <v>15.652135537035781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</row>
    <row r="41" spans="1:33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7.6330097870390698</v>
      </c>
      <c r="L41" s="1">
        <f t="shared" si="0"/>
        <v>0.34375</v>
      </c>
      <c r="M41" s="1">
        <f t="shared" si="1"/>
        <v>15.26601957407814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</row>
    <row r="42" spans="1:33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7.5278458873499803</v>
      </c>
      <c r="L42" s="1">
        <f t="shared" si="0"/>
        <v>0.40625</v>
      </c>
      <c r="M42" s="1">
        <f t="shared" si="1"/>
        <v>15.055691774699961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</row>
    <row r="43" spans="1:33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7.0666530554026901</v>
      </c>
      <c r="L43" s="1">
        <f t="shared" si="0"/>
        <v>0.46875</v>
      </c>
      <c r="M43" s="1">
        <f t="shared" si="1"/>
        <v>14.13330611080538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</row>
    <row r="44" spans="1:33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6.70599351550573</v>
      </c>
      <c r="L44" s="1">
        <f t="shared" si="0"/>
        <v>0.53125</v>
      </c>
      <c r="M44" s="1">
        <f t="shared" si="1"/>
        <v>13.41198703101146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</row>
    <row r="45" spans="1:33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6.3895958609229</v>
      </c>
      <c r="L45" s="1">
        <f t="shared" si="0"/>
        <v>0.59375</v>
      </c>
      <c r="M45" s="1">
        <f t="shared" si="1"/>
        <v>12.7791917218458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</row>
    <row r="46" spans="1:33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6.1019627461760297</v>
      </c>
      <c r="L46" s="1">
        <f t="shared" si="0"/>
        <v>0.65625</v>
      </c>
      <c r="M46" s="1">
        <f t="shared" si="1"/>
        <v>12.203925492352059</v>
      </c>
    </row>
    <row r="47" spans="1:33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5.4551939077291003</v>
      </c>
      <c r="L47" s="1">
        <f t="shared" si="0"/>
        <v>0.71875</v>
      </c>
      <c r="M47" s="1">
        <f t="shared" si="1"/>
        <v>10.910387815458201</v>
      </c>
    </row>
    <row r="48" spans="1:33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4.7393162199289396</v>
      </c>
      <c r="L48" s="1">
        <f t="shared" si="0"/>
        <v>0.78125</v>
      </c>
      <c r="M48" s="1">
        <f t="shared" si="1"/>
        <v>9.4786324398578792</v>
      </c>
    </row>
    <row r="49" spans="1:13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4.5810807133725504</v>
      </c>
      <c r="L49" s="1">
        <f t="shared" si="0"/>
        <v>0.84375</v>
      </c>
      <c r="M49" s="1">
        <f t="shared" si="1"/>
        <v>9.1621614267451008</v>
      </c>
    </row>
    <row r="50" spans="1:13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6.6731386768201997</v>
      </c>
      <c r="L50" s="1">
        <f t="shared" si="0"/>
        <v>0.90625</v>
      </c>
      <c r="M50" s="1">
        <f t="shared" si="1"/>
        <v>13.346277353640399</v>
      </c>
    </row>
    <row r="51" spans="1:13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4.8365156244876797</v>
      </c>
      <c r="L51" s="1">
        <f t="shared" si="0"/>
        <v>0.96875</v>
      </c>
      <c r="M51" s="1">
        <f t="shared" si="1"/>
        <v>9.6730312489753594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E498-8CDB-4525-8C97-727CD356767F}">
  <dimension ref="A1:AN61"/>
  <sheetViews>
    <sheetView topLeftCell="I14" zoomScale="80" zoomScaleNormal="80" workbookViewId="0">
      <selection activeCell="A36" sqref="A36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  <col min="39" max="40" width="9.5" bestFit="1" customWidth="1"/>
  </cols>
  <sheetData>
    <row r="1" spans="1:40">
      <c r="A1" t="s">
        <v>16</v>
      </c>
      <c r="AB1" s="3" t="s">
        <v>19</v>
      </c>
      <c r="AC1" t="s">
        <v>20</v>
      </c>
      <c r="AI1" s="3" t="s">
        <v>19</v>
      </c>
      <c r="AJ1" t="s">
        <v>20</v>
      </c>
    </row>
    <row r="2" spans="1:40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28.540453037514101</v>
      </c>
      <c r="L2" s="1">
        <f>2*F2</f>
        <v>3.125E-2</v>
      </c>
      <c r="M2" s="1">
        <f>K2/2</f>
        <v>14.270226518757051</v>
      </c>
      <c r="AB2" s="3" t="s">
        <v>21</v>
      </c>
      <c r="AI2" s="3" t="s">
        <v>21</v>
      </c>
    </row>
    <row r="3" spans="1:40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28.508444737590601</v>
      </c>
      <c r="L3" s="1">
        <f t="shared" ref="L3:L51" si="0">2*F3</f>
        <v>9.375E-2</v>
      </c>
      <c r="M3" s="1">
        <f t="shared" ref="M3:M17" si="1">K3/2</f>
        <v>14.2542223687953</v>
      </c>
      <c r="AB3" s="3" t="s">
        <v>22</v>
      </c>
      <c r="AC3" t="s">
        <v>23</v>
      </c>
      <c r="AD3">
        <v>89</v>
      </c>
      <c r="AI3" s="3" t="s">
        <v>22</v>
      </c>
      <c r="AJ3" t="s">
        <v>23</v>
      </c>
      <c r="AK3">
        <v>88</v>
      </c>
    </row>
    <row r="4" spans="1:40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28.271998617775399</v>
      </c>
      <c r="L4" s="1">
        <f t="shared" si="0"/>
        <v>0.15625</v>
      </c>
      <c r="M4" s="1">
        <f t="shared" si="1"/>
        <v>14.135999308887699</v>
      </c>
      <c r="AB4" s="3" t="s">
        <v>24</v>
      </c>
      <c r="AC4" t="s">
        <v>23</v>
      </c>
      <c r="AD4" s="1">
        <v>1</v>
      </c>
      <c r="AI4" s="3" t="s">
        <v>24</v>
      </c>
      <c r="AJ4" t="s">
        <v>23</v>
      </c>
      <c r="AK4" s="1">
        <v>1</v>
      </c>
    </row>
    <row r="5" spans="1:40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27.946817762842201</v>
      </c>
      <c r="L5" s="1">
        <f t="shared" si="0"/>
        <v>0.21875</v>
      </c>
      <c r="M5" s="1">
        <f t="shared" si="1"/>
        <v>13.973408881421101</v>
      </c>
      <c r="AB5" s="3" t="s">
        <v>25</v>
      </c>
      <c r="AC5" t="s">
        <v>23</v>
      </c>
      <c r="AD5" s="1">
        <v>0</v>
      </c>
      <c r="AI5" s="3" t="s">
        <v>25</v>
      </c>
      <c r="AJ5" t="s">
        <v>23</v>
      </c>
      <c r="AK5" s="1">
        <v>0</v>
      </c>
    </row>
    <row r="6" spans="1:40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27.609124170932699</v>
      </c>
      <c r="L6" s="1">
        <f t="shared" si="0"/>
        <v>0.28125</v>
      </c>
      <c r="M6" s="1">
        <f t="shared" si="1"/>
        <v>13.804562085466349</v>
      </c>
      <c r="AB6" s="2"/>
      <c r="AI6" s="2"/>
    </row>
    <row r="7" spans="1:40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27.109601787545301</v>
      </c>
      <c r="L7" s="1">
        <f t="shared" si="0"/>
        <v>0.34375</v>
      </c>
      <c r="M7" s="1">
        <f t="shared" si="1"/>
        <v>13.554800893772651</v>
      </c>
      <c r="AB7" s="3" t="s">
        <v>26</v>
      </c>
      <c r="AC7">
        <v>1</v>
      </c>
      <c r="AI7" s="3" t="s">
        <v>26</v>
      </c>
      <c r="AJ7">
        <v>1</v>
      </c>
    </row>
    <row r="8" spans="1:40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26.476860792216701</v>
      </c>
      <c r="L8" s="1">
        <f t="shared" si="0"/>
        <v>0.40625</v>
      </c>
      <c r="M8" s="1">
        <f t="shared" si="1"/>
        <v>13.238430396108351</v>
      </c>
      <c r="AB8" s="3" t="s">
        <v>27</v>
      </c>
      <c r="AC8" t="s">
        <v>23</v>
      </c>
      <c r="AD8" t="s">
        <v>28</v>
      </c>
      <c r="AE8" t="s">
        <v>29</v>
      </c>
      <c r="AI8" s="3" t="s">
        <v>27</v>
      </c>
      <c r="AJ8" t="s">
        <v>23</v>
      </c>
      <c r="AK8" t="s">
        <v>28</v>
      </c>
      <c r="AL8" t="s">
        <v>29</v>
      </c>
    </row>
    <row r="9" spans="1:40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25.909283937402002</v>
      </c>
      <c r="L9" s="1">
        <f t="shared" si="0"/>
        <v>0.46875</v>
      </c>
      <c r="M9" s="1">
        <f t="shared" si="1"/>
        <v>12.954641968701001</v>
      </c>
      <c r="AB9" s="3" t="s">
        <v>30</v>
      </c>
      <c r="AC9" t="s">
        <v>23</v>
      </c>
      <c r="AD9" t="s">
        <v>31</v>
      </c>
      <c r="AI9" s="3" t="s">
        <v>30</v>
      </c>
      <c r="AJ9" t="s">
        <v>23</v>
      </c>
      <c r="AK9" t="s">
        <v>31</v>
      </c>
    </row>
    <row r="10" spans="1:40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25.151596121178201</v>
      </c>
      <c r="L10" s="1">
        <f t="shared" si="0"/>
        <v>0.53125</v>
      </c>
      <c r="M10" s="1">
        <f t="shared" si="1"/>
        <v>12.575798060589101</v>
      </c>
      <c r="AB10" s="2"/>
      <c r="AI10" s="2"/>
    </row>
    <row r="11" spans="1:40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24.030235293896801</v>
      </c>
      <c r="L11" s="1">
        <f t="shared" si="0"/>
        <v>0.59375</v>
      </c>
      <c r="M11" s="1">
        <f t="shared" si="1"/>
        <v>12.015117646948401</v>
      </c>
      <c r="AB11" s="3"/>
      <c r="AC11" t="s">
        <v>32</v>
      </c>
      <c r="AD11" t="s">
        <v>27</v>
      </c>
      <c r="AE11" t="s">
        <v>30</v>
      </c>
      <c r="AI11" s="3"/>
      <c r="AJ11" t="s">
        <v>32</v>
      </c>
      <c r="AK11" t="s">
        <v>27</v>
      </c>
      <c r="AL11" t="s">
        <v>30</v>
      </c>
    </row>
    <row r="12" spans="1:40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23.305487386433601</v>
      </c>
      <c r="L12" s="1">
        <f t="shared" si="0"/>
        <v>0.65625</v>
      </c>
      <c r="M12" s="1">
        <f t="shared" si="1"/>
        <v>11.6527436932168</v>
      </c>
      <c r="AB12" s="3" t="s">
        <v>33</v>
      </c>
      <c r="AI12" s="3" t="s">
        <v>33</v>
      </c>
    </row>
    <row r="13" spans="1:40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22.265785519163899</v>
      </c>
      <c r="L13" s="1">
        <f t="shared" si="0"/>
        <v>0.71875</v>
      </c>
      <c r="M13" s="1">
        <f t="shared" si="1"/>
        <v>11.132892759581949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  <c r="AI13" s="3"/>
      <c r="AJ13">
        <v>6</v>
      </c>
      <c r="AK13" s="1">
        <v>0</v>
      </c>
      <c r="AL13" s="1">
        <v>13.433400000000001</v>
      </c>
      <c r="AM13" s="1">
        <f>AK13*2</f>
        <v>0</v>
      </c>
      <c r="AN13" s="1">
        <f>AL13</f>
        <v>13.433400000000001</v>
      </c>
    </row>
    <row r="14" spans="1:40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20.328137981168702</v>
      </c>
      <c r="L14" s="1">
        <f t="shared" si="0"/>
        <v>0.78125</v>
      </c>
      <c r="M14" s="1">
        <f t="shared" si="1"/>
        <v>10.164068990584351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  <c r="AI14" s="3"/>
      <c r="AJ14">
        <v>41448</v>
      </c>
      <c r="AK14" s="1">
        <v>1.0416699999999999E-2</v>
      </c>
      <c r="AL14" s="1">
        <v>13.428599999999999</v>
      </c>
      <c r="AM14" s="1">
        <f t="shared" ref="AM14:AM61" si="4">AK14*2</f>
        <v>2.0833399999999998E-2</v>
      </c>
      <c r="AN14" s="1">
        <f t="shared" ref="AN14:AN61" si="5">AL14</f>
        <v>13.428599999999999</v>
      </c>
    </row>
    <row r="15" spans="1:40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19.0660499295943</v>
      </c>
      <c r="L15" s="1">
        <f t="shared" si="0"/>
        <v>0.84375</v>
      </c>
      <c r="M15" s="1">
        <f t="shared" si="1"/>
        <v>9.5330249647971499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  <c r="AI15" s="3"/>
      <c r="AJ15">
        <v>5714</v>
      </c>
      <c r="AK15" s="1">
        <v>2.0833299999999999E-2</v>
      </c>
      <c r="AL15" s="1">
        <v>13.4238</v>
      </c>
      <c r="AM15" s="1">
        <f t="shared" si="4"/>
        <v>4.1666599999999998E-2</v>
      </c>
      <c r="AN15" s="1">
        <f t="shared" si="5"/>
        <v>13.4238</v>
      </c>
    </row>
    <row r="16" spans="1:40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17.5366665415551</v>
      </c>
      <c r="L16" s="1">
        <f t="shared" si="0"/>
        <v>0.90625</v>
      </c>
      <c r="M16" s="1">
        <f t="shared" si="1"/>
        <v>8.7683332707775499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  <c r="AI16" s="3"/>
      <c r="AJ16">
        <v>58322</v>
      </c>
      <c r="AK16" s="1">
        <v>3.125E-2</v>
      </c>
      <c r="AL16" s="1">
        <v>13.4094</v>
      </c>
      <c r="AM16" s="1">
        <f t="shared" si="4"/>
        <v>6.25E-2</v>
      </c>
      <c r="AN16" s="1">
        <f t="shared" si="5"/>
        <v>13.4094</v>
      </c>
    </row>
    <row r="17" spans="1:40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12.0207936115662</v>
      </c>
      <c r="L17" s="1">
        <f t="shared" si="0"/>
        <v>0.96875</v>
      </c>
      <c r="M17" s="1">
        <f t="shared" si="1"/>
        <v>6.0103968057830999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  <c r="AI17" s="3"/>
      <c r="AJ17">
        <v>5715</v>
      </c>
      <c r="AK17" s="1">
        <v>4.1666700000000001E-2</v>
      </c>
      <c r="AL17" s="1">
        <v>13.3949</v>
      </c>
      <c r="AM17" s="1">
        <f t="shared" si="4"/>
        <v>8.3333400000000002E-2</v>
      </c>
      <c r="AN17" s="1">
        <f t="shared" si="5"/>
        <v>13.3949</v>
      </c>
    </row>
    <row r="18" spans="1:40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  <c r="AI18" s="3"/>
      <c r="AJ18">
        <v>58326</v>
      </c>
      <c r="AK18" s="1">
        <v>5.2083299999999999E-2</v>
      </c>
      <c r="AL18" s="1">
        <v>13.370900000000001</v>
      </c>
      <c r="AM18" s="1">
        <f t="shared" si="4"/>
        <v>0.1041666</v>
      </c>
      <c r="AN18" s="1">
        <f t="shared" si="5"/>
        <v>13.370900000000001</v>
      </c>
    </row>
    <row r="19" spans="1:40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28.603486166113299</v>
      </c>
      <c r="L19" s="1">
        <f t="shared" si="0"/>
        <v>3.125E-2</v>
      </c>
      <c r="M19" s="1">
        <f>K19/2</f>
        <v>14.30174308305665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  <c r="AI19" s="3"/>
      <c r="AJ19">
        <v>5716</v>
      </c>
      <c r="AK19" s="1">
        <v>6.25E-2</v>
      </c>
      <c r="AL19" s="1">
        <v>13.3468</v>
      </c>
      <c r="AM19" s="1">
        <f t="shared" si="4"/>
        <v>0.125</v>
      </c>
      <c r="AN19" s="1">
        <f t="shared" si="5"/>
        <v>13.3468</v>
      </c>
    </row>
    <row r="20" spans="1:40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28.521617598000802</v>
      </c>
      <c r="L20" s="1">
        <f t="shared" si="0"/>
        <v>9.375E-2</v>
      </c>
      <c r="M20" s="1">
        <f t="shared" ref="M20:M34" si="6">K20/2</f>
        <v>14.260808799000401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  <c r="AI20" s="3"/>
      <c r="AJ20">
        <v>58330</v>
      </c>
      <c r="AK20" s="1">
        <v>7.2916700000000001E-2</v>
      </c>
      <c r="AL20" s="1">
        <v>13.3131</v>
      </c>
      <c r="AM20" s="1">
        <f t="shared" si="4"/>
        <v>0.1458334</v>
      </c>
      <c r="AN20" s="1">
        <f t="shared" si="5"/>
        <v>13.3131</v>
      </c>
    </row>
    <row r="21" spans="1:40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28.3098657283096</v>
      </c>
      <c r="L21" s="1">
        <f t="shared" si="0"/>
        <v>0.15625</v>
      </c>
      <c r="M21" s="1">
        <f t="shared" si="6"/>
        <v>14.1549328641548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  <c r="AI21" s="3"/>
      <c r="AJ21">
        <v>5717</v>
      </c>
      <c r="AK21" s="1">
        <v>8.3333299999999999E-2</v>
      </c>
      <c r="AL21" s="1">
        <v>13.279500000000001</v>
      </c>
      <c r="AM21" s="1">
        <f t="shared" si="4"/>
        <v>0.1666666</v>
      </c>
      <c r="AN21" s="1">
        <f t="shared" si="5"/>
        <v>13.279500000000001</v>
      </c>
    </row>
    <row r="22" spans="1:40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28.443956782164399</v>
      </c>
      <c r="L22" s="1">
        <f t="shared" si="0"/>
        <v>0.21875</v>
      </c>
      <c r="M22" s="1">
        <f t="shared" si="6"/>
        <v>14.2219783910822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  <c r="AI22" s="3"/>
      <c r="AJ22">
        <v>58334</v>
      </c>
      <c r="AK22" s="1">
        <v>9.375E-2</v>
      </c>
      <c r="AL22" s="1">
        <v>13.2361</v>
      </c>
      <c r="AM22" s="1">
        <f t="shared" si="4"/>
        <v>0.1875</v>
      </c>
      <c r="AN22" s="1">
        <f t="shared" si="5"/>
        <v>13.2361</v>
      </c>
    </row>
    <row r="23" spans="1:40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27.655869884670601</v>
      </c>
      <c r="L23" s="1">
        <f t="shared" si="0"/>
        <v>0.28125</v>
      </c>
      <c r="M23" s="1">
        <f t="shared" si="6"/>
        <v>13.8279349423353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  <c r="AI23" s="3"/>
      <c r="AJ23">
        <v>5718</v>
      </c>
      <c r="AK23" s="1">
        <v>0.104167</v>
      </c>
      <c r="AL23" s="1">
        <v>13.1928</v>
      </c>
      <c r="AM23" s="1">
        <f t="shared" si="4"/>
        <v>0.20833399999999999</v>
      </c>
      <c r="AN23" s="1">
        <f t="shared" si="5"/>
        <v>13.1928</v>
      </c>
    </row>
    <row r="24" spans="1:40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27.1413942923921</v>
      </c>
      <c r="L24" s="1">
        <f t="shared" si="0"/>
        <v>0.34375</v>
      </c>
      <c r="M24" s="1">
        <f t="shared" si="6"/>
        <v>13.57069714619605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  <c r="AI24" s="3"/>
      <c r="AJ24">
        <v>58338</v>
      </c>
      <c r="AK24" s="1">
        <v>0.114583</v>
      </c>
      <c r="AL24" s="1">
        <v>13.139799999999999</v>
      </c>
      <c r="AM24" s="1">
        <f t="shared" si="4"/>
        <v>0.22916600000000001</v>
      </c>
      <c r="AN24" s="1">
        <f t="shared" si="5"/>
        <v>13.139799999999999</v>
      </c>
    </row>
    <row r="25" spans="1:40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27.1075780060672</v>
      </c>
      <c r="L25" s="1">
        <f t="shared" si="0"/>
        <v>0.40625</v>
      </c>
      <c r="M25" s="1">
        <f t="shared" si="6"/>
        <v>13.5537890030336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  <c r="AI25" s="3"/>
      <c r="AJ25">
        <v>5719</v>
      </c>
      <c r="AK25" s="1">
        <v>0.125</v>
      </c>
      <c r="AL25" s="1">
        <v>13.0869</v>
      </c>
      <c r="AM25" s="1">
        <f t="shared" si="4"/>
        <v>0.25</v>
      </c>
      <c r="AN25" s="1">
        <f t="shared" si="5"/>
        <v>13.0869</v>
      </c>
    </row>
    <row r="26" spans="1:40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25.930462069289501</v>
      </c>
      <c r="L26" s="1">
        <f t="shared" si="0"/>
        <v>0.46875</v>
      </c>
      <c r="M26" s="1">
        <f t="shared" si="6"/>
        <v>12.96523103464475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  <c r="AI26" s="3"/>
      <c r="AJ26">
        <v>58342</v>
      </c>
      <c r="AK26" s="1">
        <v>0.13541700000000001</v>
      </c>
      <c r="AL26" s="1">
        <v>13.0242</v>
      </c>
      <c r="AM26" s="1">
        <f t="shared" si="4"/>
        <v>0.27083400000000002</v>
      </c>
      <c r="AN26" s="1">
        <f t="shared" si="5"/>
        <v>13.0242</v>
      </c>
    </row>
    <row r="27" spans="1:40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25.0970483128824</v>
      </c>
      <c r="L27" s="1">
        <f t="shared" si="0"/>
        <v>0.53125</v>
      </c>
      <c r="M27" s="1">
        <f t="shared" si="6"/>
        <v>12.5485241564412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  <c r="AI27" s="3"/>
      <c r="AJ27">
        <v>5720</v>
      </c>
      <c r="AK27" s="1">
        <v>0.14583299999999999</v>
      </c>
      <c r="AL27" s="1">
        <v>12.961499999999999</v>
      </c>
      <c r="AM27" s="1">
        <f t="shared" si="4"/>
        <v>0.29166599999999998</v>
      </c>
      <c r="AN27" s="1">
        <f t="shared" si="5"/>
        <v>12.961499999999999</v>
      </c>
    </row>
    <row r="28" spans="1:40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24.510545385360199</v>
      </c>
      <c r="L28" s="1">
        <f t="shared" si="0"/>
        <v>0.59375</v>
      </c>
      <c r="M28" s="1">
        <f t="shared" si="6"/>
        <v>12.2552726926801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  <c r="AI28" s="3"/>
      <c r="AJ28">
        <v>58346</v>
      </c>
      <c r="AK28" s="1">
        <v>0.15625</v>
      </c>
      <c r="AL28" s="1">
        <v>12.889099999999999</v>
      </c>
      <c r="AM28" s="1">
        <f t="shared" si="4"/>
        <v>0.3125</v>
      </c>
      <c r="AN28" s="1">
        <f t="shared" si="5"/>
        <v>12.889099999999999</v>
      </c>
    </row>
    <row r="29" spans="1:40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23.529190844173201</v>
      </c>
      <c r="L29" s="1">
        <f t="shared" si="0"/>
        <v>0.65625</v>
      </c>
      <c r="M29" s="1">
        <f t="shared" si="6"/>
        <v>11.7645954220866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  <c r="AI29" s="3"/>
      <c r="AJ29">
        <v>5721</v>
      </c>
      <c r="AK29" s="1">
        <v>0.16666700000000001</v>
      </c>
      <c r="AL29" s="1">
        <v>12.816800000000001</v>
      </c>
      <c r="AM29" s="1">
        <f t="shared" si="4"/>
        <v>0.33333400000000002</v>
      </c>
      <c r="AN29" s="1">
        <f t="shared" si="5"/>
        <v>12.816800000000001</v>
      </c>
    </row>
    <row r="30" spans="1:40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22.192514809691001</v>
      </c>
      <c r="L30" s="1">
        <f t="shared" si="0"/>
        <v>0.71875</v>
      </c>
      <c r="M30" s="1">
        <f t="shared" si="6"/>
        <v>11.096257404845501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  <c r="AI30" s="3"/>
      <c r="AJ30">
        <v>58350</v>
      </c>
      <c r="AK30" s="1">
        <v>0.17708299999999999</v>
      </c>
      <c r="AL30" s="1">
        <v>12.7346</v>
      </c>
      <c r="AM30" s="1">
        <f t="shared" si="4"/>
        <v>0.35416599999999998</v>
      </c>
      <c r="AN30" s="1">
        <f t="shared" si="5"/>
        <v>12.7346</v>
      </c>
    </row>
    <row r="31" spans="1:40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21.0826885920515</v>
      </c>
      <c r="L31" s="1">
        <f t="shared" si="0"/>
        <v>0.78125</v>
      </c>
      <c r="M31" s="1">
        <f t="shared" si="6"/>
        <v>10.54134429602575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  <c r="AI31" s="3"/>
      <c r="AJ31">
        <v>5722</v>
      </c>
      <c r="AK31" s="1">
        <v>0.1875</v>
      </c>
      <c r="AL31" s="1">
        <v>12.6524</v>
      </c>
      <c r="AM31" s="1">
        <f t="shared" si="4"/>
        <v>0.375</v>
      </c>
      <c r="AN31" s="1">
        <f t="shared" si="5"/>
        <v>12.6524</v>
      </c>
    </row>
    <row r="32" spans="1:40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17.984943326833999</v>
      </c>
      <c r="L32" s="1">
        <f t="shared" si="0"/>
        <v>0.84375</v>
      </c>
      <c r="M32" s="1">
        <f t="shared" si="6"/>
        <v>8.9924716634169997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  <c r="AI32" s="3"/>
      <c r="AJ32">
        <v>58354</v>
      </c>
      <c r="AK32" s="1">
        <v>0.19791700000000001</v>
      </c>
      <c r="AL32" s="1">
        <v>12.5604</v>
      </c>
      <c r="AM32" s="1">
        <f t="shared" si="4"/>
        <v>0.39583400000000002</v>
      </c>
      <c r="AN32" s="1">
        <f t="shared" si="5"/>
        <v>12.5604</v>
      </c>
    </row>
    <row r="33" spans="1:40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20.382294082429201</v>
      </c>
      <c r="L33" s="1">
        <f t="shared" si="0"/>
        <v>0.90625</v>
      </c>
      <c r="M33" s="1">
        <f t="shared" si="6"/>
        <v>10.191147041214601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  <c r="AI33" s="3"/>
      <c r="AJ33">
        <v>5723</v>
      </c>
      <c r="AK33" s="1">
        <v>0.20833299999999999</v>
      </c>
      <c r="AL33" s="1">
        <v>12.468299999999999</v>
      </c>
      <c r="AM33" s="1">
        <f t="shared" si="4"/>
        <v>0.41666599999999998</v>
      </c>
      <c r="AN33" s="1">
        <f t="shared" si="5"/>
        <v>12.468299999999999</v>
      </c>
    </row>
    <row r="34" spans="1:40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10.382953285412601</v>
      </c>
      <c r="L34" s="1">
        <f t="shared" si="0"/>
        <v>0.96875</v>
      </c>
      <c r="M34" s="1">
        <f t="shared" si="6"/>
        <v>5.1914766427063004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  <c r="AI34" s="3"/>
      <c r="AJ34">
        <v>58358</v>
      </c>
      <c r="AK34" s="1">
        <v>0.21875</v>
      </c>
      <c r="AL34" s="1">
        <v>12.366099999999999</v>
      </c>
      <c r="AM34" s="1">
        <f t="shared" si="4"/>
        <v>0.4375</v>
      </c>
      <c r="AN34" s="1">
        <f t="shared" si="5"/>
        <v>12.366099999999999</v>
      </c>
    </row>
    <row r="35" spans="1:40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  <c r="AI35" s="3"/>
      <c r="AJ35">
        <v>5724</v>
      </c>
      <c r="AK35" s="1">
        <v>0.22916700000000001</v>
      </c>
      <c r="AL35" s="1">
        <v>12.2639</v>
      </c>
      <c r="AM35" s="1">
        <f t="shared" si="4"/>
        <v>0.45833400000000002</v>
      </c>
      <c r="AN35" s="1">
        <f t="shared" si="5"/>
        <v>12.2639</v>
      </c>
    </row>
    <row r="36" spans="1:40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28.335203669091701</v>
      </c>
      <c r="L36" s="1">
        <f t="shared" si="0"/>
        <v>3.125E-2</v>
      </c>
      <c r="M36" s="1">
        <f>K36/2</f>
        <v>14.167601834545851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  <c r="AI36" s="3"/>
      <c r="AJ36">
        <v>58362</v>
      </c>
      <c r="AK36" s="1">
        <v>0.23958299999999999</v>
      </c>
      <c r="AL36" s="1">
        <v>12.151300000000001</v>
      </c>
      <c r="AM36" s="1">
        <f t="shared" si="4"/>
        <v>0.47916599999999998</v>
      </c>
      <c r="AN36" s="1">
        <f t="shared" si="5"/>
        <v>12.151300000000001</v>
      </c>
    </row>
    <row r="37" spans="1:40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28.2642804184798</v>
      </c>
      <c r="L37" s="1">
        <f t="shared" si="0"/>
        <v>9.375E-2</v>
      </c>
      <c r="M37" s="1">
        <f t="shared" ref="M37:M51" si="7">K37/2</f>
        <v>14.1321402092399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  <c r="AI37" s="3"/>
      <c r="AJ37">
        <v>5725</v>
      </c>
      <c r="AK37" s="1">
        <v>0.25</v>
      </c>
      <c r="AL37" s="1">
        <v>12.0387</v>
      </c>
      <c r="AM37" s="1">
        <f t="shared" si="4"/>
        <v>0.5</v>
      </c>
      <c r="AN37" s="1">
        <f t="shared" si="5"/>
        <v>12.0387</v>
      </c>
    </row>
    <row r="38" spans="1:40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28.540507291194199</v>
      </c>
      <c r="L38" s="1">
        <f t="shared" si="0"/>
        <v>0.15625</v>
      </c>
      <c r="M38" s="1">
        <f t="shared" si="7"/>
        <v>14.2702536455971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  <c r="AI38" s="3"/>
      <c r="AJ38">
        <v>58366</v>
      </c>
      <c r="AK38" s="1">
        <v>0.26041700000000001</v>
      </c>
      <c r="AL38" s="1">
        <v>11.915100000000001</v>
      </c>
      <c r="AM38" s="1">
        <f t="shared" si="4"/>
        <v>0.52083400000000002</v>
      </c>
      <c r="AN38" s="1">
        <f t="shared" si="5"/>
        <v>11.915100000000001</v>
      </c>
    </row>
    <row r="39" spans="1:40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28.375165788930499</v>
      </c>
      <c r="L39" s="1">
        <f t="shared" si="0"/>
        <v>0.21875</v>
      </c>
      <c r="M39" s="1">
        <f t="shared" si="7"/>
        <v>14.187582894465249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  <c r="AI39" s="3"/>
      <c r="AJ39">
        <v>5726</v>
      </c>
      <c r="AK39" s="1">
        <v>0.27083299999999999</v>
      </c>
      <c r="AL39" s="1">
        <v>11.791499999999999</v>
      </c>
      <c r="AM39" s="1">
        <f t="shared" si="4"/>
        <v>0.54166599999999998</v>
      </c>
      <c r="AN39" s="1">
        <f t="shared" si="5"/>
        <v>11.791499999999999</v>
      </c>
    </row>
    <row r="40" spans="1:40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26.7157389522507</v>
      </c>
      <c r="L40" s="1">
        <f t="shared" si="0"/>
        <v>0.28125</v>
      </c>
      <c r="M40" s="1">
        <f t="shared" si="7"/>
        <v>13.35786947612535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  <c r="AI40" s="3"/>
      <c r="AJ40">
        <v>58370</v>
      </c>
      <c r="AK40" s="1">
        <v>0.28125</v>
      </c>
      <c r="AL40" s="1">
        <v>11.656000000000001</v>
      </c>
      <c r="AM40" s="1">
        <f t="shared" si="4"/>
        <v>0.5625</v>
      </c>
      <c r="AN40" s="1">
        <f t="shared" si="5"/>
        <v>11.656000000000001</v>
      </c>
    </row>
    <row r="41" spans="1:40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27.811461333534801</v>
      </c>
      <c r="L41" s="1">
        <f t="shared" si="0"/>
        <v>0.34375</v>
      </c>
      <c r="M41" s="1">
        <f t="shared" si="7"/>
        <v>13.905730666767401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  <c r="AI41" s="3"/>
      <c r="AJ41">
        <v>5727</v>
      </c>
      <c r="AK41" s="1">
        <v>0.29166700000000001</v>
      </c>
      <c r="AL41" s="1">
        <v>11.5205</v>
      </c>
      <c r="AM41" s="1">
        <f t="shared" si="4"/>
        <v>0.58333400000000002</v>
      </c>
      <c r="AN41" s="1">
        <f t="shared" si="5"/>
        <v>11.5205</v>
      </c>
    </row>
    <row r="42" spans="1:40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27.004277633375199</v>
      </c>
      <c r="L42" s="1">
        <f t="shared" si="0"/>
        <v>0.40625</v>
      </c>
      <c r="M42" s="1">
        <f t="shared" si="7"/>
        <v>13.5021388166876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  <c r="AI42" s="3"/>
      <c r="AJ42">
        <v>58374</v>
      </c>
      <c r="AK42" s="1">
        <v>0.30208299999999999</v>
      </c>
      <c r="AL42" s="1">
        <v>11.3714</v>
      </c>
      <c r="AM42" s="1">
        <f t="shared" si="4"/>
        <v>0.60416599999999998</v>
      </c>
      <c r="AN42" s="1">
        <f t="shared" si="5"/>
        <v>11.3714</v>
      </c>
    </row>
    <row r="43" spans="1:40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24.363095969292001</v>
      </c>
      <c r="L43" s="1">
        <f t="shared" si="0"/>
        <v>0.46875</v>
      </c>
      <c r="M43" s="1">
        <f t="shared" si="7"/>
        <v>12.181547984646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  <c r="AI43" s="3"/>
      <c r="AJ43">
        <v>5728</v>
      </c>
      <c r="AK43" s="1">
        <v>0.3125</v>
      </c>
      <c r="AL43" s="1">
        <v>11.222300000000001</v>
      </c>
      <c r="AM43" s="1">
        <f t="shared" si="4"/>
        <v>0.625</v>
      </c>
      <c r="AN43" s="1">
        <f t="shared" si="5"/>
        <v>11.222300000000001</v>
      </c>
    </row>
    <row r="44" spans="1:40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26.1177604606602</v>
      </c>
      <c r="L44" s="1">
        <f t="shared" si="0"/>
        <v>0.53125</v>
      </c>
      <c r="M44" s="1">
        <f t="shared" si="7"/>
        <v>13.0588802303301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  <c r="AI44" s="3"/>
      <c r="AJ44">
        <v>58378</v>
      </c>
      <c r="AK44" s="1">
        <v>0.32291700000000001</v>
      </c>
      <c r="AL44" s="1">
        <v>11.0572</v>
      </c>
      <c r="AM44" s="1">
        <f t="shared" si="4"/>
        <v>0.64583400000000002</v>
      </c>
      <c r="AN44" s="1">
        <f t="shared" si="5"/>
        <v>11.0572</v>
      </c>
    </row>
    <row r="45" spans="1:40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24.194646548416099</v>
      </c>
      <c r="L45" s="1">
        <f t="shared" si="0"/>
        <v>0.59375</v>
      </c>
      <c r="M45" s="1">
        <f t="shared" si="7"/>
        <v>12.097323274208049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  <c r="AI45" s="3"/>
      <c r="AJ45">
        <v>5729</v>
      </c>
      <c r="AK45" s="1">
        <v>0.33333299999999999</v>
      </c>
      <c r="AL45" s="1">
        <v>10.891999999999999</v>
      </c>
      <c r="AM45" s="1">
        <f t="shared" si="4"/>
        <v>0.66666599999999998</v>
      </c>
      <c r="AN45" s="1">
        <f t="shared" si="5"/>
        <v>10.891999999999999</v>
      </c>
    </row>
    <row r="46" spans="1:40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21.4700684795821</v>
      </c>
      <c r="L46" s="1">
        <f t="shared" si="0"/>
        <v>0.65625</v>
      </c>
      <c r="M46" s="1">
        <f t="shared" si="7"/>
        <v>10.73503423979105</v>
      </c>
      <c r="AI46" s="3"/>
      <c r="AJ46">
        <v>58382</v>
      </c>
      <c r="AK46" s="1">
        <v>0.34375</v>
      </c>
      <c r="AL46" s="1">
        <v>10.707599999999999</v>
      </c>
      <c r="AM46" s="1">
        <f t="shared" si="4"/>
        <v>0.6875</v>
      </c>
      <c r="AN46" s="1">
        <f t="shared" si="5"/>
        <v>10.707599999999999</v>
      </c>
    </row>
    <row r="47" spans="1:40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23.295561126362699</v>
      </c>
      <c r="L47" s="1">
        <f t="shared" si="0"/>
        <v>0.71875</v>
      </c>
      <c r="M47" s="1">
        <f t="shared" si="7"/>
        <v>11.64778056318135</v>
      </c>
      <c r="AI47" s="3"/>
      <c r="AJ47">
        <v>5730</v>
      </c>
      <c r="AK47" s="1">
        <v>0.35416700000000001</v>
      </c>
      <c r="AL47" s="1">
        <v>10.523099999999999</v>
      </c>
      <c r="AM47" s="1">
        <f t="shared" si="4"/>
        <v>0.70833400000000002</v>
      </c>
      <c r="AN47" s="1">
        <f t="shared" si="5"/>
        <v>10.523099999999999</v>
      </c>
    </row>
    <row r="48" spans="1:40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20.955815880394599</v>
      </c>
      <c r="L48" s="1">
        <f t="shared" si="0"/>
        <v>0.78125</v>
      </c>
      <c r="M48" s="1">
        <f t="shared" si="7"/>
        <v>10.4779079401973</v>
      </c>
      <c r="AI48" s="3"/>
      <c r="AJ48">
        <v>58386</v>
      </c>
      <c r="AK48" s="1">
        <v>0.36458299999999999</v>
      </c>
      <c r="AL48" s="1">
        <v>10.3154</v>
      </c>
      <c r="AM48" s="1">
        <f t="shared" si="4"/>
        <v>0.72916599999999998</v>
      </c>
      <c r="AN48" s="1">
        <f t="shared" si="5"/>
        <v>10.3154</v>
      </c>
    </row>
    <row r="49" spans="1:40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15.175039354000701</v>
      </c>
      <c r="L49" s="1">
        <f t="shared" si="0"/>
        <v>0.84375</v>
      </c>
      <c r="M49" s="1">
        <f t="shared" si="7"/>
        <v>7.5875196770003503</v>
      </c>
      <c r="AI49" s="3"/>
      <c r="AJ49">
        <v>5731</v>
      </c>
      <c r="AK49" s="1">
        <v>0.375</v>
      </c>
      <c r="AL49" s="1">
        <v>10.1076</v>
      </c>
      <c r="AM49" s="1">
        <f t="shared" si="4"/>
        <v>0.75</v>
      </c>
      <c r="AN49" s="1">
        <f t="shared" si="5"/>
        <v>10.1076</v>
      </c>
    </row>
    <row r="50" spans="1:40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17.9866888413688</v>
      </c>
      <c r="L50" s="1">
        <f t="shared" si="0"/>
        <v>0.90625</v>
      </c>
      <c r="M50" s="1">
        <f t="shared" si="7"/>
        <v>8.9933444206843998</v>
      </c>
      <c r="AI50" s="3"/>
      <c r="AJ50">
        <v>58390</v>
      </c>
      <c r="AK50" s="1">
        <v>0.38541700000000001</v>
      </c>
      <c r="AL50" s="1">
        <v>9.8723100000000006</v>
      </c>
      <c r="AM50" s="1">
        <f t="shared" si="4"/>
        <v>0.77083400000000002</v>
      </c>
      <c r="AN50" s="1">
        <f t="shared" si="5"/>
        <v>9.8723100000000006</v>
      </c>
    </row>
    <row r="51" spans="1:40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8.3103953039904503</v>
      </c>
      <c r="L51" s="1">
        <f t="shared" si="0"/>
        <v>0.96875</v>
      </c>
      <c r="M51" s="1">
        <f t="shared" si="7"/>
        <v>4.1551976519952252</v>
      </c>
      <c r="AI51" s="3"/>
      <c r="AJ51">
        <v>5732</v>
      </c>
      <c r="AK51" s="1">
        <v>0.39583299999999999</v>
      </c>
      <c r="AL51" s="1">
        <v>9.6369900000000008</v>
      </c>
      <c r="AM51" s="1">
        <f t="shared" si="4"/>
        <v>0.79166599999999998</v>
      </c>
      <c r="AN51" s="1">
        <f t="shared" si="5"/>
        <v>9.6369900000000008</v>
      </c>
    </row>
    <row r="52" spans="1:40">
      <c r="AI52" s="3"/>
      <c r="AJ52">
        <v>58394</v>
      </c>
      <c r="AK52" s="1">
        <v>0.40625</v>
      </c>
      <c r="AL52" s="1">
        <v>9.3722799999999999</v>
      </c>
      <c r="AM52" s="1">
        <f t="shared" si="4"/>
        <v>0.8125</v>
      </c>
      <c r="AN52" s="1">
        <f t="shared" si="5"/>
        <v>9.3722799999999999</v>
      </c>
    </row>
    <row r="53" spans="1:40">
      <c r="AI53" s="3"/>
      <c r="AJ53">
        <v>5733</v>
      </c>
      <c r="AK53" s="1">
        <v>0.41666700000000001</v>
      </c>
      <c r="AL53" s="1">
        <v>9.1075700000000008</v>
      </c>
      <c r="AM53" s="1">
        <f t="shared" si="4"/>
        <v>0.83333400000000002</v>
      </c>
      <c r="AN53" s="1">
        <f t="shared" si="5"/>
        <v>9.1075700000000008</v>
      </c>
    </row>
    <row r="54" spans="1:40">
      <c r="AI54" s="3"/>
      <c r="AJ54">
        <v>58398</v>
      </c>
      <c r="AK54" s="1">
        <v>0.42708299999999999</v>
      </c>
      <c r="AL54" s="1">
        <v>8.8015799999999995</v>
      </c>
      <c r="AM54" s="1">
        <f t="shared" si="4"/>
        <v>0.85416599999999998</v>
      </c>
      <c r="AN54" s="1">
        <f t="shared" si="5"/>
        <v>8.8015799999999995</v>
      </c>
    </row>
    <row r="55" spans="1:40">
      <c r="AI55" s="3"/>
      <c r="AJ55">
        <v>5734</v>
      </c>
      <c r="AK55" s="1">
        <v>0.4375</v>
      </c>
      <c r="AL55" s="1">
        <v>8.4955999999999996</v>
      </c>
      <c r="AM55" s="1">
        <f t="shared" si="4"/>
        <v>0.875</v>
      </c>
      <c r="AN55" s="1">
        <f t="shared" si="5"/>
        <v>8.4955999999999996</v>
      </c>
    </row>
    <row r="56" spans="1:40">
      <c r="AI56" s="3"/>
      <c r="AJ56">
        <v>58402</v>
      </c>
      <c r="AK56" s="1">
        <v>0.44791700000000001</v>
      </c>
      <c r="AL56" s="1">
        <v>8.2087299999999992</v>
      </c>
      <c r="AM56" s="1">
        <f t="shared" si="4"/>
        <v>0.89583400000000002</v>
      </c>
      <c r="AN56" s="1">
        <f t="shared" si="5"/>
        <v>8.2087299999999992</v>
      </c>
    </row>
    <row r="57" spans="1:40">
      <c r="AI57" s="3"/>
      <c r="AJ57">
        <v>5735</v>
      </c>
      <c r="AK57" s="1">
        <v>0.45833299999999999</v>
      </c>
      <c r="AL57" s="1">
        <v>7.9218599999999997</v>
      </c>
      <c r="AM57" s="1">
        <f t="shared" si="4"/>
        <v>0.91666599999999998</v>
      </c>
      <c r="AN57" s="1">
        <f t="shared" si="5"/>
        <v>7.9218599999999997</v>
      </c>
    </row>
    <row r="58" spans="1:40">
      <c r="AI58" s="3"/>
      <c r="AJ58">
        <v>58406</v>
      </c>
      <c r="AK58" s="1">
        <v>0.46875</v>
      </c>
      <c r="AL58" s="1">
        <v>6.7829300000000003</v>
      </c>
      <c r="AM58" s="1">
        <f t="shared" si="4"/>
        <v>0.9375</v>
      </c>
      <c r="AN58" s="1">
        <f t="shared" si="5"/>
        <v>6.7829300000000003</v>
      </c>
    </row>
    <row r="59" spans="1:40">
      <c r="AI59" s="3"/>
      <c r="AJ59">
        <v>5736</v>
      </c>
      <c r="AK59" s="1">
        <v>0.47916700000000001</v>
      </c>
      <c r="AL59" s="1">
        <v>5.6440000000000001</v>
      </c>
      <c r="AM59" s="1">
        <f t="shared" si="4"/>
        <v>0.95833400000000002</v>
      </c>
      <c r="AN59" s="1">
        <f t="shared" si="5"/>
        <v>5.6440000000000001</v>
      </c>
    </row>
    <row r="60" spans="1:40">
      <c r="AI60" s="3"/>
      <c r="AJ60">
        <v>58410</v>
      </c>
      <c r="AK60" s="1">
        <v>0.48958299999999999</v>
      </c>
      <c r="AL60" s="1">
        <v>5.7351599999999996</v>
      </c>
      <c r="AM60" s="1">
        <f t="shared" si="4"/>
        <v>0.97916599999999998</v>
      </c>
      <c r="AN60" s="1">
        <f t="shared" si="5"/>
        <v>5.7351599999999996</v>
      </c>
    </row>
    <row r="61" spans="1:40">
      <c r="AI61" s="4"/>
      <c r="AJ61">
        <v>5737</v>
      </c>
      <c r="AK61" s="1">
        <v>0.5</v>
      </c>
      <c r="AL61" s="1">
        <v>5.8263100000000003</v>
      </c>
      <c r="AM61" s="1">
        <f t="shared" si="4"/>
        <v>1</v>
      </c>
      <c r="AN61" s="1">
        <f t="shared" si="5"/>
        <v>5.8263100000000003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6CF2-422E-46E7-B0F1-59F1EA8894BB}">
  <dimension ref="A1:AN61"/>
  <sheetViews>
    <sheetView topLeftCell="E16" zoomScale="103" zoomScaleNormal="89" workbookViewId="0">
      <selection activeCell="K33" sqref="K33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  <col min="39" max="40" width="9.5" bestFit="1" customWidth="1"/>
  </cols>
  <sheetData>
    <row r="1" spans="1:40">
      <c r="A1" t="s">
        <v>16</v>
      </c>
      <c r="AB1" s="3" t="s">
        <v>19</v>
      </c>
      <c r="AC1" t="s">
        <v>20</v>
      </c>
      <c r="AI1" s="3" t="s">
        <v>19</v>
      </c>
      <c r="AJ1" t="s">
        <v>20</v>
      </c>
    </row>
    <row r="2" spans="1:40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28.540453037514101</v>
      </c>
      <c r="L2" s="1">
        <f>2*F2</f>
        <v>3.125E-2</v>
      </c>
      <c r="M2" s="1">
        <f>K2/2</f>
        <v>14.270226518757051</v>
      </c>
      <c r="AB2" s="3" t="s">
        <v>21</v>
      </c>
      <c r="AI2" s="3" t="s">
        <v>21</v>
      </c>
    </row>
    <row r="3" spans="1:40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28.508444737590601</v>
      </c>
      <c r="L3" s="1">
        <f t="shared" ref="L3:L51" si="0">2*F3</f>
        <v>9.375E-2</v>
      </c>
      <c r="M3" s="1">
        <f t="shared" ref="M3:M17" si="1">K3/2</f>
        <v>14.2542223687953</v>
      </c>
      <c r="AB3" s="3" t="s">
        <v>22</v>
      </c>
      <c r="AC3" t="s">
        <v>23</v>
      </c>
      <c r="AD3">
        <v>89</v>
      </c>
      <c r="AI3" s="3" t="s">
        <v>22</v>
      </c>
      <c r="AJ3" t="s">
        <v>23</v>
      </c>
      <c r="AK3">
        <v>88</v>
      </c>
    </row>
    <row r="4" spans="1:40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28.271998617775399</v>
      </c>
      <c r="L4" s="1">
        <f t="shared" si="0"/>
        <v>0.15625</v>
      </c>
      <c r="M4" s="1">
        <f t="shared" si="1"/>
        <v>14.135999308887699</v>
      </c>
      <c r="AB4" s="3" t="s">
        <v>24</v>
      </c>
      <c r="AC4" t="s">
        <v>23</v>
      </c>
      <c r="AD4" s="1">
        <v>1</v>
      </c>
      <c r="AI4" s="3" t="s">
        <v>24</v>
      </c>
      <c r="AJ4" t="s">
        <v>23</v>
      </c>
      <c r="AK4" s="1">
        <v>1</v>
      </c>
    </row>
    <row r="5" spans="1:40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27.946817762842201</v>
      </c>
      <c r="L5" s="1">
        <f t="shared" si="0"/>
        <v>0.21875</v>
      </c>
      <c r="M5" s="1">
        <f t="shared" si="1"/>
        <v>13.973408881421101</v>
      </c>
      <c r="AB5" s="3" t="s">
        <v>25</v>
      </c>
      <c r="AC5" t="s">
        <v>23</v>
      </c>
      <c r="AD5" s="1">
        <v>0</v>
      </c>
      <c r="AI5" s="3" t="s">
        <v>25</v>
      </c>
      <c r="AJ5" t="s">
        <v>23</v>
      </c>
      <c r="AK5" s="1">
        <v>0</v>
      </c>
    </row>
    <row r="6" spans="1:40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27.609124170932699</v>
      </c>
      <c r="L6" s="1">
        <f t="shared" si="0"/>
        <v>0.28125</v>
      </c>
      <c r="M6" s="1">
        <f t="shared" si="1"/>
        <v>13.804562085466349</v>
      </c>
      <c r="AB6" s="2"/>
      <c r="AI6" s="2"/>
    </row>
    <row r="7" spans="1:40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27.109601787545301</v>
      </c>
      <c r="L7" s="1">
        <f t="shared" si="0"/>
        <v>0.34375</v>
      </c>
      <c r="M7" s="1">
        <f t="shared" si="1"/>
        <v>13.554800893772651</v>
      </c>
      <c r="AB7" s="3" t="s">
        <v>26</v>
      </c>
      <c r="AC7">
        <v>1</v>
      </c>
      <c r="AI7" s="3" t="s">
        <v>26</v>
      </c>
      <c r="AJ7">
        <v>1</v>
      </c>
    </row>
    <row r="8" spans="1:40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26.476860792216701</v>
      </c>
      <c r="L8" s="1">
        <f t="shared" si="0"/>
        <v>0.40625</v>
      </c>
      <c r="M8" s="1">
        <f t="shared" si="1"/>
        <v>13.238430396108351</v>
      </c>
      <c r="AB8" s="3" t="s">
        <v>27</v>
      </c>
      <c r="AC8" t="s">
        <v>23</v>
      </c>
      <c r="AD8" t="s">
        <v>28</v>
      </c>
      <c r="AE8" t="s">
        <v>29</v>
      </c>
      <c r="AI8" s="3" t="s">
        <v>27</v>
      </c>
      <c r="AJ8" t="s">
        <v>23</v>
      </c>
      <c r="AK8" t="s">
        <v>28</v>
      </c>
      <c r="AL8" t="s">
        <v>29</v>
      </c>
    </row>
    <row r="9" spans="1:40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25.909283937402002</v>
      </c>
      <c r="L9" s="1">
        <f t="shared" si="0"/>
        <v>0.46875</v>
      </c>
      <c r="M9" s="1">
        <f t="shared" si="1"/>
        <v>12.954641968701001</v>
      </c>
      <c r="AB9" s="3" t="s">
        <v>30</v>
      </c>
      <c r="AC9" t="s">
        <v>23</v>
      </c>
      <c r="AD9" t="s">
        <v>31</v>
      </c>
      <c r="AI9" s="3" t="s">
        <v>30</v>
      </c>
      <c r="AJ9" t="s">
        <v>23</v>
      </c>
      <c r="AK9" t="s">
        <v>31</v>
      </c>
    </row>
    <row r="10" spans="1:40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25.151596121178201</v>
      </c>
      <c r="L10" s="1">
        <f t="shared" si="0"/>
        <v>0.53125</v>
      </c>
      <c r="M10" s="1">
        <f t="shared" si="1"/>
        <v>12.575798060589101</v>
      </c>
      <c r="AB10" s="2"/>
      <c r="AI10" s="2"/>
    </row>
    <row r="11" spans="1:40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24.030235293896801</v>
      </c>
      <c r="L11" s="1">
        <f t="shared" si="0"/>
        <v>0.59375</v>
      </c>
      <c r="M11" s="1">
        <f t="shared" si="1"/>
        <v>12.015117646948401</v>
      </c>
      <c r="AB11" s="3"/>
      <c r="AC11" t="s">
        <v>32</v>
      </c>
      <c r="AD11" t="s">
        <v>27</v>
      </c>
      <c r="AE11" t="s">
        <v>30</v>
      </c>
      <c r="AI11" s="3"/>
      <c r="AJ11" t="s">
        <v>32</v>
      </c>
      <c r="AK11" t="s">
        <v>27</v>
      </c>
      <c r="AL11" t="s">
        <v>30</v>
      </c>
    </row>
    <row r="12" spans="1:40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23.305487386433601</v>
      </c>
      <c r="L12" s="1">
        <f t="shared" si="0"/>
        <v>0.65625</v>
      </c>
      <c r="M12" s="1">
        <f t="shared" si="1"/>
        <v>11.6527436932168</v>
      </c>
      <c r="AB12" s="3" t="s">
        <v>33</v>
      </c>
      <c r="AI12" s="3" t="s">
        <v>33</v>
      </c>
    </row>
    <row r="13" spans="1:40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22.265785519163899</v>
      </c>
      <c r="L13" s="1">
        <f t="shared" si="0"/>
        <v>0.71875</v>
      </c>
      <c r="M13" s="1">
        <f t="shared" si="1"/>
        <v>11.132892759581949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  <c r="AI13" s="3"/>
      <c r="AJ13">
        <v>6</v>
      </c>
      <c r="AK13" s="1">
        <v>0</v>
      </c>
      <c r="AL13" s="1">
        <v>13.433400000000001</v>
      </c>
      <c r="AM13" s="1">
        <f>AK13*2</f>
        <v>0</v>
      </c>
      <c r="AN13" s="1">
        <f>AL13</f>
        <v>13.433400000000001</v>
      </c>
    </row>
    <row r="14" spans="1:40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20.328137981168702</v>
      </c>
      <c r="L14" s="1">
        <f t="shared" si="0"/>
        <v>0.78125</v>
      </c>
      <c r="M14" s="1">
        <f t="shared" si="1"/>
        <v>10.164068990584351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  <c r="AI14" s="3"/>
      <c r="AJ14">
        <v>41448</v>
      </c>
      <c r="AK14" s="1">
        <v>1.0416699999999999E-2</v>
      </c>
      <c r="AL14" s="1">
        <v>13.428599999999999</v>
      </c>
      <c r="AM14" s="1">
        <f t="shared" ref="AM14:AM61" si="4">AK14*2</f>
        <v>2.0833399999999998E-2</v>
      </c>
      <c r="AN14" s="1">
        <f t="shared" ref="AN14:AN61" si="5">AL14</f>
        <v>13.428599999999999</v>
      </c>
    </row>
    <row r="15" spans="1:40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19.0660499295943</v>
      </c>
      <c r="L15" s="1">
        <f t="shared" si="0"/>
        <v>0.84375</v>
      </c>
      <c r="M15" s="1">
        <f t="shared" si="1"/>
        <v>9.5330249647971499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  <c r="AI15" s="3"/>
      <c r="AJ15">
        <v>5714</v>
      </c>
      <c r="AK15" s="1">
        <v>2.0833299999999999E-2</v>
      </c>
      <c r="AL15" s="1">
        <v>13.4238</v>
      </c>
      <c r="AM15" s="1">
        <f t="shared" si="4"/>
        <v>4.1666599999999998E-2</v>
      </c>
      <c r="AN15" s="1">
        <f t="shared" si="5"/>
        <v>13.4238</v>
      </c>
    </row>
    <row r="16" spans="1:40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17.5366665415551</v>
      </c>
      <c r="L16" s="1">
        <f t="shared" si="0"/>
        <v>0.90625</v>
      </c>
      <c r="M16" s="1">
        <f t="shared" si="1"/>
        <v>8.7683332707775499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  <c r="AI16" s="3"/>
      <c r="AJ16">
        <v>58322</v>
      </c>
      <c r="AK16" s="1">
        <v>3.125E-2</v>
      </c>
      <c r="AL16" s="1">
        <v>13.4094</v>
      </c>
      <c r="AM16" s="1">
        <f t="shared" si="4"/>
        <v>6.25E-2</v>
      </c>
      <c r="AN16" s="1">
        <f t="shared" si="5"/>
        <v>13.4094</v>
      </c>
    </row>
    <row r="17" spans="1:40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12.0207936115662</v>
      </c>
      <c r="L17" s="1">
        <f t="shared" si="0"/>
        <v>0.96875</v>
      </c>
      <c r="M17" s="1">
        <f t="shared" si="1"/>
        <v>6.0103968057830999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  <c r="AI17" s="3"/>
      <c r="AJ17">
        <v>5715</v>
      </c>
      <c r="AK17" s="1">
        <v>4.1666700000000001E-2</v>
      </c>
      <c r="AL17" s="1">
        <v>13.3949</v>
      </c>
      <c r="AM17" s="1">
        <f t="shared" si="4"/>
        <v>8.3333400000000002E-2</v>
      </c>
      <c r="AN17" s="1">
        <f t="shared" si="5"/>
        <v>13.3949</v>
      </c>
    </row>
    <row r="18" spans="1:40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  <c r="AI18" s="3"/>
      <c r="AJ18">
        <v>58326</v>
      </c>
      <c r="AK18" s="1">
        <v>5.2083299999999999E-2</v>
      </c>
      <c r="AL18" s="1">
        <v>13.370900000000001</v>
      </c>
      <c r="AM18" s="1">
        <f t="shared" si="4"/>
        <v>0.1041666</v>
      </c>
      <c r="AN18" s="1">
        <f t="shared" si="5"/>
        <v>13.370900000000001</v>
      </c>
    </row>
    <row r="19" spans="1:40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28.603486166113299</v>
      </c>
      <c r="L19" s="1">
        <f t="shared" si="0"/>
        <v>3.125E-2</v>
      </c>
      <c r="M19" s="1">
        <f>K19/2</f>
        <v>14.30174308305665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  <c r="AI19" s="3"/>
      <c r="AJ19">
        <v>5716</v>
      </c>
      <c r="AK19" s="1">
        <v>6.25E-2</v>
      </c>
      <c r="AL19" s="1">
        <v>13.3468</v>
      </c>
      <c r="AM19" s="1">
        <f t="shared" si="4"/>
        <v>0.125</v>
      </c>
      <c r="AN19" s="1">
        <f t="shared" si="5"/>
        <v>13.3468</v>
      </c>
    </row>
    <row r="20" spans="1:40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28.521617598000802</v>
      </c>
      <c r="L20" s="1">
        <f t="shared" si="0"/>
        <v>9.375E-2</v>
      </c>
      <c r="M20" s="1">
        <f t="shared" ref="M20:M34" si="6">K20/2</f>
        <v>14.260808799000401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  <c r="AI20" s="3"/>
      <c r="AJ20">
        <v>58330</v>
      </c>
      <c r="AK20" s="1">
        <v>7.2916700000000001E-2</v>
      </c>
      <c r="AL20" s="1">
        <v>13.3131</v>
      </c>
      <c r="AM20" s="1">
        <f t="shared" si="4"/>
        <v>0.1458334</v>
      </c>
      <c r="AN20" s="1">
        <f t="shared" si="5"/>
        <v>13.3131</v>
      </c>
    </row>
    <row r="21" spans="1:40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28.3098657283096</v>
      </c>
      <c r="L21" s="1">
        <f t="shared" si="0"/>
        <v>0.15625</v>
      </c>
      <c r="M21" s="1">
        <f t="shared" si="6"/>
        <v>14.1549328641548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  <c r="AI21" s="3"/>
      <c r="AJ21">
        <v>5717</v>
      </c>
      <c r="AK21" s="1">
        <v>8.3333299999999999E-2</v>
      </c>
      <c r="AL21" s="1">
        <v>13.279500000000001</v>
      </c>
      <c r="AM21" s="1">
        <f t="shared" si="4"/>
        <v>0.1666666</v>
      </c>
      <c r="AN21" s="1">
        <f t="shared" si="5"/>
        <v>13.279500000000001</v>
      </c>
    </row>
    <row r="22" spans="1:40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28.443956782164399</v>
      </c>
      <c r="L22" s="1">
        <f t="shared" si="0"/>
        <v>0.21875</v>
      </c>
      <c r="M22" s="1">
        <f t="shared" si="6"/>
        <v>14.2219783910822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  <c r="AI22" s="3"/>
      <c r="AJ22">
        <v>58334</v>
      </c>
      <c r="AK22" s="1">
        <v>9.375E-2</v>
      </c>
      <c r="AL22" s="1">
        <v>13.2361</v>
      </c>
      <c r="AM22" s="1">
        <f t="shared" si="4"/>
        <v>0.1875</v>
      </c>
      <c r="AN22" s="1">
        <f t="shared" si="5"/>
        <v>13.2361</v>
      </c>
    </row>
    <row r="23" spans="1:40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27.655869884670601</v>
      </c>
      <c r="L23" s="1">
        <f t="shared" si="0"/>
        <v>0.28125</v>
      </c>
      <c r="M23" s="1">
        <f t="shared" si="6"/>
        <v>13.8279349423353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  <c r="AI23" s="3"/>
      <c r="AJ23">
        <v>5718</v>
      </c>
      <c r="AK23" s="1">
        <v>0.104167</v>
      </c>
      <c r="AL23" s="1">
        <v>13.1928</v>
      </c>
      <c r="AM23" s="1">
        <f t="shared" si="4"/>
        <v>0.20833399999999999</v>
      </c>
      <c r="AN23" s="1">
        <f t="shared" si="5"/>
        <v>13.1928</v>
      </c>
    </row>
    <row r="24" spans="1:40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27.1413942923921</v>
      </c>
      <c r="L24" s="1">
        <f t="shared" si="0"/>
        <v>0.34375</v>
      </c>
      <c r="M24" s="1">
        <f t="shared" si="6"/>
        <v>13.57069714619605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  <c r="AI24" s="3"/>
      <c r="AJ24">
        <v>58338</v>
      </c>
      <c r="AK24" s="1">
        <v>0.114583</v>
      </c>
      <c r="AL24" s="1">
        <v>13.139799999999999</v>
      </c>
      <c r="AM24" s="1">
        <f t="shared" si="4"/>
        <v>0.22916600000000001</v>
      </c>
      <c r="AN24" s="1">
        <f t="shared" si="5"/>
        <v>13.139799999999999</v>
      </c>
    </row>
    <row r="25" spans="1:40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27.1075780060672</v>
      </c>
      <c r="L25" s="1">
        <f t="shared" si="0"/>
        <v>0.40625</v>
      </c>
      <c r="M25" s="1">
        <f t="shared" si="6"/>
        <v>13.5537890030336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  <c r="AI25" s="3"/>
      <c r="AJ25">
        <v>5719</v>
      </c>
      <c r="AK25" s="1">
        <v>0.125</v>
      </c>
      <c r="AL25" s="1">
        <v>13.0869</v>
      </c>
      <c r="AM25" s="1">
        <f t="shared" si="4"/>
        <v>0.25</v>
      </c>
      <c r="AN25" s="1">
        <f t="shared" si="5"/>
        <v>13.0869</v>
      </c>
    </row>
    <row r="26" spans="1:40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25.930462069289501</v>
      </c>
      <c r="L26" s="1">
        <f t="shared" si="0"/>
        <v>0.46875</v>
      </c>
      <c r="M26" s="1">
        <f t="shared" si="6"/>
        <v>12.96523103464475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  <c r="AI26" s="3"/>
      <c r="AJ26">
        <v>58342</v>
      </c>
      <c r="AK26" s="1">
        <v>0.13541700000000001</v>
      </c>
      <c r="AL26" s="1">
        <v>13.0242</v>
      </c>
      <c r="AM26" s="1">
        <f t="shared" si="4"/>
        <v>0.27083400000000002</v>
      </c>
      <c r="AN26" s="1">
        <f t="shared" si="5"/>
        <v>13.0242</v>
      </c>
    </row>
    <row r="27" spans="1:40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25.0970483128824</v>
      </c>
      <c r="L27" s="1">
        <f t="shared" si="0"/>
        <v>0.53125</v>
      </c>
      <c r="M27" s="1">
        <f t="shared" si="6"/>
        <v>12.5485241564412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  <c r="AI27" s="3"/>
      <c r="AJ27">
        <v>5720</v>
      </c>
      <c r="AK27" s="1">
        <v>0.14583299999999999</v>
      </c>
      <c r="AL27" s="1">
        <v>12.961499999999999</v>
      </c>
      <c r="AM27" s="1">
        <f t="shared" si="4"/>
        <v>0.29166599999999998</v>
      </c>
      <c r="AN27" s="1">
        <f t="shared" si="5"/>
        <v>12.961499999999999</v>
      </c>
    </row>
    <row r="28" spans="1:40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24.510545385360199</v>
      </c>
      <c r="L28" s="1">
        <f t="shared" si="0"/>
        <v>0.59375</v>
      </c>
      <c r="M28" s="1">
        <f t="shared" si="6"/>
        <v>12.2552726926801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  <c r="AI28" s="3"/>
      <c r="AJ28">
        <v>58346</v>
      </c>
      <c r="AK28" s="1">
        <v>0.15625</v>
      </c>
      <c r="AL28" s="1">
        <v>12.889099999999999</v>
      </c>
      <c r="AM28" s="1">
        <f t="shared" si="4"/>
        <v>0.3125</v>
      </c>
      <c r="AN28" s="1">
        <f t="shared" si="5"/>
        <v>12.889099999999999</v>
      </c>
    </row>
    <row r="29" spans="1:40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23.529190844173201</v>
      </c>
      <c r="L29" s="1">
        <f t="shared" si="0"/>
        <v>0.65625</v>
      </c>
      <c r="M29" s="1">
        <f t="shared" si="6"/>
        <v>11.7645954220866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  <c r="AI29" s="3"/>
      <c r="AJ29">
        <v>5721</v>
      </c>
      <c r="AK29" s="1">
        <v>0.16666700000000001</v>
      </c>
      <c r="AL29" s="1">
        <v>12.816800000000001</v>
      </c>
      <c r="AM29" s="1">
        <f t="shared" si="4"/>
        <v>0.33333400000000002</v>
      </c>
      <c r="AN29" s="1">
        <f t="shared" si="5"/>
        <v>12.816800000000001</v>
      </c>
    </row>
    <row r="30" spans="1:40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22.192514809691001</v>
      </c>
      <c r="L30" s="1">
        <f t="shared" si="0"/>
        <v>0.71875</v>
      </c>
      <c r="M30" s="1">
        <f t="shared" si="6"/>
        <v>11.096257404845501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  <c r="AI30" s="3"/>
      <c r="AJ30">
        <v>58350</v>
      </c>
      <c r="AK30" s="1">
        <v>0.17708299999999999</v>
      </c>
      <c r="AL30" s="1">
        <v>12.7346</v>
      </c>
      <c r="AM30" s="1">
        <f t="shared" si="4"/>
        <v>0.35416599999999998</v>
      </c>
      <c r="AN30" s="1">
        <f t="shared" si="5"/>
        <v>12.7346</v>
      </c>
    </row>
    <row r="31" spans="1:40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21.0826885920515</v>
      </c>
      <c r="L31" s="1">
        <f t="shared" si="0"/>
        <v>0.78125</v>
      </c>
      <c r="M31" s="1">
        <f t="shared" si="6"/>
        <v>10.54134429602575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  <c r="AI31" s="3"/>
      <c r="AJ31">
        <v>5722</v>
      </c>
      <c r="AK31" s="1">
        <v>0.1875</v>
      </c>
      <c r="AL31" s="1">
        <v>12.6524</v>
      </c>
      <c r="AM31" s="1">
        <f t="shared" si="4"/>
        <v>0.375</v>
      </c>
      <c r="AN31" s="1">
        <f t="shared" si="5"/>
        <v>12.6524</v>
      </c>
    </row>
    <row r="32" spans="1:40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17.984943326833999</v>
      </c>
      <c r="L32" s="1">
        <f t="shared" si="0"/>
        <v>0.84375</v>
      </c>
      <c r="M32" s="1">
        <f t="shared" si="6"/>
        <v>8.9924716634169997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  <c r="AI32" s="3"/>
      <c r="AJ32">
        <v>58354</v>
      </c>
      <c r="AK32" s="1">
        <v>0.19791700000000001</v>
      </c>
      <c r="AL32" s="1">
        <v>12.5604</v>
      </c>
      <c r="AM32" s="1">
        <f t="shared" si="4"/>
        <v>0.39583400000000002</v>
      </c>
      <c r="AN32" s="1">
        <f t="shared" si="5"/>
        <v>12.5604</v>
      </c>
    </row>
    <row r="33" spans="1:40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20.382294082429201</v>
      </c>
      <c r="L33" s="1">
        <f t="shared" si="0"/>
        <v>0.90625</v>
      </c>
      <c r="M33" s="1">
        <f t="shared" si="6"/>
        <v>10.191147041214601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  <c r="AI33" s="3"/>
      <c r="AJ33">
        <v>5723</v>
      </c>
      <c r="AK33" s="1">
        <v>0.20833299999999999</v>
      </c>
      <c r="AL33" s="1">
        <v>12.468299999999999</v>
      </c>
      <c r="AM33" s="1">
        <f t="shared" si="4"/>
        <v>0.41666599999999998</v>
      </c>
      <c r="AN33" s="1">
        <f t="shared" si="5"/>
        <v>12.468299999999999</v>
      </c>
    </row>
    <row r="34" spans="1:40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10.382953285412601</v>
      </c>
      <c r="L34" s="1">
        <f t="shared" si="0"/>
        <v>0.96875</v>
      </c>
      <c r="M34" s="1">
        <f t="shared" si="6"/>
        <v>5.1914766427063004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  <c r="AI34" s="3"/>
      <c r="AJ34">
        <v>58358</v>
      </c>
      <c r="AK34" s="1">
        <v>0.21875</v>
      </c>
      <c r="AL34" s="1">
        <v>12.366099999999999</v>
      </c>
      <c r="AM34" s="1">
        <f t="shared" si="4"/>
        <v>0.4375</v>
      </c>
      <c r="AN34" s="1">
        <f t="shared" si="5"/>
        <v>12.366099999999999</v>
      </c>
    </row>
    <row r="35" spans="1:40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  <c r="AI35" s="3"/>
      <c r="AJ35">
        <v>5724</v>
      </c>
      <c r="AK35" s="1">
        <v>0.22916700000000001</v>
      </c>
      <c r="AL35" s="1">
        <v>12.2639</v>
      </c>
      <c r="AM35" s="1">
        <f t="shared" si="4"/>
        <v>0.45833400000000002</v>
      </c>
      <c r="AN35" s="1">
        <f t="shared" si="5"/>
        <v>12.2639</v>
      </c>
    </row>
    <row r="36" spans="1:40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28.240582255388698</v>
      </c>
      <c r="L36" s="1">
        <f t="shared" si="0"/>
        <v>3.125E-2</v>
      </c>
      <c r="M36" s="1">
        <f>K36/2</f>
        <v>14.120291127694349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  <c r="AI36" s="3"/>
      <c r="AJ36">
        <v>58362</v>
      </c>
      <c r="AK36" s="1">
        <v>0.23958299999999999</v>
      </c>
      <c r="AL36" s="1">
        <v>12.151300000000001</v>
      </c>
      <c r="AM36" s="1">
        <f t="shared" si="4"/>
        <v>0.47916599999999998</v>
      </c>
      <c r="AN36" s="1">
        <f t="shared" si="5"/>
        <v>12.151300000000001</v>
      </c>
    </row>
    <row r="37" spans="1:40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28.175743073532399</v>
      </c>
      <c r="L37" s="1">
        <f t="shared" si="0"/>
        <v>9.375E-2</v>
      </c>
      <c r="M37" s="1">
        <f t="shared" ref="M37:M51" si="7">K37/2</f>
        <v>14.087871536766199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  <c r="AI37" s="3"/>
      <c r="AJ37">
        <v>5725</v>
      </c>
      <c r="AK37" s="1">
        <v>0.25</v>
      </c>
      <c r="AL37" s="1">
        <v>12.0387</v>
      </c>
      <c r="AM37" s="1">
        <f t="shared" si="4"/>
        <v>0.5</v>
      </c>
      <c r="AN37" s="1">
        <f t="shared" si="5"/>
        <v>12.0387</v>
      </c>
    </row>
    <row r="38" spans="1:40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27.963507839908601</v>
      </c>
      <c r="L38" s="1">
        <f t="shared" si="0"/>
        <v>0.15625</v>
      </c>
      <c r="M38" s="1">
        <f t="shared" si="7"/>
        <v>13.981753919954301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  <c r="AI38" s="3"/>
      <c r="AJ38">
        <v>58366</v>
      </c>
      <c r="AK38" s="1">
        <v>0.26041700000000001</v>
      </c>
      <c r="AL38" s="1">
        <v>11.915100000000001</v>
      </c>
      <c r="AM38" s="1">
        <f t="shared" si="4"/>
        <v>0.52083400000000002</v>
      </c>
      <c r="AN38" s="1">
        <f t="shared" si="5"/>
        <v>11.915100000000001</v>
      </c>
    </row>
    <row r="39" spans="1:40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28.091072533317998</v>
      </c>
      <c r="L39" s="1">
        <f t="shared" si="0"/>
        <v>0.21875</v>
      </c>
      <c r="M39" s="1">
        <f t="shared" si="7"/>
        <v>14.045536266658999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  <c r="AI39" s="3"/>
      <c r="AJ39">
        <v>5726</v>
      </c>
      <c r="AK39" s="1">
        <v>0.27083299999999999</v>
      </c>
      <c r="AL39" s="1">
        <v>11.791499999999999</v>
      </c>
      <c r="AM39" s="1">
        <f t="shared" si="4"/>
        <v>0.54166599999999998</v>
      </c>
      <c r="AN39" s="1">
        <f t="shared" si="5"/>
        <v>11.791499999999999</v>
      </c>
    </row>
    <row r="40" spans="1:40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27.309346029344901</v>
      </c>
      <c r="L40" s="1">
        <f t="shared" si="0"/>
        <v>0.28125</v>
      </c>
      <c r="M40" s="1">
        <f t="shared" si="7"/>
        <v>13.654673014672451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  <c r="AI40" s="3"/>
      <c r="AJ40">
        <v>58370</v>
      </c>
      <c r="AK40" s="1">
        <v>0.28125</v>
      </c>
      <c r="AL40" s="1">
        <v>11.656000000000001</v>
      </c>
      <c r="AM40" s="1">
        <f t="shared" si="4"/>
        <v>0.5625</v>
      </c>
      <c r="AN40" s="1">
        <f t="shared" si="5"/>
        <v>11.656000000000001</v>
      </c>
    </row>
    <row r="41" spans="1:40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26.774924801826199</v>
      </c>
      <c r="L41" s="1">
        <f t="shared" si="0"/>
        <v>0.34375</v>
      </c>
      <c r="M41" s="1">
        <f t="shared" si="7"/>
        <v>13.387462400913099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  <c r="AI41" s="3"/>
      <c r="AJ41">
        <v>5727</v>
      </c>
      <c r="AK41" s="1">
        <v>0.29166700000000001</v>
      </c>
      <c r="AL41" s="1">
        <v>11.5205</v>
      </c>
      <c r="AM41" s="1">
        <f t="shared" si="4"/>
        <v>0.58333400000000002</v>
      </c>
      <c r="AN41" s="1">
        <f t="shared" si="5"/>
        <v>11.5205</v>
      </c>
    </row>
    <row r="42" spans="1:40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26.7268961441345</v>
      </c>
      <c r="L42" s="1">
        <f t="shared" si="0"/>
        <v>0.40625</v>
      </c>
      <c r="M42" s="1">
        <f t="shared" si="7"/>
        <v>13.36344807206725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  <c r="AI42" s="3"/>
      <c r="AJ42">
        <v>58374</v>
      </c>
      <c r="AK42" s="1">
        <v>0.30208299999999999</v>
      </c>
      <c r="AL42" s="1">
        <v>11.3714</v>
      </c>
      <c r="AM42" s="1">
        <f t="shared" si="4"/>
        <v>0.60416599999999998</v>
      </c>
      <c r="AN42" s="1">
        <f t="shared" si="5"/>
        <v>11.3714</v>
      </c>
    </row>
    <row r="43" spans="1:40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25.553030896681701</v>
      </c>
      <c r="L43" s="1">
        <f t="shared" si="0"/>
        <v>0.46875</v>
      </c>
      <c r="M43" s="1">
        <f t="shared" si="7"/>
        <v>12.776515448340851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  <c r="AI43" s="3"/>
      <c r="AJ43">
        <v>5728</v>
      </c>
      <c r="AK43" s="1">
        <v>0.3125</v>
      </c>
      <c r="AL43" s="1">
        <v>11.222300000000001</v>
      </c>
      <c r="AM43" s="1">
        <f t="shared" si="4"/>
        <v>0.625</v>
      </c>
      <c r="AN43" s="1">
        <f t="shared" si="5"/>
        <v>11.222300000000001</v>
      </c>
    </row>
    <row r="44" spans="1:40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24.750429286114102</v>
      </c>
      <c r="L44" s="1">
        <f t="shared" si="0"/>
        <v>0.53125</v>
      </c>
      <c r="M44" s="1">
        <f t="shared" si="7"/>
        <v>12.375214643057051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  <c r="AI44" s="3"/>
      <c r="AJ44">
        <v>58378</v>
      </c>
      <c r="AK44" s="1">
        <v>0.32291700000000001</v>
      </c>
      <c r="AL44" s="1">
        <v>11.0572</v>
      </c>
      <c r="AM44" s="1">
        <f t="shared" si="4"/>
        <v>0.64583400000000002</v>
      </c>
      <c r="AN44" s="1">
        <f t="shared" si="5"/>
        <v>11.0572</v>
      </c>
    </row>
    <row r="45" spans="1:40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24.1553782498472</v>
      </c>
      <c r="L45" s="1">
        <f t="shared" si="0"/>
        <v>0.59375</v>
      </c>
      <c r="M45" s="1">
        <f t="shared" si="7"/>
        <v>12.0776891249236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  <c r="AI45" s="3"/>
      <c r="AJ45">
        <v>5729</v>
      </c>
      <c r="AK45" s="1">
        <v>0.33333299999999999</v>
      </c>
      <c r="AL45" s="1">
        <v>10.891999999999999</v>
      </c>
      <c r="AM45" s="1">
        <f t="shared" si="4"/>
        <v>0.66666599999999998</v>
      </c>
      <c r="AN45" s="1">
        <f t="shared" si="5"/>
        <v>10.891999999999999</v>
      </c>
    </row>
    <row r="46" spans="1:40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23.1508463591672</v>
      </c>
      <c r="L46" s="1">
        <f t="shared" si="0"/>
        <v>0.65625</v>
      </c>
      <c r="M46" s="1">
        <f t="shared" si="7"/>
        <v>11.5754231795836</v>
      </c>
      <c r="AI46" s="3"/>
      <c r="AJ46">
        <v>58382</v>
      </c>
      <c r="AK46" s="1">
        <v>0.34375</v>
      </c>
      <c r="AL46" s="1">
        <v>10.707599999999999</v>
      </c>
      <c r="AM46" s="1">
        <f t="shared" si="4"/>
        <v>0.6875</v>
      </c>
      <c r="AN46" s="1">
        <f t="shared" si="5"/>
        <v>10.707599999999999</v>
      </c>
    </row>
    <row r="47" spans="1:40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21.663894072745599</v>
      </c>
      <c r="L47" s="1">
        <f t="shared" si="0"/>
        <v>0.71875</v>
      </c>
      <c r="M47" s="1">
        <f t="shared" si="7"/>
        <v>10.831947036372799</v>
      </c>
      <c r="AI47" s="3"/>
      <c r="AJ47">
        <v>5730</v>
      </c>
      <c r="AK47" s="1">
        <v>0.35416700000000001</v>
      </c>
      <c r="AL47" s="1">
        <v>10.523099999999999</v>
      </c>
      <c r="AM47" s="1">
        <f t="shared" si="4"/>
        <v>0.70833400000000002</v>
      </c>
      <c r="AN47" s="1">
        <f t="shared" si="5"/>
        <v>10.523099999999999</v>
      </c>
    </row>
    <row r="48" spans="1:40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21.119529854613699</v>
      </c>
      <c r="L48" s="1">
        <f t="shared" si="0"/>
        <v>0.78125</v>
      </c>
      <c r="M48" s="1">
        <f t="shared" si="7"/>
        <v>10.559764927306849</v>
      </c>
      <c r="AI48" s="3"/>
      <c r="AJ48">
        <v>58386</v>
      </c>
      <c r="AK48" s="1">
        <v>0.36458299999999999</v>
      </c>
      <c r="AL48" s="1">
        <v>10.3154</v>
      </c>
      <c r="AM48" s="1">
        <f t="shared" si="4"/>
        <v>0.72916599999999998</v>
      </c>
      <c r="AN48" s="1">
        <f t="shared" si="5"/>
        <v>10.3154</v>
      </c>
    </row>
    <row r="49" spans="1:40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17.616052103124499</v>
      </c>
      <c r="L49" s="1">
        <f t="shared" si="0"/>
        <v>0.84375</v>
      </c>
      <c r="M49" s="1">
        <f t="shared" si="7"/>
        <v>8.8080260515622495</v>
      </c>
      <c r="AI49" s="3"/>
      <c r="AJ49">
        <v>5731</v>
      </c>
      <c r="AK49" s="1">
        <v>0.375</v>
      </c>
      <c r="AL49" s="1">
        <v>10.1076</v>
      </c>
      <c r="AM49" s="1">
        <f t="shared" si="4"/>
        <v>0.75</v>
      </c>
      <c r="AN49" s="1">
        <f t="shared" si="5"/>
        <v>10.1076</v>
      </c>
    </row>
    <row r="50" spans="1:40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19.8696665871365</v>
      </c>
      <c r="L50" s="1">
        <f t="shared" si="0"/>
        <v>0.90625</v>
      </c>
      <c r="M50" s="1">
        <f t="shared" si="7"/>
        <v>9.93483329356825</v>
      </c>
      <c r="AI50" s="3"/>
      <c r="AJ50">
        <v>58390</v>
      </c>
      <c r="AK50" s="1">
        <v>0.38541700000000001</v>
      </c>
      <c r="AL50" s="1">
        <v>9.8723100000000006</v>
      </c>
      <c r="AM50" s="1">
        <f t="shared" si="4"/>
        <v>0.77083400000000002</v>
      </c>
      <c r="AN50" s="1">
        <f t="shared" si="5"/>
        <v>9.8723100000000006</v>
      </c>
    </row>
    <row r="51" spans="1:40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10.311261893477401</v>
      </c>
      <c r="L51" s="1">
        <f t="shared" si="0"/>
        <v>0.96875</v>
      </c>
      <c r="M51" s="1">
        <f t="shared" si="7"/>
        <v>5.1556309467387003</v>
      </c>
      <c r="AI51" s="3"/>
      <c r="AJ51">
        <v>5732</v>
      </c>
      <c r="AK51" s="1">
        <v>0.39583299999999999</v>
      </c>
      <c r="AL51" s="1">
        <v>9.6369900000000008</v>
      </c>
      <c r="AM51" s="1">
        <f t="shared" si="4"/>
        <v>0.79166599999999998</v>
      </c>
      <c r="AN51" s="1">
        <f t="shared" si="5"/>
        <v>9.6369900000000008</v>
      </c>
    </row>
    <row r="52" spans="1:40">
      <c r="AI52" s="3"/>
      <c r="AJ52">
        <v>58394</v>
      </c>
      <c r="AK52" s="1">
        <v>0.40625</v>
      </c>
      <c r="AL52" s="1">
        <v>9.3722799999999999</v>
      </c>
      <c r="AM52" s="1">
        <f t="shared" si="4"/>
        <v>0.8125</v>
      </c>
      <c r="AN52" s="1">
        <f t="shared" si="5"/>
        <v>9.3722799999999999</v>
      </c>
    </row>
    <row r="53" spans="1:40">
      <c r="AI53" s="3"/>
      <c r="AJ53">
        <v>5733</v>
      </c>
      <c r="AK53" s="1">
        <v>0.41666700000000001</v>
      </c>
      <c r="AL53" s="1">
        <v>9.1075700000000008</v>
      </c>
      <c r="AM53" s="1">
        <f t="shared" si="4"/>
        <v>0.83333400000000002</v>
      </c>
      <c r="AN53" s="1">
        <f t="shared" si="5"/>
        <v>9.1075700000000008</v>
      </c>
    </row>
    <row r="54" spans="1:40">
      <c r="AI54" s="3"/>
      <c r="AJ54">
        <v>58398</v>
      </c>
      <c r="AK54" s="1">
        <v>0.42708299999999999</v>
      </c>
      <c r="AL54" s="1">
        <v>8.8015799999999995</v>
      </c>
      <c r="AM54" s="1">
        <f t="shared" si="4"/>
        <v>0.85416599999999998</v>
      </c>
      <c r="AN54" s="1">
        <f t="shared" si="5"/>
        <v>8.8015799999999995</v>
      </c>
    </row>
    <row r="55" spans="1:40">
      <c r="AI55" s="3"/>
      <c r="AJ55">
        <v>5734</v>
      </c>
      <c r="AK55" s="1">
        <v>0.4375</v>
      </c>
      <c r="AL55" s="1">
        <v>8.4955999999999996</v>
      </c>
      <c r="AM55" s="1">
        <f t="shared" si="4"/>
        <v>0.875</v>
      </c>
      <c r="AN55" s="1">
        <f t="shared" si="5"/>
        <v>8.4955999999999996</v>
      </c>
    </row>
    <row r="56" spans="1:40">
      <c r="AI56" s="3"/>
      <c r="AJ56">
        <v>58402</v>
      </c>
      <c r="AK56" s="1">
        <v>0.44791700000000001</v>
      </c>
      <c r="AL56" s="1">
        <v>8.2087299999999992</v>
      </c>
      <c r="AM56" s="1">
        <f t="shared" si="4"/>
        <v>0.89583400000000002</v>
      </c>
      <c r="AN56" s="1">
        <f t="shared" si="5"/>
        <v>8.2087299999999992</v>
      </c>
    </row>
    <row r="57" spans="1:40">
      <c r="AI57" s="3"/>
      <c r="AJ57">
        <v>5735</v>
      </c>
      <c r="AK57" s="1">
        <v>0.45833299999999999</v>
      </c>
      <c r="AL57" s="1">
        <v>7.9218599999999997</v>
      </c>
      <c r="AM57" s="1">
        <f t="shared" si="4"/>
        <v>0.91666599999999998</v>
      </c>
      <c r="AN57" s="1">
        <f t="shared" si="5"/>
        <v>7.9218599999999997</v>
      </c>
    </row>
    <row r="58" spans="1:40">
      <c r="AI58" s="3"/>
      <c r="AJ58">
        <v>58406</v>
      </c>
      <c r="AK58" s="1">
        <v>0.46875</v>
      </c>
      <c r="AL58" s="1">
        <v>6.7829300000000003</v>
      </c>
      <c r="AM58" s="1">
        <f t="shared" si="4"/>
        <v>0.9375</v>
      </c>
      <c r="AN58" s="1">
        <f t="shared" si="5"/>
        <v>6.7829300000000003</v>
      </c>
    </row>
    <row r="59" spans="1:40">
      <c r="AI59" s="3"/>
      <c r="AJ59">
        <v>5736</v>
      </c>
      <c r="AK59" s="1">
        <v>0.47916700000000001</v>
      </c>
      <c r="AL59" s="1">
        <v>5.6440000000000001</v>
      </c>
      <c r="AM59" s="1">
        <f t="shared" si="4"/>
        <v>0.95833400000000002</v>
      </c>
      <c r="AN59" s="1">
        <f t="shared" si="5"/>
        <v>5.6440000000000001</v>
      </c>
    </row>
    <row r="60" spans="1:40">
      <c r="AI60" s="3"/>
      <c r="AJ60">
        <v>58410</v>
      </c>
      <c r="AK60" s="1">
        <v>0.48958299999999999</v>
      </c>
      <c r="AL60" s="1">
        <v>5.7351599999999996</v>
      </c>
      <c r="AM60" s="1">
        <f t="shared" si="4"/>
        <v>0.97916599999999998</v>
      </c>
      <c r="AN60" s="1">
        <f t="shared" si="5"/>
        <v>5.7351599999999996</v>
      </c>
    </row>
    <row r="61" spans="1:40">
      <c r="AI61" s="4"/>
      <c r="AJ61">
        <v>5737</v>
      </c>
      <c r="AK61" s="1">
        <v>0.5</v>
      </c>
      <c r="AL61" s="1">
        <v>5.8263100000000003</v>
      </c>
      <c r="AM61" s="1">
        <f t="shared" si="4"/>
        <v>1</v>
      </c>
      <c r="AN61" s="1">
        <f t="shared" si="5"/>
        <v>5.8263100000000003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7E8C-D39A-45D6-B82A-76BE13A9C2DC}">
  <dimension ref="A1:AN61"/>
  <sheetViews>
    <sheetView tabSelected="1" topLeftCell="G1" zoomScale="70" zoomScaleNormal="70" workbookViewId="0">
      <selection activeCell="P37" sqref="P37"/>
    </sheetView>
  </sheetViews>
  <sheetFormatPr defaultRowHeight="18"/>
  <cols>
    <col min="6" max="6" width="9" bestFit="1" customWidth="1"/>
    <col min="8" max="8" width="9" bestFit="1" customWidth="1"/>
    <col min="10" max="11" width="9.5" bestFit="1" customWidth="1"/>
    <col min="12" max="12" width="9" bestFit="1" customWidth="1"/>
    <col min="13" max="13" width="9.5" bestFit="1" customWidth="1"/>
    <col min="29" max="29" width="9" bestFit="1" customWidth="1"/>
    <col min="30" max="33" width="10.19921875" bestFit="1" customWidth="1"/>
    <col min="39" max="40" width="9.5" bestFit="1" customWidth="1"/>
  </cols>
  <sheetData>
    <row r="1" spans="1:40">
      <c r="A1" t="s">
        <v>16</v>
      </c>
      <c r="AB1" s="3" t="s">
        <v>19</v>
      </c>
      <c r="AC1" t="s">
        <v>20</v>
      </c>
      <c r="AI1" s="3" t="s">
        <v>19</v>
      </c>
      <c r="AJ1" t="s">
        <v>20</v>
      </c>
    </row>
    <row r="2" spans="1:40">
      <c r="A2" t="s">
        <v>4</v>
      </c>
      <c r="B2">
        <v>0</v>
      </c>
      <c r="C2" t="s">
        <v>5</v>
      </c>
      <c r="D2">
        <v>0</v>
      </c>
      <c r="E2" t="s">
        <v>6</v>
      </c>
      <c r="F2" s="1">
        <v>1.5625E-2</v>
      </c>
      <c r="G2" t="s">
        <v>7</v>
      </c>
      <c r="H2" s="1">
        <v>0.5</v>
      </c>
      <c r="I2" t="s">
        <v>8</v>
      </c>
      <c r="J2" s="1">
        <v>0</v>
      </c>
      <c r="K2" s="1">
        <v>28.540453037514101</v>
      </c>
      <c r="L2" s="1">
        <f>2*F2</f>
        <v>3.125E-2</v>
      </c>
      <c r="M2" s="1">
        <f>K2/2</f>
        <v>14.270226518757051</v>
      </c>
      <c r="AB2" s="3" t="s">
        <v>21</v>
      </c>
      <c r="AI2" s="3" t="s">
        <v>21</v>
      </c>
    </row>
    <row r="3" spans="1:40">
      <c r="A3" t="s">
        <v>4</v>
      </c>
      <c r="B3">
        <v>0</v>
      </c>
      <c r="C3" t="s">
        <v>5</v>
      </c>
      <c r="D3">
        <v>1</v>
      </c>
      <c r="E3" t="s">
        <v>6</v>
      </c>
      <c r="F3" s="1">
        <v>4.6875E-2</v>
      </c>
      <c r="G3" t="s">
        <v>7</v>
      </c>
      <c r="H3" s="1">
        <v>0.5</v>
      </c>
      <c r="I3" t="s">
        <v>8</v>
      </c>
      <c r="J3" s="1">
        <v>0</v>
      </c>
      <c r="K3" s="1">
        <v>28.508444737590601</v>
      </c>
      <c r="L3" s="1">
        <f t="shared" ref="L3:L51" si="0">2*F3</f>
        <v>9.375E-2</v>
      </c>
      <c r="M3" s="1">
        <f t="shared" ref="M3:M17" si="1">K3/2</f>
        <v>14.2542223687953</v>
      </c>
      <c r="AB3" s="3" t="s">
        <v>22</v>
      </c>
      <c r="AC3" t="s">
        <v>23</v>
      </c>
      <c r="AD3">
        <v>89</v>
      </c>
      <c r="AI3" s="3" t="s">
        <v>22</v>
      </c>
      <c r="AJ3" t="s">
        <v>23</v>
      </c>
      <c r="AK3">
        <v>88</v>
      </c>
    </row>
    <row r="4" spans="1:40">
      <c r="A4" t="s">
        <v>4</v>
      </c>
      <c r="B4">
        <v>0</v>
      </c>
      <c r="C4" t="s">
        <v>5</v>
      </c>
      <c r="D4">
        <v>2</v>
      </c>
      <c r="E4" t="s">
        <v>6</v>
      </c>
      <c r="F4" s="1">
        <v>7.8125E-2</v>
      </c>
      <c r="G4" t="s">
        <v>7</v>
      </c>
      <c r="H4" s="1">
        <v>0.5</v>
      </c>
      <c r="I4" t="s">
        <v>8</v>
      </c>
      <c r="J4" s="1">
        <v>0</v>
      </c>
      <c r="K4" s="1">
        <v>28.271998617775399</v>
      </c>
      <c r="L4" s="1">
        <f t="shared" si="0"/>
        <v>0.15625</v>
      </c>
      <c r="M4" s="1">
        <f t="shared" si="1"/>
        <v>14.135999308887699</v>
      </c>
      <c r="AB4" s="3" t="s">
        <v>24</v>
      </c>
      <c r="AC4" t="s">
        <v>23</v>
      </c>
      <c r="AD4" s="1">
        <v>1</v>
      </c>
      <c r="AI4" s="3" t="s">
        <v>24</v>
      </c>
      <c r="AJ4" t="s">
        <v>23</v>
      </c>
      <c r="AK4" s="1">
        <v>1</v>
      </c>
    </row>
    <row r="5" spans="1:40">
      <c r="A5" t="s">
        <v>4</v>
      </c>
      <c r="B5">
        <v>0</v>
      </c>
      <c r="C5" t="s">
        <v>5</v>
      </c>
      <c r="D5">
        <v>3</v>
      </c>
      <c r="E5" t="s">
        <v>6</v>
      </c>
      <c r="F5" s="1">
        <v>0.109375</v>
      </c>
      <c r="G5" t="s">
        <v>7</v>
      </c>
      <c r="H5" s="1">
        <v>0.5</v>
      </c>
      <c r="I5" t="s">
        <v>8</v>
      </c>
      <c r="J5" s="1">
        <v>0</v>
      </c>
      <c r="K5" s="1">
        <v>27.946817762842201</v>
      </c>
      <c r="L5" s="1">
        <f t="shared" si="0"/>
        <v>0.21875</v>
      </c>
      <c r="M5" s="1">
        <f t="shared" si="1"/>
        <v>13.973408881421101</v>
      </c>
      <c r="AB5" s="3" t="s">
        <v>25</v>
      </c>
      <c r="AC5" t="s">
        <v>23</v>
      </c>
      <c r="AD5" s="1">
        <v>0</v>
      </c>
      <c r="AI5" s="3" t="s">
        <v>25</v>
      </c>
      <c r="AJ5" t="s">
        <v>23</v>
      </c>
      <c r="AK5" s="1">
        <v>0</v>
      </c>
    </row>
    <row r="6" spans="1:40">
      <c r="A6" t="s">
        <v>4</v>
      </c>
      <c r="B6">
        <v>0</v>
      </c>
      <c r="C6" t="s">
        <v>5</v>
      </c>
      <c r="D6">
        <v>4</v>
      </c>
      <c r="E6" t="s">
        <v>6</v>
      </c>
      <c r="F6" s="1">
        <v>0.140625</v>
      </c>
      <c r="G6" t="s">
        <v>7</v>
      </c>
      <c r="H6" s="1">
        <v>0.5</v>
      </c>
      <c r="I6" t="s">
        <v>8</v>
      </c>
      <c r="J6" s="1">
        <v>0</v>
      </c>
      <c r="K6" s="1">
        <v>27.609124170932699</v>
      </c>
      <c r="L6" s="1">
        <f t="shared" si="0"/>
        <v>0.28125</v>
      </c>
      <c r="M6" s="1">
        <f t="shared" si="1"/>
        <v>13.804562085466349</v>
      </c>
      <c r="AB6" s="2"/>
      <c r="AI6" s="2"/>
    </row>
    <row r="7" spans="1:40">
      <c r="A7" t="s">
        <v>4</v>
      </c>
      <c r="B7">
        <v>0</v>
      </c>
      <c r="C7" t="s">
        <v>5</v>
      </c>
      <c r="D7">
        <v>5</v>
      </c>
      <c r="E7" t="s">
        <v>6</v>
      </c>
      <c r="F7" s="1">
        <v>0.171875</v>
      </c>
      <c r="G7" t="s">
        <v>7</v>
      </c>
      <c r="H7" s="1">
        <v>0.5</v>
      </c>
      <c r="I7" t="s">
        <v>8</v>
      </c>
      <c r="J7" s="1">
        <v>0</v>
      </c>
      <c r="K7" s="1">
        <v>27.109601787545301</v>
      </c>
      <c r="L7" s="1">
        <f t="shared" si="0"/>
        <v>0.34375</v>
      </c>
      <c r="M7" s="1">
        <f t="shared" si="1"/>
        <v>13.554800893772651</v>
      </c>
      <c r="AB7" s="3" t="s">
        <v>26</v>
      </c>
      <c r="AC7">
        <v>1</v>
      </c>
      <c r="AI7" s="3" t="s">
        <v>26</v>
      </c>
      <c r="AJ7">
        <v>1</v>
      </c>
    </row>
    <row r="8" spans="1:40">
      <c r="A8" t="s">
        <v>4</v>
      </c>
      <c r="B8">
        <v>0</v>
      </c>
      <c r="C8" t="s">
        <v>5</v>
      </c>
      <c r="D8">
        <v>6</v>
      </c>
      <c r="E8" t="s">
        <v>6</v>
      </c>
      <c r="F8" s="1">
        <v>0.203125</v>
      </c>
      <c r="G8" t="s">
        <v>7</v>
      </c>
      <c r="H8" s="1">
        <v>0.5</v>
      </c>
      <c r="I8" t="s">
        <v>8</v>
      </c>
      <c r="J8" s="1">
        <v>0</v>
      </c>
      <c r="K8" s="1">
        <v>26.476860792216701</v>
      </c>
      <c r="L8" s="1">
        <f t="shared" si="0"/>
        <v>0.40625</v>
      </c>
      <c r="M8" s="1">
        <f t="shared" si="1"/>
        <v>13.238430396108351</v>
      </c>
      <c r="AB8" s="3" t="s">
        <v>27</v>
      </c>
      <c r="AC8" t="s">
        <v>23</v>
      </c>
      <c r="AD8" t="s">
        <v>28</v>
      </c>
      <c r="AE8" t="s">
        <v>29</v>
      </c>
      <c r="AI8" s="3" t="s">
        <v>27</v>
      </c>
      <c r="AJ8" t="s">
        <v>23</v>
      </c>
      <c r="AK8" t="s">
        <v>28</v>
      </c>
      <c r="AL8" t="s">
        <v>29</v>
      </c>
    </row>
    <row r="9" spans="1:40">
      <c r="A9" t="s">
        <v>4</v>
      </c>
      <c r="B9">
        <v>0</v>
      </c>
      <c r="C9" t="s">
        <v>5</v>
      </c>
      <c r="D9">
        <v>7</v>
      </c>
      <c r="E9" t="s">
        <v>6</v>
      </c>
      <c r="F9" s="1">
        <v>0.234375</v>
      </c>
      <c r="G9" t="s">
        <v>7</v>
      </c>
      <c r="H9" s="1">
        <v>0.5</v>
      </c>
      <c r="I9" t="s">
        <v>8</v>
      </c>
      <c r="J9" s="1">
        <v>0</v>
      </c>
      <c r="K9" s="1">
        <v>25.909283937402002</v>
      </c>
      <c r="L9" s="1">
        <f t="shared" si="0"/>
        <v>0.46875</v>
      </c>
      <c r="M9" s="1">
        <f t="shared" si="1"/>
        <v>12.954641968701001</v>
      </c>
      <c r="AB9" s="3" t="s">
        <v>30</v>
      </c>
      <c r="AC9" t="s">
        <v>23</v>
      </c>
      <c r="AD9" t="s">
        <v>31</v>
      </c>
      <c r="AI9" s="3" t="s">
        <v>30</v>
      </c>
      <c r="AJ9" t="s">
        <v>23</v>
      </c>
      <c r="AK9" t="s">
        <v>31</v>
      </c>
    </row>
    <row r="10" spans="1:40">
      <c r="A10" t="s">
        <v>4</v>
      </c>
      <c r="B10">
        <v>0</v>
      </c>
      <c r="C10" t="s">
        <v>5</v>
      </c>
      <c r="D10">
        <v>8</v>
      </c>
      <c r="E10" t="s">
        <v>6</v>
      </c>
      <c r="F10" s="1">
        <v>0.265625</v>
      </c>
      <c r="G10" t="s">
        <v>7</v>
      </c>
      <c r="H10" s="1">
        <v>0.5</v>
      </c>
      <c r="I10" t="s">
        <v>8</v>
      </c>
      <c r="J10" s="1">
        <v>0</v>
      </c>
      <c r="K10" s="1">
        <v>25.151596121178201</v>
      </c>
      <c r="L10" s="1">
        <f t="shared" si="0"/>
        <v>0.53125</v>
      </c>
      <c r="M10" s="1">
        <f t="shared" si="1"/>
        <v>12.575798060589101</v>
      </c>
      <c r="AB10" s="2"/>
      <c r="AI10" s="2"/>
    </row>
    <row r="11" spans="1:40">
      <c r="A11" t="s">
        <v>4</v>
      </c>
      <c r="B11">
        <v>0</v>
      </c>
      <c r="C11" t="s">
        <v>5</v>
      </c>
      <c r="D11">
        <v>9</v>
      </c>
      <c r="E11" t="s">
        <v>6</v>
      </c>
      <c r="F11" s="1">
        <v>0.296875</v>
      </c>
      <c r="G11" t="s">
        <v>7</v>
      </c>
      <c r="H11" s="1">
        <v>0.5</v>
      </c>
      <c r="I11" t="s">
        <v>8</v>
      </c>
      <c r="J11" s="1">
        <v>0</v>
      </c>
      <c r="K11" s="1">
        <v>24.030235293896801</v>
      </c>
      <c r="L11" s="1">
        <f t="shared" si="0"/>
        <v>0.59375</v>
      </c>
      <c r="M11" s="1">
        <f t="shared" si="1"/>
        <v>12.015117646948401</v>
      </c>
      <c r="AB11" s="3"/>
      <c r="AC11" t="s">
        <v>32</v>
      </c>
      <c r="AD11" t="s">
        <v>27</v>
      </c>
      <c r="AE11" t="s">
        <v>30</v>
      </c>
      <c r="AI11" s="3"/>
      <c r="AJ11" t="s">
        <v>32</v>
      </c>
      <c r="AK11" t="s">
        <v>27</v>
      </c>
      <c r="AL11" t="s">
        <v>30</v>
      </c>
    </row>
    <row r="12" spans="1:40">
      <c r="A12" t="s">
        <v>4</v>
      </c>
      <c r="B12">
        <v>0</v>
      </c>
      <c r="C12" t="s">
        <v>5</v>
      </c>
      <c r="D12">
        <v>10</v>
      </c>
      <c r="E12" t="s">
        <v>6</v>
      </c>
      <c r="F12" s="1">
        <v>0.328125</v>
      </c>
      <c r="G12" t="s">
        <v>7</v>
      </c>
      <c r="H12" s="1">
        <v>0.5</v>
      </c>
      <c r="I12" t="s">
        <v>8</v>
      </c>
      <c r="J12" s="1">
        <v>0</v>
      </c>
      <c r="K12" s="1">
        <v>23.305487386433601</v>
      </c>
      <c r="L12" s="1">
        <f t="shared" si="0"/>
        <v>0.65625</v>
      </c>
      <c r="M12" s="1">
        <f t="shared" si="1"/>
        <v>11.6527436932168</v>
      </c>
      <c r="AB12" s="3" t="s">
        <v>33</v>
      </c>
      <c r="AI12" s="3" t="s">
        <v>33</v>
      </c>
    </row>
    <row r="13" spans="1:40">
      <c r="A13" t="s">
        <v>4</v>
      </c>
      <c r="B13">
        <v>0</v>
      </c>
      <c r="C13" t="s">
        <v>5</v>
      </c>
      <c r="D13">
        <v>11</v>
      </c>
      <c r="E13" t="s">
        <v>6</v>
      </c>
      <c r="F13" s="1">
        <v>0.359375</v>
      </c>
      <c r="G13" t="s">
        <v>7</v>
      </c>
      <c r="H13" s="1">
        <v>0.5</v>
      </c>
      <c r="I13" t="s">
        <v>8</v>
      </c>
      <c r="J13" s="1">
        <v>0</v>
      </c>
      <c r="K13" s="1">
        <v>22.265785519163899</v>
      </c>
      <c r="L13" s="1">
        <f t="shared" si="0"/>
        <v>0.71875</v>
      </c>
      <c r="M13" s="1">
        <f t="shared" si="1"/>
        <v>11.132892759581949</v>
      </c>
      <c r="AB13" s="3"/>
      <c r="AC13">
        <v>1394</v>
      </c>
      <c r="AD13" s="1">
        <v>0</v>
      </c>
      <c r="AE13" s="1">
        <v>13.5907</v>
      </c>
      <c r="AF13" s="1">
        <f>AD13*2</f>
        <v>0</v>
      </c>
      <c r="AG13" s="1">
        <f>AE13</f>
        <v>13.5907</v>
      </c>
      <c r="AI13" s="3"/>
      <c r="AJ13">
        <v>6</v>
      </c>
      <c r="AK13" s="1">
        <v>0</v>
      </c>
      <c r="AL13" s="1">
        <v>13.433400000000001</v>
      </c>
      <c r="AM13" s="1">
        <f>AK13*2</f>
        <v>0</v>
      </c>
      <c r="AN13" s="1">
        <f>AL13</f>
        <v>13.433400000000001</v>
      </c>
    </row>
    <row r="14" spans="1:40">
      <c r="A14" t="s">
        <v>4</v>
      </c>
      <c r="B14">
        <v>0</v>
      </c>
      <c r="C14" t="s">
        <v>5</v>
      </c>
      <c r="D14">
        <v>12</v>
      </c>
      <c r="E14" t="s">
        <v>6</v>
      </c>
      <c r="F14" s="1">
        <v>0.390625</v>
      </c>
      <c r="G14" t="s">
        <v>7</v>
      </c>
      <c r="H14" s="1">
        <v>0.5</v>
      </c>
      <c r="I14" t="s">
        <v>8</v>
      </c>
      <c r="J14" s="1">
        <v>0</v>
      </c>
      <c r="K14" s="1">
        <v>20.328137981168702</v>
      </c>
      <c r="L14" s="1">
        <f t="shared" si="0"/>
        <v>0.78125</v>
      </c>
      <c r="M14" s="1">
        <f t="shared" si="1"/>
        <v>10.164068990584351</v>
      </c>
      <c r="AB14" s="3"/>
      <c r="AC14">
        <v>53685</v>
      </c>
      <c r="AD14" s="1">
        <v>1.5625E-2</v>
      </c>
      <c r="AE14" s="1">
        <v>13.579800000000001</v>
      </c>
      <c r="AF14" s="1">
        <f t="shared" ref="AF14:AF45" si="2">AD14*2</f>
        <v>3.125E-2</v>
      </c>
      <c r="AG14" s="1">
        <f t="shared" ref="AG14:AG45" si="3">AE14</f>
        <v>13.579800000000001</v>
      </c>
      <c r="AI14" s="3"/>
      <c r="AJ14">
        <v>41448</v>
      </c>
      <c r="AK14" s="1">
        <v>1.0416699999999999E-2</v>
      </c>
      <c r="AL14" s="1">
        <v>13.428599999999999</v>
      </c>
      <c r="AM14" s="1">
        <f t="shared" ref="AM14:AM61" si="4">AK14*2</f>
        <v>2.0833399999999998E-2</v>
      </c>
      <c r="AN14" s="1">
        <f t="shared" ref="AN14:AN61" si="5">AL14</f>
        <v>13.428599999999999</v>
      </c>
    </row>
    <row r="15" spans="1:40">
      <c r="A15" t="s">
        <v>4</v>
      </c>
      <c r="B15">
        <v>0</v>
      </c>
      <c r="C15" t="s">
        <v>5</v>
      </c>
      <c r="D15">
        <v>13</v>
      </c>
      <c r="E15" t="s">
        <v>6</v>
      </c>
      <c r="F15" s="1">
        <v>0.421875</v>
      </c>
      <c r="G15" t="s">
        <v>7</v>
      </c>
      <c r="H15" s="1">
        <v>0.5</v>
      </c>
      <c r="I15" t="s">
        <v>8</v>
      </c>
      <c r="J15" s="1">
        <v>0</v>
      </c>
      <c r="K15" s="1">
        <v>19.0660499295943</v>
      </c>
      <c r="L15" s="1">
        <f t="shared" si="0"/>
        <v>0.84375</v>
      </c>
      <c r="M15" s="1">
        <f t="shared" si="1"/>
        <v>9.5330249647971499</v>
      </c>
      <c r="AB15" s="3"/>
      <c r="AC15">
        <v>25202</v>
      </c>
      <c r="AD15" s="1">
        <v>3.125E-2</v>
      </c>
      <c r="AE15" s="1">
        <v>13.5688</v>
      </c>
      <c r="AF15" s="1">
        <f t="shared" si="2"/>
        <v>6.25E-2</v>
      </c>
      <c r="AG15" s="1">
        <f t="shared" si="3"/>
        <v>13.5688</v>
      </c>
      <c r="AI15" s="3"/>
      <c r="AJ15">
        <v>5714</v>
      </c>
      <c r="AK15" s="1">
        <v>2.0833299999999999E-2</v>
      </c>
      <c r="AL15" s="1">
        <v>13.4238</v>
      </c>
      <c r="AM15" s="1">
        <f t="shared" si="4"/>
        <v>4.1666599999999998E-2</v>
      </c>
      <c r="AN15" s="1">
        <f t="shared" si="5"/>
        <v>13.4238</v>
      </c>
    </row>
    <row r="16" spans="1:40">
      <c r="A16" t="s">
        <v>4</v>
      </c>
      <c r="B16">
        <v>0</v>
      </c>
      <c r="C16" t="s">
        <v>5</v>
      </c>
      <c r="D16">
        <v>14</v>
      </c>
      <c r="E16" t="s">
        <v>6</v>
      </c>
      <c r="F16" s="1">
        <v>0.453125</v>
      </c>
      <c r="G16" t="s">
        <v>7</v>
      </c>
      <c r="H16" s="1">
        <v>0.5</v>
      </c>
      <c r="I16" t="s">
        <v>8</v>
      </c>
      <c r="J16" s="1">
        <v>0</v>
      </c>
      <c r="K16" s="1">
        <v>17.5366665415551</v>
      </c>
      <c r="L16" s="1">
        <f t="shared" si="0"/>
        <v>0.90625</v>
      </c>
      <c r="M16" s="1">
        <f t="shared" si="1"/>
        <v>8.7683332707775499</v>
      </c>
      <c r="AB16" s="3"/>
      <c r="AC16">
        <v>123346</v>
      </c>
      <c r="AD16" s="1">
        <v>4.6875E-2</v>
      </c>
      <c r="AE16" s="1">
        <v>13.5359</v>
      </c>
      <c r="AF16" s="1">
        <f t="shared" si="2"/>
        <v>9.375E-2</v>
      </c>
      <c r="AG16" s="1">
        <f t="shared" si="3"/>
        <v>13.5359</v>
      </c>
      <c r="AI16" s="3"/>
      <c r="AJ16">
        <v>58322</v>
      </c>
      <c r="AK16" s="1">
        <v>3.125E-2</v>
      </c>
      <c r="AL16" s="1">
        <v>13.4094</v>
      </c>
      <c r="AM16" s="1">
        <f t="shared" si="4"/>
        <v>6.25E-2</v>
      </c>
      <c r="AN16" s="1">
        <f t="shared" si="5"/>
        <v>13.4094</v>
      </c>
    </row>
    <row r="17" spans="1:40">
      <c r="A17" t="s">
        <v>4</v>
      </c>
      <c r="B17">
        <v>0</v>
      </c>
      <c r="C17" t="s">
        <v>5</v>
      </c>
      <c r="D17">
        <v>15</v>
      </c>
      <c r="E17" t="s">
        <v>6</v>
      </c>
      <c r="F17" s="1">
        <v>0.484375</v>
      </c>
      <c r="G17" t="s">
        <v>7</v>
      </c>
      <c r="H17" s="1">
        <v>0.5</v>
      </c>
      <c r="I17" t="s">
        <v>8</v>
      </c>
      <c r="J17" s="1">
        <v>0</v>
      </c>
      <c r="K17" s="1">
        <v>12.0207936115662</v>
      </c>
      <c r="L17" s="1">
        <f t="shared" si="0"/>
        <v>0.96875</v>
      </c>
      <c r="M17" s="1">
        <f t="shared" si="1"/>
        <v>6.0103968057830999</v>
      </c>
      <c r="AB17" s="3"/>
      <c r="AC17">
        <v>25203</v>
      </c>
      <c r="AD17" s="1">
        <v>6.25E-2</v>
      </c>
      <c r="AE17" s="1">
        <v>13.5031</v>
      </c>
      <c r="AF17" s="1">
        <f t="shared" si="2"/>
        <v>0.125</v>
      </c>
      <c r="AG17" s="1">
        <f t="shared" si="3"/>
        <v>13.5031</v>
      </c>
      <c r="AI17" s="3"/>
      <c r="AJ17">
        <v>5715</v>
      </c>
      <c r="AK17" s="1">
        <v>4.1666700000000001E-2</v>
      </c>
      <c r="AL17" s="1">
        <v>13.3949</v>
      </c>
      <c r="AM17" s="1">
        <f t="shared" si="4"/>
        <v>8.3333400000000002E-2</v>
      </c>
      <c r="AN17" s="1">
        <f t="shared" si="5"/>
        <v>13.3949</v>
      </c>
    </row>
    <row r="18" spans="1:40">
      <c r="A18" t="s">
        <v>17</v>
      </c>
      <c r="L18" s="1"/>
      <c r="M18" s="1"/>
      <c r="AB18" s="3"/>
      <c r="AC18">
        <v>123349</v>
      </c>
      <c r="AD18" s="1">
        <v>7.8125E-2</v>
      </c>
      <c r="AE18" s="1">
        <v>13.4482</v>
      </c>
      <c r="AF18" s="1">
        <f t="shared" si="2"/>
        <v>0.15625</v>
      </c>
      <c r="AG18" s="1">
        <f t="shared" si="3"/>
        <v>13.4482</v>
      </c>
      <c r="AI18" s="3"/>
      <c r="AJ18">
        <v>58326</v>
      </c>
      <c r="AK18" s="1">
        <v>5.2083299999999999E-2</v>
      </c>
      <c r="AL18" s="1">
        <v>13.370900000000001</v>
      </c>
      <c r="AM18" s="1">
        <f t="shared" si="4"/>
        <v>0.1041666</v>
      </c>
      <c r="AN18" s="1">
        <f t="shared" si="5"/>
        <v>13.370900000000001</v>
      </c>
    </row>
    <row r="19" spans="1:40">
      <c r="A19" t="s">
        <v>4</v>
      </c>
      <c r="B19">
        <v>0</v>
      </c>
      <c r="C19" t="s">
        <v>5</v>
      </c>
      <c r="D19">
        <v>0</v>
      </c>
      <c r="E19" t="s">
        <v>6</v>
      </c>
      <c r="F19" s="1">
        <v>1.5625E-2</v>
      </c>
      <c r="G19" t="s">
        <v>7</v>
      </c>
      <c r="H19" s="1">
        <v>0.5</v>
      </c>
      <c r="I19" t="s">
        <v>8</v>
      </c>
      <c r="J19" s="1">
        <v>0</v>
      </c>
      <c r="K19" s="1">
        <v>28.603486166113299</v>
      </c>
      <c r="L19" s="1">
        <f t="shared" si="0"/>
        <v>3.125E-2</v>
      </c>
      <c r="M19" s="1">
        <f>K19/2</f>
        <v>14.30174308305665</v>
      </c>
      <c r="AB19" s="3"/>
      <c r="AC19">
        <v>25204</v>
      </c>
      <c r="AD19" s="1">
        <v>9.375E-2</v>
      </c>
      <c r="AE19" s="1">
        <v>13.3934</v>
      </c>
      <c r="AF19" s="1">
        <f t="shared" si="2"/>
        <v>0.1875</v>
      </c>
      <c r="AG19" s="1">
        <f t="shared" si="3"/>
        <v>13.3934</v>
      </c>
      <c r="AI19" s="3"/>
      <c r="AJ19">
        <v>5716</v>
      </c>
      <c r="AK19" s="1">
        <v>6.25E-2</v>
      </c>
      <c r="AL19" s="1">
        <v>13.3468</v>
      </c>
      <c r="AM19" s="1">
        <f t="shared" si="4"/>
        <v>0.125</v>
      </c>
      <c r="AN19" s="1">
        <f t="shared" si="5"/>
        <v>13.3468</v>
      </c>
    </row>
    <row r="20" spans="1:40">
      <c r="A20" t="s">
        <v>4</v>
      </c>
      <c r="B20">
        <v>0</v>
      </c>
      <c r="C20" t="s">
        <v>5</v>
      </c>
      <c r="D20">
        <v>1</v>
      </c>
      <c r="E20" t="s">
        <v>6</v>
      </c>
      <c r="F20" s="1">
        <v>4.6875E-2</v>
      </c>
      <c r="G20" t="s">
        <v>7</v>
      </c>
      <c r="H20" s="1">
        <v>0.5</v>
      </c>
      <c r="I20" t="s">
        <v>8</v>
      </c>
      <c r="J20" s="1">
        <v>0</v>
      </c>
      <c r="K20" s="1">
        <v>28.521617598000802</v>
      </c>
      <c r="L20" s="1">
        <f t="shared" si="0"/>
        <v>9.375E-2</v>
      </c>
      <c r="M20" s="1">
        <f t="shared" ref="M20:M34" si="6">K20/2</f>
        <v>14.260808799000401</v>
      </c>
      <c r="AB20" s="3"/>
      <c r="AC20">
        <v>123352</v>
      </c>
      <c r="AD20" s="1">
        <v>0.109375</v>
      </c>
      <c r="AE20" s="1">
        <v>13.316599999999999</v>
      </c>
      <c r="AF20" s="1">
        <f t="shared" si="2"/>
        <v>0.21875</v>
      </c>
      <c r="AG20" s="1">
        <f t="shared" si="3"/>
        <v>13.316599999999999</v>
      </c>
      <c r="AI20" s="3"/>
      <c r="AJ20">
        <v>58330</v>
      </c>
      <c r="AK20" s="1">
        <v>7.2916700000000001E-2</v>
      </c>
      <c r="AL20" s="1">
        <v>13.3131</v>
      </c>
      <c r="AM20" s="1">
        <f t="shared" si="4"/>
        <v>0.1458334</v>
      </c>
      <c r="AN20" s="1">
        <f t="shared" si="5"/>
        <v>13.3131</v>
      </c>
    </row>
    <row r="21" spans="1:40">
      <c r="A21" t="s">
        <v>4</v>
      </c>
      <c r="B21">
        <v>0</v>
      </c>
      <c r="C21" t="s">
        <v>5</v>
      </c>
      <c r="D21">
        <v>2</v>
      </c>
      <c r="E21" t="s">
        <v>6</v>
      </c>
      <c r="F21" s="1">
        <v>7.8125E-2</v>
      </c>
      <c r="G21" t="s">
        <v>7</v>
      </c>
      <c r="H21" s="1">
        <v>0.5</v>
      </c>
      <c r="I21" t="s">
        <v>8</v>
      </c>
      <c r="J21" s="1">
        <v>0</v>
      </c>
      <c r="K21" s="1">
        <v>28.3098657283096</v>
      </c>
      <c r="L21" s="1">
        <f t="shared" si="0"/>
        <v>0.15625</v>
      </c>
      <c r="M21" s="1">
        <f t="shared" si="6"/>
        <v>14.1549328641548</v>
      </c>
      <c r="AB21" s="3"/>
      <c r="AC21">
        <v>25205</v>
      </c>
      <c r="AD21" s="1">
        <v>0.125</v>
      </c>
      <c r="AE21" s="1">
        <v>13.239699999999999</v>
      </c>
      <c r="AF21" s="1">
        <f t="shared" si="2"/>
        <v>0.25</v>
      </c>
      <c r="AG21" s="1">
        <f t="shared" si="3"/>
        <v>13.239699999999999</v>
      </c>
      <c r="AI21" s="3"/>
      <c r="AJ21">
        <v>5717</v>
      </c>
      <c r="AK21" s="1">
        <v>8.3333299999999999E-2</v>
      </c>
      <c r="AL21" s="1">
        <v>13.279500000000001</v>
      </c>
      <c r="AM21" s="1">
        <f t="shared" si="4"/>
        <v>0.1666666</v>
      </c>
      <c r="AN21" s="1">
        <f t="shared" si="5"/>
        <v>13.279500000000001</v>
      </c>
    </row>
    <row r="22" spans="1:40">
      <c r="A22" t="s">
        <v>4</v>
      </c>
      <c r="B22">
        <v>0</v>
      </c>
      <c r="C22" t="s">
        <v>5</v>
      </c>
      <c r="D22">
        <v>3</v>
      </c>
      <c r="E22" t="s">
        <v>6</v>
      </c>
      <c r="F22" s="1">
        <v>0.109375</v>
      </c>
      <c r="G22" t="s">
        <v>7</v>
      </c>
      <c r="H22" s="1">
        <v>0.5</v>
      </c>
      <c r="I22" t="s">
        <v>8</v>
      </c>
      <c r="J22" s="1">
        <v>0</v>
      </c>
      <c r="K22" s="1">
        <v>28.443956782164399</v>
      </c>
      <c r="L22" s="1">
        <f t="shared" si="0"/>
        <v>0.21875</v>
      </c>
      <c r="M22" s="1">
        <f t="shared" si="6"/>
        <v>14.2219783910822</v>
      </c>
      <c r="AB22" s="3"/>
      <c r="AC22">
        <v>123355</v>
      </c>
      <c r="AD22" s="1">
        <v>0.140625</v>
      </c>
      <c r="AE22" s="1">
        <v>13.140700000000001</v>
      </c>
      <c r="AF22" s="1">
        <f t="shared" si="2"/>
        <v>0.28125</v>
      </c>
      <c r="AG22" s="1">
        <f t="shared" si="3"/>
        <v>13.140700000000001</v>
      </c>
      <c r="AI22" s="3"/>
      <c r="AJ22">
        <v>58334</v>
      </c>
      <c r="AK22" s="1">
        <v>9.375E-2</v>
      </c>
      <c r="AL22" s="1">
        <v>13.2361</v>
      </c>
      <c r="AM22" s="1">
        <f t="shared" si="4"/>
        <v>0.1875</v>
      </c>
      <c r="AN22" s="1">
        <f t="shared" si="5"/>
        <v>13.2361</v>
      </c>
    </row>
    <row r="23" spans="1:40">
      <c r="A23" t="s">
        <v>4</v>
      </c>
      <c r="B23">
        <v>0</v>
      </c>
      <c r="C23" t="s">
        <v>5</v>
      </c>
      <c r="D23">
        <v>4</v>
      </c>
      <c r="E23" t="s">
        <v>6</v>
      </c>
      <c r="F23" s="1">
        <v>0.140625</v>
      </c>
      <c r="G23" t="s">
        <v>7</v>
      </c>
      <c r="H23" s="1">
        <v>0.5</v>
      </c>
      <c r="I23" t="s">
        <v>8</v>
      </c>
      <c r="J23" s="1">
        <v>0</v>
      </c>
      <c r="K23" s="1">
        <v>27.655869884670601</v>
      </c>
      <c r="L23" s="1">
        <f t="shared" si="0"/>
        <v>0.28125</v>
      </c>
      <c r="M23" s="1">
        <f t="shared" si="6"/>
        <v>13.8279349423353</v>
      </c>
      <c r="AB23" s="3"/>
      <c r="AC23">
        <v>25206</v>
      </c>
      <c r="AD23" s="1">
        <v>0.15625</v>
      </c>
      <c r="AE23" s="1">
        <v>13.041700000000001</v>
      </c>
      <c r="AF23" s="1">
        <f t="shared" si="2"/>
        <v>0.3125</v>
      </c>
      <c r="AG23" s="1">
        <f t="shared" si="3"/>
        <v>13.041700000000001</v>
      </c>
      <c r="AI23" s="3"/>
      <c r="AJ23">
        <v>5718</v>
      </c>
      <c r="AK23" s="1">
        <v>0.104167</v>
      </c>
      <c r="AL23" s="1">
        <v>13.1928</v>
      </c>
      <c r="AM23" s="1">
        <f t="shared" si="4"/>
        <v>0.20833399999999999</v>
      </c>
      <c r="AN23" s="1">
        <f t="shared" si="5"/>
        <v>13.1928</v>
      </c>
    </row>
    <row r="24" spans="1:40">
      <c r="A24" t="s">
        <v>4</v>
      </c>
      <c r="B24">
        <v>0</v>
      </c>
      <c r="C24" t="s">
        <v>5</v>
      </c>
      <c r="D24">
        <v>5</v>
      </c>
      <c r="E24" t="s">
        <v>6</v>
      </c>
      <c r="F24" s="1">
        <v>0.171875</v>
      </c>
      <c r="G24" t="s">
        <v>7</v>
      </c>
      <c r="H24" s="1">
        <v>0.5</v>
      </c>
      <c r="I24" t="s">
        <v>8</v>
      </c>
      <c r="J24" s="1">
        <v>0</v>
      </c>
      <c r="K24" s="1">
        <v>27.1413942923921</v>
      </c>
      <c r="L24" s="1">
        <f t="shared" si="0"/>
        <v>0.34375</v>
      </c>
      <c r="M24" s="1">
        <f t="shared" si="6"/>
        <v>13.57069714619605</v>
      </c>
      <c r="AB24" s="3"/>
      <c r="AC24">
        <v>123358</v>
      </c>
      <c r="AD24" s="1">
        <v>0.171875</v>
      </c>
      <c r="AE24" s="1">
        <v>12.920199999999999</v>
      </c>
      <c r="AF24" s="1">
        <f t="shared" si="2"/>
        <v>0.34375</v>
      </c>
      <c r="AG24" s="1">
        <f t="shared" si="3"/>
        <v>12.920199999999999</v>
      </c>
      <c r="AI24" s="3"/>
      <c r="AJ24">
        <v>58338</v>
      </c>
      <c r="AK24" s="1">
        <v>0.114583</v>
      </c>
      <c r="AL24" s="1">
        <v>13.139799999999999</v>
      </c>
      <c r="AM24" s="1">
        <f t="shared" si="4"/>
        <v>0.22916600000000001</v>
      </c>
      <c r="AN24" s="1">
        <f t="shared" si="5"/>
        <v>13.139799999999999</v>
      </c>
    </row>
    <row r="25" spans="1:40">
      <c r="A25" t="s">
        <v>4</v>
      </c>
      <c r="B25">
        <v>0</v>
      </c>
      <c r="C25" t="s">
        <v>5</v>
      </c>
      <c r="D25">
        <v>6</v>
      </c>
      <c r="E25" t="s">
        <v>6</v>
      </c>
      <c r="F25" s="1">
        <v>0.203125</v>
      </c>
      <c r="G25" t="s">
        <v>7</v>
      </c>
      <c r="H25" s="1">
        <v>0.5</v>
      </c>
      <c r="I25" t="s">
        <v>8</v>
      </c>
      <c r="J25" s="1">
        <v>0</v>
      </c>
      <c r="K25" s="1">
        <v>27.1075780060672</v>
      </c>
      <c r="L25" s="1">
        <f t="shared" si="0"/>
        <v>0.40625</v>
      </c>
      <c r="M25" s="1">
        <f t="shared" si="6"/>
        <v>13.5537890030336</v>
      </c>
      <c r="AB25" s="3"/>
      <c r="AC25">
        <v>25207</v>
      </c>
      <c r="AD25" s="1">
        <v>0.1875</v>
      </c>
      <c r="AE25" s="1">
        <v>12.7987</v>
      </c>
      <c r="AF25" s="1">
        <f t="shared" si="2"/>
        <v>0.375</v>
      </c>
      <c r="AG25" s="1">
        <f t="shared" si="3"/>
        <v>12.7987</v>
      </c>
      <c r="AI25" s="3"/>
      <c r="AJ25">
        <v>5719</v>
      </c>
      <c r="AK25" s="1">
        <v>0.125</v>
      </c>
      <c r="AL25" s="1">
        <v>13.0869</v>
      </c>
      <c r="AM25" s="1">
        <f t="shared" si="4"/>
        <v>0.25</v>
      </c>
      <c r="AN25" s="1">
        <f t="shared" si="5"/>
        <v>13.0869</v>
      </c>
    </row>
    <row r="26" spans="1:40">
      <c r="A26" t="s">
        <v>4</v>
      </c>
      <c r="B26">
        <v>0</v>
      </c>
      <c r="C26" t="s">
        <v>5</v>
      </c>
      <c r="D26">
        <v>7</v>
      </c>
      <c r="E26" t="s">
        <v>6</v>
      </c>
      <c r="F26" s="1">
        <v>0.234375</v>
      </c>
      <c r="G26" t="s">
        <v>7</v>
      </c>
      <c r="H26" s="1">
        <v>0.5</v>
      </c>
      <c r="I26" t="s">
        <v>8</v>
      </c>
      <c r="J26" s="1">
        <v>0</v>
      </c>
      <c r="K26" s="1">
        <v>25.930462069289501</v>
      </c>
      <c r="L26" s="1">
        <f t="shared" si="0"/>
        <v>0.46875</v>
      </c>
      <c r="M26" s="1">
        <f t="shared" si="6"/>
        <v>12.96523103464475</v>
      </c>
      <c r="AB26" s="3"/>
      <c r="AC26">
        <v>123361</v>
      </c>
      <c r="AD26" s="1">
        <v>0.203125</v>
      </c>
      <c r="AE26" s="1">
        <v>12.6541</v>
      </c>
      <c r="AF26" s="1">
        <f t="shared" si="2"/>
        <v>0.40625</v>
      </c>
      <c r="AG26" s="1">
        <f t="shared" si="3"/>
        <v>12.6541</v>
      </c>
      <c r="AI26" s="3"/>
      <c r="AJ26">
        <v>58342</v>
      </c>
      <c r="AK26" s="1">
        <v>0.13541700000000001</v>
      </c>
      <c r="AL26" s="1">
        <v>13.0242</v>
      </c>
      <c r="AM26" s="1">
        <f t="shared" si="4"/>
        <v>0.27083400000000002</v>
      </c>
      <c r="AN26" s="1">
        <f t="shared" si="5"/>
        <v>13.0242</v>
      </c>
    </row>
    <row r="27" spans="1:40">
      <c r="A27" t="s">
        <v>4</v>
      </c>
      <c r="B27">
        <v>0</v>
      </c>
      <c r="C27" t="s">
        <v>5</v>
      </c>
      <c r="D27">
        <v>8</v>
      </c>
      <c r="E27" t="s">
        <v>6</v>
      </c>
      <c r="F27" s="1">
        <v>0.265625</v>
      </c>
      <c r="G27" t="s">
        <v>7</v>
      </c>
      <c r="H27" s="1">
        <v>0.5</v>
      </c>
      <c r="I27" t="s">
        <v>8</v>
      </c>
      <c r="J27" s="1">
        <v>0</v>
      </c>
      <c r="K27" s="1">
        <v>25.0970483128824</v>
      </c>
      <c r="L27" s="1">
        <f t="shared" si="0"/>
        <v>0.53125</v>
      </c>
      <c r="M27" s="1">
        <f t="shared" si="6"/>
        <v>12.5485241564412</v>
      </c>
      <c r="AB27" s="3"/>
      <c r="AC27">
        <v>25208</v>
      </c>
      <c r="AD27" s="1">
        <v>0.21875</v>
      </c>
      <c r="AE27" s="1">
        <v>12.509499999999999</v>
      </c>
      <c r="AF27" s="1">
        <f t="shared" si="2"/>
        <v>0.4375</v>
      </c>
      <c r="AG27" s="1">
        <f t="shared" si="3"/>
        <v>12.509499999999999</v>
      </c>
      <c r="AI27" s="3"/>
      <c r="AJ27">
        <v>5720</v>
      </c>
      <c r="AK27" s="1">
        <v>0.14583299999999999</v>
      </c>
      <c r="AL27" s="1">
        <v>12.961499999999999</v>
      </c>
      <c r="AM27" s="1">
        <f t="shared" si="4"/>
        <v>0.29166599999999998</v>
      </c>
      <c r="AN27" s="1">
        <f t="shared" si="5"/>
        <v>12.961499999999999</v>
      </c>
    </row>
    <row r="28" spans="1:40">
      <c r="A28" t="s">
        <v>4</v>
      </c>
      <c r="B28">
        <v>0</v>
      </c>
      <c r="C28" t="s">
        <v>5</v>
      </c>
      <c r="D28">
        <v>9</v>
      </c>
      <c r="E28" t="s">
        <v>6</v>
      </c>
      <c r="F28" s="1">
        <v>0.296875</v>
      </c>
      <c r="G28" t="s">
        <v>7</v>
      </c>
      <c r="H28" s="1">
        <v>0.5</v>
      </c>
      <c r="I28" t="s">
        <v>8</v>
      </c>
      <c r="J28" s="1">
        <v>0</v>
      </c>
      <c r="K28" s="1">
        <v>24.510545385360199</v>
      </c>
      <c r="L28" s="1">
        <f t="shared" si="0"/>
        <v>0.59375</v>
      </c>
      <c r="M28" s="1">
        <f t="shared" si="6"/>
        <v>12.2552726926801</v>
      </c>
      <c r="AB28" s="3"/>
      <c r="AC28">
        <v>123364</v>
      </c>
      <c r="AD28" s="1">
        <v>0.234375</v>
      </c>
      <c r="AE28" s="1">
        <v>12.3408</v>
      </c>
      <c r="AF28" s="1">
        <f t="shared" si="2"/>
        <v>0.46875</v>
      </c>
      <c r="AG28" s="1">
        <f t="shared" si="3"/>
        <v>12.3408</v>
      </c>
      <c r="AI28" s="3"/>
      <c r="AJ28">
        <v>58346</v>
      </c>
      <c r="AK28" s="1">
        <v>0.15625</v>
      </c>
      <c r="AL28" s="1">
        <v>12.889099999999999</v>
      </c>
      <c r="AM28" s="1">
        <f t="shared" si="4"/>
        <v>0.3125</v>
      </c>
      <c r="AN28" s="1">
        <f t="shared" si="5"/>
        <v>12.889099999999999</v>
      </c>
    </row>
    <row r="29" spans="1:40">
      <c r="A29" t="s">
        <v>4</v>
      </c>
      <c r="B29">
        <v>0</v>
      </c>
      <c r="C29" t="s">
        <v>5</v>
      </c>
      <c r="D29">
        <v>10</v>
      </c>
      <c r="E29" t="s">
        <v>6</v>
      </c>
      <c r="F29" s="1">
        <v>0.328125</v>
      </c>
      <c r="G29" t="s">
        <v>7</v>
      </c>
      <c r="H29" s="1">
        <v>0.5</v>
      </c>
      <c r="I29" t="s">
        <v>8</v>
      </c>
      <c r="J29" s="1">
        <v>0</v>
      </c>
      <c r="K29" s="1">
        <v>23.529190844173201</v>
      </c>
      <c r="L29" s="1">
        <f t="shared" si="0"/>
        <v>0.65625</v>
      </c>
      <c r="M29" s="1">
        <f t="shared" si="6"/>
        <v>11.7645954220866</v>
      </c>
      <c r="AB29" s="3"/>
      <c r="AC29">
        <v>25209</v>
      </c>
      <c r="AD29" s="1">
        <v>0.25</v>
      </c>
      <c r="AE29" s="1">
        <v>12.1722</v>
      </c>
      <c r="AF29" s="1">
        <f t="shared" si="2"/>
        <v>0.5</v>
      </c>
      <c r="AG29" s="1">
        <f t="shared" si="3"/>
        <v>12.1722</v>
      </c>
      <c r="AI29" s="3"/>
      <c r="AJ29">
        <v>5721</v>
      </c>
      <c r="AK29" s="1">
        <v>0.16666700000000001</v>
      </c>
      <c r="AL29" s="1">
        <v>12.816800000000001</v>
      </c>
      <c r="AM29" s="1">
        <f t="shared" si="4"/>
        <v>0.33333400000000002</v>
      </c>
      <c r="AN29" s="1">
        <f t="shared" si="5"/>
        <v>12.816800000000001</v>
      </c>
    </row>
    <row r="30" spans="1:40">
      <c r="A30" t="s">
        <v>4</v>
      </c>
      <c r="B30">
        <v>0</v>
      </c>
      <c r="C30" t="s">
        <v>5</v>
      </c>
      <c r="D30">
        <v>11</v>
      </c>
      <c r="E30" t="s">
        <v>6</v>
      </c>
      <c r="F30" s="1">
        <v>0.359375</v>
      </c>
      <c r="G30" t="s">
        <v>7</v>
      </c>
      <c r="H30" s="1">
        <v>0.5</v>
      </c>
      <c r="I30" t="s">
        <v>8</v>
      </c>
      <c r="J30" s="1">
        <v>0</v>
      </c>
      <c r="K30" s="1">
        <v>22.192514809691001</v>
      </c>
      <c r="L30" s="1">
        <f t="shared" si="0"/>
        <v>0.71875</v>
      </c>
      <c r="M30" s="1">
        <f t="shared" si="6"/>
        <v>11.096257404845501</v>
      </c>
      <c r="AB30" s="3"/>
      <c r="AC30">
        <v>123367</v>
      </c>
      <c r="AD30" s="1">
        <v>0.265625</v>
      </c>
      <c r="AE30" s="1">
        <v>11.978400000000001</v>
      </c>
      <c r="AF30" s="1">
        <f t="shared" si="2"/>
        <v>0.53125</v>
      </c>
      <c r="AG30" s="1">
        <f t="shared" si="3"/>
        <v>11.978400000000001</v>
      </c>
      <c r="AI30" s="3"/>
      <c r="AJ30">
        <v>58350</v>
      </c>
      <c r="AK30" s="1">
        <v>0.17708299999999999</v>
      </c>
      <c r="AL30" s="1">
        <v>12.7346</v>
      </c>
      <c r="AM30" s="1">
        <f t="shared" si="4"/>
        <v>0.35416599999999998</v>
      </c>
      <c r="AN30" s="1">
        <f t="shared" si="5"/>
        <v>12.7346</v>
      </c>
    </row>
    <row r="31" spans="1:40">
      <c r="A31" t="s">
        <v>4</v>
      </c>
      <c r="B31">
        <v>0</v>
      </c>
      <c r="C31" t="s">
        <v>5</v>
      </c>
      <c r="D31">
        <v>12</v>
      </c>
      <c r="E31" t="s">
        <v>6</v>
      </c>
      <c r="F31" s="1">
        <v>0.390625</v>
      </c>
      <c r="G31" t="s">
        <v>7</v>
      </c>
      <c r="H31" s="1">
        <v>0.5</v>
      </c>
      <c r="I31" t="s">
        <v>8</v>
      </c>
      <c r="J31" s="1">
        <v>0</v>
      </c>
      <c r="K31" s="1">
        <v>21.0826885920515</v>
      </c>
      <c r="L31" s="1">
        <f t="shared" si="0"/>
        <v>0.78125</v>
      </c>
      <c r="M31" s="1">
        <f t="shared" si="6"/>
        <v>10.54134429602575</v>
      </c>
      <c r="AB31" s="3"/>
      <c r="AC31">
        <v>25210</v>
      </c>
      <c r="AD31" s="1">
        <v>0.28125</v>
      </c>
      <c r="AE31" s="1">
        <v>11.784599999999999</v>
      </c>
      <c r="AF31" s="1">
        <f t="shared" si="2"/>
        <v>0.5625</v>
      </c>
      <c r="AG31" s="1">
        <f t="shared" si="3"/>
        <v>11.784599999999999</v>
      </c>
      <c r="AI31" s="3"/>
      <c r="AJ31">
        <v>5722</v>
      </c>
      <c r="AK31" s="1">
        <v>0.1875</v>
      </c>
      <c r="AL31" s="1">
        <v>12.6524</v>
      </c>
      <c r="AM31" s="1">
        <f t="shared" si="4"/>
        <v>0.375</v>
      </c>
      <c r="AN31" s="1">
        <f t="shared" si="5"/>
        <v>12.6524</v>
      </c>
    </row>
    <row r="32" spans="1:40">
      <c r="A32" t="s">
        <v>4</v>
      </c>
      <c r="B32">
        <v>0</v>
      </c>
      <c r="C32" t="s">
        <v>5</v>
      </c>
      <c r="D32">
        <v>13</v>
      </c>
      <c r="E32" t="s">
        <v>6</v>
      </c>
      <c r="F32" s="1">
        <v>0.421875</v>
      </c>
      <c r="G32" t="s">
        <v>7</v>
      </c>
      <c r="H32" s="1">
        <v>0.5</v>
      </c>
      <c r="I32" t="s">
        <v>8</v>
      </c>
      <c r="J32" s="1">
        <v>0</v>
      </c>
      <c r="K32" s="1">
        <v>17.984943326833999</v>
      </c>
      <c r="L32" s="1">
        <f t="shared" si="0"/>
        <v>0.84375</v>
      </c>
      <c r="M32" s="1">
        <f t="shared" si="6"/>
        <v>8.9924716634169997</v>
      </c>
      <c r="AB32" s="3"/>
      <c r="AC32">
        <v>123370</v>
      </c>
      <c r="AD32" s="1">
        <v>0.296875</v>
      </c>
      <c r="AE32" s="1">
        <v>11.5633</v>
      </c>
      <c r="AF32" s="1">
        <f t="shared" si="2"/>
        <v>0.59375</v>
      </c>
      <c r="AG32" s="1">
        <f t="shared" si="3"/>
        <v>11.5633</v>
      </c>
      <c r="AI32" s="3"/>
      <c r="AJ32">
        <v>58354</v>
      </c>
      <c r="AK32" s="1">
        <v>0.19791700000000001</v>
      </c>
      <c r="AL32" s="1">
        <v>12.5604</v>
      </c>
      <c r="AM32" s="1">
        <f t="shared" si="4"/>
        <v>0.39583400000000002</v>
      </c>
      <c r="AN32" s="1">
        <f t="shared" si="5"/>
        <v>12.5604</v>
      </c>
    </row>
    <row r="33" spans="1:40">
      <c r="A33" t="s">
        <v>4</v>
      </c>
      <c r="B33">
        <v>0</v>
      </c>
      <c r="C33" t="s">
        <v>5</v>
      </c>
      <c r="D33">
        <v>14</v>
      </c>
      <c r="E33" t="s">
        <v>6</v>
      </c>
      <c r="F33" s="1">
        <v>0.453125</v>
      </c>
      <c r="G33" t="s">
        <v>7</v>
      </c>
      <c r="H33" s="1">
        <v>0.5</v>
      </c>
      <c r="I33" t="s">
        <v>8</v>
      </c>
      <c r="J33" s="1">
        <v>0</v>
      </c>
      <c r="K33" s="1">
        <v>18.382294082429201</v>
      </c>
      <c r="L33" s="1">
        <f t="shared" si="0"/>
        <v>0.90625</v>
      </c>
      <c r="M33" s="1">
        <f t="shared" si="6"/>
        <v>9.1911470412146006</v>
      </c>
      <c r="AB33" s="3"/>
      <c r="AC33">
        <v>25211</v>
      </c>
      <c r="AD33" s="1">
        <v>0.3125</v>
      </c>
      <c r="AE33" s="1">
        <v>11.342000000000001</v>
      </c>
      <c r="AF33" s="1">
        <f t="shared" si="2"/>
        <v>0.625</v>
      </c>
      <c r="AG33" s="1">
        <f t="shared" si="3"/>
        <v>11.342000000000001</v>
      </c>
      <c r="AI33" s="3"/>
      <c r="AJ33">
        <v>5723</v>
      </c>
      <c r="AK33" s="1">
        <v>0.20833299999999999</v>
      </c>
      <c r="AL33" s="1">
        <v>12.468299999999999</v>
      </c>
      <c r="AM33" s="1">
        <f t="shared" si="4"/>
        <v>0.41666599999999998</v>
      </c>
      <c r="AN33" s="1">
        <f t="shared" si="5"/>
        <v>12.468299999999999</v>
      </c>
    </row>
    <row r="34" spans="1:40">
      <c r="A34" t="s">
        <v>4</v>
      </c>
      <c r="B34">
        <v>0</v>
      </c>
      <c r="C34" t="s">
        <v>5</v>
      </c>
      <c r="D34">
        <v>15</v>
      </c>
      <c r="E34" t="s">
        <v>6</v>
      </c>
      <c r="F34" s="1">
        <v>0.484375</v>
      </c>
      <c r="G34" t="s">
        <v>7</v>
      </c>
      <c r="H34" s="1">
        <v>0.5</v>
      </c>
      <c r="I34" t="s">
        <v>8</v>
      </c>
      <c r="J34" s="1">
        <v>0</v>
      </c>
      <c r="K34" s="1">
        <v>10.382953285412601</v>
      </c>
      <c r="L34" s="1">
        <f t="shared" si="0"/>
        <v>0.96875</v>
      </c>
      <c r="M34" s="1">
        <f t="shared" si="6"/>
        <v>5.1914766427063004</v>
      </c>
      <c r="AB34" s="3"/>
      <c r="AC34">
        <v>123373</v>
      </c>
      <c r="AD34" s="1">
        <v>0.328125</v>
      </c>
      <c r="AE34" s="1">
        <v>11.0878</v>
      </c>
      <c r="AF34" s="1">
        <f t="shared" si="2"/>
        <v>0.65625</v>
      </c>
      <c r="AG34" s="1">
        <f t="shared" si="3"/>
        <v>11.0878</v>
      </c>
      <c r="AI34" s="3"/>
      <c r="AJ34">
        <v>58358</v>
      </c>
      <c r="AK34" s="1">
        <v>0.21875</v>
      </c>
      <c r="AL34" s="1">
        <v>12.366099999999999</v>
      </c>
      <c r="AM34" s="1">
        <f t="shared" si="4"/>
        <v>0.4375</v>
      </c>
      <c r="AN34" s="1">
        <f t="shared" si="5"/>
        <v>12.366099999999999</v>
      </c>
    </row>
    <row r="35" spans="1:40">
      <c r="A35" t="s">
        <v>18</v>
      </c>
      <c r="L35" s="1"/>
      <c r="M35" s="1"/>
      <c r="AB35" s="3"/>
      <c r="AC35">
        <v>25212</v>
      </c>
      <c r="AD35" s="1">
        <v>0.34375</v>
      </c>
      <c r="AE35" s="1">
        <v>10.833600000000001</v>
      </c>
      <c r="AF35" s="1">
        <f t="shared" si="2"/>
        <v>0.6875</v>
      </c>
      <c r="AG35" s="1">
        <f t="shared" si="3"/>
        <v>10.833600000000001</v>
      </c>
      <c r="AI35" s="3"/>
      <c r="AJ35">
        <v>5724</v>
      </c>
      <c r="AK35" s="1">
        <v>0.22916700000000001</v>
      </c>
      <c r="AL35" s="1">
        <v>12.2639</v>
      </c>
      <c r="AM35" s="1">
        <f t="shared" si="4"/>
        <v>0.45833400000000002</v>
      </c>
      <c r="AN35" s="1">
        <f t="shared" si="5"/>
        <v>12.2639</v>
      </c>
    </row>
    <row r="36" spans="1:40">
      <c r="A36" t="s">
        <v>4</v>
      </c>
      <c r="B36">
        <v>0</v>
      </c>
      <c r="C36" t="s">
        <v>5</v>
      </c>
      <c r="D36">
        <v>0</v>
      </c>
      <c r="E36" t="s">
        <v>6</v>
      </c>
      <c r="F36" s="1">
        <v>1.5625E-2</v>
      </c>
      <c r="G36" t="s">
        <v>7</v>
      </c>
      <c r="H36" s="1">
        <v>0.5</v>
      </c>
      <c r="I36" t="s">
        <v>8</v>
      </c>
      <c r="J36" s="1">
        <v>0</v>
      </c>
      <c r="K36" s="1">
        <v>28.240582255388698</v>
      </c>
      <c r="L36" s="1">
        <f t="shared" si="0"/>
        <v>3.125E-2</v>
      </c>
      <c r="M36" s="1">
        <f>K36/2</f>
        <v>14.120291127694349</v>
      </c>
      <c r="AB36" s="3"/>
      <c r="AC36">
        <v>123376</v>
      </c>
      <c r="AD36" s="1">
        <v>0.359375</v>
      </c>
      <c r="AE36" s="1">
        <v>10.535399999999999</v>
      </c>
      <c r="AF36" s="1">
        <f t="shared" si="2"/>
        <v>0.71875</v>
      </c>
      <c r="AG36" s="1">
        <f t="shared" si="3"/>
        <v>10.535399999999999</v>
      </c>
      <c r="AI36" s="3"/>
      <c r="AJ36">
        <v>58362</v>
      </c>
      <c r="AK36" s="1">
        <v>0.23958299999999999</v>
      </c>
      <c r="AL36" s="1">
        <v>12.151300000000001</v>
      </c>
      <c r="AM36" s="1">
        <f t="shared" si="4"/>
        <v>0.47916599999999998</v>
      </c>
      <c r="AN36" s="1">
        <f t="shared" si="5"/>
        <v>12.151300000000001</v>
      </c>
    </row>
    <row r="37" spans="1:40">
      <c r="A37" t="s">
        <v>4</v>
      </c>
      <c r="B37">
        <v>0</v>
      </c>
      <c r="C37" t="s">
        <v>5</v>
      </c>
      <c r="D37">
        <v>1</v>
      </c>
      <c r="E37" t="s">
        <v>6</v>
      </c>
      <c r="F37" s="1">
        <v>4.6875E-2</v>
      </c>
      <c r="G37" t="s">
        <v>7</v>
      </c>
      <c r="H37" s="1">
        <v>0.5</v>
      </c>
      <c r="I37" t="s">
        <v>8</v>
      </c>
      <c r="J37" s="1">
        <v>0</v>
      </c>
      <c r="K37" s="1">
        <v>28.175743073532399</v>
      </c>
      <c r="L37" s="1">
        <f t="shared" si="0"/>
        <v>9.375E-2</v>
      </c>
      <c r="M37" s="1">
        <f t="shared" ref="M37:M51" si="7">K37/2</f>
        <v>14.087871536766199</v>
      </c>
      <c r="AB37" s="3"/>
      <c r="AC37">
        <v>25213</v>
      </c>
      <c r="AD37" s="1">
        <v>0.375</v>
      </c>
      <c r="AE37" s="1">
        <v>10.2372</v>
      </c>
      <c r="AF37" s="1">
        <f t="shared" si="2"/>
        <v>0.75</v>
      </c>
      <c r="AG37" s="1">
        <f t="shared" si="3"/>
        <v>10.2372</v>
      </c>
      <c r="AI37" s="3"/>
      <c r="AJ37">
        <v>5725</v>
      </c>
      <c r="AK37" s="1">
        <v>0.25</v>
      </c>
      <c r="AL37" s="1">
        <v>12.0387</v>
      </c>
      <c r="AM37" s="1">
        <f t="shared" si="4"/>
        <v>0.5</v>
      </c>
      <c r="AN37" s="1">
        <f t="shared" si="5"/>
        <v>12.0387</v>
      </c>
    </row>
    <row r="38" spans="1:40">
      <c r="A38" t="s">
        <v>4</v>
      </c>
      <c r="B38">
        <v>0</v>
      </c>
      <c r="C38" t="s">
        <v>5</v>
      </c>
      <c r="D38">
        <v>2</v>
      </c>
      <c r="E38" t="s">
        <v>6</v>
      </c>
      <c r="F38" s="1">
        <v>7.8125E-2</v>
      </c>
      <c r="G38" t="s">
        <v>7</v>
      </c>
      <c r="H38" s="1">
        <v>0.5</v>
      </c>
      <c r="I38" t="s">
        <v>8</v>
      </c>
      <c r="J38" s="1">
        <v>0</v>
      </c>
      <c r="K38" s="1">
        <v>27.963507839908601</v>
      </c>
      <c r="L38" s="1">
        <f t="shared" si="0"/>
        <v>0.15625</v>
      </c>
      <c r="M38" s="1">
        <f t="shared" si="7"/>
        <v>13.981753919954301</v>
      </c>
      <c r="AB38" s="3"/>
      <c r="AC38">
        <v>123379</v>
      </c>
      <c r="AD38" s="1">
        <v>0.390625</v>
      </c>
      <c r="AE38" s="1">
        <v>9.8813800000000001</v>
      </c>
      <c r="AF38" s="1">
        <f t="shared" si="2"/>
        <v>0.78125</v>
      </c>
      <c r="AG38" s="1">
        <f t="shared" si="3"/>
        <v>9.8813800000000001</v>
      </c>
      <c r="AI38" s="3"/>
      <c r="AJ38">
        <v>58366</v>
      </c>
      <c r="AK38" s="1">
        <v>0.26041700000000001</v>
      </c>
      <c r="AL38" s="1">
        <v>11.915100000000001</v>
      </c>
      <c r="AM38" s="1">
        <f t="shared" si="4"/>
        <v>0.52083400000000002</v>
      </c>
      <c r="AN38" s="1">
        <f t="shared" si="5"/>
        <v>11.915100000000001</v>
      </c>
    </row>
    <row r="39" spans="1:40">
      <c r="A39" t="s">
        <v>4</v>
      </c>
      <c r="B39">
        <v>0</v>
      </c>
      <c r="C39" t="s">
        <v>5</v>
      </c>
      <c r="D39">
        <v>3</v>
      </c>
      <c r="E39" t="s">
        <v>6</v>
      </c>
      <c r="F39" s="1">
        <v>0.109375</v>
      </c>
      <c r="G39" t="s">
        <v>7</v>
      </c>
      <c r="H39" s="1">
        <v>0.5</v>
      </c>
      <c r="I39" t="s">
        <v>8</v>
      </c>
      <c r="J39" s="1">
        <v>0</v>
      </c>
      <c r="K39" s="1">
        <v>28.091072533317998</v>
      </c>
      <c r="L39" s="1">
        <f t="shared" si="0"/>
        <v>0.21875</v>
      </c>
      <c r="M39" s="1">
        <f t="shared" si="7"/>
        <v>14.045536266658999</v>
      </c>
      <c r="AB39" s="3"/>
      <c r="AC39">
        <v>25214</v>
      </c>
      <c r="AD39" s="1">
        <v>0.40625</v>
      </c>
      <c r="AE39" s="1">
        <v>9.5255299999999998</v>
      </c>
      <c r="AF39" s="1">
        <f t="shared" si="2"/>
        <v>0.8125</v>
      </c>
      <c r="AG39" s="1">
        <f t="shared" si="3"/>
        <v>9.5255299999999998</v>
      </c>
      <c r="AI39" s="3"/>
      <c r="AJ39">
        <v>5726</v>
      </c>
      <c r="AK39" s="1">
        <v>0.27083299999999999</v>
      </c>
      <c r="AL39" s="1">
        <v>11.791499999999999</v>
      </c>
      <c r="AM39" s="1">
        <f t="shared" si="4"/>
        <v>0.54166599999999998</v>
      </c>
      <c r="AN39" s="1">
        <f t="shared" si="5"/>
        <v>11.791499999999999</v>
      </c>
    </row>
    <row r="40" spans="1:40">
      <c r="A40" t="s">
        <v>4</v>
      </c>
      <c r="B40">
        <v>0</v>
      </c>
      <c r="C40" t="s">
        <v>5</v>
      </c>
      <c r="D40">
        <v>4</v>
      </c>
      <c r="E40" t="s">
        <v>6</v>
      </c>
      <c r="F40" s="1">
        <v>0.140625</v>
      </c>
      <c r="G40" t="s">
        <v>7</v>
      </c>
      <c r="H40" s="1">
        <v>0.5</v>
      </c>
      <c r="I40" t="s">
        <v>8</v>
      </c>
      <c r="J40" s="1">
        <v>0</v>
      </c>
      <c r="K40" s="1">
        <v>27.309346029344901</v>
      </c>
      <c r="L40" s="1">
        <f t="shared" si="0"/>
        <v>0.28125</v>
      </c>
      <c r="M40" s="1">
        <f t="shared" si="7"/>
        <v>13.654673014672451</v>
      </c>
      <c r="AB40" s="3"/>
      <c r="AC40">
        <v>123382</v>
      </c>
      <c r="AD40" s="1">
        <v>0.421875</v>
      </c>
      <c r="AE40" s="1">
        <v>9.1795799999999996</v>
      </c>
      <c r="AF40" s="1">
        <f t="shared" si="2"/>
        <v>0.84375</v>
      </c>
      <c r="AG40" s="1">
        <f t="shared" si="3"/>
        <v>9.1795799999999996</v>
      </c>
      <c r="AI40" s="3"/>
      <c r="AJ40">
        <v>58370</v>
      </c>
      <c r="AK40" s="1">
        <v>0.28125</v>
      </c>
      <c r="AL40" s="1">
        <v>11.656000000000001</v>
      </c>
      <c r="AM40" s="1">
        <f t="shared" si="4"/>
        <v>0.5625</v>
      </c>
      <c r="AN40" s="1">
        <f t="shared" si="5"/>
        <v>11.656000000000001</v>
      </c>
    </row>
    <row r="41" spans="1:40">
      <c r="A41" t="s">
        <v>4</v>
      </c>
      <c r="B41">
        <v>0</v>
      </c>
      <c r="C41" t="s">
        <v>5</v>
      </c>
      <c r="D41">
        <v>5</v>
      </c>
      <c r="E41" t="s">
        <v>6</v>
      </c>
      <c r="F41" s="1">
        <v>0.171875</v>
      </c>
      <c r="G41" t="s">
        <v>7</v>
      </c>
      <c r="H41" s="1">
        <v>0.5</v>
      </c>
      <c r="I41" t="s">
        <v>8</v>
      </c>
      <c r="J41" s="1">
        <v>0</v>
      </c>
      <c r="K41" s="1">
        <v>26.774924801826199</v>
      </c>
      <c r="L41" s="1">
        <f t="shared" si="0"/>
        <v>0.34375</v>
      </c>
      <c r="M41" s="1">
        <f t="shared" si="7"/>
        <v>13.387462400913099</v>
      </c>
      <c r="AB41" s="3"/>
      <c r="AC41">
        <v>25215</v>
      </c>
      <c r="AD41" s="1">
        <v>0.4375</v>
      </c>
      <c r="AE41" s="1">
        <v>8.8336199999999998</v>
      </c>
      <c r="AF41" s="1">
        <f t="shared" si="2"/>
        <v>0.875</v>
      </c>
      <c r="AG41" s="1">
        <f t="shared" si="3"/>
        <v>8.8336199999999998</v>
      </c>
      <c r="AI41" s="3"/>
      <c r="AJ41">
        <v>5727</v>
      </c>
      <c r="AK41" s="1">
        <v>0.29166700000000001</v>
      </c>
      <c r="AL41" s="1">
        <v>11.5205</v>
      </c>
      <c r="AM41" s="1">
        <f t="shared" si="4"/>
        <v>0.58333400000000002</v>
      </c>
      <c r="AN41" s="1">
        <f t="shared" si="5"/>
        <v>11.5205</v>
      </c>
    </row>
    <row r="42" spans="1:40">
      <c r="A42" t="s">
        <v>4</v>
      </c>
      <c r="B42">
        <v>0</v>
      </c>
      <c r="C42" t="s">
        <v>5</v>
      </c>
      <c r="D42">
        <v>6</v>
      </c>
      <c r="E42" t="s">
        <v>6</v>
      </c>
      <c r="F42" s="1">
        <v>0.203125</v>
      </c>
      <c r="G42" t="s">
        <v>7</v>
      </c>
      <c r="H42" s="1">
        <v>0.5</v>
      </c>
      <c r="I42" t="s">
        <v>8</v>
      </c>
      <c r="J42" s="1">
        <v>0</v>
      </c>
      <c r="K42" s="1">
        <v>26.7268961441345</v>
      </c>
      <c r="L42" s="1">
        <f t="shared" si="0"/>
        <v>0.40625</v>
      </c>
      <c r="M42" s="1">
        <f t="shared" si="7"/>
        <v>13.36344807206725</v>
      </c>
      <c r="AB42" s="3"/>
      <c r="AC42">
        <v>123385</v>
      </c>
      <c r="AD42" s="1">
        <v>0.453125</v>
      </c>
      <c r="AE42" s="1">
        <v>7.9292999999999996</v>
      </c>
      <c r="AF42" s="1">
        <f t="shared" si="2"/>
        <v>0.90625</v>
      </c>
      <c r="AG42" s="1">
        <f t="shared" si="3"/>
        <v>7.9292999999999996</v>
      </c>
      <c r="AI42" s="3"/>
      <c r="AJ42">
        <v>58374</v>
      </c>
      <c r="AK42" s="1">
        <v>0.30208299999999999</v>
      </c>
      <c r="AL42" s="1">
        <v>11.3714</v>
      </c>
      <c r="AM42" s="1">
        <f t="shared" si="4"/>
        <v>0.60416599999999998</v>
      </c>
      <c r="AN42" s="1">
        <f t="shared" si="5"/>
        <v>11.3714</v>
      </c>
    </row>
    <row r="43" spans="1:40">
      <c r="A43" t="s">
        <v>4</v>
      </c>
      <c r="B43">
        <v>0</v>
      </c>
      <c r="C43" t="s">
        <v>5</v>
      </c>
      <c r="D43">
        <v>7</v>
      </c>
      <c r="E43" t="s">
        <v>6</v>
      </c>
      <c r="F43" s="1">
        <v>0.234375</v>
      </c>
      <c r="G43" t="s">
        <v>7</v>
      </c>
      <c r="H43" s="1">
        <v>0.5</v>
      </c>
      <c r="I43" t="s">
        <v>8</v>
      </c>
      <c r="J43" s="1">
        <v>0</v>
      </c>
      <c r="K43" s="1">
        <v>25.553030896681701</v>
      </c>
      <c r="L43" s="1">
        <f t="shared" si="0"/>
        <v>0.46875</v>
      </c>
      <c r="M43" s="1">
        <f t="shared" si="7"/>
        <v>12.776515448340851</v>
      </c>
      <c r="AB43" s="3"/>
      <c r="AC43">
        <v>25216</v>
      </c>
      <c r="AD43" s="1">
        <v>0.46875</v>
      </c>
      <c r="AE43" s="1">
        <v>7.0249800000000002</v>
      </c>
      <c r="AF43" s="1">
        <f t="shared" si="2"/>
        <v>0.9375</v>
      </c>
      <c r="AG43" s="1">
        <f t="shared" si="3"/>
        <v>7.0249800000000002</v>
      </c>
      <c r="AI43" s="3"/>
      <c r="AJ43">
        <v>5728</v>
      </c>
      <c r="AK43" s="1">
        <v>0.3125</v>
      </c>
      <c r="AL43" s="1">
        <v>11.222300000000001</v>
      </c>
      <c r="AM43" s="1">
        <f t="shared" si="4"/>
        <v>0.625</v>
      </c>
      <c r="AN43" s="1">
        <f t="shared" si="5"/>
        <v>11.222300000000001</v>
      </c>
    </row>
    <row r="44" spans="1:40">
      <c r="A44" t="s">
        <v>4</v>
      </c>
      <c r="B44">
        <v>0</v>
      </c>
      <c r="C44" t="s">
        <v>5</v>
      </c>
      <c r="D44">
        <v>8</v>
      </c>
      <c r="E44" t="s">
        <v>6</v>
      </c>
      <c r="F44" s="1">
        <v>0.265625</v>
      </c>
      <c r="G44" t="s">
        <v>7</v>
      </c>
      <c r="H44" s="1">
        <v>0.5</v>
      </c>
      <c r="I44" t="s">
        <v>8</v>
      </c>
      <c r="J44" s="1">
        <v>0</v>
      </c>
      <c r="K44" s="1">
        <v>24.750429286114102</v>
      </c>
      <c r="L44" s="1">
        <f t="shared" si="0"/>
        <v>0.53125</v>
      </c>
      <c r="M44" s="1">
        <f t="shared" si="7"/>
        <v>12.375214643057051</v>
      </c>
      <c r="AB44" s="3"/>
      <c r="AC44">
        <v>123388</v>
      </c>
      <c r="AD44" s="1">
        <v>0.484375</v>
      </c>
      <c r="AE44" s="1">
        <v>6.2415000000000003</v>
      </c>
      <c r="AF44" s="1">
        <f t="shared" si="2"/>
        <v>0.96875</v>
      </c>
      <c r="AG44" s="1">
        <f t="shared" si="3"/>
        <v>6.2415000000000003</v>
      </c>
      <c r="AI44" s="3"/>
      <c r="AJ44">
        <v>58378</v>
      </c>
      <c r="AK44" s="1">
        <v>0.32291700000000001</v>
      </c>
      <c r="AL44" s="1">
        <v>11.0572</v>
      </c>
      <c r="AM44" s="1">
        <f t="shared" si="4"/>
        <v>0.64583400000000002</v>
      </c>
      <c r="AN44" s="1">
        <f t="shared" si="5"/>
        <v>11.0572</v>
      </c>
    </row>
    <row r="45" spans="1:40">
      <c r="A45" t="s">
        <v>4</v>
      </c>
      <c r="B45">
        <v>0</v>
      </c>
      <c r="C45" t="s">
        <v>5</v>
      </c>
      <c r="D45">
        <v>9</v>
      </c>
      <c r="E45" t="s">
        <v>6</v>
      </c>
      <c r="F45" s="1">
        <v>0.296875</v>
      </c>
      <c r="G45" t="s">
        <v>7</v>
      </c>
      <c r="H45" s="1">
        <v>0.5</v>
      </c>
      <c r="I45" t="s">
        <v>8</v>
      </c>
      <c r="J45" s="1">
        <v>0</v>
      </c>
      <c r="K45" s="1">
        <v>24.1553782498472</v>
      </c>
      <c r="L45" s="1">
        <f t="shared" si="0"/>
        <v>0.59375</v>
      </c>
      <c r="M45" s="1">
        <f t="shared" si="7"/>
        <v>12.0776891249236</v>
      </c>
      <c r="AB45" s="4"/>
      <c r="AC45">
        <v>25217</v>
      </c>
      <c r="AD45" s="1">
        <v>0.5</v>
      </c>
      <c r="AE45" s="1">
        <v>5.4580200000000003</v>
      </c>
      <c r="AF45" s="1">
        <f t="shared" si="2"/>
        <v>1</v>
      </c>
      <c r="AG45" s="1">
        <f t="shared" si="3"/>
        <v>5.4580200000000003</v>
      </c>
      <c r="AI45" s="3"/>
      <c r="AJ45">
        <v>5729</v>
      </c>
      <c r="AK45" s="1">
        <v>0.33333299999999999</v>
      </c>
      <c r="AL45" s="1">
        <v>10.891999999999999</v>
      </c>
      <c r="AM45" s="1">
        <f t="shared" si="4"/>
        <v>0.66666599999999998</v>
      </c>
      <c r="AN45" s="1">
        <f t="shared" si="5"/>
        <v>10.891999999999999</v>
      </c>
    </row>
    <row r="46" spans="1:40">
      <c r="A46" t="s">
        <v>4</v>
      </c>
      <c r="B46">
        <v>0</v>
      </c>
      <c r="C46" t="s">
        <v>5</v>
      </c>
      <c r="D46">
        <v>10</v>
      </c>
      <c r="E46" t="s">
        <v>6</v>
      </c>
      <c r="F46" s="1">
        <v>0.328125</v>
      </c>
      <c r="G46" t="s">
        <v>7</v>
      </c>
      <c r="H46" s="1">
        <v>0.5</v>
      </c>
      <c r="I46" t="s">
        <v>8</v>
      </c>
      <c r="J46" s="1">
        <v>0</v>
      </c>
      <c r="K46" s="1">
        <v>23.1508463591672</v>
      </c>
      <c r="L46" s="1">
        <f t="shared" si="0"/>
        <v>0.65625</v>
      </c>
      <c r="M46" s="1">
        <f t="shared" si="7"/>
        <v>11.5754231795836</v>
      </c>
      <c r="AI46" s="3"/>
      <c r="AJ46">
        <v>58382</v>
      </c>
      <c r="AK46" s="1">
        <v>0.34375</v>
      </c>
      <c r="AL46" s="1">
        <v>10.707599999999999</v>
      </c>
      <c r="AM46" s="1">
        <f t="shared" si="4"/>
        <v>0.6875</v>
      </c>
      <c r="AN46" s="1">
        <f t="shared" si="5"/>
        <v>10.707599999999999</v>
      </c>
    </row>
    <row r="47" spans="1:40">
      <c r="A47" t="s">
        <v>4</v>
      </c>
      <c r="B47">
        <v>0</v>
      </c>
      <c r="C47" t="s">
        <v>5</v>
      </c>
      <c r="D47">
        <v>11</v>
      </c>
      <c r="E47" t="s">
        <v>6</v>
      </c>
      <c r="F47" s="1">
        <v>0.359375</v>
      </c>
      <c r="G47" t="s">
        <v>7</v>
      </c>
      <c r="H47" s="1">
        <v>0.5</v>
      </c>
      <c r="I47" t="s">
        <v>8</v>
      </c>
      <c r="J47" s="1">
        <v>0</v>
      </c>
      <c r="K47" s="1">
        <v>21.663894072745599</v>
      </c>
      <c r="L47" s="1">
        <f t="shared" si="0"/>
        <v>0.71875</v>
      </c>
      <c r="M47" s="1">
        <f t="shared" si="7"/>
        <v>10.831947036372799</v>
      </c>
      <c r="AI47" s="3"/>
      <c r="AJ47">
        <v>5730</v>
      </c>
      <c r="AK47" s="1">
        <v>0.35416700000000001</v>
      </c>
      <c r="AL47" s="1">
        <v>10.523099999999999</v>
      </c>
      <c r="AM47" s="1">
        <f t="shared" si="4"/>
        <v>0.70833400000000002</v>
      </c>
      <c r="AN47" s="1">
        <f t="shared" si="5"/>
        <v>10.523099999999999</v>
      </c>
    </row>
    <row r="48" spans="1:40">
      <c r="A48" t="s">
        <v>4</v>
      </c>
      <c r="B48">
        <v>0</v>
      </c>
      <c r="C48" t="s">
        <v>5</v>
      </c>
      <c r="D48">
        <v>12</v>
      </c>
      <c r="E48" t="s">
        <v>6</v>
      </c>
      <c r="F48" s="1">
        <v>0.390625</v>
      </c>
      <c r="G48" t="s">
        <v>7</v>
      </c>
      <c r="H48" s="1">
        <v>0.5</v>
      </c>
      <c r="I48" t="s">
        <v>8</v>
      </c>
      <c r="J48" s="1">
        <v>0</v>
      </c>
      <c r="K48" s="1">
        <v>21.119529854613699</v>
      </c>
      <c r="L48" s="1">
        <f t="shared" si="0"/>
        <v>0.78125</v>
      </c>
      <c r="M48" s="1">
        <f t="shared" si="7"/>
        <v>10.559764927306849</v>
      </c>
      <c r="AI48" s="3"/>
      <c r="AJ48">
        <v>58386</v>
      </c>
      <c r="AK48" s="1">
        <v>0.36458299999999999</v>
      </c>
      <c r="AL48" s="1">
        <v>10.3154</v>
      </c>
      <c r="AM48" s="1">
        <f t="shared" si="4"/>
        <v>0.72916599999999998</v>
      </c>
      <c r="AN48" s="1">
        <f t="shared" si="5"/>
        <v>10.3154</v>
      </c>
    </row>
    <row r="49" spans="1:40">
      <c r="A49" t="s">
        <v>4</v>
      </c>
      <c r="B49">
        <v>0</v>
      </c>
      <c r="C49" t="s">
        <v>5</v>
      </c>
      <c r="D49">
        <v>13</v>
      </c>
      <c r="E49" t="s">
        <v>6</v>
      </c>
      <c r="F49" s="1">
        <v>0.421875</v>
      </c>
      <c r="G49" t="s">
        <v>7</v>
      </c>
      <c r="H49" s="1">
        <v>0.5</v>
      </c>
      <c r="I49" t="s">
        <v>8</v>
      </c>
      <c r="J49" s="1">
        <v>0</v>
      </c>
      <c r="K49" s="1">
        <v>17.616052103124499</v>
      </c>
      <c r="L49" s="1">
        <f t="shared" si="0"/>
        <v>0.84375</v>
      </c>
      <c r="M49" s="1">
        <f t="shared" si="7"/>
        <v>8.8080260515622495</v>
      </c>
      <c r="AI49" s="3"/>
      <c r="AJ49">
        <v>5731</v>
      </c>
      <c r="AK49" s="1">
        <v>0.375</v>
      </c>
      <c r="AL49" s="1">
        <v>10.1076</v>
      </c>
      <c r="AM49" s="1">
        <f t="shared" si="4"/>
        <v>0.75</v>
      </c>
      <c r="AN49" s="1">
        <f t="shared" si="5"/>
        <v>10.1076</v>
      </c>
    </row>
    <row r="50" spans="1:40">
      <c r="A50" t="s">
        <v>4</v>
      </c>
      <c r="B50">
        <v>0</v>
      </c>
      <c r="C50" t="s">
        <v>5</v>
      </c>
      <c r="D50">
        <v>14</v>
      </c>
      <c r="E50" t="s">
        <v>6</v>
      </c>
      <c r="F50" s="1">
        <v>0.453125</v>
      </c>
      <c r="G50" t="s">
        <v>7</v>
      </c>
      <c r="H50" s="1">
        <v>0.5</v>
      </c>
      <c r="I50" t="s">
        <v>8</v>
      </c>
      <c r="J50" s="1">
        <v>0</v>
      </c>
      <c r="K50" s="1">
        <v>18.8696665871365</v>
      </c>
      <c r="L50" s="1">
        <f t="shared" si="0"/>
        <v>0.90625</v>
      </c>
      <c r="M50" s="1">
        <f t="shared" si="7"/>
        <v>9.43483329356825</v>
      </c>
      <c r="AI50" s="3"/>
      <c r="AJ50">
        <v>58390</v>
      </c>
      <c r="AK50" s="1">
        <v>0.38541700000000001</v>
      </c>
      <c r="AL50" s="1">
        <v>9.8723100000000006</v>
      </c>
      <c r="AM50" s="1">
        <f t="shared" si="4"/>
        <v>0.77083400000000002</v>
      </c>
      <c r="AN50" s="1">
        <f t="shared" si="5"/>
        <v>9.8723100000000006</v>
      </c>
    </row>
    <row r="51" spans="1:40">
      <c r="A51" t="s">
        <v>4</v>
      </c>
      <c r="B51">
        <v>0</v>
      </c>
      <c r="C51" t="s">
        <v>5</v>
      </c>
      <c r="D51">
        <v>15</v>
      </c>
      <c r="E51" t="s">
        <v>6</v>
      </c>
      <c r="F51" s="1">
        <v>0.484375</v>
      </c>
      <c r="G51" t="s">
        <v>7</v>
      </c>
      <c r="H51" s="1">
        <v>0.5</v>
      </c>
      <c r="I51" t="s">
        <v>8</v>
      </c>
      <c r="J51" s="1">
        <v>0</v>
      </c>
      <c r="K51" s="1">
        <v>10.311261893477401</v>
      </c>
      <c r="L51" s="1">
        <f t="shared" si="0"/>
        <v>0.96875</v>
      </c>
      <c r="M51" s="1">
        <f t="shared" si="7"/>
        <v>5.1556309467387003</v>
      </c>
      <c r="AI51" s="3"/>
      <c r="AJ51">
        <v>5732</v>
      </c>
      <c r="AK51" s="1">
        <v>0.39583299999999999</v>
      </c>
      <c r="AL51" s="1">
        <v>9.6369900000000008</v>
      </c>
      <c r="AM51" s="1">
        <f t="shared" si="4"/>
        <v>0.79166599999999998</v>
      </c>
      <c r="AN51" s="1">
        <f t="shared" si="5"/>
        <v>9.6369900000000008</v>
      </c>
    </row>
    <row r="52" spans="1:40">
      <c r="AI52" s="3"/>
      <c r="AJ52">
        <v>58394</v>
      </c>
      <c r="AK52" s="1">
        <v>0.40625</v>
      </c>
      <c r="AL52" s="1">
        <v>9.3722799999999999</v>
      </c>
      <c r="AM52" s="1">
        <f t="shared" si="4"/>
        <v>0.8125</v>
      </c>
      <c r="AN52" s="1">
        <f t="shared" si="5"/>
        <v>9.3722799999999999</v>
      </c>
    </row>
    <row r="53" spans="1:40">
      <c r="AI53" s="3"/>
      <c r="AJ53">
        <v>5733</v>
      </c>
      <c r="AK53" s="1">
        <v>0.41666700000000001</v>
      </c>
      <c r="AL53" s="1">
        <v>9.1075700000000008</v>
      </c>
      <c r="AM53" s="1">
        <f t="shared" si="4"/>
        <v>0.83333400000000002</v>
      </c>
      <c r="AN53" s="1">
        <f t="shared" si="5"/>
        <v>9.1075700000000008</v>
      </c>
    </row>
    <row r="54" spans="1:40">
      <c r="AI54" s="3"/>
      <c r="AJ54">
        <v>58398</v>
      </c>
      <c r="AK54" s="1">
        <v>0.42708299999999999</v>
      </c>
      <c r="AL54" s="1">
        <v>8.8015799999999995</v>
      </c>
      <c r="AM54" s="1">
        <f t="shared" si="4"/>
        <v>0.85416599999999998</v>
      </c>
      <c r="AN54" s="1">
        <f t="shared" si="5"/>
        <v>8.8015799999999995</v>
      </c>
    </row>
    <row r="55" spans="1:40">
      <c r="AI55" s="3"/>
      <c r="AJ55">
        <v>5734</v>
      </c>
      <c r="AK55" s="1">
        <v>0.4375</v>
      </c>
      <c r="AL55" s="1">
        <v>8.4955999999999996</v>
      </c>
      <c r="AM55" s="1">
        <f t="shared" si="4"/>
        <v>0.875</v>
      </c>
      <c r="AN55" s="1">
        <f t="shared" si="5"/>
        <v>8.4955999999999996</v>
      </c>
    </row>
    <row r="56" spans="1:40">
      <c r="AI56" s="3"/>
      <c r="AJ56">
        <v>58402</v>
      </c>
      <c r="AK56" s="1">
        <v>0.44791700000000001</v>
      </c>
      <c r="AL56" s="1">
        <v>8.2087299999999992</v>
      </c>
      <c r="AM56" s="1">
        <f t="shared" si="4"/>
        <v>0.89583400000000002</v>
      </c>
      <c r="AN56" s="1">
        <f t="shared" si="5"/>
        <v>8.2087299999999992</v>
      </c>
    </row>
    <row r="57" spans="1:40">
      <c r="AI57" s="3"/>
      <c r="AJ57">
        <v>5735</v>
      </c>
      <c r="AK57" s="1">
        <v>0.45833299999999999</v>
      </c>
      <c r="AL57" s="1">
        <v>7.9218599999999997</v>
      </c>
      <c r="AM57" s="1">
        <f t="shared" si="4"/>
        <v>0.91666599999999998</v>
      </c>
      <c r="AN57" s="1">
        <f t="shared" si="5"/>
        <v>7.9218599999999997</v>
      </c>
    </row>
    <row r="58" spans="1:40">
      <c r="AI58" s="3"/>
      <c r="AJ58">
        <v>58406</v>
      </c>
      <c r="AK58" s="1">
        <v>0.46875</v>
      </c>
      <c r="AL58" s="1">
        <v>6.7829300000000003</v>
      </c>
      <c r="AM58" s="1">
        <f t="shared" si="4"/>
        <v>0.9375</v>
      </c>
      <c r="AN58" s="1">
        <f t="shared" si="5"/>
        <v>6.7829300000000003</v>
      </c>
    </row>
    <row r="59" spans="1:40">
      <c r="AI59" s="3"/>
      <c r="AJ59">
        <v>5736</v>
      </c>
      <c r="AK59" s="1">
        <v>0.47916700000000001</v>
      </c>
      <c r="AL59" s="1">
        <v>5.6440000000000001</v>
      </c>
      <c r="AM59" s="1">
        <f t="shared" si="4"/>
        <v>0.95833400000000002</v>
      </c>
      <c r="AN59" s="1">
        <f t="shared" si="5"/>
        <v>5.6440000000000001</v>
      </c>
    </row>
    <row r="60" spans="1:40">
      <c r="AI60" s="3"/>
      <c r="AJ60">
        <v>58410</v>
      </c>
      <c r="AK60" s="1">
        <v>0.48958299999999999</v>
      </c>
      <c r="AL60" s="1">
        <v>5.7351599999999996</v>
      </c>
      <c r="AM60" s="1">
        <f t="shared" si="4"/>
        <v>0.97916599999999998</v>
      </c>
      <c r="AN60" s="1">
        <f t="shared" si="5"/>
        <v>5.7351599999999996</v>
      </c>
    </row>
    <row r="61" spans="1:40">
      <c r="AI61" s="4"/>
      <c r="AJ61">
        <v>5737</v>
      </c>
      <c r="AK61" s="1">
        <v>0.5</v>
      </c>
      <c r="AL61" s="1">
        <v>5.8263100000000003</v>
      </c>
      <c r="AM61" s="1">
        <f t="shared" si="4"/>
        <v>1</v>
      </c>
      <c r="AN61" s="1">
        <f t="shared" si="5"/>
        <v>5.8263100000000003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補間なし線形IGA</vt:lpstr>
      <vt:lpstr>補間あり線形IGA</vt:lpstr>
      <vt:lpstr>Sheet1</vt:lpstr>
      <vt:lpstr>nonlinear, t16, 1p</vt:lpstr>
      <vt:lpstr>nonlinear, t16, 2p</vt:lpstr>
      <vt:lpstr>100step</vt:lpstr>
      <vt:lpstr>final</vt:lpstr>
      <vt:lpstr>final2</vt:lpstr>
      <vt:lpstr>final3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　雄飛</cp:lastModifiedBy>
  <dcterms:created xsi:type="dcterms:W3CDTF">2025-09-16T17:28:49Z</dcterms:created>
  <dcterms:modified xsi:type="dcterms:W3CDTF">2025-09-25T00:58:23Z</dcterms:modified>
</cp:coreProperties>
</file>