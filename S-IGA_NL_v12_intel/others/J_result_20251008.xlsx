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7.xml" ContentType="application/vnd.openxmlformats-officedocument.drawing+xml"/>
  <Override PartName="/xl/charts/chart3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34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drawings/drawing8.xml" ContentType="application/vnd.openxmlformats-officedocument.drawing+xml"/>
  <Override PartName="/xl/charts/chart38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40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drawings/drawing9.xml" ContentType="application/vnd.openxmlformats-officedocument.drawing+xml"/>
  <Override PartName="/xl/charts/chart4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4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46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51.xml" ContentType="application/vnd.openxmlformats-officedocument.drawingml.chart+xml"/>
  <Override PartName="/xl/drawings/drawing10.xml" ContentType="application/vnd.openxmlformats-officedocument.drawing+xml"/>
  <Override PartName="/xl/charts/chart52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53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56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1.xml" ContentType="application/vnd.openxmlformats-officedocument.drawing+xml"/>
  <Override PartName="/xl/charts/chart57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58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59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63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6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uchiyama\Documents\lab_share\analysis\S-IGA_NL_v11_intel\"/>
    </mc:Choice>
  </mc:AlternateContent>
  <xr:revisionPtr revIDLastSave="0" documentId="13_ncr:1_{96474F11-F5A0-445D-AA23-40A7A41EC6DA}" xr6:coauthVersionLast="47" xr6:coauthVersionMax="47" xr10:uidLastSave="{00000000-0000-0000-0000-000000000000}"/>
  <bookViews>
    <workbookView xWindow="-108" yWindow="-108" windowWidth="23256" windowHeight="12456" firstSheet="3" activeTab="8" xr2:uid="{A27F8CE3-2FFB-49CF-B5D4-99F800179056}"/>
  </bookViews>
  <sheets>
    <sheet name="補間なし線形IGA" sheetId="1" r:id="rId1"/>
    <sheet name="補間あり線形IGA" sheetId="2" r:id="rId2"/>
    <sheet name="Sheet1" sheetId="3" r:id="rId3"/>
    <sheet name="nonlinear, t16, 1p" sheetId="4" r:id="rId4"/>
    <sheet name="nonlinear, t16, 2p" sheetId="5" r:id="rId5"/>
    <sheet name="100step" sheetId="6" r:id="rId6"/>
    <sheet name="final" sheetId="7" r:id="rId7"/>
    <sheet name="final2" sheetId="8" r:id="rId8"/>
    <sheet name="final3" sheetId="9" r:id="rId9"/>
    <sheet name="新・線形全比較" sheetId="10" r:id="rId10"/>
    <sheet name="final4" sheetId="11" r:id="rId11"/>
  </sheets>
  <externalReferences>
    <externalReference r:id="rId12"/>
    <externalReference r:id="rId13"/>
  </externalReferences>
  <definedNames>
    <definedName name="_xlnm._FilterDatabase" localSheetId="2" hidden="1">Sheet1!$AR$2:$BD$33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2" i="11" l="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30" i="11"/>
  <c r="BG31" i="11"/>
  <c r="BG32" i="11"/>
  <c r="BG33" i="11"/>
  <c r="BG34" i="11"/>
  <c r="BG35" i="11"/>
  <c r="BG36" i="11"/>
  <c r="BG37" i="11"/>
  <c r="BG38" i="11"/>
  <c r="BG39" i="11"/>
  <c r="BG40" i="11"/>
  <c r="BG41" i="11"/>
  <c r="BG42" i="11"/>
  <c r="BG43" i="11"/>
  <c r="BG44" i="11"/>
  <c r="BG45" i="11"/>
  <c r="BG46" i="11"/>
  <c r="BG47" i="11"/>
  <c r="BG48" i="11"/>
  <c r="BG49" i="11"/>
  <c r="BG50" i="11"/>
  <c r="BG51" i="11"/>
  <c r="BG52" i="11"/>
  <c r="BG53" i="11"/>
  <c r="BG54" i="11"/>
  <c r="BG55" i="11"/>
  <c r="BG56" i="11"/>
  <c r="BG57" i="11"/>
  <c r="BG58" i="11"/>
  <c r="BG59" i="11"/>
  <c r="BG60" i="11"/>
  <c r="BG61" i="11"/>
  <c r="BG62" i="11"/>
  <c r="BG63" i="11"/>
  <c r="BG64" i="11"/>
  <c r="BG65" i="11"/>
  <c r="BG66" i="11"/>
  <c r="BG67" i="11"/>
  <c r="BG68" i="11"/>
  <c r="BG69" i="11"/>
  <c r="BG70" i="11"/>
  <c r="BG71" i="11"/>
  <c r="BG72" i="11"/>
  <c r="BG73" i="11"/>
  <c r="BG74" i="11"/>
  <c r="BG75" i="11"/>
  <c r="BG76" i="11"/>
  <c r="BG77" i="11"/>
  <c r="BG78" i="11"/>
  <c r="BG79" i="11"/>
  <c r="BG80" i="11"/>
  <c r="BG81" i="11"/>
  <c r="BG82" i="11"/>
  <c r="BG83" i="11"/>
  <c r="BG84" i="11"/>
  <c r="BG85" i="11"/>
  <c r="BG86" i="11"/>
  <c r="BG87" i="11"/>
  <c r="BG88" i="11"/>
  <c r="BG89" i="11"/>
  <c r="BG90" i="11"/>
  <c r="BG91" i="11"/>
  <c r="BG92" i="11"/>
  <c r="BG93" i="11"/>
  <c r="BG94" i="11"/>
  <c r="BG95" i="11"/>
  <c r="BG96" i="11"/>
  <c r="BG97" i="11"/>
  <c r="BG98" i="11"/>
  <c r="BG99" i="11"/>
  <c r="BG100" i="11"/>
  <c r="BG101" i="11"/>
  <c r="BG102" i="11"/>
  <c r="BG103" i="11"/>
  <c r="BG104" i="11"/>
  <c r="BG105" i="11"/>
  <c r="BG106" i="11"/>
  <c r="BG107" i="11"/>
  <c r="BG108" i="11"/>
  <c r="BG109" i="11"/>
  <c r="BG110" i="11"/>
  <c r="BG111" i="11"/>
  <c r="BG112" i="11"/>
  <c r="BG113" i="11"/>
  <c r="BG114" i="11"/>
  <c r="BG115" i="11"/>
  <c r="BG116" i="11"/>
  <c r="BG117" i="11"/>
  <c r="BG118" i="11"/>
  <c r="BG119" i="11"/>
  <c r="BG120" i="11"/>
  <c r="BG121" i="11"/>
  <c r="BG122" i="11"/>
  <c r="BG123" i="11"/>
  <c r="BG124" i="11"/>
  <c r="BG125" i="11"/>
  <c r="BG126" i="11"/>
  <c r="BG127" i="11"/>
  <c r="BG128" i="11"/>
  <c r="BG129" i="11"/>
  <c r="BG130" i="11"/>
  <c r="BG131" i="11"/>
  <c r="BG132" i="11"/>
  <c r="BG133" i="11"/>
  <c r="BG134" i="11"/>
  <c r="BG135" i="11"/>
  <c r="BG136" i="11"/>
  <c r="BG137" i="11"/>
  <c r="BG138" i="11"/>
  <c r="BG139" i="11"/>
  <c r="BG140" i="11"/>
  <c r="BG141" i="11"/>
  <c r="BG142" i="11"/>
  <c r="BG143" i="11"/>
  <c r="BG144" i="11"/>
  <c r="BG145" i="11"/>
  <c r="BG146" i="11"/>
  <c r="BG147" i="11"/>
  <c r="BG148" i="11"/>
  <c r="BG149" i="11"/>
  <c r="BG150" i="11"/>
  <c r="BG151" i="11"/>
  <c r="BG152" i="11"/>
  <c r="BG153" i="11"/>
  <c r="BG154" i="11"/>
  <c r="BG155" i="11"/>
  <c r="BG156" i="11"/>
  <c r="BG157" i="11"/>
  <c r="BG158" i="11"/>
  <c r="BG159" i="11"/>
  <c r="BG160" i="11"/>
  <c r="BG161" i="11"/>
  <c r="BG162" i="11"/>
  <c r="BG163" i="11"/>
  <c r="BG164" i="11"/>
  <c r="BG165" i="11"/>
  <c r="BG166" i="11"/>
  <c r="BG167" i="11"/>
  <c r="BG168" i="11"/>
  <c r="BG169" i="11"/>
  <c r="BG170" i="11"/>
  <c r="BG171" i="11"/>
  <c r="BG172" i="11"/>
  <c r="BG173" i="11"/>
  <c r="BG174" i="11"/>
  <c r="BG175" i="11"/>
  <c r="BG176" i="11"/>
  <c r="BG177" i="11"/>
  <c r="BG178" i="11"/>
  <c r="BG179" i="11"/>
  <c r="BG180" i="11"/>
  <c r="BG181" i="11"/>
  <c r="BG182" i="11"/>
  <c r="BG183" i="11"/>
  <c r="BG184" i="11"/>
  <c r="BG185" i="11"/>
  <c r="BG186" i="11"/>
  <c r="BG187" i="11"/>
  <c r="BG188" i="11"/>
  <c r="BG189" i="11"/>
  <c r="BG190" i="11"/>
  <c r="BG191" i="11"/>
  <c r="BG192" i="11"/>
  <c r="BG193" i="11"/>
  <c r="BG194" i="11"/>
  <c r="BG195" i="11"/>
  <c r="BG196" i="11"/>
  <c r="BG197" i="11"/>
  <c r="BG198" i="11"/>
  <c r="BG199" i="11"/>
  <c r="BG200" i="11"/>
  <c r="BG201" i="11"/>
  <c r="BG202" i="11"/>
  <c r="BG203" i="11"/>
  <c r="BG204" i="11"/>
  <c r="BG205" i="11"/>
  <c r="BG206" i="11"/>
  <c r="BG207" i="11"/>
  <c r="BG208" i="11"/>
  <c r="BG209" i="11"/>
  <c r="BG210" i="11"/>
  <c r="BG211" i="11"/>
  <c r="BG212" i="11"/>
  <c r="BG213" i="11"/>
  <c r="BG214" i="11"/>
  <c r="BG215" i="11"/>
  <c r="BG216" i="11"/>
  <c r="BG217" i="11"/>
  <c r="BG218" i="11"/>
  <c r="BG219" i="11"/>
  <c r="BG220" i="11"/>
  <c r="BG221" i="11"/>
  <c r="BG222" i="11"/>
  <c r="BG223" i="11"/>
  <c r="BG224" i="11"/>
  <c r="BG225" i="11"/>
  <c r="BG226" i="11"/>
  <c r="BG227" i="11"/>
  <c r="BG228" i="11"/>
  <c r="BG229" i="11"/>
  <c r="BG230" i="11"/>
  <c r="BG231" i="11"/>
  <c r="BG232" i="11"/>
  <c r="BG233" i="11"/>
  <c r="BG234" i="11"/>
  <c r="BG235" i="11"/>
  <c r="BG236" i="11"/>
  <c r="BG237" i="11"/>
  <c r="BG238" i="11"/>
  <c r="BG239" i="11"/>
  <c r="BG240" i="11"/>
  <c r="BG241" i="11"/>
  <c r="BG242" i="11"/>
  <c r="BG243" i="11"/>
  <c r="BG244" i="11"/>
  <c r="BG245" i="11"/>
  <c r="BG246" i="11"/>
  <c r="BG247" i="11"/>
  <c r="BG248" i="11"/>
  <c r="BG249" i="11"/>
  <c r="BG250" i="11"/>
  <c r="BG251" i="11"/>
  <c r="BG252" i="11"/>
  <c r="BG253" i="11"/>
  <c r="BG254" i="11"/>
  <c r="BG255" i="11"/>
  <c r="BG256" i="11"/>
  <c r="BG257" i="11"/>
  <c r="BG258" i="11"/>
  <c r="BG259" i="11"/>
  <c r="BG260" i="11"/>
  <c r="BG261" i="11"/>
  <c r="BG262" i="11"/>
  <c r="BG263" i="11"/>
  <c r="BG264" i="11"/>
  <c r="BG265" i="11"/>
  <c r="BG266" i="11"/>
  <c r="BG267" i="11"/>
  <c r="BG268" i="11"/>
  <c r="BG269" i="11"/>
  <c r="BG270" i="11"/>
  <c r="BG271" i="11"/>
  <c r="BG272" i="11"/>
  <c r="BG273" i="11"/>
  <c r="BG274" i="11"/>
  <c r="BG275" i="11"/>
  <c r="BG276" i="11"/>
  <c r="BG277" i="11"/>
  <c r="BG278" i="11"/>
  <c r="BG279" i="11"/>
  <c r="BG280" i="11"/>
  <c r="BG281" i="11"/>
  <c r="BG282" i="11"/>
  <c r="BG283" i="11"/>
  <c r="BG284" i="11"/>
  <c r="BG285" i="11"/>
  <c r="BG286" i="11"/>
  <c r="BG287" i="11"/>
  <c r="BG288" i="11"/>
  <c r="BG289" i="11"/>
  <c r="BG290" i="11"/>
  <c r="BG291" i="11"/>
  <c r="BG292" i="11"/>
  <c r="BG293" i="11"/>
  <c r="BG294" i="11"/>
  <c r="BG295" i="11"/>
  <c r="BG296" i="11"/>
  <c r="BG297" i="11"/>
  <c r="BG298" i="11"/>
  <c r="BG299" i="11"/>
  <c r="BG300" i="11"/>
  <c r="BG301" i="11"/>
  <c r="BG302" i="11"/>
  <c r="BG303" i="11"/>
  <c r="BG304" i="11"/>
  <c r="BG305" i="11"/>
  <c r="BG306" i="11"/>
  <c r="BG307" i="11"/>
  <c r="BG308" i="11"/>
  <c r="BG309" i="11"/>
  <c r="BG310" i="11"/>
  <c r="BG311" i="11"/>
  <c r="BG312" i="11"/>
  <c r="BG313" i="11"/>
  <c r="BG314" i="11"/>
  <c r="BG315" i="11"/>
  <c r="BG316" i="11"/>
  <c r="BG317" i="11"/>
  <c r="BG318" i="11"/>
  <c r="BG319" i="11"/>
  <c r="BG320" i="11"/>
  <c r="BG321" i="11"/>
  <c r="BV3" i="11"/>
  <c r="BV4" i="11"/>
  <c r="BV5" i="11"/>
  <c r="BV6" i="11"/>
  <c r="BV7" i="11"/>
  <c r="BV8" i="11"/>
  <c r="BV9" i="11"/>
  <c r="BV10" i="11"/>
  <c r="BV11" i="11"/>
  <c r="BV12" i="11"/>
  <c r="BV13" i="11"/>
  <c r="BV14" i="11"/>
  <c r="BV15" i="11"/>
  <c r="BV16" i="11"/>
  <c r="BV17" i="11"/>
  <c r="BV18" i="11"/>
  <c r="BV19" i="11"/>
  <c r="BV20" i="11"/>
  <c r="BV21" i="11"/>
  <c r="BV22" i="11"/>
  <c r="BV23" i="11"/>
  <c r="BV24" i="11"/>
  <c r="BV25" i="11"/>
  <c r="BV26" i="11"/>
  <c r="BV27" i="11"/>
  <c r="BV28" i="11"/>
  <c r="BV29" i="11"/>
  <c r="BV30" i="11"/>
  <c r="BV31" i="11"/>
  <c r="BV32" i="11"/>
  <c r="BV33" i="11"/>
  <c r="BV34" i="11"/>
  <c r="BV35" i="11"/>
  <c r="BV36" i="11"/>
  <c r="BV37" i="11"/>
  <c r="BV38" i="11"/>
  <c r="BV39" i="11"/>
  <c r="BV40" i="11"/>
  <c r="BV41" i="11"/>
  <c r="BV42" i="11"/>
  <c r="BV43" i="11"/>
  <c r="BV44" i="11"/>
  <c r="BV45" i="11"/>
  <c r="BV46" i="11"/>
  <c r="BV47" i="11"/>
  <c r="BV48" i="11"/>
  <c r="BV49" i="11"/>
  <c r="BV50" i="11"/>
  <c r="BV51" i="11"/>
  <c r="BV52" i="11"/>
  <c r="BV53" i="11"/>
  <c r="BV54" i="11"/>
  <c r="BV55" i="11"/>
  <c r="BV56" i="11"/>
  <c r="BV57" i="11"/>
  <c r="BV58" i="11"/>
  <c r="BV59" i="11"/>
  <c r="BV60" i="11"/>
  <c r="BV61" i="11"/>
  <c r="BV62" i="11"/>
  <c r="BV63" i="11"/>
  <c r="BV64" i="11"/>
  <c r="BV65" i="11"/>
  <c r="BV66" i="11"/>
  <c r="BV67" i="11"/>
  <c r="BV68" i="11"/>
  <c r="BV69" i="11"/>
  <c r="BV70" i="11"/>
  <c r="BV71" i="11"/>
  <c r="BV72" i="11"/>
  <c r="BV73" i="11"/>
  <c r="BV74" i="11"/>
  <c r="BV75" i="11"/>
  <c r="BV76" i="11"/>
  <c r="BV77" i="11"/>
  <c r="BV78" i="11"/>
  <c r="BV79" i="11"/>
  <c r="BV80" i="11"/>
  <c r="BV81" i="11"/>
  <c r="BV82" i="11"/>
  <c r="BV83" i="11"/>
  <c r="BV84" i="11"/>
  <c r="BV85" i="11"/>
  <c r="BV86" i="11"/>
  <c r="BV87" i="11"/>
  <c r="BV88" i="11"/>
  <c r="BV89" i="11"/>
  <c r="BV90" i="11"/>
  <c r="BV91" i="11"/>
  <c r="BV92" i="11"/>
  <c r="BV93" i="11"/>
  <c r="BV94" i="11"/>
  <c r="BV95" i="11"/>
  <c r="BV96" i="11"/>
  <c r="BV97" i="11"/>
  <c r="BV98" i="11"/>
  <c r="BV99" i="11"/>
  <c r="BV100" i="11"/>
  <c r="BV101" i="11"/>
  <c r="BV102" i="11"/>
  <c r="BV103" i="11"/>
  <c r="BV104" i="11"/>
  <c r="BV105" i="11"/>
  <c r="BV106" i="11"/>
  <c r="BV107" i="11"/>
  <c r="BV108" i="11"/>
  <c r="BV109" i="11"/>
  <c r="BV110" i="11"/>
  <c r="BV111" i="11"/>
  <c r="BV112" i="11"/>
  <c r="BV113" i="11"/>
  <c r="BV114" i="11"/>
  <c r="BV115" i="11"/>
  <c r="BV116" i="11"/>
  <c r="BV117" i="11"/>
  <c r="BV118" i="11"/>
  <c r="BV119" i="11"/>
  <c r="BV120" i="11"/>
  <c r="BV121" i="11"/>
  <c r="BV122" i="11"/>
  <c r="BV123" i="11"/>
  <c r="BV124" i="11"/>
  <c r="BV125" i="11"/>
  <c r="BV126" i="11"/>
  <c r="BV127" i="11"/>
  <c r="BV128" i="11"/>
  <c r="BV129" i="11"/>
  <c r="BV130" i="11"/>
  <c r="BV131" i="11"/>
  <c r="BV132" i="11"/>
  <c r="BV133" i="11"/>
  <c r="BV134" i="11"/>
  <c r="BV135" i="11"/>
  <c r="BV136" i="11"/>
  <c r="BV137" i="11"/>
  <c r="BV138" i="11"/>
  <c r="BV139" i="11"/>
  <c r="BV140" i="11"/>
  <c r="BV141" i="11"/>
  <c r="BV142" i="11"/>
  <c r="BV143" i="11"/>
  <c r="BV144" i="11"/>
  <c r="BV145" i="11"/>
  <c r="BV146" i="11"/>
  <c r="BV147" i="11"/>
  <c r="BV148" i="11"/>
  <c r="BV149" i="11"/>
  <c r="BV150" i="11"/>
  <c r="BV151" i="11"/>
  <c r="BV152" i="11"/>
  <c r="BV153" i="11"/>
  <c r="BV154" i="11"/>
  <c r="BV155" i="11"/>
  <c r="BV156" i="11"/>
  <c r="BV157" i="11"/>
  <c r="BV158" i="11"/>
  <c r="BV159" i="11"/>
  <c r="BV160" i="11"/>
  <c r="BV161" i="11"/>
  <c r="BV162" i="11"/>
  <c r="BV163" i="11"/>
  <c r="BV164" i="11"/>
  <c r="BV165" i="11"/>
  <c r="BV166" i="11"/>
  <c r="BV167" i="11"/>
  <c r="BV168" i="11"/>
  <c r="BV169" i="11"/>
  <c r="BV170" i="11"/>
  <c r="BV171" i="11"/>
  <c r="BV172" i="11"/>
  <c r="BV173" i="11"/>
  <c r="BV174" i="11"/>
  <c r="BV175" i="11"/>
  <c r="BV176" i="11"/>
  <c r="BV177" i="11"/>
  <c r="BV178" i="11"/>
  <c r="BV179" i="11"/>
  <c r="BV180" i="11"/>
  <c r="BV181" i="11"/>
  <c r="BV182" i="11"/>
  <c r="BV183" i="11"/>
  <c r="BV184" i="11"/>
  <c r="BV185" i="11"/>
  <c r="BV186" i="11"/>
  <c r="BV187" i="11"/>
  <c r="BV188" i="11"/>
  <c r="BV189" i="11"/>
  <c r="BV190" i="11"/>
  <c r="BV191" i="11"/>
  <c r="BV192" i="11"/>
  <c r="BV193" i="11"/>
  <c r="BV194" i="11"/>
  <c r="BV195" i="11"/>
  <c r="BV196" i="11"/>
  <c r="BV197" i="11"/>
  <c r="BV198" i="11"/>
  <c r="BV199" i="11"/>
  <c r="BV200" i="11"/>
  <c r="BV201" i="11"/>
  <c r="BV202" i="11"/>
  <c r="BV203" i="11"/>
  <c r="BV204" i="11"/>
  <c r="BV205" i="11"/>
  <c r="BV206" i="11"/>
  <c r="BV207" i="11"/>
  <c r="BV208" i="11"/>
  <c r="BV209" i="11"/>
  <c r="BV210" i="11"/>
  <c r="BV211" i="11"/>
  <c r="BV212" i="11"/>
  <c r="BV213" i="11"/>
  <c r="BV214" i="11"/>
  <c r="BV215" i="11"/>
  <c r="BV216" i="11"/>
  <c r="BV217" i="11"/>
  <c r="BV218" i="11"/>
  <c r="BV219" i="11"/>
  <c r="BV220" i="11"/>
  <c r="BV221" i="11"/>
  <c r="BV222" i="11"/>
  <c r="BV223" i="11"/>
  <c r="BV224" i="11"/>
  <c r="BV225" i="11"/>
  <c r="BV226" i="11"/>
  <c r="BV227" i="11"/>
  <c r="BV228" i="11"/>
  <c r="BV229" i="11"/>
  <c r="BV230" i="11"/>
  <c r="BV231" i="11"/>
  <c r="BV232" i="11"/>
  <c r="BV233" i="11"/>
  <c r="BV234" i="11"/>
  <c r="BV235" i="11"/>
  <c r="BV236" i="11"/>
  <c r="BV237" i="11"/>
  <c r="BV238" i="11"/>
  <c r="BV239" i="11"/>
  <c r="BV240" i="11"/>
  <c r="BV241" i="11"/>
  <c r="BV242" i="11"/>
  <c r="BV243" i="11"/>
  <c r="BV244" i="11"/>
  <c r="BV245" i="11"/>
  <c r="BV246" i="11"/>
  <c r="BV247" i="11"/>
  <c r="BV248" i="11"/>
  <c r="BV249" i="11"/>
  <c r="BV250" i="11"/>
  <c r="BV251" i="11"/>
  <c r="BV252" i="11"/>
  <c r="BV253" i="11"/>
  <c r="BV254" i="11"/>
  <c r="BV255" i="11"/>
  <c r="BV256" i="11"/>
  <c r="BV257" i="11"/>
  <c r="BV258" i="11"/>
  <c r="BV259" i="11"/>
  <c r="BV260" i="11"/>
  <c r="BV261" i="11"/>
  <c r="BV262" i="11"/>
  <c r="BV263" i="11"/>
  <c r="BV264" i="11"/>
  <c r="BV265" i="11"/>
  <c r="BV266" i="11"/>
  <c r="BV267" i="11"/>
  <c r="BV268" i="11"/>
  <c r="BV269" i="11"/>
  <c r="BV270" i="11"/>
  <c r="BV271" i="11"/>
  <c r="BV272" i="11"/>
  <c r="BV273" i="11"/>
  <c r="BV274" i="11"/>
  <c r="BV275" i="11"/>
  <c r="BV276" i="11"/>
  <c r="BV277" i="11"/>
  <c r="BV278" i="11"/>
  <c r="BV279" i="11"/>
  <c r="BV280" i="11"/>
  <c r="BV281" i="11"/>
  <c r="BV282" i="11"/>
  <c r="BV283" i="11"/>
  <c r="BV284" i="11"/>
  <c r="BV285" i="11"/>
  <c r="BV286" i="11"/>
  <c r="BV287" i="11"/>
  <c r="BV288" i="11"/>
  <c r="BV289" i="11"/>
  <c r="BV290" i="11"/>
  <c r="BV291" i="11"/>
  <c r="BV292" i="11"/>
  <c r="BV293" i="11"/>
  <c r="BV294" i="11"/>
  <c r="BV295" i="11"/>
  <c r="BV296" i="11"/>
  <c r="BV297" i="11"/>
  <c r="BV298" i="11"/>
  <c r="BV299" i="11"/>
  <c r="BV300" i="11"/>
  <c r="BV301" i="11"/>
  <c r="BV302" i="11"/>
  <c r="BV303" i="11"/>
  <c r="BV304" i="11"/>
  <c r="BV305" i="11"/>
  <c r="BV306" i="11"/>
  <c r="BV307" i="11"/>
  <c r="BV308" i="11"/>
  <c r="BV309" i="11"/>
  <c r="BV310" i="11"/>
  <c r="BV311" i="11"/>
  <c r="BV312" i="11"/>
  <c r="BV313" i="11"/>
  <c r="BV314" i="11"/>
  <c r="BV315" i="11"/>
  <c r="BV316" i="11"/>
  <c r="BV317" i="11"/>
  <c r="BV318" i="11"/>
  <c r="BV319" i="11"/>
  <c r="BV320" i="11"/>
  <c r="BV321" i="11"/>
  <c r="BU3" i="11"/>
  <c r="BU4" i="11"/>
  <c r="BU5" i="11"/>
  <c r="BU6" i="11"/>
  <c r="BU7" i="11"/>
  <c r="BU8" i="11"/>
  <c r="BU9" i="11"/>
  <c r="BU10" i="11"/>
  <c r="BU11" i="11"/>
  <c r="BU12" i="11"/>
  <c r="BU13" i="11"/>
  <c r="BU14" i="11"/>
  <c r="BU15" i="11"/>
  <c r="BU16" i="11"/>
  <c r="BU17" i="11"/>
  <c r="BU18" i="11"/>
  <c r="BU19" i="11"/>
  <c r="BU20" i="11"/>
  <c r="BU21" i="11"/>
  <c r="BU22" i="11"/>
  <c r="BU23" i="11"/>
  <c r="BU24" i="11"/>
  <c r="BU25" i="11"/>
  <c r="BU26" i="11"/>
  <c r="BU27" i="11"/>
  <c r="BU28" i="11"/>
  <c r="BU29" i="11"/>
  <c r="BU30" i="11"/>
  <c r="BU31" i="11"/>
  <c r="BU32" i="11"/>
  <c r="BU33" i="11"/>
  <c r="BU34" i="11"/>
  <c r="BU35" i="11"/>
  <c r="BU36" i="11"/>
  <c r="BU37" i="11"/>
  <c r="BU38" i="11"/>
  <c r="BU39" i="11"/>
  <c r="BU40" i="11"/>
  <c r="BU41" i="11"/>
  <c r="BU42" i="11"/>
  <c r="BU43" i="11"/>
  <c r="BU44" i="11"/>
  <c r="BU45" i="11"/>
  <c r="BU46" i="11"/>
  <c r="BU47" i="11"/>
  <c r="BU48" i="11"/>
  <c r="BU49" i="11"/>
  <c r="BU50" i="11"/>
  <c r="BU51" i="11"/>
  <c r="BU52" i="11"/>
  <c r="BU53" i="11"/>
  <c r="BU54" i="11"/>
  <c r="BU55" i="11"/>
  <c r="BU56" i="11"/>
  <c r="BU57" i="11"/>
  <c r="BU58" i="11"/>
  <c r="BU59" i="11"/>
  <c r="BU60" i="11"/>
  <c r="BU61" i="11"/>
  <c r="BU62" i="11"/>
  <c r="BU63" i="11"/>
  <c r="BU64" i="11"/>
  <c r="BU65" i="11"/>
  <c r="BU66" i="11"/>
  <c r="BU67" i="11"/>
  <c r="BU68" i="11"/>
  <c r="BU69" i="11"/>
  <c r="BU70" i="11"/>
  <c r="BU71" i="11"/>
  <c r="BU72" i="11"/>
  <c r="BU73" i="11"/>
  <c r="BU74" i="11"/>
  <c r="BU75" i="11"/>
  <c r="BU76" i="11"/>
  <c r="BU77" i="11"/>
  <c r="BU78" i="11"/>
  <c r="BU79" i="11"/>
  <c r="BU80" i="11"/>
  <c r="BU81" i="11"/>
  <c r="BU82" i="11"/>
  <c r="BU83" i="11"/>
  <c r="BU84" i="11"/>
  <c r="BU85" i="11"/>
  <c r="BU86" i="11"/>
  <c r="BU87" i="11"/>
  <c r="BU88" i="11"/>
  <c r="BU89" i="11"/>
  <c r="BU90" i="11"/>
  <c r="BU91" i="11"/>
  <c r="BU92" i="11"/>
  <c r="BU93" i="11"/>
  <c r="BU94" i="11"/>
  <c r="BU95" i="11"/>
  <c r="BU96" i="11"/>
  <c r="BU97" i="11"/>
  <c r="BU98" i="11"/>
  <c r="BU99" i="11"/>
  <c r="BU100" i="11"/>
  <c r="BU101" i="11"/>
  <c r="BU102" i="11"/>
  <c r="BU103" i="11"/>
  <c r="BU104" i="11"/>
  <c r="BU105" i="11"/>
  <c r="BU106" i="11"/>
  <c r="BU107" i="11"/>
  <c r="BU108" i="11"/>
  <c r="BU109" i="11"/>
  <c r="BU110" i="11"/>
  <c r="BU111" i="11"/>
  <c r="BU112" i="11"/>
  <c r="BU113" i="11"/>
  <c r="BU114" i="11"/>
  <c r="BU115" i="11"/>
  <c r="BU116" i="11"/>
  <c r="BU117" i="11"/>
  <c r="BU118" i="11"/>
  <c r="BU119" i="11"/>
  <c r="BU120" i="11"/>
  <c r="BU121" i="11"/>
  <c r="BU122" i="11"/>
  <c r="BU123" i="11"/>
  <c r="BU124" i="11"/>
  <c r="BU125" i="11"/>
  <c r="BU126" i="11"/>
  <c r="BU127" i="11"/>
  <c r="BU128" i="11"/>
  <c r="BU129" i="11"/>
  <c r="BU130" i="11"/>
  <c r="BU131" i="11"/>
  <c r="BU132" i="11"/>
  <c r="BU133" i="11"/>
  <c r="BU134" i="11"/>
  <c r="BU135" i="11"/>
  <c r="BU136" i="11"/>
  <c r="BU137" i="11"/>
  <c r="BU138" i="11"/>
  <c r="BU139" i="11"/>
  <c r="BU140" i="11"/>
  <c r="BU141" i="11"/>
  <c r="BU142" i="11"/>
  <c r="BU143" i="11"/>
  <c r="BU144" i="11"/>
  <c r="BU145" i="11"/>
  <c r="BU146" i="11"/>
  <c r="BU147" i="11"/>
  <c r="BU148" i="11"/>
  <c r="BU149" i="11"/>
  <c r="BU150" i="11"/>
  <c r="BU151" i="11"/>
  <c r="BU152" i="11"/>
  <c r="BU153" i="11"/>
  <c r="BU154" i="11"/>
  <c r="BU155" i="11"/>
  <c r="BU156" i="11"/>
  <c r="BU157" i="11"/>
  <c r="BU158" i="11"/>
  <c r="BU159" i="11"/>
  <c r="BU160" i="11"/>
  <c r="BU161" i="11"/>
  <c r="BU162" i="11"/>
  <c r="BU163" i="11"/>
  <c r="BU164" i="11"/>
  <c r="BU165" i="11"/>
  <c r="BU166" i="11"/>
  <c r="BU167" i="11"/>
  <c r="BU168" i="11"/>
  <c r="BU169" i="11"/>
  <c r="BU170" i="11"/>
  <c r="BU171" i="11"/>
  <c r="BU172" i="11"/>
  <c r="BU173" i="11"/>
  <c r="BU174" i="11"/>
  <c r="BU175" i="11"/>
  <c r="BU176" i="11"/>
  <c r="BU177" i="11"/>
  <c r="BU178" i="11"/>
  <c r="BU179" i="11"/>
  <c r="BU180" i="11"/>
  <c r="BU181" i="11"/>
  <c r="BU182" i="11"/>
  <c r="BU183" i="11"/>
  <c r="BU184" i="11"/>
  <c r="BU185" i="11"/>
  <c r="BU186" i="11"/>
  <c r="BU187" i="11"/>
  <c r="BU188" i="11"/>
  <c r="BU189" i="11"/>
  <c r="BU190" i="11"/>
  <c r="BU191" i="11"/>
  <c r="BU192" i="11"/>
  <c r="BU193" i="11"/>
  <c r="BU194" i="11"/>
  <c r="BU195" i="11"/>
  <c r="BU196" i="11"/>
  <c r="BU197" i="11"/>
  <c r="BU198" i="11"/>
  <c r="BU199" i="11"/>
  <c r="BU200" i="11"/>
  <c r="BU201" i="11"/>
  <c r="BU202" i="11"/>
  <c r="BU203" i="11"/>
  <c r="BU204" i="11"/>
  <c r="BU205" i="11"/>
  <c r="BU206" i="11"/>
  <c r="BU207" i="11"/>
  <c r="BU208" i="11"/>
  <c r="BU209" i="11"/>
  <c r="BU210" i="11"/>
  <c r="BU211" i="11"/>
  <c r="BU212" i="11"/>
  <c r="BU213" i="11"/>
  <c r="BU214" i="11"/>
  <c r="BU215" i="11"/>
  <c r="BU216" i="11"/>
  <c r="BU217" i="11"/>
  <c r="BU218" i="11"/>
  <c r="BU219" i="11"/>
  <c r="BU220" i="11"/>
  <c r="BU221" i="11"/>
  <c r="BU222" i="11"/>
  <c r="BU223" i="11"/>
  <c r="BU224" i="11"/>
  <c r="BU225" i="11"/>
  <c r="BU226" i="11"/>
  <c r="BU227" i="11"/>
  <c r="BU228" i="11"/>
  <c r="BU229" i="11"/>
  <c r="BU230" i="11"/>
  <c r="BU231" i="11"/>
  <c r="BU232" i="11"/>
  <c r="BU233" i="11"/>
  <c r="BU234" i="11"/>
  <c r="BU235" i="11"/>
  <c r="BU236" i="11"/>
  <c r="BU237" i="11"/>
  <c r="BU238" i="11"/>
  <c r="BU239" i="11"/>
  <c r="BU240" i="11"/>
  <c r="BU241" i="11"/>
  <c r="BU242" i="11"/>
  <c r="BU243" i="11"/>
  <c r="BU244" i="11"/>
  <c r="BU245" i="11"/>
  <c r="BU246" i="11"/>
  <c r="BU247" i="11"/>
  <c r="BU248" i="11"/>
  <c r="BU249" i="11"/>
  <c r="BU250" i="11"/>
  <c r="BU251" i="11"/>
  <c r="BU252" i="11"/>
  <c r="BU253" i="11"/>
  <c r="BU254" i="11"/>
  <c r="BU255" i="11"/>
  <c r="BU256" i="11"/>
  <c r="BU257" i="11"/>
  <c r="BU258" i="11"/>
  <c r="BU259" i="11"/>
  <c r="BU260" i="11"/>
  <c r="BU261" i="11"/>
  <c r="BU262" i="11"/>
  <c r="BU263" i="11"/>
  <c r="BU264" i="11"/>
  <c r="BU265" i="11"/>
  <c r="BU266" i="11"/>
  <c r="BU267" i="11"/>
  <c r="BU268" i="11"/>
  <c r="BU269" i="11"/>
  <c r="BU270" i="11"/>
  <c r="BU271" i="11"/>
  <c r="BU272" i="11"/>
  <c r="BU273" i="11"/>
  <c r="BU274" i="11"/>
  <c r="BU275" i="11"/>
  <c r="BU276" i="11"/>
  <c r="BU277" i="11"/>
  <c r="BU278" i="11"/>
  <c r="BU279" i="11"/>
  <c r="BU280" i="11"/>
  <c r="BU281" i="11"/>
  <c r="BU282" i="11"/>
  <c r="BU283" i="11"/>
  <c r="BU284" i="11"/>
  <c r="BU285" i="11"/>
  <c r="BU286" i="11"/>
  <c r="BU287" i="11"/>
  <c r="BU288" i="11"/>
  <c r="BU289" i="11"/>
  <c r="BU290" i="11"/>
  <c r="BU291" i="11"/>
  <c r="BU292" i="11"/>
  <c r="BU293" i="11"/>
  <c r="BU294" i="11"/>
  <c r="BU295" i="11"/>
  <c r="BU296" i="11"/>
  <c r="BU297" i="11"/>
  <c r="BU298" i="11"/>
  <c r="BU299" i="11"/>
  <c r="BU300" i="11"/>
  <c r="BU301" i="11"/>
  <c r="BU302" i="11"/>
  <c r="BU303" i="11"/>
  <c r="BU304" i="11"/>
  <c r="BU305" i="11"/>
  <c r="BU306" i="11"/>
  <c r="BU307" i="11"/>
  <c r="BU308" i="11"/>
  <c r="BU309" i="11"/>
  <c r="BU310" i="11"/>
  <c r="BU311" i="11"/>
  <c r="BU312" i="11"/>
  <c r="BU313" i="11"/>
  <c r="BU314" i="11"/>
  <c r="BU315" i="11"/>
  <c r="BU316" i="11"/>
  <c r="BU317" i="11"/>
  <c r="BU318" i="11"/>
  <c r="BU319" i="11"/>
  <c r="BU320" i="11"/>
  <c r="BU321" i="11"/>
  <c r="BU2" i="11"/>
  <c r="BV2" i="11"/>
  <c r="AG20" i="11"/>
  <c r="AN14" i="11"/>
  <c r="AN62" i="11"/>
  <c r="AM62" i="11"/>
  <c r="AN61" i="11"/>
  <c r="AM61" i="11"/>
  <c r="AN60" i="11"/>
  <c r="AM60" i="11"/>
  <c r="AN59" i="11"/>
  <c r="AM59" i="11"/>
  <c r="AN58" i="11"/>
  <c r="AM58" i="11"/>
  <c r="AN57" i="11"/>
  <c r="AM57" i="11"/>
  <c r="AN56" i="11"/>
  <c r="AM56" i="11"/>
  <c r="AN55" i="11"/>
  <c r="AM55" i="11"/>
  <c r="AN54" i="11"/>
  <c r="AM54" i="11"/>
  <c r="AN53" i="11"/>
  <c r="AM53" i="11"/>
  <c r="AN52" i="11"/>
  <c r="AM52" i="11"/>
  <c r="M52" i="11"/>
  <c r="L52" i="11"/>
  <c r="AN51" i="11"/>
  <c r="AM51" i="11"/>
  <c r="M51" i="11"/>
  <c r="L51" i="11"/>
  <c r="AN50" i="11"/>
  <c r="AM50" i="11"/>
  <c r="M50" i="11"/>
  <c r="L50" i="11"/>
  <c r="AN49" i="11"/>
  <c r="AM49" i="11"/>
  <c r="M49" i="11"/>
  <c r="L49" i="11"/>
  <c r="AN48" i="11"/>
  <c r="AM48" i="11"/>
  <c r="M48" i="11"/>
  <c r="L48" i="11"/>
  <c r="AN47" i="11"/>
  <c r="AM47" i="11"/>
  <c r="M47" i="11"/>
  <c r="L47" i="11"/>
  <c r="AN46" i="11"/>
  <c r="AM46" i="11"/>
  <c r="AG46" i="11"/>
  <c r="AF46" i="11"/>
  <c r="M46" i="11"/>
  <c r="L46" i="11"/>
  <c r="AN45" i="11"/>
  <c r="AM45" i="11"/>
  <c r="AG45" i="11"/>
  <c r="AF45" i="11"/>
  <c r="M45" i="11"/>
  <c r="L45" i="11"/>
  <c r="AN44" i="11"/>
  <c r="AM44" i="11"/>
  <c r="AG44" i="11"/>
  <c r="AF44" i="11"/>
  <c r="M44" i="11"/>
  <c r="L44" i="11"/>
  <c r="AN43" i="11"/>
  <c r="AM43" i="11"/>
  <c r="AG43" i="11"/>
  <c r="AF43" i="11"/>
  <c r="M43" i="11"/>
  <c r="L43" i="11"/>
  <c r="AN42" i="11"/>
  <c r="AM42" i="11"/>
  <c r="AG42" i="11"/>
  <c r="AF42" i="11"/>
  <c r="M42" i="11"/>
  <c r="L42" i="11"/>
  <c r="AN41" i="11"/>
  <c r="AM41" i="11"/>
  <c r="AG41" i="11"/>
  <c r="AF41" i="11"/>
  <c r="M41" i="11"/>
  <c r="L41" i="11"/>
  <c r="AN40" i="11"/>
  <c r="AM40" i="11"/>
  <c r="AG40" i="11"/>
  <c r="AF40" i="11"/>
  <c r="M40" i="11"/>
  <c r="L40" i="11"/>
  <c r="AN39" i="11"/>
  <c r="AM39" i="11"/>
  <c r="AG39" i="11"/>
  <c r="AF39" i="11"/>
  <c r="M39" i="11"/>
  <c r="L39" i="11"/>
  <c r="AN38" i="11"/>
  <c r="AM38" i="11"/>
  <c r="AG38" i="11"/>
  <c r="AF38" i="11"/>
  <c r="M38" i="11"/>
  <c r="L38" i="11"/>
  <c r="AN37" i="11"/>
  <c r="AM37" i="11"/>
  <c r="AG37" i="11"/>
  <c r="AF37" i="11"/>
  <c r="M37" i="11"/>
  <c r="L37" i="11"/>
  <c r="AN36" i="11"/>
  <c r="AM36" i="11"/>
  <c r="AG36" i="11"/>
  <c r="AF36" i="11"/>
  <c r="AN35" i="11"/>
  <c r="AM35" i="11"/>
  <c r="AG35" i="11"/>
  <c r="AF35" i="11"/>
  <c r="M35" i="11"/>
  <c r="L35" i="11"/>
  <c r="AN34" i="11"/>
  <c r="AM34" i="11"/>
  <c r="AG34" i="11"/>
  <c r="AF34" i="11"/>
  <c r="M34" i="11"/>
  <c r="L34" i="11"/>
  <c r="AN33" i="11"/>
  <c r="AM33" i="11"/>
  <c r="AG33" i="11"/>
  <c r="AF33" i="11"/>
  <c r="M33" i="11"/>
  <c r="L33" i="11"/>
  <c r="AN32" i="11"/>
  <c r="AM32" i="11"/>
  <c r="AG32" i="11"/>
  <c r="AF32" i="11"/>
  <c r="M32" i="11"/>
  <c r="L32" i="11"/>
  <c r="AN31" i="11"/>
  <c r="AM31" i="11"/>
  <c r="AG31" i="11"/>
  <c r="AF31" i="11"/>
  <c r="M31" i="11"/>
  <c r="L31" i="11"/>
  <c r="AN30" i="11"/>
  <c r="AM30" i="11"/>
  <c r="AG30" i="11"/>
  <c r="AF30" i="11"/>
  <c r="M30" i="11"/>
  <c r="L30" i="11"/>
  <c r="AN29" i="11"/>
  <c r="AM29" i="11"/>
  <c r="AG29" i="11"/>
  <c r="AF29" i="11"/>
  <c r="M29" i="11"/>
  <c r="L29" i="11"/>
  <c r="AN28" i="11"/>
  <c r="AM28" i="11"/>
  <c r="AG28" i="11"/>
  <c r="AF28" i="11"/>
  <c r="M28" i="11"/>
  <c r="L28" i="11"/>
  <c r="AN27" i="11"/>
  <c r="AM27" i="11"/>
  <c r="AG27" i="11"/>
  <c r="AF27" i="11"/>
  <c r="M27" i="11"/>
  <c r="L27" i="11"/>
  <c r="AN26" i="11"/>
  <c r="AM26" i="11"/>
  <c r="AG26" i="11"/>
  <c r="AF26" i="11"/>
  <c r="M26" i="11"/>
  <c r="L26" i="11"/>
  <c r="AN25" i="11"/>
  <c r="AM25" i="11"/>
  <c r="AG25" i="11"/>
  <c r="AF25" i="11"/>
  <c r="M25" i="11"/>
  <c r="L25" i="11"/>
  <c r="AN24" i="11"/>
  <c r="AM24" i="11"/>
  <c r="AG24" i="11"/>
  <c r="AF24" i="11"/>
  <c r="M24" i="11"/>
  <c r="L24" i="11"/>
  <c r="AN23" i="11"/>
  <c r="AM23" i="11"/>
  <c r="AG23" i="11"/>
  <c r="AF23" i="11"/>
  <c r="M23" i="11"/>
  <c r="L23" i="11"/>
  <c r="AN22" i="11"/>
  <c r="AM22" i="11"/>
  <c r="AG22" i="11"/>
  <c r="AF22" i="11"/>
  <c r="M22" i="11"/>
  <c r="L22" i="11"/>
  <c r="AN21" i="11"/>
  <c r="AM21" i="11"/>
  <c r="AG21" i="11"/>
  <c r="AF21" i="11"/>
  <c r="M21" i="11"/>
  <c r="L21" i="11"/>
  <c r="AN20" i="11"/>
  <c r="AM20" i="11"/>
  <c r="AF20" i="11"/>
  <c r="M20" i="11"/>
  <c r="L20" i="11"/>
  <c r="AN19" i="11"/>
  <c r="AM19" i="11"/>
  <c r="AG19" i="11"/>
  <c r="AF19" i="11"/>
  <c r="AN18" i="11"/>
  <c r="AM18" i="11"/>
  <c r="AG18" i="11"/>
  <c r="AF18" i="11"/>
  <c r="M18" i="11"/>
  <c r="L18" i="11"/>
  <c r="AN17" i="11"/>
  <c r="AM17" i="11"/>
  <c r="AG17" i="11"/>
  <c r="AF17" i="11"/>
  <c r="M17" i="11"/>
  <c r="L17" i="11"/>
  <c r="AN16" i="11"/>
  <c r="AM16" i="11"/>
  <c r="AG16" i="11"/>
  <c r="AF16" i="11"/>
  <c r="M16" i="11"/>
  <c r="L16" i="11"/>
  <c r="AN15" i="11"/>
  <c r="AM15" i="11"/>
  <c r="AG15" i="11"/>
  <c r="AF15" i="11"/>
  <c r="M15" i="11"/>
  <c r="L15" i="11"/>
  <c r="AM14" i="11"/>
  <c r="AG14" i="11"/>
  <c r="AF14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4" i="11"/>
  <c r="L4" i="11"/>
  <c r="M3" i="11"/>
  <c r="L3" i="11"/>
  <c r="AU3" i="10"/>
  <c r="AU4" i="10"/>
  <c r="AU5" i="10"/>
  <c r="AU6" i="10"/>
  <c r="AU7" i="10"/>
  <c r="AU8" i="10"/>
  <c r="AU9" i="10"/>
  <c r="AU10" i="10"/>
  <c r="AU11" i="10"/>
  <c r="AU12" i="10"/>
  <c r="AU13" i="10"/>
  <c r="AU14" i="10"/>
  <c r="AU15" i="10"/>
  <c r="AU16" i="10"/>
  <c r="AU17" i="10"/>
  <c r="AU18" i="10"/>
  <c r="AU19" i="10"/>
  <c r="AU20" i="10"/>
  <c r="AU21" i="10"/>
  <c r="AU22" i="10"/>
  <c r="AU23" i="10"/>
  <c r="AU24" i="10"/>
  <c r="AU25" i="10"/>
  <c r="AU26" i="10"/>
  <c r="AU27" i="10"/>
  <c r="AU28" i="10"/>
  <c r="AU29" i="10"/>
  <c r="AU30" i="10"/>
  <c r="AU31" i="10"/>
  <c r="AU32" i="10"/>
  <c r="AU33" i="10"/>
  <c r="AU34" i="10"/>
  <c r="AU35" i="10"/>
  <c r="AU36" i="10"/>
  <c r="AU37" i="10"/>
  <c r="AU38" i="10"/>
  <c r="AU39" i="10"/>
  <c r="AU40" i="10"/>
  <c r="AU41" i="10"/>
  <c r="AU42" i="10"/>
  <c r="AU43" i="10"/>
  <c r="AU44" i="10"/>
  <c r="AU45" i="10"/>
  <c r="AU46" i="10"/>
  <c r="AU47" i="10"/>
  <c r="AU48" i="10"/>
  <c r="AU49" i="10"/>
  <c r="AU50" i="10"/>
  <c r="AU51" i="10"/>
  <c r="AU52" i="10"/>
  <c r="AU53" i="10"/>
  <c r="AU54" i="10"/>
  <c r="AU55" i="10"/>
  <c r="AU56" i="10"/>
  <c r="AU57" i="10"/>
  <c r="AU58" i="10"/>
  <c r="AU59" i="10"/>
  <c r="AU60" i="10"/>
  <c r="AU61" i="10"/>
  <c r="AU62" i="10"/>
  <c r="AU63" i="10"/>
  <c r="AU64" i="10"/>
  <c r="AU65" i="10"/>
  <c r="AU66" i="10"/>
  <c r="AU67" i="10"/>
  <c r="AU68" i="10"/>
  <c r="AU69" i="10"/>
  <c r="AU70" i="10"/>
  <c r="AU71" i="10"/>
  <c r="AU72" i="10"/>
  <c r="AU73" i="10"/>
  <c r="AU74" i="10"/>
  <c r="AU75" i="10"/>
  <c r="AU76" i="10"/>
  <c r="AU77" i="10"/>
  <c r="AU78" i="10"/>
  <c r="AU79" i="10"/>
  <c r="AU80" i="10"/>
  <c r="AU81" i="10"/>
  <c r="AU82" i="10"/>
  <c r="AU83" i="10"/>
  <c r="AU84" i="10"/>
  <c r="AU85" i="10"/>
  <c r="AU86" i="10"/>
  <c r="AU87" i="10"/>
  <c r="AU88" i="10"/>
  <c r="AU89" i="10"/>
  <c r="AU90" i="10"/>
  <c r="AU91" i="10"/>
  <c r="AU92" i="10"/>
  <c r="AU93" i="10"/>
  <c r="AU94" i="10"/>
  <c r="AU95" i="10"/>
  <c r="AU96" i="10"/>
  <c r="AU97" i="10"/>
  <c r="AU98" i="10"/>
  <c r="AU99" i="10"/>
  <c r="AU100" i="10"/>
  <c r="AU101" i="10"/>
  <c r="AU102" i="10"/>
  <c r="AU103" i="10"/>
  <c r="AU104" i="10"/>
  <c r="AU105" i="10"/>
  <c r="AU106" i="10"/>
  <c r="AU107" i="10"/>
  <c r="AU108" i="10"/>
  <c r="AU109" i="10"/>
  <c r="AU110" i="10"/>
  <c r="AU111" i="10"/>
  <c r="AU112" i="10"/>
  <c r="AU113" i="10"/>
  <c r="AU114" i="10"/>
  <c r="AU115" i="10"/>
  <c r="AU116" i="10"/>
  <c r="AU117" i="10"/>
  <c r="AU118" i="10"/>
  <c r="AU119" i="10"/>
  <c r="AU120" i="10"/>
  <c r="AU121" i="10"/>
  <c r="AU122" i="10"/>
  <c r="AU123" i="10"/>
  <c r="AU124" i="10"/>
  <c r="AU125" i="10"/>
  <c r="AU126" i="10"/>
  <c r="AU127" i="10"/>
  <c r="AU128" i="10"/>
  <c r="AU129" i="10"/>
  <c r="AU130" i="10"/>
  <c r="AU131" i="10"/>
  <c r="AU132" i="10"/>
  <c r="AU133" i="10"/>
  <c r="AU134" i="10"/>
  <c r="AU135" i="10"/>
  <c r="AU136" i="10"/>
  <c r="AU137" i="10"/>
  <c r="AU138" i="10"/>
  <c r="AU139" i="10"/>
  <c r="AU140" i="10"/>
  <c r="AU141" i="10"/>
  <c r="AU142" i="10"/>
  <c r="AU143" i="10"/>
  <c r="AU144" i="10"/>
  <c r="AU145" i="10"/>
  <c r="AU146" i="10"/>
  <c r="AU147" i="10"/>
  <c r="AU148" i="10"/>
  <c r="AU149" i="10"/>
  <c r="AU150" i="10"/>
  <c r="AU151" i="10"/>
  <c r="AU152" i="10"/>
  <c r="AU153" i="10"/>
  <c r="AU154" i="10"/>
  <c r="AU155" i="10"/>
  <c r="AU156" i="10"/>
  <c r="AU157" i="10"/>
  <c r="AU158" i="10"/>
  <c r="AU159" i="10"/>
  <c r="AU160" i="10"/>
  <c r="AU161" i="10"/>
  <c r="AU162" i="10"/>
  <c r="AU163" i="10"/>
  <c r="AU164" i="10"/>
  <c r="AU165" i="10"/>
  <c r="AU166" i="10"/>
  <c r="AU167" i="10"/>
  <c r="AU168" i="10"/>
  <c r="AU169" i="10"/>
  <c r="AU170" i="10"/>
  <c r="AU171" i="10"/>
  <c r="AU172" i="10"/>
  <c r="AU173" i="10"/>
  <c r="AU174" i="10"/>
  <c r="AU175" i="10"/>
  <c r="AU176" i="10"/>
  <c r="AU177" i="10"/>
  <c r="AU178" i="10"/>
  <c r="AU179" i="10"/>
  <c r="AU180" i="10"/>
  <c r="AU181" i="10"/>
  <c r="AU182" i="10"/>
  <c r="AU183" i="10"/>
  <c r="AU184" i="10"/>
  <c r="AU185" i="10"/>
  <c r="AU186" i="10"/>
  <c r="AU187" i="10"/>
  <c r="AU188" i="10"/>
  <c r="AU189" i="10"/>
  <c r="AU190" i="10"/>
  <c r="AU191" i="10"/>
  <c r="AU192" i="10"/>
  <c r="AU193" i="10"/>
  <c r="AU194" i="10"/>
  <c r="AU195" i="10"/>
  <c r="AU196" i="10"/>
  <c r="AU197" i="10"/>
  <c r="AU198" i="10"/>
  <c r="AU199" i="10"/>
  <c r="AU200" i="10"/>
  <c r="AU201" i="10"/>
  <c r="AU202" i="10"/>
  <c r="AU203" i="10"/>
  <c r="AU204" i="10"/>
  <c r="AU205" i="10"/>
  <c r="AU206" i="10"/>
  <c r="AU207" i="10"/>
  <c r="AU208" i="10"/>
  <c r="AU209" i="10"/>
  <c r="AU210" i="10"/>
  <c r="AU211" i="10"/>
  <c r="AU212" i="10"/>
  <c r="AU213" i="10"/>
  <c r="AU214" i="10"/>
  <c r="AU215" i="10"/>
  <c r="AU216" i="10"/>
  <c r="AU217" i="10"/>
  <c r="AU218" i="10"/>
  <c r="AU219" i="10"/>
  <c r="AU220" i="10"/>
  <c r="AU221" i="10"/>
  <c r="AU222" i="10"/>
  <c r="AU223" i="10"/>
  <c r="AU224" i="10"/>
  <c r="AU225" i="10"/>
  <c r="AU226" i="10"/>
  <c r="AU227" i="10"/>
  <c r="AU228" i="10"/>
  <c r="AU229" i="10"/>
  <c r="AU230" i="10"/>
  <c r="AU231" i="10"/>
  <c r="AU232" i="10"/>
  <c r="AU233" i="10"/>
  <c r="AU234" i="10"/>
  <c r="AU235" i="10"/>
  <c r="AU236" i="10"/>
  <c r="AU237" i="10"/>
  <c r="AU238" i="10"/>
  <c r="AU239" i="10"/>
  <c r="AU240" i="10"/>
  <c r="AU241" i="10"/>
  <c r="AU242" i="10"/>
  <c r="AU243" i="10"/>
  <c r="AU244" i="10"/>
  <c r="AU245" i="10"/>
  <c r="AU246" i="10"/>
  <c r="AU247" i="10"/>
  <c r="AU248" i="10"/>
  <c r="AU249" i="10"/>
  <c r="AU250" i="10"/>
  <c r="AU251" i="10"/>
  <c r="AU252" i="10"/>
  <c r="AU253" i="10"/>
  <c r="AU254" i="10"/>
  <c r="AU255" i="10"/>
  <c r="AU256" i="10"/>
  <c r="AU257" i="10"/>
  <c r="AU258" i="10"/>
  <c r="AU259" i="10"/>
  <c r="AU260" i="10"/>
  <c r="AU261" i="10"/>
  <c r="AU262" i="10"/>
  <c r="AU263" i="10"/>
  <c r="AU264" i="10"/>
  <c r="AU265" i="10"/>
  <c r="AU266" i="10"/>
  <c r="AU267" i="10"/>
  <c r="AU268" i="10"/>
  <c r="AU269" i="10"/>
  <c r="AU270" i="10"/>
  <c r="AU271" i="10"/>
  <c r="AU272" i="10"/>
  <c r="AU273" i="10"/>
  <c r="AU274" i="10"/>
  <c r="AU275" i="10"/>
  <c r="AU276" i="10"/>
  <c r="AU277" i="10"/>
  <c r="AU278" i="10"/>
  <c r="AU279" i="10"/>
  <c r="AU280" i="10"/>
  <c r="AU281" i="10"/>
  <c r="AU282" i="10"/>
  <c r="AU283" i="10"/>
  <c r="AU284" i="10"/>
  <c r="AU285" i="10"/>
  <c r="AU286" i="10"/>
  <c r="AU287" i="10"/>
  <c r="AU288" i="10"/>
  <c r="AU289" i="10"/>
  <c r="AU290" i="10"/>
  <c r="AU291" i="10"/>
  <c r="AU292" i="10"/>
  <c r="AU293" i="10"/>
  <c r="AU294" i="10"/>
  <c r="AU295" i="10"/>
  <c r="AU296" i="10"/>
  <c r="AU297" i="10"/>
  <c r="AU298" i="10"/>
  <c r="AU299" i="10"/>
  <c r="AU300" i="10"/>
  <c r="AU301" i="10"/>
  <c r="AU302" i="10"/>
  <c r="AU303" i="10"/>
  <c r="AU304" i="10"/>
  <c r="AU305" i="10"/>
  <c r="AU306" i="10"/>
  <c r="AU307" i="10"/>
  <c r="AU308" i="10"/>
  <c r="AU309" i="10"/>
  <c r="AU310" i="10"/>
  <c r="AU311" i="10"/>
  <c r="AU312" i="10"/>
  <c r="AU313" i="10"/>
  <c r="AU314" i="10"/>
  <c r="AU315" i="10"/>
  <c r="AU316" i="10"/>
  <c r="AU317" i="10"/>
  <c r="AU318" i="10"/>
  <c r="AU319" i="10"/>
  <c r="AU320" i="10"/>
  <c r="AU321" i="10"/>
  <c r="AU2" i="10"/>
  <c r="AH3" i="10"/>
  <c r="AH4" i="10"/>
  <c r="AH5" i="10"/>
  <c r="AH6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74" i="10"/>
  <c r="AH75" i="10"/>
  <c r="AH76" i="10"/>
  <c r="AH77" i="10"/>
  <c r="AH78" i="10"/>
  <c r="AH79" i="10"/>
  <c r="AH80" i="10"/>
  <c r="AH81" i="10"/>
  <c r="AH82" i="10"/>
  <c r="AH83" i="10"/>
  <c r="AH84" i="10"/>
  <c r="AH85" i="10"/>
  <c r="AH86" i="10"/>
  <c r="AH87" i="10"/>
  <c r="AH88" i="10"/>
  <c r="AH89" i="10"/>
  <c r="AH90" i="10"/>
  <c r="AH91" i="10"/>
  <c r="AH92" i="10"/>
  <c r="AH93" i="10"/>
  <c r="AH94" i="10"/>
  <c r="AH95" i="10"/>
  <c r="AH96" i="10"/>
  <c r="AH97" i="10"/>
  <c r="AH98" i="10"/>
  <c r="AH99" i="10"/>
  <c r="AH100" i="10"/>
  <c r="AH101" i="10"/>
  <c r="AH102" i="10"/>
  <c r="AH103" i="10"/>
  <c r="AH104" i="10"/>
  <c r="AH105" i="10"/>
  <c r="AH106" i="10"/>
  <c r="AH107" i="10"/>
  <c r="AH108" i="10"/>
  <c r="AH109" i="10"/>
  <c r="AH110" i="10"/>
  <c r="AH111" i="10"/>
  <c r="AH112" i="10"/>
  <c r="AH113" i="10"/>
  <c r="AH114" i="10"/>
  <c r="AH115" i="10"/>
  <c r="AH116" i="10"/>
  <c r="AH117" i="10"/>
  <c r="AH118" i="10"/>
  <c r="AH119" i="10"/>
  <c r="AH120" i="10"/>
  <c r="AH121" i="10"/>
  <c r="AH122" i="10"/>
  <c r="AH123" i="10"/>
  <c r="AH124" i="10"/>
  <c r="AH125" i="10"/>
  <c r="AH126" i="10"/>
  <c r="AH127" i="10"/>
  <c r="AH128" i="10"/>
  <c r="AH129" i="10"/>
  <c r="AH130" i="10"/>
  <c r="AH131" i="10"/>
  <c r="AH132" i="10"/>
  <c r="AH133" i="10"/>
  <c r="AH134" i="10"/>
  <c r="AH135" i="10"/>
  <c r="AH136" i="10"/>
  <c r="AH137" i="10"/>
  <c r="AH138" i="10"/>
  <c r="AH139" i="10"/>
  <c r="AH140" i="10"/>
  <c r="AH141" i="10"/>
  <c r="AH142" i="10"/>
  <c r="AH143" i="10"/>
  <c r="AH144" i="10"/>
  <c r="AH145" i="10"/>
  <c r="AH146" i="10"/>
  <c r="AH147" i="10"/>
  <c r="AH148" i="10"/>
  <c r="AH149" i="10"/>
  <c r="AH150" i="10"/>
  <c r="AH151" i="10"/>
  <c r="AH152" i="10"/>
  <c r="AH153" i="10"/>
  <c r="AH154" i="10"/>
  <c r="AH155" i="10"/>
  <c r="AH156" i="10"/>
  <c r="AH157" i="10"/>
  <c r="AH158" i="10"/>
  <c r="AH159" i="10"/>
  <c r="AH160" i="10"/>
  <c r="AH161" i="10"/>
  <c r="AH162" i="10"/>
  <c r="AH163" i="10"/>
  <c r="AH164" i="10"/>
  <c r="AH165" i="10"/>
  <c r="AH166" i="10"/>
  <c r="AH167" i="10"/>
  <c r="AH168" i="10"/>
  <c r="AH169" i="10"/>
  <c r="AH170" i="10"/>
  <c r="AH171" i="10"/>
  <c r="AH172" i="10"/>
  <c r="AH173" i="10"/>
  <c r="AH174" i="10"/>
  <c r="AH175" i="10"/>
  <c r="AH176" i="10"/>
  <c r="AH177" i="10"/>
  <c r="AH178" i="10"/>
  <c r="AH179" i="10"/>
  <c r="AH180" i="10"/>
  <c r="AH181" i="10"/>
  <c r="AH182" i="10"/>
  <c r="AH183" i="10"/>
  <c r="AH184" i="10"/>
  <c r="AH185" i="10"/>
  <c r="AH186" i="10"/>
  <c r="AH187" i="10"/>
  <c r="AH188" i="10"/>
  <c r="AH189" i="10"/>
  <c r="AH190" i="10"/>
  <c r="AH191" i="10"/>
  <c r="AH192" i="10"/>
  <c r="AH193" i="10"/>
  <c r="AH194" i="10"/>
  <c r="AH195" i="10"/>
  <c r="AH196" i="10"/>
  <c r="AH197" i="10"/>
  <c r="AH198" i="10"/>
  <c r="AH199" i="10"/>
  <c r="AH200" i="10"/>
  <c r="AH201" i="10"/>
  <c r="AH202" i="10"/>
  <c r="AH203" i="10"/>
  <c r="AH204" i="10"/>
  <c r="AH205" i="10"/>
  <c r="AH206" i="10"/>
  <c r="AH207" i="10"/>
  <c r="AH208" i="10"/>
  <c r="AH209" i="10"/>
  <c r="AH210" i="10"/>
  <c r="AH211" i="10"/>
  <c r="AH212" i="10"/>
  <c r="AH213" i="10"/>
  <c r="AH214" i="10"/>
  <c r="AH215" i="10"/>
  <c r="AH216" i="10"/>
  <c r="AH217" i="10"/>
  <c r="AH218" i="10"/>
  <c r="AH219" i="10"/>
  <c r="AH220" i="10"/>
  <c r="AH221" i="10"/>
  <c r="AH222" i="10"/>
  <c r="AH223" i="10"/>
  <c r="AH224" i="10"/>
  <c r="AH225" i="10"/>
  <c r="AH226" i="10"/>
  <c r="AH227" i="10"/>
  <c r="AH228" i="10"/>
  <c r="AH229" i="10"/>
  <c r="AH230" i="10"/>
  <c r="AH231" i="10"/>
  <c r="AH232" i="10"/>
  <c r="AH233" i="10"/>
  <c r="AH234" i="10"/>
  <c r="AH235" i="10"/>
  <c r="AH236" i="10"/>
  <c r="AH237" i="10"/>
  <c r="AH238" i="10"/>
  <c r="AH239" i="10"/>
  <c r="AH240" i="10"/>
  <c r="AH241" i="10"/>
  <c r="AH242" i="10"/>
  <c r="AH243" i="10"/>
  <c r="AH244" i="10"/>
  <c r="AH245" i="10"/>
  <c r="AH246" i="10"/>
  <c r="AH247" i="10"/>
  <c r="AH248" i="10"/>
  <c r="AH249" i="10"/>
  <c r="AH250" i="10"/>
  <c r="AH251" i="10"/>
  <c r="AH252" i="10"/>
  <c r="AH253" i="10"/>
  <c r="AH254" i="10"/>
  <c r="AH255" i="10"/>
  <c r="AH256" i="10"/>
  <c r="AH257" i="10"/>
  <c r="AH258" i="10"/>
  <c r="AH259" i="10"/>
  <c r="AH260" i="10"/>
  <c r="AH261" i="10"/>
  <c r="AH262" i="10"/>
  <c r="AH263" i="10"/>
  <c r="AH264" i="10"/>
  <c r="AH265" i="10"/>
  <c r="AH266" i="10"/>
  <c r="AH267" i="10"/>
  <c r="AH268" i="10"/>
  <c r="AH269" i="10"/>
  <c r="AH270" i="10"/>
  <c r="AH271" i="10"/>
  <c r="AH272" i="10"/>
  <c r="AH273" i="10"/>
  <c r="AH274" i="10"/>
  <c r="AH275" i="10"/>
  <c r="AH276" i="10"/>
  <c r="AH277" i="10"/>
  <c r="AH278" i="10"/>
  <c r="AH279" i="10"/>
  <c r="AH280" i="10"/>
  <c r="AH281" i="10"/>
  <c r="AH282" i="10"/>
  <c r="AH283" i="10"/>
  <c r="AH284" i="10"/>
  <c r="AH285" i="10"/>
  <c r="AH286" i="10"/>
  <c r="AH287" i="10"/>
  <c r="AH288" i="10"/>
  <c r="AH289" i="10"/>
  <c r="AH290" i="10"/>
  <c r="AH291" i="10"/>
  <c r="AH292" i="10"/>
  <c r="AH293" i="10"/>
  <c r="AH294" i="10"/>
  <c r="AH295" i="10"/>
  <c r="AH296" i="10"/>
  <c r="AH297" i="10"/>
  <c r="AH298" i="10"/>
  <c r="AH299" i="10"/>
  <c r="AH300" i="10"/>
  <c r="AH301" i="10"/>
  <c r="AH302" i="10"/>
  <c r="AH303" i="10"/>
  <c r="AH304" i="10"/>
  <c r="AH305" i="10"/>
  <c r="AH306" i="10"/>
  <c r="AH307" i="10"/>
  <c r="AH308" i="10"/>
  <c r="AH309" i="10"/>
  <c r="AH310" i="10"/>
  <c r="AH311" i="10"/>
  <c r="AH312" i="10"/>
  <c r="AH313" i="10"/>
  <c r="AH314" i="10"/>
  <c r="AH315" i="10"/>
  <c r="AH316" i="10"/>
  <c r="AH317" i="10"/>
  <c r="AH318" i="10"/>
  <c r="AH319" i="10"/>
  <c r="AH320" i="10"/>
  <c r="AH321" i="10"/>
  <c r="AH2" i="10"/>
  <c r="U3" i="10"/>
  <c r="U4" i="10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U47" i="10"/>
  <c r="U48" i="10"/>
  <c r="U49" i="10"/>
  <c r="U50" i="10"/>
  <c r="U51" i="10"/>
  <c r="U52" i="10"/>
  <c r="U53" i="10"/>
  <c r="U54" i="10"/>
  <c r="U55" i="10"/>
  <c r="U56" i="10"/>
  <c r="U57" i="10"/>
  <c r="U58" i="10"/>
  <c r="U59" i="10"/>
  <c r="U60" i="10"/>
  <c r="U61" i="10"/>
  <c r="U62" i="10"/>
  <c r="U63" i="10"/>
  <c r="U64" i="10"/>
  <c r="U65" i="10"/>
  <c r="U66" i="10"/>
  <c r="U67" i="10"/>
  <c r="U68" i="10"/>
  <c r="U69" i="10"/>
  <c r="U70" i="10"/>
  <c r="U71" i="10"/>
  <c r="U72" i="10"/>
  <c r="U73" i="10"/>
  <c r="U74" i="10"/>
  <c r="U75" i="10"/>
  <c r="U76" i="10"/>
  <c r="U77" i="10"/>
  <c r="U78" i="10"/>
  <c r="U79" i="10"/>
  <c r="U80" i="10"/>
  <c r="U81" i="10"/>
  <c r="U82" i="10"/>
  <c r="U83" i="10"/>
  <c r="U84" i="10"/>
  <c r="U85" i="10"/>
  <c r="U86" i="10"/>
  <c r="U87" i="10"/>
  <c r="U88" i="10"/>
  <c r="U89" i="10"/>
  <c r="U90" i="10"/>
  <c r="U91" i="10"/>
  <c r="U92" i="10"/>
  <c r="U93" i="10"/>
  <c r="U94" i="10"/>
  <c r="U95" i="10"/>
  <c r="U96" i="10"/>
  <c r="U97" i="10"/>
  <c r="U98" i="10"/>
  <c r="U99" i="10"/>
  <c r="U100" i="10"/>
  <c r="U101" i="10"/>
  <c r="U102" i="10"/>
  <c r="U103" i="10"/>
  <c r="U104" i="10"/>
  <c r="U105" i="10"/>
  <c r="U106" i="10"/>
  <c r="U107" i="10"/>
  <c r="U108" i="10"/>
  <c r="U109" i="10"/>
  <c r="U110" i="10"/>
  <c r="U111" i="10"/>
  <c r="U112" i="10"/>
  <c r="U113" i="10"/>
  <c r="U114" i="10"/>
  <c r="U115" i="10"/>
  <c r="U116" i="10"/>
  <c r="U117" i="10"/>
  <c r="U118" i="10"/>
  <c r="U119" i="10"/>
  <c r="U120" i="10"/>
  <c r="U121" i="10"/>
  <c r="U122" i="10"/>
  <c r="U123" i="10"/>
  <c r="U124" i="10"/>
  <c r="U125" i="10"/>
  <c r="U126" i="10"/>
  <c r="U127" i="10"/>
  <c r="U128" i="10"/>
  <c r="U129" i="10"/>
  <c r="U130" i="10"/>
  <c r="U131" i="10"/>
  <c r="U132" i="10"/>
  <c r="U133" i="10"/>
  <c r="U134" i="10"/>
  <c r="U135" i="10"/>
  <c r="U136" i="10"/>
  <c r="U137" i="10"/>
  <c r="U138" i="10"/>
  <c r="U139" i="10"/>
  <c r="U140" i="10"/>
  <c r="U141" i="10"/>
  <c r="U142" i="10"/>
  <c r="U143" i="10"/>
  <c r="U144" i="10"/>
  <c r="U145" i="10"/>
  <c r="U146" i="10"/>
  <c r="U147" i="10"/>
  <c r="U148" i="10"/>
  <c r="U149" i="10"/>
  <c r="U150" i="10"/>
  <c r="U151" i="10"/>
  <c r="U152" i="10"/>
  <c r="U153" i="10"/>
  <c r="U154" i="10"/>
  <c r="U155" i="10"/>
  <c r="U156" i="10"/>
  <c r="U157" i="10"/>
  <c r="U158" i="10"/>
  <c r="U159" i="10"/>
  <c r="U160" i="10"/>
  <c r="U161" i="10"/>
  <c r="U162" i="10"/>
  <c r="U163" i="10"/>
  <c r="U164" i="10"/>
  <c r="U165" i="10"/>
  <c r="U166" i="10"/>
  <c r="U167" i="10"/>
  <c r="U168" i="10"/>
  <c r="U169" i="10"/>
  <c r="U170" i="10"/>
  <c r="U171" i="10"/>
  <c r="U172" i="10"/>
  <c r="U173" i="10"/>
  <c r="U174" i="10"/>
  <c r="U175" i="10"/>
  <c r="U176" i="10"/>
  <c r="U177" i="10"/>
  <c r="U178" i="10"/>
  <c r="U179" i="10"/>
  <c r="U180" i="10"/>
  <c r="U181" i="10"/>
  <c r="U182" i="10"/>
  <c r="U183" i="10"/>
  <c r="U184" i="10"/>
  <c r="U185" i="10"/>
  <c r="U186" i="10"/>
  <c r="U187" i="10"/>
  <c r="U188" i="10"/>
  <c r="U189" i="10"/>
  <c r="U190" i="10"/>
  <c r="U191" i="10"/>
  <c r="U192" i="10"/>
  <c r="U193" i="10"/>
  <c r="U194" i="10"/>
  <c r="U195" i="10"/>
  <c r="U196" i="10"/>
  <c r="U197" i="10"/>
  <c r="U198" i="10"/>
  <c r="U199" i="10"/>
  <c r="U200" i="10"/>
  <c r="U201" i="10"/>
  <c r="U202" i="10"/>
  <c r="U203" i="10"/>
  <c r="U204" i="10"/>
  <c r="U205" i="10"/>
  <c r="U206" i="10"/>
  <c r="U207" i="10"/>
  <c r="U208" i="10"/>
  <c r="U209" i="10"/>
  <c r="U210" i="10"/>
  <c r="U211" i="10"/>
  <c r="U212" i="10"/>
  <c r="U213" i="10"/>
  <c r="U214" i="10"/>
  <c r="U215" i="10"/>
  <c r="U216" i="10"/>
  <c r="U217" i="10"/>
  <c r="U218" i="10"/>
  <c r="U219" i="10"/>
  <c r="U220" i="10"/>
  <c r="U221" i="10"/>
  <c r="U222" i="10"/>
  <c r="U223" i="10"/>
  <c r="U224" i="10"/>
  <c r="U225" i="10"/>
  <c r="U226" i="10"/>
  <c r="U227" i="10"/>
  <c r="U228" i="10"/>
  <c r="U229" i="10"/>
  <c r="U230" i="10"/>
  <c r="U231" i="10"/>
  <c r="U232" i="10"/>
  <c r="U233" i="10"/>
  <c r="U234" i="10"/>
  <c r="U235" i="10"/>
  <c r="U236" i="10"/>
  <c r="U237" i="10"/>
  <c r="U238" i="10"/>
  <c r="U239" i="10"/>
  <c r="U240" i="10"/>
  <c r="U241" i="10"/>
  <c r="U242" i="10"/>
  <c r="U243" i="10"/>
  <c r="U244" i="10"/>
  <c r="U245" i="10"/>
  <c r="U246" i="10"/>
  <c r="U247" i="10"/>
  <c r="U248" i="10"/>
  <c r="U249" i="10"/>
  <c r="U250" i="10"/>
  <c r="U251" i="10"/>
  <c r="U252" i="10"/>
  <c r="U253" i="10"/>
  <c r="U254" i="10"/>
  <c r="U255" i="10"/>
  <c r="U256" i="10"/>
  <c r="U257" i="10"/>
  <c r="U258" i="10"/>
  <c r="U259" i="10"/>
  <c r="U260" i="10"/>
  <c r="U261" i="10"/>
  <c r="U262" i="10"/>
  <c r="U263" i="10"/>
  <c r="U264" i="10"/>
  <c r="U265" i="10"/>
  <c r="U266" i="10"/>
  <c r="U267" i="10"/>
  <c r="U268" i="10"/>
  <c r="U269" i="10"/>
  <c r="U270" i="10"/>
  <c r="U271" i="10"/>
  <c r="U272" i="10"/>
  <c r="U273" i="10"/>
  <c r="U274" i="10"/>
  <c r="U275" i="10"/>
  <c r="U276" i="10"/>
  <c r="U277" i="10"/>
  <c r="U278" i="10"/>
  <c r="U279" i="10"/>
  <c r="U280" i="10"/>
  <c r="U281" i="10"/>
  <c r="U282" i="10"/>
  <c r="U283" i="10"/>
  <c r="U284" i="10"/>
  <c r="U285" i="10"/>
  <c r="U286" i="10"/>
  <c r="U287" i="10"/>
  <c r="U288" i="10"/>
  <c r="U289" i="10"/>
  <c r="U290" i="10"/>
  <c r="U291" i="10"/>
  <c r="U292" i="10"/>
  <c r="U293" i="10"/>
  <c r="U294" i="10"/>
  <c r="U295" i="10"/>
  <c r="U296" i="10"/>
  <c r="U297" i="10"/>
  <c r="U298" i="10"/>
  <c r="U299" i="10"/>
  <c r="U300" i="10"/>
  <c r="U301" i="10"/>
  <c r="U302" i="10"/>
  <c r="U303" i="10"/>
  <c r="U304" i="10"/>
  <c r="U305" i="10"/>
  <c r="U306" i="10"/>
  <c r="U307" i="10"/>
  <c r="U308" i="10"/>
  <c r="U309" i="10"/>
  <c r="U310" i="10"/>
  <c r="U311" i="10"/>
  <c r="U312" i="10"/>
  <c r="U313" i="10"/>
  <c r="U314" i="10"/>
  <c r="U315" i="10"/>
  <c r="U316" i="10"/>
  <c r="U317" i="10"/>
  <c r="U318" i="10"/>
  <c r="U319" i="10"/>
  <c r="U320" i="10"/>
  <c r="U321" i="10"/>
  <c r="U2" i="10"/>
  <c r="AN61" i="9"/>
  <c r="AM61" i="9"/>
  <c r="AN60" i="9"/>
  <c r="AM60" i="9"/>
  <c r="AN59" i="9"/>
  <c r="AM59" i="9"/>
  <c r="AN58" i="9"/>
  <c r="AM58" i="9"/>
  <c r="AN57" i="9"/>
  <c r="AM57" i="9"/>
  <c r="AN56" i="9"/>
  <c r="AM56" i="9"/>
  <c r="AN55" i="9"/>
  <c r="AM55" i="9"/>
  <c r="AN54" i="9"/>
  <c r="AM54" i="9"/>
  <c r="AN53" i="9"/>
  <c r="AM53" i="9"/>
  <c r="AN52" i="9"/>
  <c r="AM52" i="9"/>
  <c r="AN51" i="9"/>
  <c r="AM51" i="9"/>
  <c r="M51" i="9"/>
  <c r="L51" i="9"/>
  <c r="AN50" i="9"/>
  <c r="AM50" i="9"/>
  <c r="M50" i="9"/>
  <c r="L50" i="9"/>
  <c r="AN49" i="9"/>
  <c r="AM49" i="9"/>
  <c r="M49" i="9"/>
  <c r="L49" i="9"/>
  <c r="AN48" i="9"/>
  <c r="AM48" i="9"/>
  <c r="M48" i="9"/>
  <c r="L48" i="9"/>
  <c r="AN47" i="9"/>
  <c r="AM47" i="9"/>
  <c r="M47" i="9"/>
  <c r="L47" i="9"/>
  <c r="AN46" i="9"/>
  <c r="AM46" i="9"/>
  <c r="M46" i="9"/>
  <c r="L46" i="9"/>
  <c r="AN45" i="9"/>
  <c r="AM45" i="9"/>
  <c r="AG45" i="9"/>
  <c r="AF45" i="9"/>
  <c r="M45" i="9"/>
  <c r="L45" i="9"/>
  <c r="AN44" i="9"/>
  <c r="AM44" i="9"/>
  <c r="AG44" i="9"/>
  <c r="AF44" i="9"/>
  <c r="M44" i="9"/>
  <c r="L44" i="9"/>
  <c r="AN43" i="9"/>
  <c r="AM43" i="9"/>
  <c r="AG43" i="9"/>
  <c r="AF43" i="9"/>
  <c r="M43" i="9"/>
  <c r="L43" i="9"/>
  <c r="AN42" i="9"/>
  <c r="AM42" i="9"/>
  <c r="AG42" i="9"/>
  <c r="AF42" i="9"/>
  <c r="M42" i="9"/>
  <c r="L42" i="9"/>
  <c r="AN41" i="9"/>
  <c r="AM41" i="9"/>
  <c r="AG41" i="9"/>
  <c r="AF41" i="9"/>
  <c r="M41" i="9"/>
  <c r="L41" i="9"/>
  <c r="AN40" i="9"/>
  <c r="AM40" i="9"/>
  <c r="AG40" i="9"/>
  <c r="AF40" i="9"/>
  <c r="M40" i="9"/>
  <c r="L40" i="9"/>
  <c r="AN39" i="9"/>
  <c r="AM39" i="9"/>
  <c r="AG39" i="9"/>
  <c r="AF39" i="9"/>
  <c r="M39" i="9"/>
  <c r="L39" i="9"/>
  <c r="AN38" i="9"/>
  <c r="AM38" i="9"/>
  <c r="AG38" i="9"/>
  <c r="AF38" i="9"/>
  <c r="M38" i="9"/>
  <c r="L38" i="9"/>
  <c r="AN37" i="9"/>
  <c r="AM37" i="9"/>
  <c r="AG37" i="9"/>
  <c r="AF37" i="9"/>
  <c r="M37" i="9"/>
  <c r="L37" i="9"/>
  <c r="AN36" i="9"/>
  <c r="AM36" i="9"/>
  <c r="AG36" i="9"/>
  <c r="AF36" i="9"/>
  <c r="M36" i="9"/>
  <c r="L36" i="9"/>
  <c r="AN35" i="9"/>
  <c r="AM35" i="9"/>
  <c r="AG35" i="9"/>
  <c r="AF35" i="9"/>
  <c r="AN34" i="9"/>
  <c r="AM34" i="9"/>
  <c r="AG34" i="9"/>
  <c r="AF34" i="9"/>
  <c r="M34" i="9"/>
  <c r="L34" i="9"/>
  <c r="AN33" i="9"/>
  <c r="AM33" i="9"/>
  <c r="AG33" i="9"/>
  <c r="AF33" i="9"/>
  <c r="M33" i="9"/>
  <c r="L33" i="9"/>
  <c r="AN32" i="9"/>
  <c r="AM32" i="9"/>
  <c r="AG32" i="9"/>
  <c r="AF32" i="9"/>
  <c r="M32" i="9"/>
  <c r="L32" i="9"/>
  <c r="AN31" i="9"/>
  <c r="AM31" i="9"/>
  <c r="AG31" i="9"/>
  <c r="AF31" i="9"/>
  <c r="M31" i="9"/>
  <c r="L31" i="9"/>
  <c r="AN30" i="9"/>
  <c r="AM30" i="9"/>
  <c r="AG30" i="9"/>
  <c r="AF30" i="9"/>
  <c r="M30" i="9"/>
  <c r="L30" i="9"/>
  <c r="AN29" i="9"/>
  <c r="AM29" i="9"/>
  <c r="AG29" i="9"/>
  <c r="AF29" i="9"/>
  <c r="M29" i="9"/>
  <c r="L29" i="9"/>
  <c r="AN28" i="9"/>
  <c r="AM28" i="9"/>
  <c r="AG28" i="9"/>
  <c r="AF28" i="9"/>
  <c r="M28" i="9"/>
  <c r="L28" i="9"/>
  <c r="AN27" i="9"/>
  <c r="AM27" i="9"/>
  <c r="AG27" i="9"/>
  <c r="AF27" i="9"/>
  <c r="M27" i="9"/>
  <c r="L27" i="9"/>
  <c r="AN26" i="9"/>
  <c r="AM26" i="9"/>
  <c r="AG26" i="9"/>
  <c r="AF26" i="9"/>
  <c r="M26" i="9"/>
  <c r="L26" i="9"/>
  <c r="AN25" i="9"/>
  <c r="AM25" i="9"/>
  <c r="AG25" i="9"/>
  <c r="AF25" i="9"/>
  <c r="M25" i="9"/>
  <c r="L25" i="9"/>
  <c r="AN24" i="9"/>
  <c r="AM24" i="9"/>
  <c r="AG24" i="9"/>
  <c r="AF24" i="9"/>
  <c r="M24" i="9"/>
  <c r="L24" i="9"/>
  <c r="AN23" i="9"/>
  <c r="AM23" i="9"/>
  <c r="AG23" i="9"/>
  <c r="AF23" i="9"/>
  <c r="M23" i="9"/>
  <c r="L23" i="9"/>
  <c r="AN22" i="9"/>
  <c r="AM22" i="9"/>
  <c r="AG22" i="9"/>
  <c r="AF22" i="9"/>
  <c r="M22" i="9"/>
  <c r="L22" i="9"/>
  <c r="AN21" i="9"/>
  <c r="AM21" i="9"/>
  <c r="AG21" i="9"/>
  <c r="AF21" i="9"/>
  <c r="M21" i="9"/>
  <c r="L21" i="9"/>
  <c r="AN20" i="9"/>
  <c r="AM20" i="9"/>
  <c r="AG20" i="9"/>
  <c r="AF20" i="9"/>
  <c r="M20" i="9"/>
  <c r="L20" i="9"/>
  <c r="AN19" i="9"/>
  <c r="AM19" i="9"/>
  <c r="AG19" i="9"/>
  <c r="AF19" i="9"/>
  <c r="M19" i="9"/>
  <c r="L19" i="9"/>
  <c r="AN18" i="9"/>
  <c r="AM18" i="9"/>
  <c r="AG18" i="9"/>
  <c r="AF18" i="9"/>
  <c r="AN17" i="9"/>
  <c r="AM17" i="9"/>
  <c r="AG17" i="9"/>
  <c r="AF17" i="9"/>
  <c r="M17" i="9"/>
  <c r="L17" i="9"/>
  <c r="AN16" i="9"/>
  <c r="AM16" i="9"/>
  <c r="AG16" i="9"/>
  <c r="AF16" i="9"/>
  <c r="M16" i="9"/>
  <c r="L16" i="9"/>
  <c r="AN15" i="9"/>
  <c r="AM15" i="9"/>
  <c r="AG15" i="9"/>
  <c r="AF15" i="9"/>
  <c r="M15" i="9"/>
  <c r="L15" i="9"/>
  <c r="AN14" i="9"/>
  <c r="AM14" i="9"/>
  <c r="AG14" i="9"/>
  <c r="AF14" i="9"/>
  <c r="M14" i="9"/>
  <c r="L14" i="9"/>
  <c r="AN13" i="9"/>
  <c r="AM13" i="9"/>
  <c r="AG13" i="9"/>
  <c r="AF13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4" i="9"/>
  <c r="L4" i="9"/>
  <c r="M3" i="9"/>
  <c r="L3" i="9"/>
  <c r="M2" i="9"/>
  <c r="L2" i="9"/>
  <c r="AN61" i="8"/>
  <c r="AM61" i="8"/>
  <c r="AN60" i="8"/>
  <c r="AM60" i="8"/>
  <c r="AN59" i="8"/>
  <c r="AM59" i="8"/>
  <c r="AN58" i="8"/>
  <c r="AM58" i="8"/>
  <c r="AN57" i="8"/>
  <c r="AM57" i="8"/>
  <c r="AN56" i="8"/>
  <c r="AM56" i="8"/>
  <c r="AN55" i="8"/>
  <c r="AM55" i="8"/>
  <c r="AN54" i="8"/>
  <c r="AM54" i="8"/>
  <c r="AN53" i="8"/>
  <c r="AM53" i="8"/>
  <c r="AN52" i="8"/>
  <c r="AM52" i="8"/>
  <c r="AN51" i="8"/>
  <c r="AM51" i="8"/>
  <c r="M51" i="8"/>
  <c r="L51" i="8"/>
  <c r="AN50" i="8"/>
  <c r="AM50" i="8"/>
  <c r="M50" i="8"/>
  <c r="L50" i="8"/>
  <c r="AN49" i="8"/>
  <c r="AM49" i="8"/>
  <c r="M49" i="8"/>
  <c r="L49" i="8"/>
  <c r="AN48" i="8"/>
  <c r="AM48" i="8"/>
  <c r="M48" i="8"/>
  <c r="L48" i="8"/>
  <c r="AN47" i="8"/>
  <c r="AM47" i="8"/>
  <c r="M47" i="8"/>
  <c r="L47" i="8"/>
  <c r="AN46" i="8"/>
  <c r="AM46" i="8"/>
  <c r="M46" i="8"/>
  <c r="L46" i="8"/>
  <c r="AN45" i="8"/>
  <c r="AM45" i="8"/>
  <c r="AG45" i="8"/>
  <c r="AF45" i="8"/>
  <c r="M45" i="8"/>
  <c r="L45" i="8"/>
  <c r="AN44" i="8"/>
  <c r="AM44" i="8"/>
  <c r="AG44" i="8"/>
  <c r="AF44" i="8"/>
  <c r="M44" i="8"/>
  <c r="L44" i="8"/>
  <c r="AN43" i="8"/>
  <c r="AM43" i="8"/>
  <c r="AG43" i="8"/>
  <c r="AF43" i="8"/>
  <c r="M43" i="8"/>
  <c r="L43" i="8"/>
  <c r="AN42" i="8"/>
  <c r="AM42" i="8"/>
  <c r="AG42" i="8"/>
  <c r="AF42" i="8"/>
  <c r="M42" i="8"/>
  <c r="L42" i="8"/>
  <c r="AN41" i="8"/>
  <c r="AM41" i="8"/>
  <c r="AG41" i="8"/>
  <c r="AF41" i="8"/>
  <c r="M41" i="8"/>
  <c r="L41" i="8"/>
  <c r="AN40" i="8"/>
  <c r="AM40" i="8"/>
  <c r="AG40" i="8"/>
  <c r="AF40" i="8"/>
  <c r="M40" i="8"/>
  <c r="L40" i="8"/>
  <c r="AN39" i="8"/>
  <c r="AM39" i="8"/>
  <c r="AG39" i="8"/>
  <c r="AF39" i="8"/>
  <c r="M39" i="8"/>
  <c r="L39" i="8"/>
  <c r="AN38" i="8"/>
  <c r="AM38" i="8"/>
  <c r="AG38" i="8"/>
  <c r="AF38" i="8"/>
  <c r="M38" i="8"/>
  <c r="L38" i="8"/>
  <c r="AN37" i="8"/>
  <c r="AM37" i="8"/>
  <c r="AG37" i="8"/>
  <c r="AF37" i="8"/>
  <c r="M37" i="8"/>
  <c r="L37" i="8"/>
  <c r="AN36" i="8"/>
  <c r="AM36" i="8"/>
  <c r="AG36" i="8"/>
  <c r="AF36" i="8"/>
  <c r="M36" i="8"/>
  <c r="L36" i="8"/>
  <c r="AN35" i="8"/>
  <c r="AM35" i="8"/>
  <c r="AG35" i="8"/>
  <c r="AF35" i="8"/>
  <c r="AN34" i="8"/>
  <c r="AM34" i="8"/>
  <c r="AG34" i="8"/>
  <c r="AF34" i="8"/>
  <c r="M34" i="8"/>
  <c r="L34" i="8"/>
  <c r="AN33" i="8"/>
  <c r="AM33" i="8"/>
  <c r="AG33" i="8"/>
  <c r="AF33" i="8"/>
  <c r="M33" i="8"/>
  <c r="L33" i="8"/>
  <c r="AN32" i="8"/>
  <c r="AM32" i="8"/>
  <c r="AG32" i="8"/>
  <c r="AF32" i="8"/>
  <c r="M32" i="8"/>
  <c r="L32" i="8"/>
  <c r="AN31" i="8"/>
  <c r="AM31" i="8"/>
  <c r="AG31" i="8"/>
  <c r="AF31" i="8"/>
  <c r="M31" i="8"/>
  <c r="L31" i="8"/>
  <c r="AN30" i="8"/>
  <c r="AM30" i="8"/>
  <c r="AG30" i="8"/>
  <c r="AF30" i="8"/>
  <c r="M30" i="8"/>
  <c r="L30" i="8"/>
  <c r="AN29" i="8"/>
  <c r="AM29" i="8"/>
  <c r="AG29" i="8"/>
  <c r="AF29" i="8"/>
  <c r="M29" i="8"/>
  <c r="L29" i="8"/>
  <c r="AN28" i="8"/>
  <c r="AM28" i="8"/>
  <c r="AG28" i="8"/>
  <c r="AF28" i="8"/>
  <c r="M28" i="8"/>
  <c r="L28" i="8"/>
  <c r="AN27" i="8"/>
  <c r="AM27" i="8"/>
  <c r="AG27" i="8"/>
  <c r="AF27" i="8"/>
  <c r="M27" i="8"/>
  <c r="L27" i="8"/>
  <c r="AN26" i="8"/>
  <c r="AM26" i="8"/>
  <c r="AG26" i="8"/>
  <c r="AF26" i="8"/>
  <c r="M26" i="8"/>
  <c r="L26" i="8"/>
  <c r="AN25" i="8"/>
  <c r="AM25" i="8"/>
  <c r="AG25" i="8"/>
  <c r="AF25" i="8"/>
  <c r="M25" i="8"/>
  <c r="L25" i="8"/>
  <c r="AN24" i="8"/>
  <c r="AM24" i="8"/>
  <c r="AG24" i="8"/>
  <c r="AF24" i="8"/>
  <c r="M24" i="8"/>
  <c r="L24" i="8"/>
  <c r="AN23" i="8"/>
  <c r="AM23" i="8"/>
  <c r="AG23" i="8"/>
  <c r="AF23" i="8"/>
  <c r="M23" i="8"/>
  <c r="L23" i="8"/>
  <c r="AN22" i="8"/>
  <c r="AM22" i="8"/>
  <c r="AG22" i="8"/>
  <c r="AF22" i="8"/>
  <c r="M22" i="8"/>
  <c r="L22" i="8"/>
  <c r="AN21" i="8"/>
  <c r="AM21" i="8"/>
  <c r="AG21" i="8"/>
  <c r="AF21" i="8"/>
  <c r="M21" i="8"/>
  <c r="L21" i="8"/>
  <c r="AN20" i="8"/>
  <c r="AM20" i="8"/>
  <c r="AG20" i="8"/>
  <c r="AF20" i="8"/>
  <c r="M20" i="8"/>
  <c r="L20" i="8"/>
  <c r="AN19" i="8"/>
  <c r="AM19" i="8"/>
  <c r="AG19" i="8"/>
  <c r="AF19" i="8"/>
  <c r="M19" i="8"/>
  <c r="L19" i="8"/>
  <c r="AN18" i="8"/>
  <c r="AM18" i="8"/>
  <c r="AG18" i="8"/>
  <c r="AF18" i="8"/>
  <c r="AN17" i="8"/>
  <c r="AM17" i="8"/>
  <c r="AG17" i="8"/>
  <c r="AF17" i="8"/>
  <c r="M17" i="8"/>
  <c r="L17" i="8"/>
  <c r="AN16" i="8"/>
  <c r="AM16" i="8"/>
  <c r="AG16" i="8"/>
  <c r="AF16" i="8"/>
  <c r="M16" i="8"/>
  <c r="L16" i="8"/>
  <c r="AN15" i="8"/>
  <c r="AM15" i="8"/>
  <c r="AG15" i="8"/>
  <c r="AF15" i="8"/>
  <c r="M15" i="8"/>
  <c r="L15" i="8"/>
  <c r="AN14" i="8"/>
  <c r="AM14" i="8"/>
  <c r="AG14" i="8"/>
  <c r="AF14" i="8"/>
  <c r="M14" i="8"/>
  <c r="L14" i="8"/>
  <c r="AN13" i="8"/>
  <c r="AM13" i="8"/>
  <c r="AG13" i="8"/>
  <c r="AF13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4" i="8"/>
  <c r="L4" i="8"/>
  <c r="M3" i="8"/>
  <c r="L3" i="8"/>
  <c r="M2" i="8"/>
  <c r="L2" i="8"/>
  <c r="AM14" i="7"/>
  <c r="AN14" i="7"/>
  <c r="AM15" i="7"/>
  <c r="AN15" i="7"/>
  <c r="AM16" i="7"/>
  <c r="AN16" i="7"/>
  <c r="AM17" i="7"/>
  <c r="AN17" i="7"/>
  <c r="AM18" i="7"/>
  <c r="AN18" i="7"/>
  <c r="AM19" i="7"/>
  <c r="AN19" i="7"/>
  <c r="AM20" i="7"/>
  <c r="AN20" i="7"/>
  <c r="AM21" i="7"/>
  <c r="AN21" i="7"/>
  <c r="AM22" i="7"/>
  <c r="AN22" i="7"/>
  <c r="AM23" i="7"/>
  <c r="AN23" i="7"/>
  <c r="AM24" i="7"/>
  <c r="AN24" i="7"/>
  <c r="AM25" i="7"/>
  <c r="AN25" i="7"/>
  <c r="AM26" i="7"/>
  <c r="AN26" i="7"/>
  <c r="AM27" i="7"/>
  <c r="AN27" i="7"/>
  <c r="AM28" i="7"/>
  <c r="AN28" i="7"/>
  <c r="AM29" i="7"/>
  <c r="AN29" i="7"/>
  <c r="AM30" i="7"/>
  <c r="AN30" i="7"/>
  <c r="AM31" i="7"/>
  <c r="AN31" i="7"/>
  <c r="AM32" i="7"/>
  <c r="AN32" i="7"/>
  <c r="AM33" i="7"/>
  <c r="AN33" i="7"/>
  <c r="AM34" i="7"/>
  <c r="AN34" i="7"/>
  <c r="AM35" i="7"/>
  <c r="AN35" i="7"/>
  <c r="AM36" i="7"/>
  <c r="AN36" i="7"/>
  <c r="AM37" i="7"/>
  <c r="AN37" i="7"/>
  <c r="AM38" i="7"/>
  <c r="AN38" i="7"/>
  <c r="AM39" i="7"/>
  <c r="AN39" i="7"/>
  <c r="AM40" i="7"/>
  <c r="AN40" i="7"/>
  <c r="AM41" i="7"/>
  <c r="AN41" i="7"/>
  <c r="AM42" i="7"/>
  <c r="AN42" i="7"/>
  <c r="AM43" i="7"/>
  <c r="AN43" i="7"/>
  <c r="AM44" i="7"/>
  <c r="AN44" i="7"/>
  <c r="AM45" i="7"/>
  <c r="AN45" i="7"/>
  <c r="AM46" i="7"/>
  <c r="AN46" i="7"/>
  <c r="AM47" i="7"/>
  <c r="AN47" i="7"/>
  <c r="AM48" i="7"/>
  <c r="AN48" i="7"/>
  <c r="AM49" i="7"/>
  <c r="AN49" i="7"/>
  <c r="AM50" i="7"/>
  <c r="AN50" i="7"/>
  <c r="AM51" i="7"/>
  <c r="AN51" i="7"/>
  <c r="AM52" i="7"/>
  <c r="AN52" i="7"/>
  <c r="AM53" i="7"/>
  <c r="AN53" i="7"/>
  <c r="AM54" i="7"/>
  <c r="AN54" i="7"/>
  <c r="AM55" i="7"/>
  <c r="AN55" i="7"/>
  <c r="AM56" i="7"/>
  <c r="AN56" i="7"/>
  <c r="AM57" i="7"/>
  <c r="AN57" i="7"/>
  <c r="AM58" i="7"/>
  <c r="AN58" i="7"/>
  <c r="AM59" i="7"/>
  <c r="AN59" i="7"/>
  <c r="AM60" i="7"/>
  <c r="AN60" i="7"/>
  <c r="AM61" i="7"/>
  <c r="AN61" i="7"/>
  <c r="AN13" i="7"/>
  <c r="AM13" i="7"/>
  <c r="L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51" i="7"/>
  <c r="L51" i="7"/>
  <c r="M50" i="7"/>
  <c r="L50" i="7"/>
  <c r="M49" i="7"/>
  <c r="L49" i="7"/>
  <c r="M48" i="7"/>
  <c r="L48" i="7"/>
  <c r="M47" i="7"/>
  <c r="L47" i="7"/>
  <c r="M46" i="7"/>
  <c r="L46" i="7"/>
  <c r="AG45" i="7"/>
  <c r="AF45" i="7"/>
  <c r="M45" i="7"/>
  <c r="L45" i="7"/>
  <c r="AG44" i="7"/>
  <c r="AF44" i="7"/>
  <c r="M44" i="7"/>
  <c r="L44" i="7"/>
  <c r="AG43" i="7"/>
  <c r="AF43" i="7"/>
  <c r="M43" i="7"/>
  <c r="L43" i="7"/>
  <c r="AG42" i="7"/>
  <c r="AF42" i="7"/>
  <c r="M42" i="7"/>
  <c r="L42" i="7"/>
  <c r="AG41" i="7"/>
  <c r="AF41" i="7"/>
  <c r="M41" i="7"/>
  <c r="L41" i="7"/>
  <c r="AG40" i="7"/>
  <c r="AF40" i="7"/>
  <c r="M40" i="7"/>
  <c r="L40" i="7"/>
  <c r="AG39" i="7"/>
  <c r="AF39" i="7"/>
  <c r="M39" i="7"/>
  <c r="L39" i="7"/>
  <c r="AG38" i="7"/>
  <c r="AF38" i="7"/>
  <c r="M38" i="7"/>
  <c r="L38" i="7"/>
  <c r="AG37" i="7"/>
  <c r="AF37" i="7"/>
  <c r="M37" i="7"/>
  <c r="L37" i="7"/>
  <c r="AG36" i="7"/>
  <c r="AF36" i="7"/>
  <c r="M36" i="7"/>
  <c r="L36" i="7"/>
  <c r="AG35" i="7"/>
  <c r="AF35" i="7"/>
  <c r="AG34" i="7"/>
  <c r="AF34" i="7"/>
  <c r="M34" i="7"/>
  <c r="L34" i="7"/>
  <c r="AG33" i="7"/>
  <c r="AF33" i="7"/>
  <c r="M33" i="7"/>
  <c r="L33" i="7"/>
  <c r="AG32" i="7"/>
  <c r="AF32" i="7"/>
  <c r="M32" i="7"/>
  <c r="L32" i="7"/>
  <c r="AG31" i="7"/>
  <c r="AF31" i="7"/>
  <c r="M31" i="7"/>
  <c r="L31" i="7"/>
  <c r="AG30" i="7"/>
  <c r="AF30" i="7"/>
  <c r="M30" i="7"/>
  <c r="L30" i="7"/>
  <c r="AG29" i="7"/>
  <c r="AF29" i="7"/>
  <c r="M29" i="7"/>
  <c r="L29" i="7"/>
  <c r="AG28" i="7"/>
  <c r="AF28" i="7"/>
  <c r="M28" i="7"/>
  <c r="L28" i="7"/>
  <c r="AG27" i="7"/>
  <c r="AF27" i="7"/>
  <c r="M27" i="7"/>
  <c r="L27" i="7"/>
  <c r="AG26" i="7"/>
  <c r="AF26" i="7"/>
  <c r="M26" i="7"/>
  <c r="L26" i="7"/>
  <c r="AG25" i="7"/>
  <c r="AF25" i="7"/>
  <c r="M25" i="7"/>
  <c r="L25" i="7"/>
  <c r="AG24" i="7"/>
  <c r="AF24" i="7"/>
  <c r="M24" i="7"/>
  <c r="L24" i="7"/>
  <c r="AG23" i="7"/>
  <c r="AF23" i="7"/>
  <c r="M23" i="7"/>
  <c r="L23" i="7"/>
  <c r="AG22" i="7"/>
  <c r="AF22" i="7"/>
  <c r="M22" i="7"/>
  <c r="L22" i="7"/>
  <c r="AG21" i="7"/>
  <c r="AF21" i="7"/>
  <c r="M21" i="7"/>
  <c r="L21" i="7"/>
  <c r="AG20" i="7"/>
  <c r="AF20" i="7"/>
  <c r="M20" i="7"/>
  <c r="L20" i="7"/>
  <c r="AG19" i="7"/>
  <c r="AF19" i="7"/>
  <c r="M19" i="7"/>
  <c r="L19" i="7"/>
  <c r="AG18" i="7"/>
  <c r="AF18" i="7"/>
  <c r="AG17" i="7"/>
  <c r="AF17" i="7"/>
  <c r="M17" i="7"/>
  <c r="AG16" i="7"/>
  <c r="AF16" i="7"/>
  <c r="M16" i="7"/>
  <c r="AG15" i="7"/>
  <c r="AF15" i="7"/>
  <c r="M15" i="7"/>
  <c r="AG14" i="7"/>
  <c r="AF14" i="7"/>
  <c r="M14" i="7"/>
  <c r="AG13" i="7"/>
  <c r="AF13" i="7"/>
  <c r="M13" i="7"/>
  <c r="M12" i="7"/>
  <c r="M11" i="7"/>
  <c r="M10" i="7"/>
  <c r="M9" i="7"/>
  <c r="M8" i="7"/>
  <c r="M7" i="7"/>
  <c r="M6" i="7"/>
  <c r="M5" i="7"/>
  <c r="M4" i="7"/>
  <c r="M3" i="7"/>
  <c r="M2" i="7"/>
  <c r="AG13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2" i="4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25" i="1"/>
  <c r="M51" i="6"/>
  <c r="L51" i="6"/>
  <c r="M50" i="6"/>
  <c r="L50" i="6"/>
  <c r="M49" i="6"/>
  <c r="L49" i="6"/>
  <c r="M48" i="6"/>
  <c r="L48" i="6"/>
  <c r="M47" i="6"/>
  <c r="L47" i="6"/>
  <c r="M46" i="6"/>
  <c r="L46" i="6"/>
  <c r="AG45" i="6"/>
  <c r="AF45" i="6"/>
  <c r="M45" i="6"/>
  <c r="L45" i="6"/>
  <c r="AG44" i="6"/>
  <c r="AF44" i="6"/>
  <c r="M44" i="6"/>
  <c r="L44" i="6"/>
  <c r="AG43" i="6"/>
  <c r="AF43" i="6"/>
  <c r="M43" i="6"/>
  <c r="L43" i="6"/>
  <c r="AG42" i="6"/>
  <c r="AF42" i="6"/>
  <c r="M42" i="6"/>
  <c r="L42" i="6"/>
  <c r="AG41" i="6"/>
  <c r="AF41" i="6"/>
  <c r="M41" i="6"/>
  <c r="L41" i="6"/>
  <c r="AG40" i="6"/>
  <c r="AF40" i="6"/>
  <c r="M40" i="6"/>
  <c r="L40" i="6"/>
  <c r="AG39" i="6"/>
  <c r="AF39" i="6"/>
  <c r="M39" i="6"/>
  <c r="L39" i="6"/>
  <c r="AG38" i="6"/>
  <c r="AF38" i="6"/>
  <c r="M38" i="6"/>
  <c r="L38" i="6"/>
  <c r="AG37" i="6"/>
  <c r="AF37" i="6"/>
  <c r="M37" i="6"/>
  <c r="L37" i="6"/>
  <c r="AG36" i="6"/>
  <c r="AF36" i="6"/>
  <c r="M36" i="6"/>
  <c r="L36" i="6"/>
  <c r="AG35" i="6"/>
  <c r="AF35" i="6"/>
  <c r="AG34" i="6"/>
  <c r="AF34" i="6"/>
  <c r="M34" i="6"/>
  <c r="L34" i="6"/>
  <c r="AG33" i="6"/>
  <c r="AF33" i="6"/>
  <c r="M33" i="6"/>
  <c r="L33" i="6"/>
  <c r="AG32" i="6"/>
  <c r="AF32" i="6"/>
  <c r="M32" i="6"/>
  <c r="L32" i="6"/>
  <c r="AG31" i="6"/>
  <c r="AF31" i="6"/>
  <c r="M31" i="6"/>
  <c r="L31" i="6"/>
  <c r="AG30" i="6"/>
  <c r="AF30" i="6"/>
  <c r="M30" i="6"/>
  <c r="L30" i="6"/>
  <c r="AG29" i="6"/>
  <c r="AF29" i="6"/>
  <c r="M29" i="6"/>
  <c r="L29" i="6"/>
  <c r="AG28" i="6"/>
  <c r="AF28" i="6"/>
  <c r="M28" i="6"/>
  <c r="L28" i="6"/>
  <c r="AG27" i="6"/>
  <c r="AF27" i="6"/>
  <c r="M27" i="6"/>
  <c r="L27" i="6"/>
  <c r="AG26" i="6"/>
  <c r="AF26" i="6"/>
  <c r="M26" i="6"/>
  <c r="L26" i="6"/>
  <c r="AG25" i="6"/>
  <c r="AF25" i="6"/>
  <c r="M25" i="6"/>
  <c r="L25" i="6"/>
  <c r="AG24" i="6"/>
  <c r="AF24" i="6"/>
  <c r="M24" i="6"/>
  <c r="L24" i="6"/>
  <c r="AG23" i="6"/>
  <c r="AF23" i="6"/>
  <c r="M23" i="6"/>
  <c r="L23" i="6"/>
  <c r="AG22" i="6"/>
  <c r="AF22" i="6"/>
  <c r="M22" i="6"/>
  <c r="L22" i="6"/>
  <c r="AG21" i="6"/>
  <c r="AF21" i="6"/>
  <c r="M21" i="6"/>
  <c r="L21" i="6"/>
  <c r="AG20" i="6"/>
  <c r="AF20" i="6"/>
  <c r="M20" i="6"/>
  <c r="L20" i="6"/>
  <c r="AG19" i="6"/>
  <c r="AF19" i="6"/>
  <c r="M19" i="6"/>
  <c r="L19" i="6"/>
  <c r="AG18" i="6"/>
  <c r="AF18" i="6"/>
  <c r="AG17" i="6"/>
  <c r="AF17" i="6"/>
  <c r="M17" i="6"/>
  <c r="L17" i="6"/>
  <c r="AG16" i="6"/>
  <c r="AF16" i="6"/>
  <c r="M16" i="6"/>
  <c r="L16" i="6"/>
  <c r="AG15" i="6"/>
  <c r="AF15" i="6"/>
  <c r="M15" i="6"/>
  <c r="L15" i="6"/>
  <c r="AG14" i="6"/>
  <c r="AF14" i="6"/>
  <c r="M14" i="6"/>
  <c r="L14" i="6"/>
  <c r="AG13" i="6"/>
  <c r="AF13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4" i="6"/>
  <c r="L4" i="6"/>
  <c r="M3" i="6"/>
  <c r="L3" i="6"/>
  <c r="M2" i="6"/>
  <c r="L2" i="6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13" i="4"/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2" i="4"/>
  <c r="BD33" i="3"/>
  <c r="BD32" i="3"/>
  <c r="BD31" i="3"/>
  <c r="BD30" i="3"/>
  <c r="BD29" i="3"/>
  <c r="BD28" i="3"/>
  <c r="BD27" i="3"/>
  <c r="BD26" i="3"/>
  <c r="BD25" i="3"/>
  <c r="BD24" i="3"/>
  <c r="BD23" i="3"/>
  <c r="BD22" i="3"/>
  <c r="BD21" i="3"/>
  <c r="BD20" i="3"/>
  <c r="BD19" i="3"/>
  <c r="BD18" i="3"/>
  <c r="BD3" i="3"/>
  <c r="BD4" i="3"/>
  <c r="BD5" i="3"/>
  <c r="BD6" i="3"/>
  <c r="BD7" i="3"/>
  <c r="BD8" i="3"/>
  <c r="BD9" i="3"/>
  <c r="BD10" i="3"/>
  <c r="BD11" i="3"/>
  <c r="BD12" i="3"/>
  <c r="BD13" i="3"/>
  <c r="BD14" i="3"/>
  <c r="BD15" i="3"/>
  <c r="BD16" i="3"/>
  <c r="BD17" i="3"/>
  <c r="BD2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18" i="3"/>
  <c r="BC17" i="3"/>
  <c r="BC16" i="3"/>
  <c r="BC15" i="3"/>
  <c r="BC14" i="3"/>
  <c r="BC13" i="3"/>
  <c r="BC12" i="3"/>
  <c r="BC11" i="3"/>
  <c r="BC10" i="3"/>
  <c r="BC9" i="3"/>
  <c r="BC8" i="3"/>
  <c r="BC7" i="3"/>
  <c r="BC6" i="3"/>
  <c r="BC5" i="3"/>
  <c r="BC4" i="3"/>
  <c r="BC3" i="3"/>
  <c r="BC2" i="3"/>
</calcChain>
</file>

<file path=xl/sharedStrings.xml><?xml version="1.0" encoding="utf-8"?>
<sst xmlns="http://schemas.openxmlformats.org/spreadsheetml/2006/main" count="15661" uniqueCount="42">
  <si>
    <t>弾性IGA</t>
    <rPh sb="0" eb="2">
      <t>ダンセイ</t>
    </rPh>
    <phoneticPr fontId="1"/>
  </si>
  <si>
    <t>subdiv1</t>
    <phoneticPr fontId="1"/>
  </si>
  <si>
    <t>start</t>
  </si>
  <si>
    <t>calc_J</t>
  </si>
  <si>
    <t>i:</t>
  </si>
  <si>
    <t>j:</t>
  </si>
  <si>
    <t>x:</t>
  </si>
  <si>
    <t>y:</t>
  </si>
  <si>
    <t>z:</t>
  </si>
  <si>
    <t>補間なし</t>
    <rPh sb="0" eb="2">
      <t>ホカン</t>
    </rPh>
    <phoneticPr fontId="1"/>
  </si>
  <si>
    <t>subdiv7</t>
    <phoneticPr fontId="1"/>
  </si>
  <si>
    <t>補間あり</t>
    <rPh sb="0" eb="2">
      <t>ホカン</t>
    </rPh>
    <phoneticPr fontId="1"/>
  </si>
  <si>
    <t>補間点数1</t>
    <rPh sb="0" eb="2">
      <t>ホカン</t>
    </rPh>
    <rPh sb="2" eb="4">
      <t>テンスウ</t>
    </rPh>
    <phoneticPr fontId="1"/>
  </si>
  <si>
    <t>補間点数4</t>
    <rPh sb="0" eb="2">
      <t>ホカン</t>
    </rPh>
    <rPh sb="2" eb="4">
      <t>テンスウ</t>
    </rPh>
    <phoneticPr fontId="1"/>
  </si>
  <si>
    <t>square patchのデバッグ-&gt;特異パッチと精度の比較</t>
    <rPh sb="19" eb="21">
      <t>トクイ</t>
    </rPh>
    <rPh sb="25" eb="27">
      <t>セイド</t>
    </rPh>
    <rPh sb="28" eb="30">
      <t>ヒカク</t>
    </rPh>
    <phoneticPr fontId="1"/>
  </si>
  <si>
    <t>a</t>
    <phoneticPr fontId="1"/>
  </si>
  <si>
    <t>IGA</t>
    <phoneticPr fontId="1"/>
  </si>
  <si>
    <t>SIGA bf0</t>
    <phoneticPr fontId="1"/>
  </si>
  <si>
    <t>SIGA bf1</t>
    <phoneticPr fontId="1"/>
  </si>
  <si>
    <t>PATH</t>
  </si>
  <si>
    <t>PLOT</t>
  </si>
  <si>
    <t>lcase1</t>
  </si>
  <si>
    <t>Inc</t>
  </si>
  <si>
    <t>:</t>
  </si>
  <si>
    <t>Time</t>
  </si>
  <si>
    <t>Pres</t>
  </si>
  <si>
    <t>Curve</t>
  </si>
  <si>
    <t>X</t>
  </si>
  <si>
    <t>Arc</t>
  </si>
  <si>
    <t>Length</t>
  </si>
  <si>
    <t>Y</t>
  </si>
  <si>
    <t>J-Integral</t>
  </si>
  <si>
    <t>Node</t>
  </si>
  <si>
    <t>----------------------------------------</t>
  </si>
  <si>
    <t>Stress</t>
  </si>
  <si>
    <t>job2</t>
  </si>
  <si>
    <t>FEM</t>
    <phoneticPr fontId="1"/>
  </si>
  <si>
    <t>IGAx2</t>
    <phoneticPr fontId="1"/>
  </si>
  <si>
    <t>SIGAx2_4点</t>
    <rPh sb="8" eb="9">
      <t>テン</t>
    </rPh>
    <phoneticPr fontId="1"/>
  </si>
  <si>
    <t>SIGAx2_4+6点</t>
    <rPh sb="10" eb="11">
      <t>テン</t>
    </rPh>
    <phoneticPr fontId="1"/>
  </si>
  <si>
    <t>B-bar</t>
    <phoneticPr fontId="1"/>
  </si>
  <si>
    <t>B-bar modify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</si>
</sst>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333333"/>
      <name val="Inherit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left" vertical="center" indent="3"/>
    </xf>
    <xf numFmtId="0" fontId="2" fillId="0" borderId="0" xfId="0" applyFont="1" applyAlignment="1">
      <alignment horizontal="left" vertical="center" indent="3"/>
    </xf>
    <xf numFmtId="0" fontId="2" fillId="2" borderId="0" xfId="0" applyFont="1" applyFill="1" applyAlignment="1">
      <alignment horizontal="left" vertical="center" indent="3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196B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補間なし線形IGA!$H$3:$H$64</c:f>
              <c:numCache>
                <c:formatCode>0.00E+00</c:formatCode>
                <c:ptCount val="62"/>
                <c:pt idx="0">
                  <c:v>8.0645160000000007E-3</c:v>
                </c:pt>
                <c:pt idx="1">
                  <c:v>2.4193550000000001E-2</c:v>
                </c:pt>
                <c:pt idx="2">
                  <c:v>4.0322579999999997E-2</c:v>
                </c:pt>
                <c:pt idx="3">
                  <c:v>5.6451609999999999E-2</c:v>
                </c:pt>
                <c:pt idx="4">
                  <c:v>7.2580649999999997E-2</c:v>
                </c:pt>
                <c:pt idx="5">
                  <c:v>8.8709679999999999E-2</c:v>
                </c:pt>
                <c:pt idx="6">
                  <c:v>0.10483870000000001</c:v>
                </c:pt>
                <c:pt idx="7">
                  <c:v>0.1209677</c:v>
                </c:pt>
                <c:pt idx="8">
                  <c:v>0.13709679999999999</c:v>
                </c:pt>
                <c:pt idx="9">
                  <c:v>0.1532258</c:v>
                </c:pt>
                <c:pt idx="10">
                  <c:v>0.1693548</c:v>
                </c:pt>
                <c:pt idx="11">
                  <c:v>0.18548390000000001</c:v>
                </c:pt>
                <c:pt idx="12">
                  <c:v>0.20161290000000001</c:v>
                </c:pt>
                <c:pt idx="13">
                  <c:v>0.21774189999999999</c:v>
                </c:pt>
                <c:pt idx="14">
                  <c:v>0.233871</c:v>
                </c:pt>
                <c:pt idx="15">
                  <c:v>0.25</c:v>
                </c:pt>
                <c:pt idx="16">
                  <c:v>0.266129</c:v>
                </c:pt>
                <c:pt idx="17">
                  <c:v>0.28225810000000001</c:v>
                </c:pt>
                <c:pt idx="18">
                  <c:v>0.29838710000000002</c:v>
                </c:pt>
                <c:pt idx="19">
                  <c:v>0.31451610000000002</c:v>
                </c:pt>
                <c:pt idx="20">
                  <c:v>0.33064519999999997</c:v>
                </c:pt>
                <c:pt idx="21">
                  <c:v>0.34677419999999998</c:v>
                </c:pt>
                <c:pt idx="22">
                  <c:v>0.36290319999999998</c:v>
                </c:pt>
                <c:pt idx="23">
                  <c:v>0.37903229999999999</c:v>
                </c:pt>
                <c:pt idx="24">
                  <c:v>0.39516129999999999</c:v>
                </c:pt>
                <c:pt idx="25">
                  <c:v>0.4112903</c:v>
                </c:pt>
                <c:pt idx="26">
                  <c:v>0.4274194</c:v>
                </c:pt>
                <c:pt idx="27">
                  <c:v>0.44354840000000001</c:v>
                </c:pt>
                <c:pt idx="28">
                  <c:v>0.45967740000000001</c:v>
                </c:pt>
                <c:pt idx="29">
                  <c:v>0.47580650000000002</c:v>
                </c:pt>
                <c:pt idx="30">
                  <c:v>0.49193550000000003</c:v>
                </c:pt>
              </c:numCache>
            </c:numRef>
          </c:xVal>
          <c:yVal>
            <c:numRef>
              <c:f>補間なし線形IGA!$K$3:$K$64</c:f>
              <c:numCache>
                <c:formatCode>0.00E+00</c:formatCode>
                <c:ptCount val="62"/>
                <c:pt idx="0">
                  <c:v>0.20074039419440201</c:v>
                </c:pt>
                <c:pt idx="1">
                  <c:v>0.20076608588165001</c:v>
                </c:pt>
                <c:pt idx="2">
                  <c:v>0.20081732872900901</c:v>
                </c:pt>
                <c:pt idx="3">
                  <c:v>0.20089416486393</c:v>
                </c:pt>
                <c:pt idx="4">
                  <c:v>0.20099650745277001</c:v>
                </c:pt>
                <c:pt idx="5">
                  <c:v>0.20112426235793601</c:v>
                </c:pt>
                <c:pt idx="6">
                  <c:v>0.20127727483197799</c:v>
                </c:pt>
                <c:pt idx="7">
                  <c:v>0.20145532805821301</c:v>
                </c:pt>
                <c:pt idx="8">
                  <c:v>0.201658113854536</c:v>
                </c:pt>
                <c:pt idx="9">
                  <c:v>0.20188520345871599</c:v>
                </c:pt>
                <c:pt idx="10">
                  <c:v>0.20213601008436799</c:v>
                </c:pt>
                <c:pt idx="11">
                  <c:v>0.20240973218384301</c:v>
                </c:pt>
                <c:pt idx="12">
                  <c:v>0.20270529566025999</c:v>
                </c:pt>
                <c:pt idx="13">
                  <c:v>0.203021248854836</c:v>
                </c:pt>
                <c:pt idx="14">
                  <c:v>0.203355670514489</c:v>
                </c:pt>
                <c:pt idx="15">
                  <c:v>0.20370596731729401</c:v>
                </c:pt>
                <c:pt idx="16">
                  <c:v>0.204068727665288</c:v>
                </c:pt>
                <c:pt idx="17">
                  <c:v>0.20443928871519099</c:v>
                </c:pt>
                <c:pt idx="18">
                  <c:v>0.204811565434252</c:v>
                </c:pt>
                <c:pt idx="19">
                  <c:v>0.205176857847854</c:v>
                </c:pt>
                <c:pt idx="20">
                  <c:v>0.20552426345892899</c:v>
                </c:pt>
                <c:pt idx="21">
                  <c:v>0.20583604876460501</c:v>
                </c:pt>
                <c:pt idx="22">
                  <c:v>0.20609303388632699</c:v>
                </c:pt>
                <c:pt idx="23">
                  <c:v>0.20625310845677999</c:v>
                </c:pt>
                <c:pt idx="24">
                  <c:v>0.206284526126019</c:v>
                </c:pt>
                <c:pt idx="25">
                  <c:v>0.206067291392146</c:v>
                </c:pt>
                <c:pt idx="26">
                  <c:v>0.20554749205137901</c:v>
                </c:pt>
                <c:pt idx="27">
                  <c:v>0.204318985913712</c:v>
                </c:pt>
                <c:pt idx="28">
                  <c:v>0.202149578982349</c:v>
                </c:pt>
                <c:pt idx="29">
                  <c:v>0.19706786945076099</c:v>
                </c:pt>
                <c:pt idx="30">
                  <c:v>0.182193598833092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57-4D79-919A-6CEBE6328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683551"/>
        <c:axId val="1085700351"/>
      </c:scatterChart>
      <c:valAx>
        <c:axId val="108568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700351"/>
        <c:crosses val="autoZero"/>
        <c:crossBetween val="midCat"/>
      </c:valAx>
      <c:valAx>
        <c:axId val="108570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683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補間なし線形IGA!$AA$3:$AA$219</c:f>
              <c:numCache>
                <c:formatCode>0.00E+00</c:formatCode>
                <c:ptCount val="217"/>
                <c:pt idx="0">
                  <c:v>1.1520739999999999E-3</c:v>
                </c:pt>
                <c:pt idx="1">
                  <c:v>3.4562210000000002E-3</c:v>
                </c:pt>
                <c:pt idx="2">
                  <c:v>5.7603690000000004E-3</c:v>
                </c:pt>
                <c:pt idx="3">
                  <c:v>8.0645160000000007E-3</c:v>
                </c:pt>
                <c:pt idx="4">
                  <c:v>1.036866E-2</c:v>
                </c:pt>
                <c:pt idx="5">
                  <c:v>1.267281E-2</c:v>
                </c:pt>
                <c:pt idx="6">
                  <c:v>1.4976959999999999E-2</c:v>
                </c:pt>
                <c:pt idx="7">
                  <c:v>1.7281109999999999E-2</c:v>
                </c:pt>
                <c:pt idx="8">
                  <c:v>1.9585249999999998E-2</c:v>
                </c:pt>
                <c:pt idx="9">
                  <c:v>2.18894E-2</c:v>
                </c:pt>
                <c:pt idx="10">
                  <c:v>2.4193550000000001E-2</c:v>
                </c:pt>
                <c:pt idx="11">
                  <c:v>2.6497699999999999E-2</c:v>
                </c:pt>
                <c:pt idx="12">
                  <c:v>2.8801839999999999E-2</c:v>
                </c:pt>
                <c:pt idx="13">
                  <c:v>3.110599E-2</c:v>
                </c:pt>
                <c:pt idx="14">
                  <c:v>3.3410139999999998E-2</c:v>
                </c:pt>
                <c:pt idx="15">
                  <c:v>3.5714290000000003E-2</c:v>
                </c:pt>
                <c:pt idx="16">
                  <c:v>3.8018429999999999E-2</c:v>
                </c:pt>
                <c:pt idx="17">
                  <c:v>4.0322579999999997E-2</c:v>
                </c:pt>
                <c:pt idx="18">
                  <c:v>4.2626730000000002E-2</c:v>
                </c:pt>
                <c:pt idx="19">
                  <c:v>4.4930879999999999E-2</c:v>
                </c:pt>
                <c:pt idx="20">
                  <c:v>4.7235020000000003E-2</c:v>
                </c:pt>
                <c:pt idx="21">
                  <c:v>4.953917E-2</c:v>
                </c:pt>
                <c:pt idx="22">
                  <c:v>5.1843319999999998E-2</c:v>
                </c:pt>
                <c:pt idx="23">
                  <c:v>5.4147470000000003E-2</c:v>
                </c:pt>
                <c:pt idx="24">
                  <c:v>5.6451609999999999E-2</c:v>
                </c:pt>
                <c:pt idx="25">
                  <c:v>5.8755759999999997E-2</c:v>
                </c:pt>
                <c:pt idx="26">
                  <c:v>6.1059910000000002E-2</c:v>
                </c:pt>
                <c:pt idx="27">
                  <c:v>6.336406E-2</c:v>
                </c:pt>
                <c:pt idx="28">
                  <c:v>6.5668199999999996E-2</c:v>
                </c:pt>
                <c:pt idx="29">
                  <c:v>6.7972350000000001E-2</c:v>
                </c:pt>
                <c:pt idx="30">
                  <c:v>7.0276500000000006E-2</c:v>
                </c:pt>
                <c:pt idx="31">
                  <c:v>7.2580649999999997E-2</c:v>
                </c:pt>
                <c:pt idx="32">
                  <c:v>7.4884790000000007E-2</c:v>
                </c:pt>
                <c:pt idx="33">
                  <c:v>7.7188939999999998E-2</c:v>
                </c:pt>
                <c:pt idx="34">
                  <c:v>7.9493090000000002E-2</c:v>
                </c:pt>
                <c:pt idx="35">
                  <c:v>8.1797239999999993E-2</c:v>
                </c:pt>
                <c:pt idx="36">
                  <c:v>8.4101380000000003E-2</c:v>
                </c:pt>
                <c:pt idx="37">
                  <c:v>8.6405529999999994E-2</c:v>
                </c:pt>
                <c:pt idx="38">
                  <c:v>8.8709679999999999E-2</c:v>
                </c:pt>
                <c:pt idx="39">
                  <c:v>9.1013819999999995E-2</c:v>
                </c:pt>
                <c:pt idx="40">
                  <c:v>9.331797E-2</c:v>
                </c:pt>
                <c:pt idx="41">
                  <c:v>9.5622120000000005E-2</c:v>
                </c:pt>
                <c:pt idx="42">
                  <c:v>9.7926269999999996E-2</c:v>
                </c:pt>
                <c:pt idx="43">
                  <c:v>0.1002304</c:v>
                </c:pt>
                <c:pt idx="44">
                  <c:v>0.1025346</c:v>
                </c:pt>
                <c:pt idx="45">
                  <c:v>0.10483870000000001</c:v>
                </c:pt>
                <c:pt idx="46">
                  <c:v>0.1071429</c:v>
                </c:pt>
                <c:pt idx="47">
                  <c:v>0.109447</c:v>
                </c:pt>
                <c:pt idx="48">
                  <c:v>0.11175119999999999</c:v>
                </c:pt>
                <c:pt idx="49">
                  <c:v>0.1140553</c:v>
                </c:pt>
                <c:pt idx="50">
                  <c:v>0.1163594</c:v>
                </c:pt>
                <c:pt idx="51">
                  <c:v>0.11866359999999999</c:v>
                </c:pt>
                <c:pt idx="52">
                  <c:v>0.1209677</c:v>
                </c:pt>
                <c:pt idx="53">
                  <c:v>0.1232719</c:v>
                </c:pt>
                <c:pt idx="54">
                  <c:v>0.12557599999999999</c:v>
                </c:pt>
                <c:pt idx="55">
                  <c:v>0.1278802</c:v>
                </c:pt>
                <c:pt idx="56">
                  <c:v>0.1301843</c:v>
                </c:pt>
                <c:pt idx="57">
                  <c:v>0.13248850000000001</c:v>
                </c:pt>
                <c:pt idx="58">
                  <c:v>0.13479260000000001</c:v>
                </c:pt>
                <c:pt idx="59">
                  <c:v>0.13709679999999999</c:v>
                </c:pt>
                <c:pt idx="60">
                  <c:v>0.13940089999999999</c:v>
                </c:pt>
                <c:pt idx="61">
                  <c:v>0.1417051</c:v>
                </c:pt>
                <c:pt idx="62">
                  <c:v>0.1440092</c:v>
                </c:pt>
                <c:pt idx="63">
                  <c:v>0.14631340000000001</c:v>
                </c:pt>
                <c:pt idx="64">
                  <c:v>0.14861750000000001</c:v>
                </c:pt>
                <c:pt idx="65">
                  <c:v>0.15092169999999999</c:v>
                </c:pt>
                <c:pt idx="66">
                  <c:v>0.1532258</c:v>
                </c:pt>
                <c:pt idx="67">
                  <c:v>0.15553</c:v>
                </c:pt>
                <c:pt idx="68">
                  <c:v>0.1578341</c:v>
                </c:pt>
                <c:pt idx="69">
                  <c:v>0.16013820000000001</c:v>
                </c:pt>
                <c:pt idx="70">
                  <c:v>0.16244239999999999</c:v>
                </c:pt>
                <c:pt idx="71">
                  <c:v>0.16474649999999999</c:v>
                </c:pt>
                <c:pt idx="72">
                  <c:v>0.1670507</c:v>
                </c:pt>
                <c:pt idx="73">
                  <c:v>0.1693548</c:v>
                </c:pt>
                <c:pt idx="74">
                  <c:v>0.17165900000000001</c:v>
                </c:pt>
                <c:pt idx="75">
                  <c:v>0.17396310000000001</c:v>
                </c:pt>
                <c:pt idx="76">
                  <c:v>0.17626729999999999</c:v>
                </c:pt>
                <c:pt idx="77">
                  <c:v>0.17857139999999999</c:v>
                </c:pt>
                <c:pt idx="78">
                  <c:v>0.1808756</c:v>
                </c:pt>
                <c:pt idx="79">
                  <c:v>0.1831797</c:v>
                </c:pt>
                <c:pt idx="80">
                  <c:v>0.18548390000000001</c:v>
                </c:pt>
                <c:pt idx="81">
                  <c:v>0.18778800000000001</c:v>
                </c:pt>
                <c:pt idx="82">
                  <c:v>0.19009219999999999</c:v>
                </c:pt>
                <c:pt idx="83">
                  <c:v>0.19239629999999999</c:v>
                </c:pt>
                <c:pt idx="84">
                  <c:v>0.1947005</c:v>
                </c:pt>
                <c:pt idx="85">
                  <c:v>0.1970046</c:v>
                </c:pt>
                <c:pt idx="86">
                  <c:v>0.19930880000000001</c:v>
                </c:pt>
                <c:pt idx="87">
                  <c:v>0.20161290000000001</c:v>
                </c:pt>
                <c:pt idx="88">
                  <c:v>0.20391709999999999</c:v>
                </c:pt>
                <c:pt idx="89">
                  <c:v>0.20622119999999999</c:v>
                </c:pt>
                <c:pt idx="90">
                  <c:v>0.2085253</c:v>
                </c:pt>
                <c:pt idx="91">
                  <c:v>0.2108295</c:v>
                </c:pt>
                <c:pt idx="92">
                  <c:v>0.21313360000000001</c:v>
                </c:pt>
                <c:pt idx="93">
                  <c:v>0.21543780000000001</c:v>
                </c:pt>
                <c:pt idx="94">
                  <c:v>0.21774189999999999</c:v>
                </c:pt>
                <c:pt idx="95">
                  <c:v>0.22004609999999999</c:v>
                </c:pt>
                <c:pt idx="96">
                  <c:v>0.2223502</c:v>
                </c:pt>
                <c:pt idx="97">
                  <c:v>0.2246544</c:v>
                </c:pt>
                <c:pt idx="98">
                  <c:v>0.22695850000000001</c:v>
                </c:pt>
                <c:pt idx="99">
                  <c:v>0.22926270000000001</c:v>
                </c:pt>
                <c:pt idx="100">
                  <c:v>0.23156679999999999</c:v>
                </c:pt>
                <c:pt idx="101">
                  <c:v>0.233871</c:v>
                </c:pt>
                <c:pt idx="102">
                  <c:v>0.2361751</c:v>
                </c:pt>
                <c:pt idx="103">
                  <c:v>0.23847930000000001</c:v>
                </c:pt>
                <c:pt idx="104">
                  <c:v>0.24078340000000001</c:v>
                </c:pt>
                <c:pt idx="105">
                  <c:v>0.24308759999999999</c:v>
                </c:pt>
                <c:pt idx="106">
                  <c:v>0.24539169999999999</c:v>
                </c:pt>
                <c:pt idx="107">
                  <c:v>0.2476959</c:v>
                </c:pt>
                <c:pt idx="108">
                  <c:v>0.25</c:v>
                </c:pt>
                <c:pt idx="109">
                  <c:v>0.25230409999999998</c:v>
                </c:pt>
                <c:pt idx="110">
                  <c:v>0.25460830000000001</c:v>
                </c:pt>
                <c:pt idx="111">
                  <c:v>0.25691239999999999</c:v>
                </c:pt>
                <c:pt idx="112">
                  <c:v>0.25921660000000002</c:v>
                </c:pt>
                <c:pt idx="113">
                  <c:v>0.26152069999999999</c:v>
                </c:pt>
                <c:pt idx="114">
                  <c:v>0.26382489999999997</c:v>
                </c:pt>
                <c:pt idx="115">
                  <c:v>0.266129</c:v>
                </c:pt>
                <c:pt idx="116">
                  <c:v>0.26843319999999998</c:v>
                </c:pt>
                <c:pt idx="117">
                  <c:v>0.27073730000000001</c:v>
                </c:pt>
                <c:pt idx="118">
                  <c:v>0.27304149999999999</c:v>
                </c:pt>
                <c:pt idx="119">
                  <c:v>0.27534560000000002</c:v>
                </c:pt>
                <c:pt idx="120">
                  <c:v>0.2776498</c:v>
                </c:pt>
                <c:pt idx="121">
                  <c:v>0.27995389999999998</c:v>
                </c:pt>
                <c:pt idx="122">
                  <c:v>0.28225810000000001</c:v>
                </c:pt>
                <c:pt idx="123">
                  <c:v>0.28456219999999999</c:v>
                </c:pt>
                <c:pt idx="124">
                  <c:v>0.28686640000000002</c:v>
                </c:pt>
                <c:pt idx="125">
                  <c:v>0.2891705</c:v>
                </c:pt>
                <c:pt idx="126">
                  <c:v>0.29147469999999998</c:v>
                </c:pt>
                <c:pt idx="127">
                  <c:v>0.29377880000000001</c:v>
                </c:pt>
                <c:pt idx="128">
                  <c:v>0.29608289999999998</c:v>
                </c:pt>
                <c:pt idx="129">
                  <c:v>0.29838710000000002</c:v>
                </c:pt>
                <c:pt idx="130">
                  <c:v>0.30069119999999999</c:v>
                </c:pt>
                <c:pt idx="131">
                  <c:v>0.30299540000000003</c:v>
                </c:pt>
                <c:pt idx="132">
                  <c:v>0.3052995</c:v>
                </c:pt>
                <c:pt idx="133">
                  <c:v>0.30760369999999998</c:v>
                </c:pt>
                <c:pt idx="134">
                  <c:v>0.30990780000000001</c:v>
                </c:pt>
                <c:pt idx="135">
                  <c:v>0.31221199999999999</c:v>
                </c:pt>
                <c:pt idx="136">
                  <c:v>0.31451610000000002</c:v>
                </c:pt>
                <c:pt idx="137">
                  <c:v>0.3168203</c:v>
                </c:pt>
                <c:pt idx="138">
                  <c:v>0.31912439999999997</c:v>
                </c:pt>
                <c:pt idx="139">
                  <c:v>0.32142860000000001</c:v>
                </c:pt>
                <c:pt idx="140">
                  <c:v>0.32373269999999998</c:v>
                </c:pt>
                <c:pt idx="141">
                  <c:v>0.32603690000000002</c:v>
                </c:pt>
                <c:pt idx="142">
                  <c:v>0.32834099999999999</c:v>
                </c:pt>
                <c:pt idx="143">
                  <c:v>0.33064519999999997</c:v>
                </c:pt>
                <c:pt idx="144">
                  <c:v>0.3329493</c:v>
                </c:pt>
                <c:pt idx="145">
                  <c:v>0.33525349999999998</c:v>
                </c:pt>
                <c:pt idx="146">
                  <c:v>0.33755760000000001</c:v>
                </c:pt>
                <c:pt idx="147">
                  <c:v>0.33986179999999999</c:v>
                </c:pt>
                <c:pt idx="148">
                  <c:v>0.34216590000000002</c:v>
                </c:pt>
                <c:pt idx="149">
                  <c:v>0.34447</c:v>
                </c:pt>
                <c:pt idx="150">
                  <c:v>0.34677419999999998</c:v>
                </c:pt>
                <c:pt idx="151">
                  <c:v>0.34907830000000001</c:v>
                </c:pt>
                <c:pt idx="152">
                  <c:v>0.35138249999999999</c:v>
                </c:pt>
                <c:pt idx="153">
                  <c:v>0.35368660000000002</c:v>
                </c:pt>
                <c:pt idx="154">
                  <c:v>0.3559908</c:v>
                </c:pt>
                <c:pt idx="155">
                  <c:v>0.35829490000000003</c:v>
                </c:pt>
                <c:pt idx="156">
                  <c:v>0.36059910000000001</c:v>
                </c:pt>
                <c:pt idx="157">
                  <c:v>0.36290319999999998</c:v>
                </c:pt>
                <c:pt idx="158">
                  <c:v>0.36520740000000002</c:v>
                </c:pt>
                <c:pt idx="159">
                  <c:v>0.36751149999999999</c:v>
                </c:pt>
                <c:pt idx="160">
                  <c:v>0.36981570000000002</c:v>
                </c:pt>
                <c:pt idx="161">
                  <c:v>0.3721198</c:v>
                </c:pt>
                <c:pt idx="162">
                  <c:v>0.37442399999999998</c:v>
                </c:pt>
                <c:pt idx="163">
                  <c:v>0.37672810000000001</c:v>
                </c:pt>
                <c:pt idx="164">
                  <c:v>0.37903229999999999</c:v>
                </c:pt>
                <c:pt idx="165">
                  <c:v>0.38133640000000002</c:v>
                </c:pt>
                <c:pt idx="166">
                  <c:v>0.3836406</c:v>
                </c:pt>
                <c:pt idx="167">
                  <c:v>0.38594469999999997</c:v>
                </c:pt>
                <c:pt idx="168">
                  <c:v>0.38824880000000001</c:v>
                </c:pt>
                <c:pt idx="169">
                  <c:v>0.39055299999999998</c:v>
                </c:pt>
                <c:pt idx="170">
                  <c:v>0.39285710000000001</c:v>
                </c:pt>
                <c:pt idx="171">
                  <c:v>0.39516129999999999</c:v>
                </c:pt>
                <c:pt idx="172">
                  <c:v>0.39746540000000002</c:v>
                </c:pt>
                <c:pt idx="173">
                  <c:v>0.3997696</c:v>
                </c:pt>
                <c:pt idx="174">
                  <c:v>0.40207369999999998</c:v>
                </c:pt>
                <c:pt idx="175">
                  <c:v>0.40437790000000001</c:v>
                </c:pt>
                <c:pt idx="176">
                  <c:v>0.40668199999999999</c:v>
                </c:pt>
                <c:pt idx="177">
                  <c:v>0.40898620000000002</c:v>
                </c:pt>
                <c:pt idx="178">
                  <c:v>0.4112903</c:v>
                </c:pt>
                <c:pt idx="179">
                  <c:v>0.41359449999999998</c:v>
                </c:pt>
                <c:pt idx="180">
                  <c:v>0.41589860000000001</c:v>
                </c:pt>
                <c:pt idx="181">
                  <c:v>0.41820279999999999</c:v>
                </c:pt>
                <c:pt idx="182">
                  <c:v>0.42050690000000002</c:v>
                </c:pt>
                <c:pt idx="183">
                  <c:v>0.4228111</c:v>
                </c:pt>
                <c:pt idx="184">
                  <c:v>0.42511520000000003</c:v>
                </c:pt>
                <c:pt idx="185">
                  <c:v>0.4274194</c:v>
                </c:pt>
                <c:pt idx="186">
                  <c:v>0.42972349999999998</c:v>
                </c:pt>
                <c:pt idx="187">
                  <c:v>0.43202760000000001</c:v>
                </c:pt>
                <c:pt idx="188">
                  <c:v>0.43433179999999999</c:v>
                </c:pt>
                <c:pt idx="189">
                  <c:v>0.43663590000000002</c:v>
                </c:pt>
                <c:pt idx="190">
                  <c:v>0.4389401</c:v>
                </c:pt>
                <c:pt idx="191">
                  <c:v>0.44124419999999998</c:v>
                </c:pt>
                <c:pt idx="192">
                  <c:v>0.44354840000000001</c:v>
                </c:pt>
                <c:pt idx="193">
                  <c:v>0.44585249999999998</c:v>
                </c:pt>
                <c:pt idx="194">
                  <c:v>0.44815670000000002</c:v>
                </c:pt>
                <c:pt idx="195">
                  <c:v>0.45046079999999999</c:v>
                </c:pt>
                <c:pt idx="196">
                  <c:v>0.45276499999999997</c:v>
                </c:pt>
                <c:pt idx="197">
                  <c:v>0.4550691</c:v>
                </c:pt>
                <c:pt idx="198">
                  <c:v>0.45737329999999998</c:v>
                </c:pt>
                <c:pt idx="199">
                  <c:v>0.45967740000000001</c:v>
                </c:pt>
                <c:pt idx="200">
                  <c:v>0.46198159999999999</c:v>
                </c:pt>
                <c:pt idx="201">
                  <c:v>0.46428570000000002</c:v>
                </c:pt>
                <c:pt idx="202">
                  <c:v>0.4665899</c:v>
                </c:pt>
                <c:pt idx="203">
                  <c:v>0.46889399999999998</c:v>
                </c:pt>
                <c:pt idx="204">
                  <c:v>0.47119820000000001</c:v>
                </c:pt>
                <c:pt idx="205">
                  <c:v>0.47350229999999999</c:v>
                </c:pt>
                <c:pt idx="206">
                  <c:v>0.47580650000000002</c:v>
                </c:pt>
                <c:pt idx="207">
                  <c:v>0.4781106</c:v>
                </c:pt>
                <c:pt idx="208">
                  <c:v>0.48041469999999997</c:v>
                </c:pt>
                <c:pt idx="209">
                  <c:v>0.48271890000000001</c:v>
                </c:pt>
                <c:pt idx="210">
                  <c:v>0.48502299999999998</c:v>
                </c:pt>
                <c:pt idx="211">
                  <c:v>0.48732720000000002</c:v>
                </c:pt>
                <c:pt idx="212">
                  <c:v>0.48963129999999999</c:v>
                </c:pt>
                <c:pt idx="213">
                  <c:v>0.49193550000000003</c:v>
                </c:pt>
                <c:pt idx="214">
                  <c:v>0.4942396</c:v>
                </c:pt>
                <c:pt idx="215">
                  <c:v>0.49654379999999998</c:v>
                </c:pt>
                <c:pt idx="216">
                  <c:v>0.49884790000000001</c:v>
                </c:pt>
              </c:numCache>
            </c:numRef>
          </c:xVal>
          <c:yVal>
            <c:numRef>
              <c:f>補間なし線形IGA!$AD$3:$AD$219</c:f>
              <c:numCache>
                <c:formatCode>0.00E+00</c:formatCode>
                <c:ptCount val="217"/>
                <c:pt idx="0">
                  <c:v>0.20073634490167</c:v>
                </c:pt>
                <c:pt idx="1">
                  <c:v>0.20073712038941999</c:v>
                </c:pt>
                <c:pt idx="2">
                  <c:v>0.20073832654898399</c:v>
                </c:pt>
                <c:pt idx="3">
                  <c:v>0.20073996341824099</c:v>
                </c:pt>
                <c:pt idx="4">
                  <c:v>0.20074203105626801</c:v>
                </c:pt>
                <c:pt idx="5">
                  <c:v>0.20074452954347</c:v>
                </c:pt>
                <c:pt idx="6">
                  <c:v>0.200747458981238</c:v>
                </c:pt>
                <c:pt idx="7">
                  <c:v>0.20075113027401401</c:v>
                </c:pt>
                <c:pt idx="8">
                  <c:v>0.200755542375575</c:v>
                </c:pt>
                <c:pt idx="9">
                  <c:v>0.20076038416736899</c:v>
                </c:pt>
                <c:pt idx="10">
                  <c:v>0.20076565582080499</c:v>
                </c:pt>
                <c:pt idx="11">
                  <c:v>0.20077135752867301</c:v>
                </c:pt>
                <c:pt idx="12">
                  <c:v>0.20077748950548299</c:v>
                </c:pt>
                <c:pt idx="13">
                  <c:v>0.200784051987239</c:v>
                </c:pt>
                <c:pt idx="14">
                  <c:v>0.20079137466362401</c:v>
                </c:pt>
                <c:pt idx="15">
                  <c:v>0.20079945532459301</c:v>
                </c:pt>
                <c:pt idx="16">
                  <c:v>0.20080796378450799</c:v>
                </c:pt>
                <c:pt idx="17">
                  <c:v>0.200816900329299</c:v>
                </c:pt>
                <c:pt idx="18">
                  <c:v>0.20082626526678901</c:v>
                </c:pt>
                <c:pt idx="19">
                  <c:v>0.200836058927332</c:v>
                </c:pt>
                <c:pt idx="20">
                  <c:v>0.20084628166344301</c:v>
                </c:pt>
                <c:pt idx="21">
                  <c:v>0.20085726168200799</c:v>
                </c:pt>
                <c:pt idx="22">
                  <c:v>0.200868995693052</c:v>
                </c:pt>
                <c:pt idx="23">
                  <c:v>0.20088115470714701</c:v>
                </c:pt>
                <c:pt idx="24">
                  <c:v>0.20089373909296901</c:v>
                </c:pt>
                <c:pt idx="25">
                  <c:v>0.20090674924214499</c:v>
                </c:pt>
                <c:pt idx="26">
                  <c:v>0.20092018556987101</c:v>
                </c:pt>
                <c:pt idx="27">
                  <c:v>0.200934048514612</c:v>
                </c:pt>
                <c:pt idx="28">
                  <c:v>0.200948673631896</c:v>
                </c:pt>
                <c:pt idx="29">
                  <c:v>0.20096405647752399</c:v>
                </c:pt>
                <c:pt idx="30">
                  <c:v>0.200979860333689</c:v>
                </c:pt>
                <c:pt idx="31">
                  <c:v>0.20099608560368701</c:v>
                </c:pt>
                <c:pt idx="32">
                  <c:v>0.20101273271527201</c:v>
                </c:pt>
                <c:pt idx="33">
                  <c:v>0.20102980212114199</c:v>
                </c:pt>
                <c:pt idx="34">
                  <c:v>0.20104729429865101</c:v>
                </c:pt>
                <c:pt idx="35">
                  <c:v>0.20106555116176</c:v>
                </c:pt>
                <c:pt idx="36">
                  <c:v>0.20108456711359801</c:v>
                </c:pt>
                <c:pt idx="37">
                  <c:v>0.201103998611211</c:v>
                </c:pt>
                <c:pt idx="38">
                  <c:v>0.201123846028884</c:v>
                </c:pt>
                <c:pt idx="39">
                  <c:v>0.20114410976736699</c:v>
                </c:pt>
                <c:pt idx="40">
                  <c:v>0.20116479025408701</c:v>
                </c:pt>
                <c:pt idx="41">
                  <c:v>0.201185887943026</c:v>
                </c:pt>
                <c:pt idx="42">
                  <c:v>0.20120775467079699</c:v>
                </c:pt>
                <c:pt idx="43">
                  <c:v>0.20123038361479001</c:v>
                </c:pt>
                <c:pt idx="44">
                  <c:v>0.201253420690505</c:v>
                </c:pt>
                <c:pt idx="45">
                  <c:v>0.201276866152758</c:v>
                </c:pt>
                <c:pt idx="46">
                  <c:v>0.201300720284951</c:v>
                </c:pt>
                <c:pt idx="47">
                  <c:v>0.20132498339937199</c:v>
                </c:pt>
                <c:pt idx="48">
                  <c:v>0.20134965583718401</c:v>
                </c:pt>
                <c:pt idx="49">
                  <c:v>0.201375101646215</c:v>
                </c:pt>
                <c:pt idx="50">
                  <c:v>0.20140131276461401</c:v>
                </c:pt>
                <c:pt idx="51">
                  <c:v>0.201427922116201</c:v>
                </c:pt>
                <c:pt idx="52">
                  <c:v>0.20145492972866599</c:v>
                </c:pt>
                <c:pt idx="53">
                  <c:v>0.20148233566076701</c:v>
                </c:pt>
                <c:pt idx="54">
                  <c:v>0.20151014000314799</c:v>
                </c:pt>
                <c:pt idx="55">
                  <c:v>0.20153834287776201</c:v>
                </c:pt>
                <c:pt idx="56">
                  <c:v>0.201567324165566</c:v>
                </c:pt>
                <c:pt idx="57">
                  <c:v>0.201597074414605</c:v>
                </c:pt>
                <c:pt idx="58">
                  <c:v>0.20162720965946501</c:v>
                </c:pt>
                <c:pt idx="59">
                  <c:v>0.20165772953802</c:v>
                </c:pt>
                <c:pt idx="60">
                  <c:v>0.20168863372249701</c:v>
                </c:pt>
                <c:pt idx="61">
                  <c:v>0.201719921919912</c:v>
                </c:pt>
                <c:pt idx="62">
                  <c:v>0.201751593872008</c:v>
                </c:pt>
                <c:pt idx="63">
                  <c:v>0.201784049621793</c:v>
                </c:pt>
                <c:pt idx="64">
                  <c:v>0.201817278370863</c:v>
                </c:pt>
                <c:pt idx="65">
                  <c:v>0.20185087469341501</c:v>
                </c:pt>
                <c:pt idx="66">
                  <c:v>0.201884837671365</c:v>
                </c:pt>
                <c:pt idx="67">
                  <c:v>0.20191916642458499</c:v>
                </c:pt>
                <c:pt idx="68">
                  <c:v>0.201953860111589</c:v>
                </c:pt>
                <c:pt idx="69">
                  <c:v>0.20198891792918799</c:v>
                </c:pt>
                <c:pt idx="70">
                  <c:v>0.20202476521464599</c:v>
                </c:pt>
                <c:pt idx="71">
                  <c:v>0.20206138942714499</c:v>
                </c:pt>
                <c:pt idx="72">
                  <c:v>0.20209835801522699</c:v>
                </c:pt>
                <c:pt idx="73">
                  <c:v>0.20213566920364701</c:v>
                </c:pt>
                <c:pt idx="74">
                  <c:v>0.202173321259281</c:v>
                </c:pt>
                <c:pt idx="75">
                  <c:v>0.20221131249202601</c:v>
                </c:pt>
                <c:pt idx="76">
                  <c:v>0.20224964125407799</c:v>
                </c:pt>
                <c:pt idx="77">
                  <c:v>0.20228876567213</c:v>
                </c:pt>
                <c:pt idx="78">
                  <c:v>0.20232867175382299</c:v>
                </c:pt>
                <c:pt idx="79">
                  <c:v>0.20236889202997599</c:v>
                </c:pt>
                <c:pt idx="80">
                  <c:v>0.20240942364280201</c:v>
                </c:pt>
                <c:pt idx="81">
                  <c:v>0.20245026378185599</c:v>
                </c:pt>
                <c:pt idx="82">
                  <c:v>0.202491409684183</c:v>
                </c:pt>
                <c:pt idx="83">
                  <c:v>0.20253285863458101</c:v>
                </c:pt>
                <c:pt idx="84">
                  <c:v>0.20257510879872501</c:v>
                </c:pt>
                <c:pt idx="85">
                  <c:v>0.20261814365801201</c:v>
                </c:pt>
                <c:pt idx="86">
                  <c:v>0.20266145247762901</c:v>
                </c:pt>
                <c:pt idx="87">
                  <c:v>0.20270503071516499</c:v>
                </c:pt>
                <c:pt idx="88">
                  <c:v>0.20274887388104401</c:v>
                </c:pt>
                <c:pt idx="89">
                  <c:v>0.20279297753897199</c:v>
                </c:pt>
                <c:pt idx="90">
                  <c:v>0.20283733730594</c:v>
                </c:pt>
                <c:pt idx="91">
                  <c:v>0.202882505319046</c:v>
                </c:pt>
                <c:pt idx="92">
                  <c:v>0.20292846353277699</c:v>
                </c:pt>
                <c:pt idx="93">
                  <c:v>0.20297464378062199</c:v>
                </c:pt>
                <c:pt idx="94">
                  <c:v>0.203021039622508</c:v>
                </c:pt>
                <c:pt idx="95">
                  <c:v>0.20306764467809901</c:v>
                </c:pt>
                <c:pt idx="96">
                  <c:v>0.203114452626974</c:v>
                </c:pt>
                <c:pt idx="97">
                  <c:v>0.20316145720870199</c:v>
                </c:pt>
                <c:pt idx="98">
                  <c:v>0.203209273232169</c:v>
                </c:pt>
                <c:pt idx="99">
                  <c:v>0.203257878468277</c:v>
                </c:pt>
                <c:pt idx="100">
                  <c:v>0.20330663631402299</c:v>
                </c:pt>
                <c:pt idx="101">
                  <c:v>0.20335553711829399</c:v>
                </c:pt>
                <c:pt idx="102">
                  <c:v>0.203404571297332</c:v>
                </c:pt>
                <c:pt idx="103">
                  <c:v>0.20345372933549399</c:v>
                </c:pt>
                <c:pt idx="104">
                  <c:v>0.20350300178490799</c:v>
                </c:pt>
                <c:pt idx="105">
                  <c:v>0.20355309355864801</c:v>
                </c:pt>
                <c:pt idx="106">
                  <c:v>0.20360398055045101</c:v>
                </c:pt>
                <c:pt idx="107">
                  <c:v>0.203654930281045</c:v>
                </c:pt>
                <c:pt idx="108">
                  <c:v>0.203705929992719</c:v>
                </c:pt>
                <c:pt idx="109">
                  <c:v>0.20375696700504201</c:v>
                </c:pt>
                <c:pt idx="110">
                  <c:v>0.20380802871506401</c:v>
                </c:pt>
                <c:pt idx="111">
                  <c:v>0.20385910259749901</c:v>
                </c:pt>
                <c:pt idx="112">
                  <c:v>0.20391099165342</c:v>
                </c:pt>
                <c:pt idx="113">
                  <c:v>0.203963664796218</c:v>
                </c:pt>
                <c:pt idx="114">
                  <c:v>0.20401628124536</c:v>
                </c:pt>
                <c:pt idx="115">
                  <c:v>0.20406882208111199</c:v>
                </c:pt>
                <c:pt idx="116">
                  <c:v>0.20412126847319501</c:v>
                </c:pt>
                <c:pt idx="117">
                  <c:v>0.20417360168156601</c:v>
                </c:pt>
                <c:pt idx="118">
                  <c:v>0.204225803056369</c:v>
                </c:pt>
                <c:pt idx="119">
                  <c:v>0.204278822097061</c:v>
                </c:pt>
                <c:pt idx="120">
                  <c:v>0.204332622890913</c:v>
                </c:pt>
                <c:pt idx="121">
                  <c:v>0.20438620749667399</c:v>
                </c:pt>
                <c:pt idx="122">
                  <c:v>0.20443955219756901</c:v>
                </c:pt>
                <c:pt idx="123">
                  <c:v>0.204492633382483</c:v>
                </c:pt>
                <c:pt idx="124">
                  <c:v>0.204545427546761</c:v>
                </c:pt>
                <c:pt idx="125">
                  <c:v>0.204597911292487</c:v>
                </c:pt>
                <c:pt idx="126">
                  <c:v>0.20465120164504699</c:v>
                </c:pt>
                <c:pt idx="127">
                  <c:v>0.204705253588396</c:v>
                </c:pt>
                <c:pt idx="128">
                  <c:v>0.20475888443026999</c:v>
                </c:pt>
                <c:pt idx="129">
                  <c:v>0.20481205823607801</c:v>
                </c:pt>
                <c:pt idx="130">
                  <c:v>0.20486473919971801</c:v>
                </c:pt>
                <c:pt idx="131">
                  <c:v>0.204916891644607</c:v>
                </c:pt>
                <c:pt idx="132">
                  <c:v>0.20496848002491599</c:v>
                </c:pt>
                <c:pt idx="133">
                  <c:v>0.20502081347723999</c:v>
                </c:pt>
                <c:pt idx="134">
                  <c:v>0.20507382736780799</c:v>
                </c:pt>
                <c:pt idx="135">
                  <c:v>0.20512612384762199</c:v>
                </c:pt>
                <c:pt idx="136">
                  <c:v>0.205177660291497</c:v>
                </c:pt>
                <c:pt idx="137">
                  <c:v>0.20522839423918601</c:v>
                </c:pt>
                <c:pt idx="138">
                  <c:v>0.20527828339812701</c:v>
                </c:pt>
                <c:pt idx="139">
                  <c:v>0.20532728564489799</c:v>
                </c:pt>
                <c:pt idx="140">
                  <c:v>0.20537709853514499</c:v>
                </c:pt>
                <c:pt idx="141">
                  <c:v>0.20542765301729601</c:v>
                </c:pt>
                <c:pt idx="142">
                  <c:v>0.20547713468947101</c:v>
                </c:pt>
                <c:pt idx="143">
                  <c:v>0.20552547436628199</c:v>
                </c:pt>
                <c:pt idx="144">
                  <c:v>0.20557260306915401</c:v>
                </c:pt>
                <c:pt idx="145">
                  <c:v>0.20561845203215301</c:v>
                </c:pt>
                <c:pt idx="146">
                  <c:v>0.20566295270662599</c:v>
                </c:pt>
                <c:pt idx="147">
                  <c:v>0.205707784367161</c:v>
                </c:pt>
                <c:pt idx="148">
                  <c:v>0.205752812991809</c:v>
                </c:pt>
                <c:pt idx="149">
                  <c:v>0.205796191254811</c:v>
                </c:pt>
                <c:pt idx="150">
                  <c:v>0.205837845664432</c:v>
                </c:pt>
                <c:pt idx="151">
                  <c:v>0.20587770306522199</c:v>
                </c:pt>
                <c:pt idx="152">
                  <c:v>0.205915690651058</c:v>
                </c:pt>
                <c:pt idx="153">
                  <c:v>0.20595173597817801</c:v>
                </c:pt>
                <c:pt idx="154">
                  <c:v>0.20598882056562301</c:v>
                </c:pt>
                <c:pt idx="155">
                  <c:v>0.20602679972424701</c:v>
                </c:pt>
                <c:pt idx="156">
                  <c:v>0.20606245804093801</c:v>
                </c:pt>
                <c:pt idx="157">
                  <c:v>0.20609564842264</c:v>
                </c:pt>
                <c:pt idx="158">
                  <c:v>0.206126224143626</c:v>
                </c:pt>
                <c:pt idx="159">
                  <c:v>0.206154038877014</c:v>
                </c:pt>
                <c:pt idx="160">
                  <c:v>0.206178946726432</c:v>
                </c:pt>
                <c:pt idx="161">
                  <c:v>0.20620234109118499</c:v>
                </c:pt>
                <c:pt idx="162">
                  <c:v>0.206223975699828</c:v>
                </c:pt>
                <c:pt idx="163">
                  <c:v>0.206242155382063</c:v>
                </c:pt>
                <c:pt idx="164">
                  <c:v>0.20625677410472701</c:v>
                </c:pt>
                <c:pt idx="165">
                  <c:v>0.20626772683382</c:v>
                </c:pt>
                <c:pt idx="166">
                  <c:v>0.206274909640035</c:v>
                </c:pt>
                <c:pt idx="167">
                  <c:v>0.206278219812012</c:v>
                </c:pt>
                <c:pt idx="168">
                  <c:v>0.20628385774775199</c:v>
                </c:pt>
                <c:pt idx="169">
                  <c:v>0.206291250739292</c:v>
                </c:pt>
                <c:pt idx="170">
                  <c:v>0.206293564948974</c:v>
                </c:pt>
                <c:pt idx="171">
                  <c:v>0.20629040159286899</c:v>
                </c:pt>
                <c:pt idx="172">
                  <c:v>0.20628136249139201</c:v>
                </c:pt>
                <c:pt idx="173">
                  <c:v>0.20626605035370499</c:v>
                </c:pt>
                <c:pt idx="174">
                  <c:v>0.20624406909287199</c:v>
                </c:pt>
                <c:pt idx="175">
                  <c:v>0.206213562046481</c:v>
                </c:pt>
                <c:pt idx="176">
                  <c:v>0.206174397609972</c:v>
                </c:pt>
                <c:pt idx="177">
                  <c:v>0.206128049621251</c:v>
                </c:pt>
                <c:pt idx="178">
                  <c:v>0.20607450176897399</c:v>
                </c:pt>
                <c:pt idx="179">
                  <c:v>0.206013741872863</c:v>
                </c:pt>
                <c:pt idx="180">
                  <c:v>0.20594576307412399</c:v>
                </c:pt>
                <c:pt idx="181">
                  <c:v>0.20587056517219099</c:v>
                </c:pt>
                <c:pt idx="182">
                  <c:v>0.20580134705731501</c:v>
                </c:pt>
                <c:pt idx="183">
                  <c:v>0.205735087306185</c:v>
                </c:pt>
                <c:pt idx="184">
                  <c:v>0.205656171169768</c:v>
                </c:pt>
                <c:pt idx="185">
                  <c:v>0.205563114648151</c:v>
                </c:pt>
                <c:pt idx="186">
                  <c:v>0.20545443420499501</c:v>
                </c:pt>
                <c:pt idx="187">
                  <c:v>0.20532865049816401</c:v>
                </c:pt>
                <c:pt idx="188">
                  <c:v>0.20518429262339899</c:v>
                </c:pt>
                <c:pt idx="189">
                  <c:v>0.205007662718141</c:v>
                </c:pt>
                <c:pt idx="190">
                  <c:v>0.204800107200165</c:v>
                </c:pt>
                <c:pt idx="191">
                  <c:v>0.204575393444868</c:v>
                </c:pt>
                <c:pt idx="192">
                  <c:v>0.204334382038146</c:v>
                </c:pt>
                <c:pt idx="193">
                  <c:v>0.20407796043731799</c:v>
                </c:pt>
                <c:pt idx="194">
                  <c:v>0.203807060935352</c:v>
                </c:pt>
                <c:pt idx="195">
                  <c:v>0.20352268071273899</c:v>
                </c:pt>
                <c:pt idx="196">
                  <c:v>0.20323864402226599</c:v>
                </c:pt>
                <c:pt idx="197">
                  <c:v>0.20293855643876699</c:v>
                </c:pt>
                <c:pt idx="198">
                  <c:v>0.20259682937744999</c:v>
                </c:pt>
                <c:pt idx="199">
                  <c:v>0.202206042554777</c:v>
                </c:pt>
                <c:pt idx="200">
                  <c:v>0.20175877423515401</c:v>
                </c:pt>
                <c:pt idx="201">
                  <c:v>0.20124765939651301</c:v>
                </c:pt>
                <c:pt idx="202">
                  <c:v>0.20066545511654199</c:v>
                </c:pt>
                <c:pt idx="203">
                  <c:v>0.19994440000036601</c:v>
                </c:pt>
                <c:pt idx="204">
                  <c:v>0.19908192575502101</c:v>
                </c:pt>
                <c:pt idx="205">
                  <c:v>0.19814275837130299</c:v>
                </c:pt>
                <c:pt idx="206">
                  <c:v>0.197132083244108</c:v>
                </c:pt>
                <c:pt idx="207">
                  <c:v>0.19605649063726199</c:v>
                </c:pt>
                <c:pt idx="208">
                  <c:v>0.19492481931757499</c:v>
                </c:pt>
                <c:pt idx="209">
                  <c:v>0.193749037069505</c:v>
                </c:pt>
                <c:pt idx="210">
                  <c:v>0.192126460228875</c:v>
                </c:pt>
                <c:pt idx="211">
                  <c:v>0.189756199029534</c:v>
                </c:pt>
                <c:pt idx="212">
                  <c:v>0.18679185194341</c:v>
                </c:pt>
                <c:pt idx="213">
                  <c:v>0.183070467690091</c:v>
                </c:pt>
                <c:pt idx="214">
                  <c:v>0.17845709469892801</c:v>
                </c:pt>
                <c:pt idx="215">
                  <c:v>0.17286499990902199</c:v>
                </c:pt>
                <c:pt idx="216">
                  <c:v>0.16627773679514299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B9-4E37-AD05-16C366578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711391"/>
        <c:axId val="1085707551"/>
      </c:scatterChart>
      <c:valAx>
        <c:axId val="108571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707551"/>
        <c:crosses val="autoZero"/>
        <c:crossBetween val="midCat"/>
      </c:valAx>
      <c:valAx>
        <c:axId val="108570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711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38100">
              <a:noFill/>
            </a:ln>
          </c:spPr>
          <c:xVal>
            <c:numRef>
              <c:f>補間なし線形IGA!$AA$3:$AA$219</c:f>
              <c:numCache>
                <c:formatCode>0.00E+00</c:formatCode>
                <c:ptCount val="217"/>
                <c:pt idx="0">
                  <c:v>1.1520739999999999E-3</c:v>
                </c:pt>
                <c:pt idx="1">
                  <c:v>3.4562210000000002E-3</c:v>
                </c:pt>
                <c:pt idx="2">
                  <c:v>5.7603690000000004E-3</c:v>
                </c:pt>
                <c:pt idx="3">
                  <c:v>8.0645160000000007E-3</c:v>
                </c:pt>
                <c:pt idx="4">
                  <c:v>1.036866E-2</c:v>
                </c:pt>
                <c:pt idx="5">
                  <c:v>1.267281E-2</c:v>
                </c:pt>
                <c:pt idx="6">
                  <c:v>1.4976959999999999E-2</c:v>
                </c:pt>
                <c:pt idx="7">
                  <c:v>1.7281109999999999E-2</c:v>
                </c:pt>
                <c:pt idx="8">
                  <c:v>1.9585249999999998E-2</c:v>
                </c:pt>
                <c:pt idx="9">
                  <c:v>2.18894E-2</c:v>
                </c:pt>
                <c:pt idx="10">
                  <c:v>2.4193550000000001E-2</c:v>
                </c:pt>
                <c:pt idx="11">
                  <c:v>2.6497699999999999E-2</c:v>
                </c:pt>
                <c:pt idx="12">
                  <c:v>2.8801839999999999E-2</c:v>
                </c:pt>
                <c:pt idx="13">
                  <c:v>3.110599E-2</c:v>
                </c:pt>
                <c:pt idx="14">
                  <c:v>3.3410139999999998E-2</c:v>
                </c:pt>
                <c:pt idx="15">
                  <c:v>3.5714290000000003E-2</c:v>
                </c:pt>
                <c:pt idx="16">
                  <c:v>3.8018429999999999E-2</c:v>
                </c:pt>
                <c:pt idx="17">
                  <c:v>4.0322579999999997E-2</c:v>
                </c:pt>
                <c:pt idx="18">
                  <c:v>4.2626730000000002E-2</c:v>
                </c:pt>
                <c:pt idx="19">
                  <c:v>4.4930879999999999E-2</c:v>
                </c:pt>
                <c:pt idx="20">
                  <c:v>4.7235020000000003E-2</c:v>
                </c:pt>
                <c:pt idx="21">
                  <c:v>4.953917E-2</c:v>
                </c:pt>
                <c:pt idx="22">
                  <c:v>5.1843319999999998E-2</c:v>
                </c:pt>
                <c:pt idx="23">
                  <c:v>5.4147470000000003E-2</c:v>
                </c:pt>
                <c:pt idx="24">
                  <c:v>5.6451609999999999E-2</c:v>
                </c:pt>
                <c:pt idx="25">
                  <c:v>5.8755759999999997E-2</c:v>
                </c:pt>
                <c:pt idx="26">
                  <c:v>6.1059910000000002E-2</c:v>
                </c:pt>
                <c:pt idx="27">
                  <c:v>6.336406E-2</c:v>
                </c:pt>
                <c:pt idx="28">
                  <c:v>6.5668199999999996E-2</c:v>
                </c:pt>
                <c:pt idx="29">
                  <c:v>6.7972350000000001E-2</c:v>
                </c:pt>
                <c:pt idx="30">
                  <c:v>7.0276500000000006E-2</c:v>
                </c:pt>
                <c:pt idx="31">
                  <c:v>7.2580649999999997E-2</c:v>
                </c:pt>
                <c:pt idx="32">
                  <c:v>7.4884790000000007E-2</c:v>
                </c:pt>
                <c:pt idx="33">
                  <c:v>7.7188939999999998E-2</c:v>
                </c:pt>
                <c:pt idx="34">
                  <c:v>7.9493090000000002E-2</c:v>
                </c:pt>
                <c:pt idx="35">
                  <c:v>8.1797239999999993E-2</c:v>
                </c:pt>
                <c:pt idx="36">
                  <c:v>8.4101380000000003E-2</c:v>
                </c:pt>
                <c:pt idx="37">
                  <c:v>8.6405529999999994E-2</c:v>
                </c:pt>
                <c:pt idx="38">
                  <c:v>8.8709679999999999E-2</c:v>
                </c:pt>
                <c:pt idx="39">
                  <c:v>9.1013819999999995E-2</c:v>
                </c:pt>
                <c:pt idx="40">
                  <c:v>9.331797E-2</c:v>
                </c:pt>
                <c:pt idx="41">
                  <c:v>9.5622120000000005E-2</c:v>
                </c:pt>
                <c:pt idx="42">
                  <c:v>9.7926269999999996E-2</c:v>
                </c:pt>
                <c:pt idx="43">
                  <c:v>0.1002304</c:v>
                </c:pt>
                <c:pt idx="44">
                  <c:v>0.1025346</c:v>
                </c:pt>
                <c:pt idx="45">
                  <c:v>0.10483870000000001</c:v>
                </c:pt>
                <c:pt idx="46">
                  <c:v>0.1071429</c:v>
                </c:pt>
                <c:pt idx="47">
                  <c:v>0.109447</c:v>
                </c:pt>
                <c:pt idx="48">
                  <c:v>0.11175119999999999</c:v>
                </c:pt>
                <c:pt idx="49">
                  <c:v>0.1140553</c:v>
                </c:pt>
                <c:pt idx="50">
                  <c:v>0.1163594</c:v>
                </c:pt>
                <c:pt idx="51">
                  <c:v>0.11866359999999999</c:v>
                </c:pt>
                <c:pt idx="52">
                  <c:v>0.1209677</c:v>
                </c:pt>
                <c:pt idx="53">
                  <c:v>0.1232719</c:v>
                </c:pt>
                <c:pt idx="54">
                  <c:v>0.12557599999999999</c:v>
                </c:pt>
                <c:pt idx="55">
                  <c:v>0.1278802</c:v>
                </c:pt>
                <c:pt idx="56">
                  <c:v>0.1301843</c:v>
                </c:pt>
                <c:pt idx="57">
                  <c:v>0.13248850000000001</c:v>
                </c:pt>
                <c:pt idx="58">
                  <c:v>0.13479260000000001</c:v>
                </c:pt>
                <c:pt idx="59">
                  <c:v>0.13709679999999999</c:v>
                </c:pt>
                <c:pt idx="60">
                  <c:v>0.13940089999999999</c:v>
                </c:pt>
                <c:pt idx="61">
                  <c:v>0.1417051</c:v>
                </c:pt>
                <c:pt idx="62">
                  <c:v>0.1440092</c:v>
                </c:pt>
                <c:pt idx="63">
                  <c:v>0.14631340000000001</c:v>
                </c:pt>
                <c:pt idx="64">
                  <c:v>0.14861750000000001</c:v>
                </c:pt>
                <c:pt idx="65">
                  <c:v>0.15092169999999999</c:v>
                </c:pt>
                <c:pt idx="66">
                  <c:v>0.1532258</c:v>
                </c:pt>
                <c:pt idx="67">
                  <c:v>0.15553</c:v>
                </c:pt>
                <c:pt idx="68">
                  <c:v>0.1578341</c:v>
                </c:pt>
                <c:pt idx="69">
                  <c:v>0.16013820000000001</c:v>
                </c:pt>
                <c:pt idx="70">
                  <c:v>0.16244239999999999</c:v>
                </c:pt>
                <c:pt idx="71">
                  <c:v>0.16474649999999999</c:v>
                </c:pt>
                <c:pt idx="72">
                  <c:v>0.1670507</c:v>
                </c:pt>
                <c:pt idx="73">
                  <c:v>0.1693548</c:v>
                </c:pt>
                <c:pt idx="74">
                  <c:v>0.17165900000000001</c:v>
                </c:pt>
                <c:pt idx="75">
                  <c:v>0.17396310000000001</c:v>
                </c:pt>
                <c:pt idx="76">
                  <c:v>0.17626729999999999</c:v>
                </c:pt>
                <c:pt idx="77">
                  <c:v>0.17857139999999999</c:v>
                </c:pt>
                <c:pt idx="78">
                  <c:v>0.1808756</c:v>
                </c:pt>
                <c:pt idx="79">
                  <c:v>0.1831797</c:v>
                </c:pt>
                <c:pt idx="80">
                  <c:v>0.18548390000000001</c:v>
                </c:pt>
                <c:pt idx="81">
                  <c:v>0.18778800000000001</c:v>
                </c:pt>
                <c:pt idx="82">
                  <c:v>0.19009219999999999</c:v>
                </c:pt>
                <c:pt idx="83">
                  <c:v>0.19239629999999999</c:v>
                </c:pt>
                <c:pt idx="84">
                  <c:v>0.1947005</c:v>
                </c:pt>
                <c:pt idx="85">
                  <c:v>0.1970046</c:v>
                </c:pt>
                <c:pt idx="86">
                  <c:v>0.19930880000000001</c:v>
                </c:pt>
                <c:pt idx="87">
                  <c:v>0.20161290000000001</c:v>
                </c:pt>
                <c:pt idx="88">
                  <c:v>0.20391709999999999</c:v>
                </c:pt>
                <c:pt idx="89">
                  <c:v>0.20622119999999999</c:v>
                </c:pt>
                <c:pt idx="90">
                  <c:v>0.2085253</c:v>
                </c:pt>
                <c:pt idx="91">
                  <c:v>0.2108295</c:v>
                </c:pt>
                <c:pt idx="92">
                  <c:v>0.21313360000000001</c:v>
                </c:pt>
                <c:pt idx="93">
                  <c:v>0.21543780000000001</c:v>
                </c:pt>
                <c:pt idx="94">
                  <c:v>0.21774189999999999</c:v>
                </c:pt>
                <c:pt idx="95">
                  <c:v>0.22004609999999999</c:v>
                </c:pt>
                <c:pt idx="96">
                  <c:v>0.2223502</c:v>
                </c:pt>
                <c:pt idx="97">
                  <c:v>0.2246544</c:v>
                </c:pt>
                <c:pt idx="98">
                  <c:v>0.22695850000000001</c:v>
                </c:pt>
                <c:pt idx="99">
                  <c:v>0.22926270000000001</c:v>
                </c:pt>
                <c:pt idx="100">
                  <c:v>0.23156679999999999</c:v>
                </c:pt>
                <c:pt idx="101">
                  <c:v>0.233871</c:v>
                </c:pt>
                <c:pt idx="102">
                  <c:v>0.2361751</c:v>
                </c:pt>
                <c:pt idx="103">
                  <c:v>0.23847930000000001</c:v>
                </c:pt>
                <c:pt idx="104">
                  <c:v>0.24078340000000001</c:v>
                </c:pt>
                <c:pt idx="105">
                  <c:v>0.24308759999999999</c:v>
                </c:pt>
                <c:pt idx="106">
                  <c:v>0.24539169999999999</c:v>
                </c:pt>
                <c:pt idx="107">
                  <c:v>0.2476959</c:v>
                </c:pt>
                <c:pt idx="108">
                  <c:v>0.25</c:v>
                </c:pt>
                <c:pt idx="109">
                  <c:v>0.25230409999999998</c:v>
                </c:pt>
                <c:pt idx="110">
                  <c:v>0.25460830000000001</c:v>
                </c:pt>
                <c:pt idx="111">
                  <c:v>0.25691239999999999</c:v>
                </c:pt>
                <c:pt idx="112">
                  <c:v>0.25921660000000002</c:v>
                </c:pt>
                <c:pt idx="113">
                  <c:v>0.26152069999999999</c:v>
                </c:pt>
                <c:pt idx="114">
                  <c:v>0.26382489999999997</c:v>
                </c:pt>
                <c:pt idx="115">
                  <c:v>0.266129</c:v>
                </c:pt>
                <c:pt idx="116">
                  <c:v>0.26843319999999998</c:v>
                </c:pt>
                <c:pt idx="117">
                  <c:v>0.27073730000000001</c:v>
                </c:pt>
                <c:pt idx="118">
                  <c:v>0.27304149999999999</c:v>
                </c:pt>
                <c:pt idx="119">
                  <c:v>0.27534560000000002</c:v>
                </c:pt>
                <c:pt idx="120">
                  <c:v>0.2776498</c:v>
                </c:pt>
                <c:pt idx="121">
                  <c:v>0.27995389999999998</c:v>
                </c:pt>
                <c:pt idx="122">
                  <c:v>0.28225810000000001</c:v>
                </c:pt>
                <c:pt idx="123">
                  <c:v>0.28456219999999999</c:v>
                </c:pt>
                <c:pt idx="124">
                  <c:v>0.28686640000000002</c:v>
                </c:pt>
                <c:pt idx="125">
                  <c:v>0.2891705</c:v>
                </c:pt>
                <c:pt idx="126">
                  <c:v>0.29147469999999998</c:v>
                </c:pt>
                <c:pt idx="127">
                  <c:v>0.29377880000000001</c:v>
                </c:pt>
                <c:pt idx="128">
                  <c:v>0.29608289999999998</c:v>
                </c:pt>
                <c:pt idx="129">
                  <c:v>0.29838710000000002</c:v>
                </c:pt>
                <c:pt idx="130">
                  <c:v>0.30069119999999999</c:v>
                </c:pt>
                <c:pt idx="131">
                  <c:v>0.30299540000000003</c:v>
                </c:pt>
                <c:pt idx="132">
                  <c:v>0.3052995</c:v>
                </c:pt>
                <c:pt idx="133">
                  <c:v>0.30760369999999998</c:v>
                </c:pt>
                <c:pt idx="134">
                  <c:v>0.30990780000000001</c:v>
                </c:pt>
                <c:pt idx="135">
                  <c:v>0.31221199999999999</c:v>
                </c:pt>
                <c:pt idx="136">
                  <c:v>0.31451610000000002</c:v>
                </c:pt>
                <c:pt idx="137">
                  <c:v>0.3168203</c:v>
                </c:pt>
                <c:pt idx="138">
                  <c:v>0.31912439999999997</c:v>
                </c:pt>
                <c:pt idx="139">
                  <c:v>0.32142860000000001</c:v>
                </c:pt>
                <c:pt idx="140">
                  <c:v>0.32373269999999998</c:v>
                </c:pt>
                <c:pt idx="141">
                  <c:v>0.32603690000000002</c:v>
                </c:pt>
                <c:pt idx="142">
                  <c:v>0.32834099999999999</c:v>
                </c:pt>
                <c:pt idx="143">
                  <c:v>0.33064519999999997</c:v>
                </c:pt>
                <c:pt idx="144">
                  <c:v>0.3329493</c:v>
                </c:pt>
                <c:pt idx="145">
                  <c:v>0.33525349999999998</c:v>
                </c:pt>
                <c:pt idx="146">
                  <c:v>0.33755760000000001</c:v>
                </c:pt>
                <c:pt idx="147">
                  <c:v>0.33986179999999999</c:v>
                </c:pt>
                <c:pt idx="148">
                  <c:v>0.34216590000000002</c:v>
                </c:pt>
                <c:pt idx="149">
                  <c:v>0.34447</c:v>
                </c:pt>
                <c:pt idx="150">
                  <c:v>0.34677419999999998</c:v>
                </c:pt>
                <c:pt idx="151">
                  <c:v>0.34907830000000001</c:v>
                </c:pt>
                <c:pt idx="152">
                  <c:v>0.35138249999999999</c:v>
                </c:pt>
                <c:pt idx="153">
                  <c:v>0.35368660000000002</c:v>
                </c:pt>
                <c:pt idx="154">
                  <c:v>0.3559908</c:v>
                </c:pt>
                <c:pt idx="155">
                  <c:v>0.35829490000000003</c:v>
                </c:pt>
                <c:pt idx="156">
                  <c:v>0.36059910000000001</c:v>
                </c:pt>
                <c:pt idx="157">
                  <c:v>0.36290319999999998</c:v>
                </c:pt>
                <c:pt idx="158">
                  <c:v>0.36520740000000002</c:v>
                </c:pt>
                <c:pt idx="159">
                  <c:v>0.36751149999999999</c:v>
                </c:pt>
                <c:pt idx="160">
                  <c:v>0.36981570000000002</c:v>
                </c:pt>
                <c:pt idx="161">
                  <c:v>0.3721198</c:v>
                </c:pt>
                <c:pt idx="162">
                  <c:v>0.37442399999999998</c:v>
                </c:pt>
                <c:pt idx="163">
                  <c:v>0.37672810000000001</c:v>
                </c:pt>
                <c:pt idx="164">
                  <c:v>0.37903229999999999</c:v>
                </c:pt>
                <c:pt idx="165">
                  <c:v>0.38133640000000002</c:v>
                </c:pt>
                <c:pt idx="166">
                  <c:v>0.3836406</c:v>
                </c:pt>
                <c:pt idx="167">
                  <c:v>0.38594469999999997</c:v>
                </c:pt>
                <c:pt idx="168">
                  <c:v>0.38824880000000001</c:v>
                </c:pt>
                <c:pt idx="169">
                  <c:v>0.39055299999999998</c:v>
                </c:pt>
                <c:pt idx="170">
                  <c:v>0.39285710000000001</c:v>
                </c:pt>
                <c:pt idx="171">
                  <c:v>0.39516129999999999</c:v>
                </c:pt>
                <c:pt idx="172">
                  <c:v>0.39746540000000002</c:v>
                </c:pt>
                <c:pt idx="173">
                  <c:v>0.3997696</c:v>
                </c:pt>
                <c:pt idx="174">
                  <c:v>0.40207369999999998</c:v>
                </c:pt>
                <c:pt idx="175">
                  <c:v>0.40437790000000001</c:v>
                </c:pt>
                <c:pt idx="176">
                  <c:v>0.40668199999999999</c:v>
                </c:pt>
                <c:pt idx="177">
                  <c:v>0.40898620000000002</c:v>
                </c:pt>
                <c:pt idx="178">
                  <c:v>0.4112903</c:v>
                </c:pt>
                <c:pt idx="179">
                  <c:v>0.41359449999999998</c:v>
                </c:pt>
                <c:pt idx="180">
                  <c:v>0.41589860000000001</c:v>
                </c:pt>
                <c:pt idx="181">
                  <c:v>0.41820279999999999</c:v>
                </c:pt>
                <c:pt idx="182">
                  <c:v>0.42050690000000002</c:v>
                </c:pt>
                <c:pt idx="183">
                  <c:v>0.4228111</c:v>
                </c:pt>
                <c:pt idx="184">
                  <c:v>0.42511520000000003</c:v>
                </c:pt>
                <c:pt idx="185">
                  <c:v>0.4274194</c:v>
                </c:pt>
                <c:pt idx="186">
                  <c:v>0.42972349999999998</c:v>
                </c:pt>
                <c:pt idx="187">
                  <c:v>0.43202760000000001</c:v>
                </c:pt>
                <c:pt idx="188">
                  <c:v>0.43433179999999999</c:v>
                </c:pt>
                <c:pt idx="189">
                  <c:v>0.43663590000000002</c:v>
                </c:pt>
                <c:pt idx="190">
                  <c:v>0.4389401</c:v>
                </c:pt>
                <c:pt idx="191">
                  <c:v>0.44124419999999998</c:v>
                </c:pt>
                <c:pt idx="192">
                  <c:v>0.44354840000000001</c:v>
                </c:pt>
                <c:pt idx="193">
                  <c:v>0.44585249999999998</c:v>
                </c:pt>
                <c:pt idx="194">
                  <c:v>0.44815670000000002</c:v>
                </c:pt>
                <c:pt idx="195">
                  <c:v>0.45046079999999999</c:v>
                </c:pt>
                <c:pt idx="196">
                  <c:v>0.45276499999999997</c:v>
                </c:pt>
                <c:pt idx="197">
                  <c:v>0.4550691</c:v>
                </c:pt>
                <c:pt idx="198">
                  <c:v>0.45737329999999998</c:v>
                </c:pt>
                <c:pt idx="199">
                  <c:v>0.45967740000000001</c:v>
                </c:pt>
                <c:pt idx="200">
                  <c:v>0.46198159999999999</c:v>
                </c:pt>
                <c:pt idx="201">
                  <c:v>0.46428570000000002</c:v>
                </c:pt>
                <c:pt idx="202">
                  <c:v>0.4665899</c:v>
                </c:pt>
                <c:pt idx="203">
                  <c:v>0.46889399999999998</c:v>
                </c:pt>
                <c:pt idx="204">
                  <c:v>0.47119820000000001</c:v>
                </c:pt>
                <c:pt idx="205">
                  <c:v>0.47350229999999999</c:v>
                </c:pt>
                <c:pt idx="206">
                  <c:v>0.47580650000000002</c:v>
                </c:pt>
                <c:pt idx="207">
                  <c:v>0.4781106</c:v>
                </c:pt>
                <c:pt idx="208">
                  <c:v>0.48041469999999997</c:v>
                </c:pt>
                <c:pt idx="209">
                  <c:v>0.48271890000000001</c:v>
                </c:pt>
                <c:pt idx="210">
                  <c:v>0.48502299999999998</c:v>
                </c:pt>
                <c:pt idx="211">
                  <c:v>0.48732720000000002</c:v>
                </c:pt>
                <c:pt idx="212">
                  <c:v>0.48963129999999999</c:v>
                </c:pt>
                <c:pt idx="213">
                  <c:v>0.49193550000000003</c:v>
                </c:pt>
                <c:pt idx="214">
                  <c:v>0.4942396</c:v>
                </c:pt>
                <c:pt idx="215">
                  <c:v>0.49654379999999998</c:v>
                </c:pt>
                <c:pt idx="216">
                  <c:v>0.49884790000000001</c:v>
                </c:pt>
              </c:numCache>
            </c:numRef>
          </c:xVal>
          <c:yVal>
            <c:numRef>
              <c:f>補間なし線形IGA!$AD$3:$AD$219</c:f>
              <c:numCache>
                <c:formatCode>0.00E+00</c:formatCode>
                <c:ptCount val="217"/>
                <c:pt idx="0">
                  <c:v>0.20073634490167</c:v>
                </c:pt>
                <c:pt idx="1">
                  <c:v>0.20073712038941999</c:v>
                </c:pt>
                <c:pt idx="2">
                  <c:v>0.20073832654898399</c:v>
                </c:pt>
                <c:pt idx="3">
                  <c:v>0.20073996341824099</c:v>
                </c:pt>
                <c:pt idx="4">
                  <c:v>0.20074203105626801</c:v>
                </c:pt>
                <c:pt idx="5">
                  <c:v>0.20074452954347</c:v>
                </c:pt>
                <c:pt idx="6">
                  <c:v>0.200747458981238</c:v>
                </c:pt>
                <c:pt idx="7">
                  <c:v>0.20075113027401401</c:v>
                </c:pt>
                <c:pt idx="8">
                  <c:v>0.200755542375575</c:v>
                </c:pt>
                <c:pt idx="9">
                  <c:v>0.20076038416736899</c:v>
                </c:pt>
                <c:pt idx="10">
                  <c:v>0.20076565582080499</c:v>
                </c:pt>
                <c:pt idx="11">
                  <c:v>0.20077135752867301</c:v>
                </c:pt>
                <c:pt idx="12">
                  <c:v>0.20077748950548299</c:v>
                </c:pt>
                <c:pt idx="13">
                  <c:v>0.200784051987239</c:v>
                </c:pt>
                <c:pt idx="14">
                  <c:v>0.20079137466362401</c:v>
                </c:pt>
                <c:pt idx="15">
                  <c:v>0.20079945532459301</c:v>
                </c:pt>
                <c:pt idx="16">
                  <c:v>0.20080796378450799</c:v>
                </c:pt>
                <c:pt idx="17">
                  <c:v>0.200816900329299</c:v>
                </c:pt>
                <c:pt idx="18">
                  <c:v>0.20082626526678901</c:v>
                </c:pt>
                <c:pt idx="19">
                  <c:v>0.200836058927332</c:v>
                </c:pt>
                <c:pt idx="20">
                  <c:v>0.20084628166344301</c:v>
                </c:pt>
                <c:pt idx="21">
                  <c:v>0.20085726168200799</c:v>
                </c:pt>
                <c:pt idx="22">
                  <c:v>0.200868995693052</c:v>
                </c:pt>
                <c:pt idx="23">
                  <c:v>0.20088115470714701</c:v>
                </c:pt>
                <c:pt idx="24">
                  <c:v>0.20089373909296901</c:v>
                </c:pt>
                <c:pt idx="25">
                  <c:v>0.20090674924214499</c:v>
                </c:pt>
                <c:pt idx="26">
                  <c:v>0.20092018556987101</c:v>
                </c:pt>
                <c:pt idx="27">
                  <c:v>0.200934048514612</c:v>
                </c:pt>
                <c:pt idx="28">
                  <c:v>0.200948673631896</c:v>
                </c:pt>
                <c:pt idx="29">
                  <c:v>0.20096405647752399</c:v>
                </c:pt>
                <c:pt idx="30">
                  <c:v>0.200979860333689</c:v>
                </c:pt>
                <c:pt idx="31">
                  <c:v>0.20099608560368701</c:v>
                </c:pt>
                <c:pt idx="32">
                  <c:v>0.20101273271527201</c:v>
                </c:pt>
                <c:pt idx="33">
                  <c:v>0.20102980212114199</c:v>
                </c:pt>
                <c:pt idx="34">
                  <c:v>0.20104729429865101</c:v>
                </c:pt>
                <c:pt idx="35">
                  <c:v>0.20106555116176</c:v>
                </c:pt>
                <c:pt idx="36">
                  <c:v>0.20108456711359801</c:v>
                </c:pt>
                <c:pt idx="37">
                  <c:v>0.201103998611211</c:v>
                </c:pt>
                <c:pt idx="38">
                  <c:v>0.201123846028884</c:v>
                </c:pt>
                <c:pt idx="39">
                  <c:v>0.20114410976736699</c:v>
                </c:pt>
                <c:pt idx="40">
                  <c:v>0.20116479025408701</c:v>
                </c:pt>
                <c:pt idx="41">
                  <c:v>0.201185887943026</c:v>
                </c:pt>
                <c:pt idx="42">
                  <c:v>0.20120775467079699</c:v>
                </c:pt>
                <c:pt idx="43">
                  <c:v>0.20123038361479001</c:v>
                </c:pt>
                <c:pt idx="44">
                  <c:v>0.201253420690505</c:v>
                </c:pt>
                <c:pt idx="45">
                  <c:v>0.201276866152758</c:v>
                </c:pt>
                <c:pt idx="46">
                  <c:v>0.201300720284951</c:v>
                </c:pt>
                <c:pt idx="47">
                  <c:v>0.20132498339937199</c:v>
                </c:pt>
                <c:pt idx="48">
                  <c:v>0.20134965583718401</c:v>
                </c:pt>
                <c:pt idx="49">
                  <c:v>0.201375101646215</c:v>
                </c:pt>
                <c:pt idx="50">
                  <c:v>0.20140131276461401</c:v>
                </c:pt>
                <c:pt idx="51">
                  <c:v>0.201427922116201</c:v>
                </c:pt>
                <c:pt idx="52">
                  <c:v>0.20145492972866599</c:v>
                </c:pt>
                <c:pt idx="53">
                  <c:v>0.20148233566076701</c:v>
                </c:pt>
                <c:pt idx="54">
                  <c:v>0.20151014000314799</c:v>
                </c:pt>
                <c:pt idx="55">
                  <c:v>0.20153834287776201</c:v>
                </c:pt>
                <c:pt idx="56">
                  <c:v>0.201567324165566</c:v>
                </c:pt>
                <c:pt idx="57">
                  <c:v>0.201597074414605</c:v>
                </c:pt>
                <c:pt idx="58">
                  <c:v>0.20162720965946501</c:v>
                </c:pt>
                <c:pt idx="59">
                  <c:v>0.20165772953802</c:v>
                </c:pt>
                <c:pt idx="60">
                  <c:v>0.20168863372249701</c:v>
                </c:pt>
                <c:pt idx="61">
                  <c:v>0.201719921919912</c:v>
                </c:pt>
                <c:pt idx="62">
                  <c:v>0.201751593872008</c:v>
                </c:pt>
                <c:pt idx="63">
                  <c:v>0.201784049621793</c:v>
                </c:pt>
                <c:pt idx="64">
                  <c:v>0.201817278370863</c:v>
                </c:pt>
                <c:pt idx="65">
                  <c:v>0.20185087469341501</c:v>
                </c:pt>
                <c:pt idx="66">
                  <c:v>0.201884837671365</c:v>
                </c:pt>
                <c:pt idx="67">
                  <c:v>0.20191916642458499</c:v>
                </c:pt>
                <c:pt idx="68">
                  <c:v>0.201953860111589</c:v>
                </c:pt>
                <c:pt idx="69">
                  <c:v>0.20198891792918799</c:v>
                </c:pt>
                <c:pt idx="70">
                  <c:v>0.20202476521464599</c:v>
                </c:pt>
                <c:pt idx="71">
                  <c:v>0.20206138942714499</c:v>
                </c:pt>
                <c:pt idx="72">
                  <c:v>0.20209835801522699</c:v>
                </c:pt>
                <c:pt idx="73">
                  <c:v>0.20213566920364701</c:v>
                </c:pt>
                <c:pt idx="74">
                  <c:v>0.202173321259281</c:v>
                </c:pt>
                <c:pt idx="75">
                  <c:v>0.20221131249202601</c:v>
                </c:pt>
                <c:pt idx="76">
                  <c:v>0.20224964125407799</c:v>
                </c:pt>
                <c:pt idx="77">
                  <c:v>0.20228876567213</c:v>
                </c:pt>
                <c:pt idx="78">
                  <c:v>0.20232867175382299</c:v>
                </c:pt>
                <c:pt idx="79">
                  <c:v>0.20236889202997599</c:v>
                </c:pt>
                <c:pt idx="80">
                  <c:v>0.20240942364280201</c:v>
                </c:pt>
                <c:pt idx="81">
                  <c:v>0.20245026378185599</c:v>
                </c:pt>
                <c:pt idx="82">
                  <c:v>0.202491409684183</c:v>
                </c:pt>
                <c:pt idx="83">
                  <c:v>0.20253285863458101</c:v>
                </c:pt>
                <c:pt idx="84">
                  <c:v>0.20257510879872501</c:v>
                </c:pt>
                <c:pt idx="85">
                  <c:v>0.20261814365801201</c:v>
                </c:pt>
                <c:pt idx="86">
                  <c:v>0.20266145247762901</c:v>
                </c:pt>
                <c:pt idx="87">
                  <c:v>0.20270503071516499</c:v>
                </c:pt>
                <c:pt idx="88">
                  <c:v>0.20274887388104401</c:v>
                </c:pt>
                <c:pt idx="89">
                  <c:v>0.20279297753897199</c:v>
                </c:pt>
                <c:pt idx="90">
                  <c:v>0.20283733730594</c:v>
                </c:pt>
                <c:pt idx="91">
                  <c:v>0.202882505319046</c:v>
                </c:pt>
                <c:pt idx="92">
                  <c:v>0.20292846353277699</c:v>
                </c:pt>
                <c:pt idx="93">
                  <c:v>0.20297464378062199</c:v>
                </c:pt>
                <c:pt idx="94">
                  <c:v>0.203021039622508</c:v>
                </c:pt>
                <c:pt idx="95">
                  <c:v>0.20306764467809901</c:v>
                </c:pt>
                <c:pt idx="96">
                  <c:v>0.203114452626974</c:v>
                </c:pt>
                <c:pt idx="97">
                  <c:v>0.20316145720870199</c:v>
                </c:pt>
                <c:pt idx="98">
                  <c:v>0.203209273232169</c:v>
                </c:pt>
                <c:pt idx="99">
                  <c:v>0.203257878468277</c:v>
                </c:pt>
                <c:pt idx="100">
                  <c:v>0.20330663631402299</c:v>
                </c:pt>
                <c:pt idx="101">
                  <c:v>0.20335553711829399</c:v>
                </c:pt>
                <c:pt idx="102">
                  <c:v>0.203404571297332</c:v>
                </c:pt>
                <c:pt idx="103">
                  <c:v>0.20345372933549399</c:v>
                </c:pt>
                <c:pt idx="104">
                  <c:v>0.20350300178490799</c:v>
                </c:pt>
                <c:pt idx="105">
                  <c:v>0.20355309355864801</c:v>
                </c:pt>
                <c:pt idx="106">
                  <c:v>0.20360398055045101</c:v>
                </c:pt>
                <c:pt idx="107">
                  <c:v>0.203654930281045</c:v>
                </c:pt>
                <c:pt idx="108">
                  <c:v>0.203705929992719</c:v>
                </c:pt>
                <c:pt idx="109">
                  <c:v>0.20375696700504201</c:v>
                </c:pt>
                <c:pt idx="110">
                  <c:v>0.20380802871506401</c:v>
                </c:pt>
                <c:pt idx="111">
                  <c:v>0.20385910259749901</c:v>
                </c:pt>
                <c:pt idx="112">
                  <c:v>0.20391099165342</c:v>
                </c:pt>
                <c:pt idx="113">
                  <c:v>0.203963664796218</c:v>
                </c:pt>
                <c:pt idx="114">
                  <c:v>0.20401628124536</c:v>
                </c:pt>
                <c:pt idx="115">
                  <c:v>0.20406882208111199</c:v>
                </c:pt>
                <c:pt idx="116">
                  <c:v>0.20412126847319501</c:v>
                </c:pt>
                <c:pt idx="117">
                  <c:v>0.20417360168156601</c:v>
                </c:pt>
                <c:pt idx="118">
                  <c:v>0.204225803056369</c:v>
                </c:pt>
                <c:pt idx="119">
                  <c:v>0.204278822097061</c:v>
                </c:pt>
                <c:pt idx="120">
                  <c:v>0.204332622890913</c:v>
                </c:pt>
                <c:pt idx="121">
                  <c:v>0.20438620749667399</c:v>
                </c:pt>
                <c:pt idx="122">
                  <c:v>0.20443955219756901</c:v>
                </c:pt>
                <c:pt idx="123">
                  <c:v>0.204492633382483</c:v>
                </c:pt>
                <c:pt idx="124">
                  <c:v>0.204545427546761</c:v>
                </c:pt>
                <c:pt idx="125">
                  <c:v>0.204597911292487</c:v>
                </c:pt>
                <c:pt idx="126">
                  <c:v>0.20465120164504699</c:v>
                </c:pt>
                <c:pt idx="127">
                  <c:v>0.204705253588396</c:v>
                </c:pt>
                <c:pt idx="128">
                  <c:v>0.20475888443026999</c:v>
                </c:pt>
                <c:pt idx="129">
                  <c:v>0.20481205823607801</c:v>
                </c:pt>
                <c:pt idx="130">
                  <c:v>0.20486473919971801</c:v>
                </c:pt>
                <c:pt idx="131">
                  <c:v>0.204916891644607</c:v>
                </c:pt>
                <c:pt idx="132">
                  <c:v>0.20496848002491599</c:v>
                </c:pt>
                <c:pt idx="133">
                  <c:v>0.20502081347723999</c:v>
                </c:pt>
                <c:pt idx="134">
                  <c:v>0.20507382736780799</c:v>
                </c:pt>
                <c:pt idx="135">
                  <c:v>0.20512612384762199</c:v>
                </c:pt>
                <c:pt idx="136">
                  <c:v>0.205177660291497</c:v>
                </c:pt>
                <c:pt idx="137">
                  <c:v>0.20522839423918601</c:v>
                </c:pt>
                <c:pt idx="138">
                  <c:v>0.20527828339812701</c:v>
                </c:pt>
                <c:pt idx="139">
                  <c:v>0.20532728564489799</c:v>
                </c:pt>
                <c:pt idx="140">
                  <c:v>0.20537709853514499</c:v>
                </c:pt>
                <c:pt idx="141">
                  <c:v>0.20542765301729601</c:v>
                </c:pt>
                <c:pt idx="142">
                  <c:v>0.20547713468947101</c:v>
                </c:pt>
                <c:pt idx="143">
                  <c:v>0.20552547436628199</c:v>
                </c:pt>
                <c:pt idx="144">
                  <c:v>0.20557260306915401</c:v>
                </c:pt>
                <c:pt idx="145">
                  <c:v>0.20561845203215301</c:v>
                </c:pt>
                <c:pt idx="146">
                  <c:v>0.20566295270662599</c:v>
                </c:pt>
                <c:pt idx="147">
                  <c:v>0.205707784367161</c:v>
                </c:pt>
                <c:pt idx="148">
                  <c:v>0.205752812991809</c:v>
                </c:pt>
                <c:pt idx="149">
                  <c:v>0.205796191254811</c:v>
                </c:pt>
                <c:pt idx="150">
                  <c:v>0.205837845664432</c:v>
                </c:pt>
                <c:pt idx="151">
                  <c:v>0.20587770306522199</c:v>
                </c:pt>
                <c:pt idx="152">
                  <c:v>0.205915690651058</c:v>
                </c:pt>
                <c:pt idx="153">
                  <c:v>0.20595173597817801</c:v>
                </c:pt>
                <c:pt idx="154">
                  <c:v>0.20598882056562301</c:v>
                </c:pt>
                <c:pt idx="155">
                  <c:v>0.20602679972424701</c:v>
                </c:pt>
                <c:pt idx="156">
                  <c:v>0.20606245804093801</c:v>
                </c:pt>
                <c:pt idx="157">
                  <c:v>0.20609564842264</c:v>
                </c:pt>
                <c:pt idx="158">
                  <c:v>0.206126224143626</c:v>
                </c:pt>
                <c:pt idx="159">
                  <c:v>0.206154038877014</c:v>
                </c:pt>
                <c:pt idx="160">
                  <c:v>0.206178946726432</c:v>
                </c:pt>
                <c:pt idx="161">
                  <c:v>0.20620234109118499</c:v>
                </c:pt>
                <c:pt idx="162">
                  <c:v>0.206223975699828</c:v>
                </c:pt>
                <c:pt idx="163">
                  <c:v>0.206242155382063</c:v>
                </c:pt>
                <c:pt idx="164">
                  <c:v>0.20625677410472701</c:v>
                </c:pt>
                <c:pt idx="165">
                  <c:v>0.20626772683382</c:v>
                </c:pt>
                <c:pt idx="166">
                  <c:v>0.206274909640035</c:v>
                </c:pt>
                <c:pt idx="167">
                  <c:v>0.206278219812012</c:v>
                </c:pt>
                <c:pt idx="168">
                  <c:v>0.20628385774775199</c:v>
                </c:pt>
                <c:pt idx="169">
                  <c:v>0.206291250739292</c:v>
                </c:pt>
                <c:pt idx="170">
                  <c:v>0.206293564948974</c:v>
                </c:pt>
                <c:pt idx="171">
                  <c:v>0.20629040159286899</c:v>
                </c:pt>
                <c:pt idx="172">
                  <c:v>0.20628136249139201</c:v>
                </c:pt>
                <c:pt idx="173">
                  <c:v>0.20626605035370499</c:v>
                </c:pt>
                <c:pt idx="174">
                  <c:v>0.20624406909287199</c:v>
                </c:pt>
                <c:pt idx="175">
                  <c:v>0.206213562046481</c:v>
                </c:pt>
                <c:pt idx="176">
                  <c:v>0.206174397609972</c:v>
                </c:pt>
                <c:pt idx="177">
                  <c:v>0.206128049621251</c:v>
                </c:pt>
                <c:pt idx="178">
                  <c:v>0.20607450176897399</c:v>
                </c:pt>
                <c:pt idx="179">
                  <c:v>0.206013741872863</c:v>
                </c:pt>
                <c:pt idx="180">
                  <c:v>0.20594576307412399</c:v>
                </c:pt>
                <c:pt idx="181">
                  <c:v>0.20587056517219099</c:v>
                </c:pt>
                <c:pt idx="182">
                  <c:v>0.20580134705731501</c:v>
                </c:pt>
                <c:pt idx="183">
                  <c:v>0.205735087306185</c:v>
                </c:pt>
                <c:pt idx="184">
                  <c:v>0.205656171169768</c:v>
                </c:pt>
                <c:pt idx="185">
                  <c:v>0.205563114648151</c:v>
                </c:pt>
                <c:pt idx="186">
                  <c:v>0.20545443420499501</c:v>
                </c:pt>
                <c:pt idx="187">
                  <c:v>0.20532865049816401</c:v>
                </c:pt>
                <c:pt idx="188">
                  <c:v>0.20518429262339899</c:v>
                </c:pt>
                <c:pt idx="189">
                  <c:v>0.205007662718141</c:v>
                </c:pt>
                <c:pt idx="190">
                  <c:v>0.204800107200165</c:v>
                </c:pt>
                <c:pt idx="191">
                  <c:v>0.204575393444868</c:v>
                </c:pt>
                <c:pt idx="192">
                  <c:v>0.204334382038146</c:v>
                </c:pt>
                <c:pt idx="193">
                  <c:v>0.20407796043731799</c:v>
                </c:pt>
                <c:pt idx="194">
                  <c:v>0.203807060935352</c:v>
                </c:pt>
                <c:pt idx="195">
                  <c:v>0.20352268071273899</c:v>
                </c:pt>
                <c:pt idx="196">
                  <c:v>0.20323864402226599</c:v>
                </c:pt>
                <c:pt idx="197">
                  <c:v>0.20293855643876699</c:v>
                </c:pt>
                <c:pt idx="198">
                  <c:v>0.20259682937744999</c:v>
                </c:pt>
                <c:pt idx="199">
                  <c:v>0.202206042554777</c:v>
                </c:pt>
                <c:pt idx="200">
                  <c:v>0.20175877423515401</c:v>
                </c:pt>
                <c:pt idx="201">
                  <c:v>0.20124765939651301</c:v>
                </c:pt>
                <c:pt idx="202">
                  <c:v>0.20066545511654199</c:v>
                </c:pt>
                <c:pt idx="203">
                  <c:v>0.19994440000036601</c:v>
                </c:pt>
                <c:pt idx="204">
                  <c:v>0.19908192575502101</c:v>
                </c:pt>
                <c:pt idx="205">
                  <c:v>0.19814275837130299</c:v>
                </c:pt>
                <c:pt idx="206">
                  <c:v>0.197132083244108</c:v>
                </c:pt>
                <c:pt idx="207">
                  <c:v>0.19605649063726199</c:v>
                </c:pt>
                <c:pt idx="208">
                  <c:v>0.19492481931757499</c:v>
                </c:pt>
                <c:pt idx="209">
                  <c:v>0.193749037069505</c:v>
                </c:pt>
                <c:pt idx="210">
                  <c:v>0.192126460228875</c:v>
                </c:pt>
                <c:pt idx="211">
                  <c:v>0.189756199029534</c:v>
                </c:pt>
                <c:pt idx="212">
                  <c:v>0.18679185194341</c:v>
                </c:pt>
                <c:pt idx="213">
                  <c:v>0.183070467690091</c:v>
                </c:pt>
                <c:pt idx="214">
                  <c:v>0.17845709469892801</c:v>
                </c:pt>
                <c:pt idx="215">
                  <c:v>0.17286499990902199</c:v>
                </c:pt>
                <c:pt idx="216">
                  <c:v>0.16627773679514299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76-49D7-AD3B-CFB5363250C2}"/>
            </c:ext>
          </c:extLst>
        </c:ser>
        <c:ser>
          <c:idx val="0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補間なし線形IGA!$H$3:$H$64</c:f>
              <c:numCache>
                <c:formatCode>0.00E+00</c:formatCode>
                <c:ptCount val="62"/>
                <c:pt idx="0">
                  <c:v>8.0645160000000007E-3</c:v>
                </c:pt>
                <c:pt idx="1">
                  <c:v>2.4193550000000001E-2</c:v>
                </c:pt>
                <c:pt idx="2">
                  <c:v>4.0322579999999997E-2</c:v>
                </c:pt>
                <c:pt idx="3">
                  <c:v>5.6451609999999999E-2</c:v>
                </c:pt>
                <c:pt idx="4">
                  <c:v>7.2580649999999997E-2</c:v>
                </c:pt>
                <c:pt idx="5">
                  <c:v>8.8709679999999999E-2</c:v>
                </c:pt>
                <c:pt idx="6">
                  <c:v>0.10483870000000001</c:v>
                </c:pt>
                <c:pt idx="7">
                  <c:v>0.1209677</c:v>
                </c:pt>
                <c:pt idx="8">
                  <c:v>0.13709679999999999</c:v>
                </c:pt>
                <c:pt idx="9">
                  <c:v>0.1532258</c:v>
                </c:pt>
                <c:pt idx="10">
                  <c:v>0.1693548</c:v>
                </c:pt>
                <c:pt idx="11">
                  <c:v>0.18548390000000001</c:v>
                </c:pt>
                <c:pt idx="12">
                  <c:v>0.20161290000000001</c:v>
                </c:pt>
                <c:pt idx="13">
                  <c:v>0.21774189999999999</c:v>
                </c:pt>
                <c:pt idx="14">
                  <c:v>0.233871</c:v>
                </c:pt>
                <c:pt idx="15">
                  <c:v>0.25</c:v>
                </c:pt>
                <c:pt idx="16">
                  <c:v>0.266129</c:v>
                </c:pt>
                <c:pt idx="17">
                  <c:v>0.28225810000000001</c:v>
                </c:pt>
                <c:pt idx="18">
                  <c:v>0.29838710000000002</c:v>
                </c:pt>
                <c:pt idx="19">
                  <c:v>0.31451610000000002</c:v>
                </c:pt>
                <c:pt idx="20">
                  <c:v>0.33064519999999997</c:v>
                </c:pt>
                <c:pt idx="21">
                  <c:v>0.34677419999999998</c:v>
                </c:pt>
                <c:pt idx="22">
                  <c:v>0.36290319999999998</c:v>
                </c:pt>
                <c:pt idx="23">
                  <c:v>0.37903229999999999</c:v>
                </c:pt>
                <c:pt idx="24">
                  <c:v>0.39516129999999999</c:v>
                </c:pt>
                <c:pt idx="25">
                  <c:v>0.4112903</c:v>
                </c:pt>
                <c:pt idx="26">
                  <c:v>0.4274194</c:v>
                </c:pt>
                <c:pt idx="27">
                  <c:v>0.44354840000000001</c:v>
                </c:pt>
                <c:pt idx="28">
                  <c:v>0.45967740000000001</c:v>
                </c:pt>
                <c:pt idx="29">
                  <c:v>0.47580650000000002</c:v>
                </c:pt>
                <c:pt idx="30">
                  <c:v>0.49193550000000003</c:v>
                </c:pt>
              </c:numCache>
            </c:numRef>
          </c:xVal>
          <c:yVal>
            <c:numRef>
              <c:f>補間なし線形IGA!$K$3:$K$64</c:f>
              <c:numCache>
                <c:formatCode>0.00E+00</c:formatCode>
                <c:ptCount val="62"/>
                <c:pt idx="0">
                  <c:v>0.20074039419440201</c:v>
                </c:pt>
                <c:pt idx="1">
                  <c:v>0.20076608588165001</c:v>
                </c:pt>
                <c:pt idx="2">
                  <c:v>0.20081732872900901</c:v>
                </c:pt>
                <c:pt idx="3">
                  <c:v>0.20089416486393</c:v>
                </c:pt>
                <c:pt idx="4">
                  <c:v>0.20099650745277001</c:v>
                </c:pt>
                <c:pt idx="5">
                  <c:v>0.20112426235793601</c:v>
                </c:pt>
                <c:pt idx="6">
                  <c:v>0.20127727483197799</c:v>
                </c:pt>
                <c:pt idx="7">
                  <c:v>0.20145532805821301</c:v>
                </c:pt>
                <c:pt idx="8">
                  <c:v>0.201658113854536</c:v>
                </c:pt>
                <c:pt idx="9">
                  <c:v>0.20188520345871599</c:v>
                </c:pt>
                <c:pt idx="10">
                  <c:v>0.20213601008436799</c:v>
                </c:pt>
                <c:pt idx="11">
                  <c:v>0.20240973218384301</c:v>
                </c:pt>
                <c:pt idx="12">
                  <c:v>0.20270529566025999</c:v>
                </c:pt>
                <c:pt idx="13">
                  <c:v>0.203021248854836</c:v>
                </c:pt>
                <c:pt idx="14">
                  <c:v>0.203355670514489</c:v>
                </c:pt>
                <c:pt idx="15">
                  <c:v>0.20370596731729401</c:v>
                </c:pt>
                <c:pt idx="16">
                  <c:v>0.204068727665288</c:v>
                </c:pt>
                <c:pt idx="17">
                  <c:v>0.20443928871519099</c:v>
                </c:pt>
                <c:pt idx="18">
                  <c:v>0.204811565434252</c:v>
                </c:pt>
                <c:pt idx="19">
                  <c:v>0.205176857847854</c:v>
                </c:pt>
                <c:pt idx="20">
                  <c:v>0.20552426345892899</c:v>
                </c:pt>
                <c:pt idx="21">
                  <c:v>0.20583604876460501</c:v>
                </c:pt>
                <c:pt idx="22">
                  <c:v>0.20609303388632699</c:v>
                </c:pt>
                <c:pt idx="23">
                  <c:v>0.20625310845677999</c:v>
                </c:pt>
                <c:pt idx="24">
                  <c:v>0.206284526126019</c:v>
                </c:pt>
                <c:pt idx="25">
                  <c:v>0.206067291392146</c:v>
                </c:pt>
                <c:pt idx="26">
                  <c:v>0.20554749205137901</c:v>
                </c:pt>
                <c:pt idx="27">
                  <c:v>0.204318985913712</c:v>
                </c:pt>
                <c:pt idx="28">
                  <c:v>0.202149578982349</c:v>
                </c:pt>
                <c:pt idx="29">
                  <c:v>0.19706786945076099</c:v>
                </c:pt>
                <c:pt idx="30">
                  <c:v>0.182193598833092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76-49D7-AD3B-CFB536325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683551"/>
        <c:axId val="1085700351"/>
      </c:scatterChart>
      <c:valAx>
        <c:axId val="108568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700351"/>
        <c:crosses val="autoZero"/>
        <c:crossBetween val="midCat"/>
      </c:valAx>
      <c:valAx>
        <c:axId val="108570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68355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38100">
              <a:noFill/>
            </a:ln>
          </c:spPr>
          <c:xVal>
            <c:numRef>
              <c:f>補間なし線形IGA!$AA$3:$AA$219</c:f>
              <c:numCache>
                <c:formatCode>0.00E+00</c:formatCode>
                <c:ptCount val="217"/>
                <c:pt idx="0">
                  <c:v>1.1520739999999999E-3</c:v>
                </c:pt>
                <c:pt idx="1">
                  <c:v>3.4562210000000002E-3</c:v>
                </c:pt>
                <c:pt idx="2">
                  <c:v>5.7603690000000004E-3</c:v>
                </c:pt>
                <c:pt idx="3">
                  <c:v>8.0645160000000007E-3</c:v>
                </c:pt>
                <c:pt idx="4">
                  <c:v>1.036866E-2</c:v>
                </c:pt>
                <c:pt idx="5">
                  <c:v>1.267281E-2</c:v>
                </c:pt>
                <c:pt idx="6">
                  <c:v>1.4976959999999999E-2</c:v>
                </c:pt>
                <c:pt idx="7">
                  <c:v>1.7281109999999999E-2</c:v>
                </c:pt>
                <c:pt idx="8">
                  <c:v>1.9585249999999998E-2</c:v>
                </c:pt>
                <c:pt idx="9">
                  <c:v>2.18894E-2</c:v>
                </c:pt>
                <c:pt idx="10">
                  <c:v>2.4193550000000001E-2</c:v>
                </c:pt>
                <c:pt idx="11">
                  <c:v>2.6497699999999999E-2</c:v>
                </c:pt>
                <c:pt idx="12">
                  <c:v>2.8801839999999999E-2</c:v>
                </c:pt>
                <c:pt idx="13">
                  <c:v>3.110599E-2</c:v>
                </c:pt>
                <c:pt idx="14">
                  <c:v>3.3410139999999998E-2</c:v>
                </c:pt>
                <c:pt idx="15">
                  <c:v>3.5714290000000003E-2</c:v>
                </c:pt>
                <c:pt idx="16">
                  <c:v>3.8018429999999999E-2</c:v>
                </c:pt>
                <c:pt idx="17">
                  <c:v>4.0322579999999997E-2</c:v>
                </c:pt>
                <c:pt idx="18">
                  <c:v>4.2626730000000002E-2</c:v>
                </c:pt>
                <c:pt idx="19">
                  <c:v>4.4930879999999999E-2</c:v>
                </c:pt>
                <c:pt idx="20">
                  <c:v>4.7235020000000003E-2</c:v>
                </c:pt>
                <c:pt idx="21">
                  <c:v>4.953917E-2</c:v>
                </c:pt>
                <c:pt idx="22">
                  <c:v>5.1843319999999998E-2</c:v>
                </c:pt>
                <c:pt idx="23">
                  <c:v>5.4147470000000003E-2</c:v>
                </c:pt>
                <c:pt idx="24">
                  <c:v>5.6451609999999999E-2</c:v>
                </c:pt>
                <c:pt idx="25">
                  <c:v>5.8755759999999997E-2</c:v>
                </c:pt>
                <c:pt idx="26">
                  <c:v>6.1059910000000002E-2</c:v>
                </c:pt>
                <c:pt idx="27">
                  <c:v>6.336406E-2</c:v>
                </c:pt>
                <c:pt idx="28">
                  <c:v>6.5668199999999996E-2</c:v>
                </c:pt>
                <c:pt idx="29">
                  <c:v>6.7972350000000001E-2</c:v>
                </c:pt>
                <c:pt idx="30">
                  <c:v>7.0276500000000006E-2</c:v>
                </c:pt>
                <c:pt idx="31">
                  <c:v>7.2580649999999997E-2</c:v>
                </c:pt>
                <c:pt idx="32">
                  <c:v>7.4884790000000007E-2</c:v>
                </c:pt>
                <c:pt idx="33">
                  <c:v>7.7188939999999998E-2</c:v>
                </c:pt>
                <c:pt idx="34">
                  <c:v>7.9493090000000002E-2</c:v>
                </c:pt>
                <c:pt idx="35">
                  <c:v>8.1797239999999993E-2</c:v>
                </c:pt>
                <c:pt idx="36">
                  <c:v>8.4101380000000003E-2</c:v>
                </c:pt>
                <c:pt idx="37">
                  <c:v>8.6405529999999994E-2</c:v>
                </c:pt>
                <c:pt idx="38">
                  <c:v>8.8709679999999999E-2</c:v>
                </c:pt>
                <c:pt idx="39">
                  <c:v>9.1013819999999995E-2</c:v>
                </c:pt>
                <c:pt idx="40">
                  <c:v>9.331797E-2</c:v>
                </c:pt>
                <c:pt idx="41">
                  <c:v>9.5622120000000005E-2</c:v>
                </c:pt>
                <c:pt idx="42">
                  <c:v>9.7926269999999996E-2</c:v>
                </c:pt>
                <c:pt idx="43">
                  <c:v>0.1002304</c:v>
                </c:pt>
                <c:pt idx="44">
                  <c:v>0.1025346</c:v>
                </c:pt>
                <c:pt idx="45">
                  <c:v>0.10483870000000001</c:v>
                </c:pt>
                <c:pt idx="46">
                  <c:v>0.1071429</c:v>
                </c:pt>
                <c:pt idx="47">
                  <c:v>0.109447</c:v>
                </c:pt>
                <c:pt idx="48">
                  <c:v>0.11175119999999999</c:v>
                </c:pt>
                <c:pt idx="49">
                  <c:v>0.1140553</c:v>
                </c:pt>
                <c:pt idx="50">
                  <c:v>0.1163594</c:v>
                </c:pt>
                <c:pt idx="51">
                  <c:v>0.11866359999999999</c:v>
                </c:pt>
                <c:pt idx="52">
                  <c:v>0.1209677</c:v>
                </c:pt>
                <c:pt idx="53">
                  <c:v>0.1232719</c:v>
                </c:pt>
                <c:pt idx="54">
                  <c:v>0.12557599999999999</c:v>
                </c:pt>
                <c:pt idx="55">
                  <c:v>0.1278802</c:v>
                </c:pt>
                <c:pt idx="56">
                  <c:v>0.1301843</c:v>
                </c:pt>
                <c:pt idx="57">
                  <c:v>0.13248850000000001</c:v>
                </c:pt>
                <c:pt idx="58">
                  <c:v>0.13479260000000001</c:v>
                </c:pt>
                <c:pt idx="59">
                  <c:v>0.13709679999999999</c:v>
                </c:pt>
                <c:pt idx="60">
                  <c:v>0.13940089999999999</c:v>
                </c:pt>
                <c:pt idx="61">
                  <c:v>0.1417051</c:v>
                </c:pt>
                <c:pt idx="62">
                  <c:v>0.1440092</c:v>
                </c:pt>
                <c:pt idx="63">
                  <c:v>0.14631340000000001</c:v>
                </c:pt>
                <c:pt idx="64">
                  <c:v>0.14861750000000001</c:v>
                </c:pt>
                <c:pt idx="65">
                  <c:v>0.15092169999999999</c:v>
                </c:pt>
                <c:pt idx="66">
                  <c:v>0.1532258</c:v>
                </c:pt>
                <c:pt idx="67">
                  <c:v>0.15553</c:v>
                </c:pt>
                <c:pt idx="68">
                  <c:v>0.1578341</c:v>
                </c:pt>
                <c:pt idx="69">
                  <c:v>0.16013820000000001</c:v>
                </c:pt>
                <c:pt idx="70">
                  <c:v>0.16244239999999999</c:v>
                </c:pt>
                <c:pt idx="71">
                  <c:v>0.16474649999999999</c:v>
                </c:pt>
                <c:pt idx="72">
                  <c:v>0.1670507</c:v>
                </c:pt>
                <c:pt idx="73">
                  <c:v>0.1693548</c:v>
                </c:pt>
                <c:pt idx="74">
                  <c:v>0.17165900000000001</c:v>
                </c:pt>
                <c:pt idx="75">
                  <c:v>0.17396310000000001</c:v>
                </c:pt>
                <c:pt idx="76">
                  <c:v>0.17626729999999999</c:v>
                </c:pt>
                <c:pt idx="77">
                  <c:v>0.17857139999999999</c:v>
                </c:pt>
                <c:pt idx="78">
                  <c:v>0.1808756</c:v>
                </c:pt>
                <c:pt idx="79">
                  <c:v>0.1831797</c:v>
                </c:pt>
                <c:pt idx="80">
                  <c:v>0.18548390000000001</c:v>
                </c:pt>
                <c:pt idx="81">
                  <c:v>0.18778800000000001</c:v>
                </c:pt>
                <c:pt idx="82">
                  <c:v>0.19009219999999999</c:v>
                </c:pt>
                <c:pt idx="83">
                  <c:v>0.19239629999999999</c:v>
                </c:pt>
                <c:pt idx="84">
                  <c:v>0.1947005</c:v>
                </c:pt>
                <c:pt idx="85">
                  <c:v>0.1970046</c:v>
                </c:pt>
                <c:pt idx="86">
                  <c:v>0.19930880000000001</c:v>
                </c:pt>
                <c:pt idx="87">
                  <c:v>0.20161290000000001</c:v>
                </c:pt>
                <c:pt idx="88">
                  <c:v>0.20391709999999999</c:v>
                </c:pt>
                <c:pt idx="89">
                  <c:v>0.20622119999999999</c:v>
                </c:pt>
                <c:pt idx="90">
                  <c:v>0.2085253</c:v>
                </c:pt>
                <c:pt idx="91">
                  <c:v>0.2108295</c:v>
                </c:pt>
                <c:pt idx="92">
                  <c:v>0.21313360000000001</c:v>
                </c:pt>
                <c:pt idx="93">
                  <c:v>0.21543780000000001</c:v>
                </c:pt>
                <c:pt idx="94">
                  <c:v>0.21774189999999999</c:v>
                </c:pt>
                <c:pt idx="95">
                  <c:v>0.22004609999999999</c:v>
                </c:pt>
                <c:pt idx="96">
                  <c:v>0.2223502</c:v>
                </c:pt>
                <c:pt idx="97">
                  <c:v>0.2246544</c:v>
                </c:pt>
                <c:pt idx="98">
                  <c:v>0.22695850000000001</c:v>
                </c:pt>
                <c:pt idx="99">
                  <c:v>0.22926270000000001</c:v>
                </c:pt>
                <c:pt idx="100">
                  <c:v>0.23156679999999999</c:v>
                </c:pt>
                <c:pt idx="101">
                  <c:v>0.233871</c:v>
                </c:pt>
                <c:pt idx="102">
                  <c:v>0.2361751</c:v>
                </c:pt>
                <c:pt idx="103">
                  <c:v>0.23847930000000001</c:v>
                </c:pt>
                <c:pt idx="104">
                  <c:v>0.24078340000000001</c:v>
                </c:pt>
                <c:pt idx="105">
                  <c:v>0.24308759999999999</c:v>
                </c:pt>
                <c:pt idx="106">
                  <c:v>0.24539169999999999</c:v>
                </c:pt>
                <c:pt idx="107">
                  <c:v>0.2476959</c:v>
                </c:pt>
                <c:pt idx="108">
                  <c:v>0.25</c:v>
                </c:pt>
                <c:pt idx="109">
                  <c:v>0.25230409999999998</c:v>
                </c:pt>
                <c:pt idx="110">
                  <c:v>0.25460830000000001</c:v>
                </c:pt>
                <c:pt idx="111">
                  <c:v>0.25691239999999999</c:v>
                </c:pt>
                <c:pt idx="112">
                  <c:v>0.25921660000000002</c:v>
                </c:pt>
                <c:pt idx="113">
                  <c:v>0.26152069999999999</c:v>
                </c:pt>
                <c:pt idx="114">
                  <c:v>0.26382489999999997</c:v>
                </c:pt>
                <c:pt idx="115">
                  <c:v>0.266129</c:v>
                </c:pt>
                <c:pt idx="116">
                  <c:v>0.26843319999999998</c:v>
                </c:pt>
                <c:pt idx="117">
                  <c:v>0.27073730000000001</c:v>
                </c:pt>
                <c:pt idx="118">
                  <c:v>0.27304149999999999</c:v>
                </c:pt>
                <c:pt idx="119">
                  <c:v>0.27534560000000002</c:v>
                </c:pt>
                <c:pt idx="120">
                  <c:v>0.2776498</c:v>
                </c:pt>
                <c:pt idx="121">
                  <c:v>0.27995389999999998</c:v>
                </c:pt>
                <c:pt idx="122">
                  <c:v>0.28225810000000001</c:v>
                </c:pt>
                <c:pt idx="123">
                  <c:v>0.28456219999999999</c:v>
                </c:pt>
                <c:pt idx="124">
                  <c:v>0.28686640000000002</c:v>
                </c:pt>
                <c:pt idx="125">
                  <c:v>0.2891705</c:v>
                </c:pt>
                <c:pt idx="126">
                  <c:v>0.29147469999999998</c:v>
                </c:pt>
                <c:pt idx="127">
                  <c:v>0.29377880000000001</c:v>
                </c:pt>
                <c:pt idx="128">
                  <c:v>0.29608289999999998</c:v>
                </c:pt>
                <c:pt idx="129">
                  <c:v>0.29838710000000002</c:v>
                </c:pt>
                <c:pt idx="130">
                  <c:v>0.30069119999999999</c:v>
                </c:pt>
                <c:pt idx="131">
                  <c:v>0.30299540000000003</c:v>
                </c:pt>
                <c:pt idx="132">
                  <c:v>0.3052995</c:v>
                </c:pt>
                <c:pt idx="133">
                  <c:v>0.30760369999999998</c:v>
                </c:pt>
                <c:pt idx="134">
                  <c:v>0.30990780000000001</c:v>
                </c:pt>
                <c:pt idx="135">
                  <c:v>0.31221199999999999</c:v>
                </c:pt>
                <c:pt idx="136">
                  <c:v>0.31451610000000002</c:v>
                </c:pt>
                <c:pt idx="137">
                  <c:v>0.3168203</c:v>
                </c:pt>
                <c:pt idx="138">
                  <c:v>0.31912439999999997</c:v>
                </c:pt>
                <c:pt idx="139">
                  <c:v>0.32142860000000001</c:v>
                </c:pt>
                <c:pt idx="140">
                  <c:v>0.32373269999999998</c:v>
                </c:pt>
                <c:pt idx="141">
                  <c:v>0.32603690000000002</c:v>
                </c:pt>
                <c:pt idx="142">
                  <c:v>0.32834099999999999</c:v>
                </c:pt>
                <c:pt idx="143">
                  <c:v>0.33064519999999997</c:v>
                </c:pt>
                <c:pt idx="144">
                  <c:v>0.3329493</c:v>
                </c:pt>
                <c:pt idx="145">
                  <c:v>0.33525349999999998</c:v>
                </c:pt>
                <c:pt idx="146">
                  <c:v>0.33755760000000001</c:v>
                </c:pt>
                <c:pt idx="147">
                  <c:v>0.33986179999999999</c:v>
                </c:pt>
                <c:pt idx="148">
                  <c:v>0.34216590000000002</c:v>
                </c:pt>
                <c:pt idx="149">
                  <c:v>0.34447</c:v>
                </c:pt>
                <c:pt idx="150">
                  <c:v>0.34677419999999998</c:v>
                </c:pt>
                <c:pt idx="151">
                  <c:v>0.34907830000000001</c:v>
                </c:pt>
                <c:pt idx="152">
                  <c:v>0.35138249999999999</c:v>
                </c:pt>
                <c:pt idx="153">
                  <c:v>0.35368660000000002</c:v>
                </c:pt>
                <c:pt idx="154">
                  <c:v>0.3559908</c:v>
                </c:pt>
                <c:pt idx="155">
                  <c:v>0.35829490000000003</c:v>
                </c:pt>
                <c:pt idx="156">
                  <c:v>0.36059910000000001</c:v>
                </c:pt>
                <c:pt idx="157">
                  <c:v>0.36290319999999998</c:v>
                </c:pt>
                <c:pt idx="158">
                  <c:v>0.36520740000000002</c:v>
                </c:pt>
                <c:pt idx="159">
                  <c:v>0.36751149999999999</c:v>
                </c:pt>
                <c:pt idx="160">
                  <c:v>0.36981570000000002</c:v>
                </c:pt>
                <c:pt idx="161">
                  <c:v>0.3721198</c:v>
                </c:pt>
                <c:pt idx="162">
                  <c:v>0.37442399999999998</c:v>
                </c:pt>
                <c:pt idx="163">
                  <c:v>0.37672810000000001</c:v>
                </c:pt>
                <c:pt idx="164">
                  <c:v>0.37903229999999999</c:v>
                </c:pt>
                <c:pt idx="165">
                  <c:v>0.38133640000000002</c:v>
                </c:pt>
                <c:pt idx="166">
                  <c:v>0.3836406</c:v>
                </c:pt>
                <c:pt idx="167">
                  <c:v>0.38594469999999997</c:v>
                </c:pt>
                <c:pt idx="168">
                  <c:v>0.38824880000000001</c:v>
                </c:pt>
                <c:pt idx="169">
                  <c:v>0.39055299999999998</c:v>
                </c:pt>
                <c:pt idx="170">
                  <c:v>0.39285710000000001</c:v>
                </c:pt>
                <c:pt idx="171">
                  <c:v>0.39516129999999999</c:v>
                </c:pt>
                <c:pt idx="172">
                  <c:v>0.39746540000000002</c:v>
                </c:pt>
                <c:pt idx="173">
                  <c:v>0.3997696</c:v>
                </c:pt>
                <c:pt idx="174">
                  <c:v>0.40207369999999998</c:v>
                </c:pt>
                <c:pt idx="175">
                  <c:v>0.40437790000000001</c:v>
                </c:pt>
                <c:pt idx="176">
                  <c:v>0.40668199999999999</c:v>
                </c:pt>
                <c:pt idx="177">
                  <c:v>0.40898620000000002</c:v>
                </c:pt>
                <c:pt idx="178">
                  <c:v>0.4112903</c:v>
                </c:pt>
                <c:pt idx="179">
                  <c:v>0.41359449999999998</c:v>
                </c:pt>
                <c:pt idx="180">
                  <c:v>0.41589860000000001</c:v>
                </c:pt>
                <c:pt idx="181">
                  <c:v>0.41820279999999999</c:v>
                </c:pt>
                <c:pt idx="182">
                  <c:v>0.42050690000000002</c:v>
                </c:pt>
                <c:pt idx="183">
                  <c:v>0.4228111</c:v>
                </c:pt>
                <c:pt idx="184">
                  <c:v>0.42511520000000003</c:v>
                </c:pt>
                <c:pt idx="185">
                  <c:v>0.4274194</c:v>
                </c:pt>
                <c:pt idx="186">
                  <c:v>0.42972349999999998</c:v>
                </c:pt>
                <c:pt idx="187">
                  <c:v>0.43202760000000001</c:v>
                </c:pt>
                <c:pt idx="188">
                  <c:v>0.43433179999999999</c:v>
                </c:pt>
                <c:pt idx="189">
                  <c:v>0.43663590000000002</c:v>
                </c:pt>
                <c:pt idx="190">
                  <c:v>0.4389401</c:v>
                </c:pt>
                <c:pt idx="191">
                  <c:v>0.44124419999999998</c:v>
                </c:pt>
                <c:pt idx="192">
                  <c:v>0.44354840000000001</c:v>
                </c:pt>
                <c:pt idx="193">
                  <c:v>0.44585249999999998</c:v>
                </c:pt>
                <c:pt idx="194">
                  <c:v>0.44815670000000002</c:v>
                </c:pt>
                <c:pt idx="195">
                  <c:v>0.45046079999999999</c:v>
                </c:pt>
                <c:pt idx="196">
                  <c:v>0.45276499999999997</c:v>
                </c:pt>
                <c:pt idx="197">
                  <c:v>0.4550691</c:v>
                </c:pt>
                <c:pt idx="198">
                  <c:v>0.45737329999999998</c:v>
                </c:pt>
                <c:pt idx="199">
                  <c:v>0.45967740000000001</c:v>
                </c:pt>
                <c:pt idx="200">
                  <c:v>0.46198159999999999</c:v>
                </c:pt>
                <c:pt idx="201">
                  <c:v>0.46428570000000002</c:v>
                </c:pt>
                <c:pt idx="202">
                  <c:v>0.4665899</c:v>
                </c:pt>
                <c:pt idx="203">
                  <c:v>0.46889399999999998</c:v>
                </c:pt>
                <c:pt idx="204">
                  <c:v>0.47119820000000001</c:v>
                </c:pt>
                <c:pt idx="205">
                  <c:v>0.47350229999999999</c:v>
                </c:pt>
                <c:pt idx="206">
                  <c:v>0.47580650000000002</c:v>
                </c:pt>
                <c:pt idx="207">
                  <c:v>0.4781106</c:v>
                </c:pt>
                <c:pt idx="208">
                  <c:v>0.48041469999999997</c:v>
                </c:pt>
                <c:pt idx="209">
                  <c:v>0.48271890000000001</c:v>
                </c:pt>
                <c:pt idx="210">
                  <c:v>0.48502299999999998</c:v>
                </c:pt>
                <c:pt idx="211">
                  <c:v>0.48732720000000002</c:v>
                </c:pt>
                <c:pt idx="212">
                  <c:v>0.48963129999999999</c:v>
                </c:pt>
                <c:pt idx="213">
                  <c:v>0.49193550000000003</c:v>
                </c:pt>
                <c:pt idx="214">
                  <c:v>0.4942396</c:v>
                </c:pt>
                <c:pt idx="215">
                  <c:v>0.49654379999999998</c:v>
                </c:pt>
                <c:pt idx="216">
                  <c:v>0.49884790000000001</c:v>
                </c:pt>
              </c:numCache>
            </c:numRef>
          </c:xVal>
          <c:yVal>
            <c:numRef>
              <c:f>補間なし線形IGA!$AD$3:$AD$219</c:f>
              <c:numCache>
                <c:formatCode>0.00E+00</c:formatCode>
                <c:ptCount val="217"/>
                <c:pt idx="0">
                  <c:v>0.20073634490167</c:v>
                </c:pt>
                <c:pt idx="1">
                  <c:v>0.20073712038941999</c:v>
                </c:pt>
                <c:pt idx="2">
                  <c:v>0.20073832654898399</c:v>
                </c:pt>
                <c:pt idx="3">
                  <c:v>0.20073996341824099</c:v>
                </c:pt>
                <c:pt idx="4">
                  <c:v>0.20074203105626801</c:v>
                </c:pt>
                <c:pt idx="5">
                  <c:v>0.20074452954347</c:v>
                </c:pt>
                <c:pt idx="6">
                  <c:v>0.200747458981238</c:v>
                </c:pt>
                <c:pt idx="7">
                  <c:v>0.20075113027401401</c:v>
                </c:pt>
                <c:pt idx="8">
                  <c:v>0.200755542375575</c:v>
                </c:pt>
                <c:pt idx="9">
                  <c:v>0.20076038416736899</c:v>
                </c:pt>
                <c:pt idx="10">
                  <c:v>0.20076565582080499</c:v>
                </c:pt>
                <c:pt idx="11">
                  <c:v>0.20077135752867301</c:v>
                </c:pt>
                <c:pt idx="12">
                  <c:v>0.20077748950548299</c:v>
                </c:pt>
                <c:pt idx="13">
                  <c:v>0.200784051987239</c:v>
                </c:pt>
                <c:pt idx="14">
                  <c:v>0.20079137466362401</c:v>
                </c:pt>
                <c:pt idx="15">
                  <c:v>0.20079945532459301</c:v>
                </c:pt>
                <c:pt idx="16">
                  <c:v>0.20080796378450799</c:v>
                </c:pt>
                <c:pt idx="17">
                  <c:v>0.200816900329299</c:v>
                </c:pt>
                <c:pt idx="18">
                  <c:v>0.20082626526678901</c:v>
                </c:pt>
                <c:pt idx="19">
                  <c:v>0.200836058927332</c:v>
                </c:pt>
                <c:pt idx="20">
                  <c:v>0.20084628166344301</c:v>
                </c:pt>
                <c:pt idx="21">
                  <c:v>0.20085726168200799</c:v>
                </c:pt>
                <c:pt idx="22">
                  <c:v>0.200868995693052</c:v>
                </c:pt>
                <c:pt idx="23">
                  <c:v>0.20088115470714701</c:v>
                </c:pt>
                <c:pt idx="24">
                  <c:v>0.20089373909296901</c:v>
                </c:pt>
                <c:pt idx="25">
                  <c:v>0.20090674924214499</c:v>
                </c:pt>
                <c:pt idx="26">
                  <c:v>0.20092018556987101</c:v>
                </c:pt>
                <c:pt idx="27">
                  <c:v>0.200934048514612</c:v>
                </c:pt>
                <c:pt idx="28">
                  <c:v>0.200948673631896</c:v>
                </c:pt>
                <c:pt idx="29">
                  <c:v>0.20096405647752399</c:v>
                </c:pt>
                <c:pt idx="30">
                  <c:v>0.200979860333689</c:v>
                </c:pt>
                <c:pt idx="31">
                  <c:v>0.20099608560368701</c:v>
                </c:pt>
                <c:pt idx="32">
                  <c:v>0.20101273271527201</c:v>
                </c:pt>
                <c:pt idx="33">
                  <c:v>0.20102980212114199</c:v>
                </c:pt>
                <c:pt idx="34">
                  <c:v>0.20104729429865101</c:v>
                </c:pt>
                <c:pt idx="35">
                  <c:v>0.20106555116176</c:v>
                </c:pt>
                <c:pt idx="36">
                  <c:v>0.20108456711359801</c:v>
                </c:pt>
                <c:pt idx="37">
                  <c:v>0.201103998611211</c:v>
                </c:pt>
                <c:pt idx="38">
                  <c:v>0.201123846028884</c:v>
                </c:pt>
                <c:pt idx="39">
                  <c:v>0.20114410976736699</c:v>
                </c:pt>
                <c:pt idx="40">
                  <c:v>0.20116479025408701</c:v>
                </c:pt>
                <c:pt idx="41">
                  <c:v>0.201185887943026</c:v>
                </c:pt>
                <c:pt idx="42">
                  <c:v>0.20120775467079699</c:v>
                </c:pt>
                <c:pt idx="43">
                  <c:v>0.20123038361479001</c:v>
                </c:pt>
                <c:pt idx="44">
                  <c:v>0.201253420690505</c:v>
                </c:pt>
                <c:pt idx="45">
                  <c:v>0.201276866152758</c:v>
                </c:pt>
                <c:pt idx="46">
                  <c:v>0.201300720284951</c:v>
                </c:pt>
                <c:pt idx="47">
                  <c:v>0.20132498339937199</c:v>
                </c:pt>
                <c:pt idx="48">
                  <c:v>0.20134965583718401</c:v>
                </c:pt>
                <c:pt idx="49">
                  <c:v>0.201375101646215</c:v>
                </c:pt>
                <c:pt idx="50">
                  <c:v>0.20140131276461401</c:v>
                </c:pt>
                <c:pt idx="51">
                  <c:v>0.201427922116201</c:v>
                </c:pt>
                <c:pt idx="52">
                  <c:v>0.20145492972866599</c:v>
                </c:pt>
                <c:pt idx="53">
                  <c:v>0.20148233566076701</c:v>
                </c:pt>
                <c:pt idx="54">
                  <c:v>0.20151014000314799</c:v>
                </c:pt>
                <c:pt idx="55">
                  <c:v>0.20153834287776201</c:v>
                </c:pt>
                <c:pt idx="56">
                  <c:v>0.201567324165566</c:v>
                </c:pt>
                <c:pt idx="57">
                  <c:v>0.201597074414605</c:v>
                </c:pt>
                <c:pt idx="58">
                  <c:v>0.20162720965946501</c:v>
                </c:pt>
                <c:pt idx="59">
                  <c:v>0.20165772953802</c:v>
                </c:pt>
                <c:pt idx="60">
                  <c:v>0.20168863372249701</c:v>
                </c:pt>
                <c:pt idx="61">
                  <c:v>0.201719921919912</c:v>
                </c:pt>
                <c:pt idx="62">
                  <c:v>0.201751593872008</c:v>
                </c:pt>
                <c:pt idx="63">
                  <c:v>0.201784049621793</c:v>
                </c:pt>
                <c:pt idx="64">
                  <c:v>0.201817278370863</c:v>
                </c:pt>
                <c:pt idx="65">
                  <c:v>0.20185087469341501</c:v>
                </c:pt>
                <c:pt idx="66">
                  <c:v>0.201884837671365</c:v>
                </c:pt>
                <c:pt idx="67">
                  <c:v>0.20191916642458499</c:v>
                </c:pt>
                <c:pt idx="68">
                  <c:v>0.201953860111589</c:v>
                </c:pt>
                <c:pt idx="69">
                  <c:v>0.20198891792918799</c:v>
                </c:pt>
                <c:pt idx="70">
                  <c:v>0.20202476521464599</c:v>
                </c:pt>
                <c:pt idx="71">
                  <c:v>0.20206138942714499</c:v>
                </c:pt>
                <c:pt idx="72">
                  <c:v>0.20209835801522699</c:v>
                </c:pt>
                <c:pt idx="73">
                  <c:v>0.20213566920364701</c:v>
                </c:pt>
                <c:pt idx="74">
                  <c:v>0.202173321259281</c:v>
                </c:pt>
                <c:pt idx="75">
                  <c:v>0.20221131249202601</c:v>
                </c:pt>
                <c:pt idx="76">
                  <c:v>0.20224964125407799</c:v>
                </c:pt>
                <c:pt idx="77">
                  <c:v>0.20228876567213</c:v>
                </c:pt>
                <c:pt idx="78">
                  <c:v>0.20232867175382299</c:v>
                </c:pt>
                <c:pt idx="79">
                  <c:v>0.20236889202997599</c:v>
                </c:pt>
                <c:pt idx="80">
                  <c:v>0.20240942364280201</c:v>
                </c:pt>
                <c:pt idx="81">
                  <c:v>0.20245026378185599</c:v>
                </c:pt>
                <c:pt idx="82">
                  <c:v>0.202491409684183</c:v>
                </c:pt>
                <c:pt idx="83">
                  <c:v>0.20253285863458101</c:v>
                </c:pt>
                <c:pt idx="84">
                  <c:v>0.20257510879872501</c:v>
                </c:pt>
                <c:pt idx="85">
                  <c:v>0.20261814365801201</c:v>
                </c:pt>
                <c:pt idx="86">
                  <c:v>0.20266145247762901</c:v>
                </c:pt>
                <c:pt idx="87">
                  <c:v>0.20270503071516499</c:v>
                </c:pt>
                <c:pt idx="88">
                  <c:v>0.20274887388104401</c:v>
                </c:pt>
                <c:pt idx="89">
                  <c:v>0.20279297753897199</c:v>
                </c:pt>
                <c:pt idx="90">
                  <c:v>0.20283733730594</c:v>
                </c:pt>
                <c:pt idx="91">
                  <c:v>0.202882505319046</c:v>
                </c:pt>
                <c:pt idx="92">
                  <c:v>0.20292846353277699</c:v>
                </c:pt>
                <c:pt idx="93">
                  <c:v>0.20297464378062199</c:v>
                </c:pt>
                <c:pt idx="94">
                  <c:v>0.203021039622508</c:v>
                </c:pt>
                <c:pt idx="95">
                  <c:v>0.20306764467809901</c:v>
                </c:pt>
                <c:pt idx="96">
                  <c:v>0.203114452626974</c:v>
                </c:pt>
                <c:pt idx="97">
                  <c:v>0.20316145720870199</c:v>
                </c:pt>
                <c:pt idx="98">
                  <c:v>0.203209273232169</c:v>
                </c:pt>
                <c:pt idx="99">
                  <c:v>0.203257878468277</c:v>
                </c:pt>
                <c:pt idx="100">
                  <c:v>0.20330663631402299</c:v>
                </c:pt>
                <c:pt idx="101">
                  <c:v>0.20335553711829399</c:v>
                </c:pt>
                <c:pt idx="102">
                  <c:v>0.203404571297332</c:v>
                </c:pt>
                <c:pt idx="103">
                  <c:v>0.20345372933549399</c:v>
                </c:pt>
                <c:pt idx="104">
                  <c:v>0.20350300178490799</c:v>
                </c:pt>
                <c:pt idx="105">
                  <c:v>0.20355309355864801</c:v>
                </c:pt>
                <c:pt idx="106">
                  <c:v>0.20360398055045101</c:v>
                </c:pt>
                <c:pt idx="107">
                  <c:v>0.203654930281045</c:v>
                </c:pt>
                <c:pt idx="108">
                  <c:v>0.203705929992719</c:v>
                </c:pt>
                <c:pt idx="109">
                  <c:v>0.20375696700504201</c:v>
                </c:pt>
                <c:pt idx="110">
                  <c:v>0.20380802871506401</c:v>
                </c:pt>
                <c:pt idx="111">
                  <c:v>0.20385910259749901</c:v>
                </c:pt>
                <c:pt idx="112">
                  <c:v>0.20391099165342</c:v>
                </c:pt>
                <c:pt idx="113">
                  <c:v>0.203963664796218</c:v>
                </c:pt>
                <c:pt idx="114">
                  <c:v>0.20401628124536</c:v>
                </c:pt>
                <c:pt idx="115">
                  <c:v>0.20406882208111199</c:v>
                </c:pt>
                <c:pt idx="116">
                  <c:v>0.20412126847319501</c:v>
                </c:pt>
                <c:pt idx="117">
                  <c:v>0.20417360168156601</c:v>
                </c:pt>
                <c:pt idx="118">
                  <c:v>0.204225803056369</c:v>
                </c:pt>
                <c:pt idx="119">
                  <c:v>0.204278822097061</c:v>
                </c:pt>
                <c:pt idx="120">
                  <c:v>0.204332622890913</c:v>
                </c:pt>
                <c:pt idx="121">
                  <c:v>0.20438620749667399</c:v>
                </c:pt>
                <c:pt idx="122">
                  <c:v>0.20443955219756901</c:v>
                </c:pt>
                <c:pt idx="123">
                  <c:v>0.204492633382483</c:v>
                </c:pt>
                <c:pt idx="124">
                  <c:v>0.204545427546761</c:v>
                </c:pt>
                <c:pt idx="125">
                  <c:v>0.204597911292487</c:v>
                </c:pt>
                <c:pt idx="126">
                  <c:v>0.20465120164504699</c:v>
                </c:pt>
                <c:pt idx="127">
                  <c:v>0.204705253588396</c:v>
                </c:pt>
                <c:pt idx="128">
                  <c:v>0.20475888443026999</c:v>
                </c:pt>
                <c:pt idx="129">
                  <c:v>0.20481205823607801</c:v>
                </c:pt>
                <c:pt idx="130">
                  <c:v>0.20486473919971801</c:v>
                </c:pt>
                <c:pt idx="131">
                  <c:v>0.204916891644607</c:v>
                </c:pt>
                <c:pt idx="132">
                  <c:v>0.20496848002491599</c:v>
                </c:pt>
                <c:pt idx="133">
                  <c:v>0.20502081347723999</c:v>
                </c:pt>
                <c:pt idx="134">
                  <c:v>0.20507382736780799</c:v>
                </c:pt>
                <c:pt idx="135">
                  <c:v>0.20512612384762199</c:v>
                </c:pt>
                <c:pt idx="136">
                  <c:v>0.205177660291497</c:v>
                </c:pt>
                <c:pt idx="137">
                  <c:v>0.20522839423918601</c:v>
                </c:pt>
                <c:pt idx="138">
                  <c:v>0.20527828339812701</c:v>
                </c:pt>
                <c:pt idx="139">
                  <c:v>0.20532728564489799</c:v>
                </c:pt>
                <c:pt idx="140">
                  <c:v>0.20537709853514499</c:v>
                </c:pt>
                <c:pt idx="141">
                  <c:v>0.20542765301729601</c:v>
                </c:pt>
                <c:pt idx="142">
                  <c:v>0.20547713468947101</c:v>
                </c:pt>
                <c:pt idx="143">
                  <c:v>0.20552547436628199</c:v>
                </c:pt>
                <c:pt idx="144">
                  <c:v>0.20557260306915401</c:v>
                </c:pt>
                <c:pt idx="145">
                  <c:v>0.20561845203215301</c:v>
                </c:pt>
                <c:pt idx="146">
                  <c:v>0.20566295270662599</c:v>
                </c:pt>
                <c:pt idx="147">
                  <c:v>0.205707784367161</c:v>
                </c:pt>
                <c:pt idx="148">
                  <c:v>0.205752812991809</c:v>
                </c:pt>
                <c:pt idx="149">
                  <c:v>0.205796191254811</c:v>
                </c:pt>
                <c:pt idx="150">
                  <c:v>0.205837845664432</c:v>
                </c:pt>
                <c:pt idx="151">
                  <c:v>0.20587770306522199</c:v>
                </c:pt>
                <c:pt idx="152">
                  <c:v>0.205915690651058</c:v>
                </c:pt>
                <c:pt idx="153">
                  <c:v>0.20595173597817801</c:v>
                </c:pt>
                <c:pt idx="154">
                  <c:v>0.20598882056562301</c:v>
                </c:pt>
                <c:pt idx="155">
                  <c:v>0.20602679972424701</c:v>
                </c:pt>
                <c:pt idx="156">
                  <c:v>0.20606245804093801</c:v>
                </c:pt>
                <c:pt idx="157">
                  <c:v>0.20609564842264</c:v>
                </c:pt>
                <c:pt idx="158">
                  <c:v>0.206126224143626</c:v>
                </c:pt>
                <c:pt idx="159">
                  <c:v>0.206154038877014</c:v>
                </c:pt>
                <c:pt idx="160">
                  <c:v>0.206178946726432</c:v>
                </c:pt>
                <c:pt idx="161">
                  <c:v>0.20620234109118499</c:v>
                </c:pt>
                <c:pt idx="162">
                  <c:v>0.206223975699828</c:v>
                </c:pt>
                <c:pt idx="163">
                  <c:v>0.206242155382063</c:v>
                </c:pt>
                <c:pt idx="164">
                  <c:v>0.20625677410472701</c:v>
                </c:pt>
                <c:pt idx="165">
                  <c:v>0.20626772683382</c:v>
                </c:pt>
                <c:pt idx="166">
                  <c:v>0.206274909640035</c:v>
                </c:pt>
                <c:pt idx="167">
                  <c:v>0.206278219812012</c:v>
                </c:pt>
                <c:pt idx="168">
                  <c:v>0.20628385774775199</c:v>
                </c:pt>
                <c:pt idx="169">
                  <c:v>0.206291250739292</c:v>
                </c:pt>
                <c:pt idx="170">
                  <c:v>0.206293564948974</c:v>
                </c:pt>
                <c:pt idx="171">
                  <c:v>0.20629040159286899</c:v>
                </c:pt>
                <c:pt idx="172">
                  <c:v>0.20628136249139201</c:v>
                </c:pt>
                <c:pt idx="173">
                  <c:v>0.20626605035370499</c:v>
                </c:pt>
                <c:pt idx="174">
                  <c:v>0.20624406909287199</c:v>
                </c:pt>
                <c:pt idx="175">
                  <c:v>0.206213562046481</c:v>
                </c:pt>
                <c:pt idx="176">
                  <c:v>0.206174397609972</c:v>
                </c:pt>
                <c:pt idx="177">
                  <c:v>0.206128049621251</c:v>
                </c:pt>
                <c:pt idx="178">
                  <c:v>0.20607450176897399</c:v>
                </c:pt>
                <c:pt idx="179">
                  <c:v>0.206013741872863</c:v>
                </c:pt>
                <c:pt idx="180">
                  <c:v>0.20594576307412399</c:v>
                </c:pt>
                <c:pt idx="181">
                  <c:v>0.20587056517219099</c:v>
                </c:pt>
                <c:pt idx="182">
                  <c:v>0.20580134705731501</c:v>
                </c:pt>
                <c:pt idx="183">
                  <c:v>0.205735087306185</c:v>
                </c:pt>
                <c:pt idx="184">
                  <c:v>0.205656171169768</c:v>
                </c:pt>
                <c:pt idx="185">
                  <c:v>0.205563114648151</c:v>
                </c:pt>
                <c:pt idx="186">
                  <c:v>0.20545443420499501</c:v>
                </c:pt>
                <c:pt idx="187">
                  <c:v>0.20532865049816401</c:v>
                </c:pt>
                <c:pt idx="188">
                  <c:v>0.20518429262339899</c:v>
                </c:pt>
                <c:pt idx="189">
                  <c:v>0.205007662718141</c:v>
                </c:pt>
                <c:pt idx="190">
                  <c:v>0.204800107200165</c:v>
                </c:pt>
                <c:pt idx="191">
                  <c:v>0.204575393444868</c:v>
                </c:pt>
                <c:pt idx="192">
                  <c:v>0.204334382038146</c:v>
                </c:pt>
                <c:pt idx="193">
                  <c:v>0.20407796043731799</c:v>
                </c:pt>
                <c:pt idx="194">
                  <c:v>0.203807060935352</c:v>
                </c:pt>
                <c:pt idx="195">
                  <c:v>0.20352268071273899</c:v>
                </c:pt>
                <c:pt idx="196">
                  <c:v>0.20323864402226599</c:v>
                </c:pt>
                <c:pt idx="197">
                  <c:v>0.20293855643876699</c:v>
                </c:pt>
                <c:pt idx="198">
                  <c:v>0.20259682937744999</c:v>
                </c:pt>
                <c:pt idx="199">
                  <c:v>0.202206042554777</c:v>
                </c:pt>
                <c:pt idx="200">
                  <c:v>0.20175877423515401</c:v>
                </c:pt>
                <c:pt idx="201">
                  <c:v>0.20124765939651301</c:v>
                </c:pt>
                <c:pt idx="202">
                  <c:v>0.20066545511654199</c:v>
                </c:pt>
                <c:pt idx="203">
                  <c:v>0.19994440000036601</c:v>
                </c:pt>
                <c:pt idx="204">
                  <c:v>0.19908192575502101</c:v>
                </c:pt>
                <c:pt idx="205">
                  <c:v>0.19814275837130299</c:v>
                </c:pt>
                <c:pt idx="206">
                  <c:v>0.197132083244108</c:v>
                </c:pt>
                <c:pt idx="207">
                  <c:v>0.19605649063726199</c:v>
                </c:pt>
                <c:pt idx="208">
                  <c:v>0.19492481931757499</c:v>
                </c:pt>
                <c:pt idx="209">
                  <c:v>0.193749037069505</c:v>
                </c:pt>
                <c:pt idx="210">
                  <c:v>0.192126460228875</c:v>
                </c:pt>
                <c:pt idx="211">
                  <c:v>0.189756199029534</c:v>
                </c:pt>
                <c:pt idx="212">
                  <c:v>0.18679185194341</c:v>
                </c:pt>
                <c:pt idx="213">
                  <c:v>0.183070467690091</c:v>
                </c:pt>
                <c:pt idx="214">
                  <c:v>0.17845709469892801</c:v>
                </c:pt>
                <c:pt idx="215">
                  <c:v>0.17286499990902199</c:v>
                </c:pt>
                <c:pt idx="216">
                  <c:v>0.16627773679514299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D8-4639-9D67-1B1DFE17C211}"/>
            </c:ext>
          </c:extLst>
        </c:ser>
        <c:ser>
          <c:idx val="0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補間なし線形IGA!$H$3:$H$64</c:f>
              <c:numCache>
                <c:formatCode>0.00E+00</c:formatCode>
                <c:ptCount val="62"/>
                <c:pt idx="0">
                  <c:v>8.0645160000000007E-3</c:v>
                </c:pt>
                <c:pt idx="1">
                  <c:v>2.4193550000000001E-2</c:v>
                </c:pt>
                <c:pt idx="2">
                  <c:v>4.0322579999999997E-2</c:v>
                </c:pt>
                <c:pt idx="3">
                  <c:v>5.6451609999999999E-2</c:v>
                </c:pt>
                <c:pt idx="4">
                  <c:v>7.2580649999999997E-2</c:v>
                </c:pt>
                <c:pt idx="5">
                  <c:v>8.8709679999999999E-2</c:v>
                </c:pt>
                <c:pt idx="6">
                  <c:v>0.10483870000000001</c:v>
                </c:pt>
                <c:pt idx="7">
                  <c:v>0.1209677</c:v>
                </c:pt>
                <c:pt idx="8">
                  <c:v>0.13709679999999999</c:v>
                </c:pt>
                <c:pt idx="9">
                  <c:v>0.1532258</c:v>
                </c:pt>
                <c:pt idx="10">
                  <c:v>0.1693548</c:v>
                </c:pt>
                <c:pt idx="11">
                  <c:v>0.18548390000000001</c:v>
                </c:pt>
                <c:pt idx="12">
                  <c:v>0.20161290000000001</c:v>
                </c:pt>
                <c:pt idx="13">
                  <c:v>0.21774189999999999</c:v>
                </c:pt>
                <c:pt idx="14">
                  <c:v>0.233871</c:v>
                </c:pt>
                <c:pt idx="15">
                  <c:v>0.25</c:v>
                </c:pt>
                <c:pt idx="16">
                  <c:v>0.266129</c:v>
                </c:pt>
                <c:pt idx="17">
                  <c:v>0.28225810000000001</c:v>
                </c:pt>
                <c:pt idx="18">
                  <c:v>0.29838710000000002</c:v>
                </c:pt>
                <c:pt idx="19">
                  <c:v>0.31451610000000002</c:v>
                </c:pt>
                <c:pt idx="20">
                  <c:v>0.33064519999999997</c:v>
                </c:pt>
                <c:pt idx="21">
                  <c:v>0.34677419999999998</c:v>
                </c:pt>
                <c:pt idx="22">
                  <c:v>0.36290319999999998</c:v>
                </c:pt>
                <c:pt idx="23">
                  <c:v>0.37903229999999999</c:v>
                </c:pt>
                <c:pt idx="24">
                  <c:v>0.39516129999999999</c:v>
                </c:pt>
                <c:pt idx="25">
                  <c:v>0.4112903</c:v>
                </c:pt>
                <c:pt idx="26">
                  <c:v>0.4274194</c:v>
                </c:pt>
                <c:pt idx="27">
                  <c:v>0.44354840000000001</c:v>
                </c:pt>
                <c:pt idx="28">
                  <c:v>0.45967740000000001</c:v>
                </c:pt>
                <c:pt idx="29">
                  <c:v>0.47580650000000002</c:v>
                </c:pt>
                <c:pt idx="30">
                  <c:v>0.49193550000000003</c:v>
                </c:pt>
              </c:numCache>
            </c:numRef>
          </c:xVal>
          <c:yVal>
            <c:numRef>
              <c:f>補間なし線形IGA!$K$3:$K$64</c:f>
              <c:numCache>
                <c:formatCode>0.00E+00</c:formatCode>
                <c:ptCount val="62"/>
                <c:pt idx="0">
                  <c:v>0.20074039419440201</c:v>
                </c:pt>
                <c:pt idx="1">
                  <c:v>0.20076608588165001</c:v>
                </c:pt>
                <c:pt idx="2">
                  <c:v>0.20081732872900901</c:v>
                </c:pt>
                <c:pt idx="3">
                  <c:v>0.20089416486393</c:v>
                </c:pt>
                <c:pt idx="4">
                  <c:v>0.20099650745277001</c:v>
                </c:pt>
                <c:pt idx="5">
                  <c:v>0.20112426235793601</c:v>
                </c:pt>
                <c:pt idx="6">
                  <c:v>0.20127727483197799</c:v>
                </c:pt>
                <c:pt idx="7">
                  <c:v>0.20145532805821301</c:v>
                </c:pt>
                <c:pt idx="8">
                  <c:v>0.201658113854536</c:v>
                </c:pt>
                <c:pt idx="9">
                  <c:v>0.20188520345871599</c:v>
                </c:pt>
                <c:pt idx="10">
                  <c:v>0.20213601008436799</c:v>
                </c:pt>
                <c:pt idx="11">
                  <c:v>0.20240973218384301</c:v>
                </c:pt>
                <c:pt idx="12">
                  <c:v>0.20270529566025999</c:v>
                </c:pt>
                <c:pt idx="13">
                  <c:v>0.203021248854836</c:v>
                </c:pt>
                <c:pt idx="14">
                  <c:v>0.203355670514489</c:v>
                </c:pt>
                <c:pt idx="15">
                  <c:v>0.20370596731729401</c:v>
                </c:pt>
                <c:pt idx="16">
                  <c:v>0.204068727665288</c:v>
                </c:pt>
                <c:pt idx="17">
                  <c:v>0.20443928871519099</c:v>
                </c:pt>
                <c:pt idx="18">
                  <c:v>0.204811565434252</c:v>
                </c:pt>
                <c:pt idx="19">
                  <c:v>0.205176857847854</c:v>
                </c:pt>
                <c:pt idx="20">
                  <c:v>0.20552426345892899</c:v>
                </c:pt>
                <c:pt idx="21">
                  <c:v>0.20583604876460501</c:v>
                </c:pt>
                <c:pt idx="22">
                  <c:v>0.20609303388632699</c:v>
                </c:pt>
                <c:pt idx="23">
                  <c:v>0.20625310845677999</c:v>
                </c:pt>
                <c:pt idx="24">
                  <c:v>0.206284526126019</c:v>
                </c:pt>
                <c:pt idx="25">
                  <c:v>0.206067291392146</c:v>
                </c:pt>
                <c:pt idx="26">
                  <c:v>0.20554749205137901</c:v>
                </c:pt>
                <c:pt idx="27">
                  <c:v>0.204318985913712</c:v>
                </c:pt>
                <c:pt idx="28">
                  <c:v>0.202149578982349</c:v>
                </c:pt>
                <c:pt idx="29">
                  <c:v>0.19706786945076099</c:v>
                </c:pt>
                <c:pt idx="30">
                  <c:v>0.182193598833092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D8-4639-9D67-1B1DFE17C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683551"/>
        <c:axId val="1085700351"/>
      </c:scatterChart>
      <c:valAx>
        <c:axId val="108568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700351"/>
        <c:crosses val="autoZero"/>
        <c:crossBetween val="midCat"/>
      </c:valAx>
      <c:valAx>
        <c:axId val="1085700351"/>
        <c:scaling>
          <c:orientation val="minMax"/>
          <c:min val="0.16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68355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補間なし線形IGA!$AH$14:$AH$110</c:f>
              <c:numCache>
                <c:formatCode>0.00E+00</c:formatCode>
                <c:ptCount val="97"/>
                <c:pt idx="0">
                  <c:v>0</c:v>
                </c:pt>
                <c:pt idx="1">
                  <c:v>1.5625E-2</c:v>
                </c:pt>
                <c:pt idx="2">
                  <c:v>3.125E-2</c:v>
                </c:pt>
                <c:pt idx="3">
                  <c:v>4.6875E-2</c:v>
                </c:pt>
                <c:pt idx="4">
                  <c:v>6.25E-2</c:v>
                </c:pt>
                <c:pt idx="5">
                  <c:v>7.8125E-2</c:v>
                </c:pt>
                <c:pt idx="6">
                  <c:v>9.375E-2</c:v>
                </c:pt>
                <c:pt idx="7">
                  <c:v>0.109375</c:v>
                </c:pt>
                <c:pt idx="8">
                  <c:v>0.125</c:v>
                </c:pt>
                <c:pt idx="9">
                  <c:v>0.140625</c:v>
                </c:pt>
                <c:pt idx="10">
                  <c:v>0.15625</c:v>
                </c:pt>
                <c:pt idx="11">
                  <c:v>0.171875</c:v>
                </c:pt>
                <c:pt idx="12">
                  <c:v>0.1875</c:v>
                </c:pt>
                <c:pt idx="13">
                  <c:v>0.203125</c:v>
                </c:pt>
                <c:pt idx="14">
                  <c:v>0.21875</c:v>
                </c:pt>
                <c:pt idx="15">
                  <c:v>0.234375</c:v>
                </c:pt>
                <c:pt idx="16">
                  <c:v>0.25</c:v>
                </c:pt>
                <c:pt idx="17">
                  <c:v>0.265625</c:v>
                </c:pt>
                <c:pt idx="18">
                  <c:v>0.28125</c:v>
                </c:pt>
                <c:pt idx="19">
                  <c:v>0.296875</c:v>
                </c:pt>
                <c:pt idx="20">
                  <c:v>0.3125</c:v>
                </c:pt>
                <c:pt idx="21">
                  <c:v>0.328125</c:v>
                </c:pt>
                <c:pt idx="22">
                  <c:v>0.34375</c:v>
                </c:pt>
                <c:pt idx="23">
                  <c:v>0.359375</c:v>
                </c:pt>
                <c:pt idx="24">
                  <c:v>0.375</c:v>
                </c:pt>
                <c:pt idx="25">
                  <c:v>0.390625</c:v>
                </c:pt>
                <c:pt idx="26">
                  <c:v>0.40625</c:v>
                </c:pt>
                <c:pt idx="27">
                  <c:v>0.421875</c:v>
                </c:pt>
                <c:pt idx="28">
                  <c:v>0.4375</c:v>
                </c:pt>
                <c:pt idx="29">
                  <c:v>0.453125</c:v>
                </c:pt>
                <c:pt idx="30">
                  <c:v>0.46875</c:v>
                </c:pt>
                <c:pt idx="31">
                  <c:v>0.484375</c:v>
                </c:pt>
                <c:pt idx="32">
                  <c:v>0.5</c:v>
                </c:pt>
              </c:numCache>
            </c:numRef>
          </c:xVal>
          <c:yVal>
            <c:numRef>
              <c:f>補間なし線形IGA!$AI$14:$AI$110</c:f>
              <c:numCache>
                <c:formatCode>0.00E+00</c:formatCode>
                <c:ptCount val="97"/>
                <c:pt idx="0">
                  <c:v>0.398005</c:v>
                </c:pt>
                <c:pt idx="1">
                  <c:v>0.39805299999999999</c:v>
                </c:pt>
                <c:pt idx="2">
                  <c:v>0.39810099999999998</c:v>
                </c:pt>
                <c:pt idx="3">
                  <c:v>0.39824500000000002</c:v>
                </c:pt>
                <c:pt idx="4">
                  <c:v>0.39839000000000002</c:v>
                </c:pt>
                <c:pt idx="5">
                  <c:v>0.39862999999999998</c:v>
                </c:pt>
                <c:pt idx="6">
                  <c:v>0.39887</c:v>
                </c:pt>
                <c:pt idx="7">
                  <c:v>0.399204</c:v>
                </c:pt>
                <c:pt idx="8">
                  <c:v>0.39953899999999998</c:v>
                </c:pt>
                <c:pt idx="9">
                  <c:v>0.39996599999999999</c:v>
                </c:pt>
                <c:pt idx="10">
                  <c:v>0.400393</c:v>
                </c:pt>
                <c:pt idx="11">
                  <c:v>0.40090900000000002</c:v>
                </c:pt>
                <c:pt idx="12">
                  <c:v>0.401424</c:v>
                </c:pt>
                <c:pt idx="13">
                  <c:v>0.40202100000000002</c:v>
                </c:pt>
                <c:pt idx="14">
                  <c:v>0.40261799999999998</c:v>
                </c:pt>
                <c:pt idx="15">
                  <c:v>0.403283</c:v>
                </c:pt>
                <c:pt idx="16">
                  <c:v>0.403949</c:v>
                </c:pt>
                <c:pt idx="17">
                  <c:v>0.40465899999999999</c:v>
                </c:pt>
                <c:pt idx="18">
                  <c:v>0.40537000000000001</c:v>
                </c:pt>
                <c:pt idx="19">
                  <c:v>0.406086</c:v>
                </c:pt>
                <c:pt idx="20">
                  <c:v>0.406802</c:v>
                </c:pt>
                <c:pt idx="21">
                  <c:v>0.407447</c:v>
                </c:pt>
                <c:pt idx="22">
                  <c:v>0.40809200000000001</c:v>
                </c:pt>
                <c:pt idx="23">
                  <c:v>0.40852899999999998</c:v>
                </c:pt>
                <c:pt idx="24">
                  <c:v>0.40896700000000002</c:v>
                </c:pt>
                <c:pt idx="25">
                  <c:v>0.40883399999999998</c:v>
                </c:pt>
                <c:pt idx="26">
                  <c:v>0.40870000000000001</c:v>
                </c:pt>
                <c:pt idx="27">
                  <c:v>0.40736499999999998</c:v>
                </c:pt>
                <c:pt idx="28">
                  <c:v>0.40603</c:v>
                </c:pt>
                <c:pt idx="29">
                  <c:v>0.39985700000000002</c:v>
                </c:pt>
                <c:pt idx="30">
                  <c:v>0.39368500000000001</c:v>
                </c:pt>
                <c:pt idx="31">
                  <c:v>0.376971</c:v>
                </c:pt>
                <c:pt idx="32">
                  <c:v>0.36025699999999999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17-4E64-ACA8-CC778D330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6000175"/>
        <c:axId val="1226000655"/>
      </c:scatterChart>
      <c:valAx>
        <c:axId val="122600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6000655"/>
        <c:crosses val="autoZero"/>
        <c:crossBetween val="midCat"/>
      </c:valAx>
      <c:valAx>
        <c:axId val="122600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6000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">
              <a:noFill/>
            </a:ln>
          </c:spPr>
          <c:xVal>
            <c:numRef>
              <c:f>補間なし線形IGA!$AH$14:$AH$110</c:f>
              <c:numCache>
                <c:formatCode>0.00E+00</c:formatCode>
                <c:ptCount val="97"/>
                <c:pt idx="0">
                  <c:v>0</c:v>
                </c:pt>
                <c:pt idx="1">
                  <c:v>1.5625E-2</c:v>
                </c:pt>
                <c:pt idx="2">
                  <c:v>3.125E-2</c:v>
                </c:pt>
                <c:pt idx="3">
                  <c:v>4.6875E-2</c:v>
                </c:pt>
                <c:pt idx="4">
                  <c:v>6.25E-2</c:v>
                </c:pt>
                <c:pt idx="5">
                  <c:v>7.8125E-2</c:v>
                </c:pt>
                <c:pt idx="6">
                  <c:v>9.375E-2</c:v>
                </c:pt>
                <c:pt idx="7">
                  <c:v>0.109375</c:v>
                </c:pt>
                <c:pt idx="8">
                  <c:v>0.125</c:v>
                </c:pt>
                <c:pt idx="9">
                  <c:v>0.140625</c:v>
                </c:pt>
                <c:pt idx="10">
                  <c:v>0.15625</c:v>
                </c:pt>
                <c:pt idx="11">
                  <c:v>0.171875</c:v>
                </c:pt>
                <c:pt idx="12">
                  <c:v>0.1875</c:v>
                </c:pt>
                <c:pt idx="13">
                  <c:v>0.203125</c:v>
                </c:pt>
                <c:pt idx="14">
                  <c:v>0.21875</c:v>
                </c:pt>
                <c:pt idx="15">
                  <c:v>0.234375</c:v>
                </c:pt>
                <c:pt idx="16">
                  <c:v>0.25</c:v>
                </c:pt>
                <c:pt idx="17">
                  <c:v>0.265625</c:v>
                </c:pt>
                <c:pt idx="18">
                  <c:v>0.28125</c:v>
                </c:pt>
                <c:pt idx="19">
                  <c:v>0.296875</c:v>
                </c:pt>
                <c:pt idx="20">
                  <c:v>0.3125</c:v>
                </c:pt>
                <c:pt idx="21">
                  <c:v>0.328125</c:v>
                </c:pt>
                <c:pt idx="22">
                  <c:v>0.34375</c:v>
                </c:pt>
                <c:pt idx="23">
                  <c:v>0.359375</c:v>
                </c:pt>
                <c:pt idx="24">
                  <c:v>0.375</c:v>
                </c:pt>
                <c:pt idx="25">
                  <c:v>0.390625</c:v>
                </c:pt>
                <c:pt idx="26">
                  <c:v>0.40625</c:v>
                </c:pt>
                <c:pt idx="27">
                  <c:v>0.421875</c:v>
                </c:pt>
                <c:pt idx="28">
                  <c:v>0.4375</c:v>
                </c:pt>
                <c:pt idx="29">
                  <c:v>0.453125</c:v>
                </c:pt>
                <c:pt idx="30">
                  <c:v>0.46875</c:v>
                </c:pt>
                <c:pt idx="31">
                  <c:v>0.484375</c:v>
                </c:pt>
                <c:pt idx="32">
                  <c:v>0.5</c:v>
                </c:pt>
              </c:numCache>
            </c:numRef>
          </c:xVal>
          <c:yVal>
            <c:numRef>
              <c:f>補間なし線形IGA!$AJ$14:$AJ$110</c:f>
              <c:numCache>
                <c:formatCode>0.00E+00</c:formatCode>
                <c:ptCount val="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87-4FD6-84B2-18749DEFC8DB}"/>
            </c:ext>
          </c:extLst>
        </c:ser>
        <c:ser>
          <c:idx val="0"/>
          <c:order val="1"/>
          <c:spPr>
            <a:ln w="38100" cap="rnd">
              <a:noFill/>
              <a:round/>
            </a:ln>
            <a:effectLst/>
          </c:spPr>
          <c:xVal>
            <c:numRef>
              <c:f>補間なし線形IGA!$H$3:$H$64</c:f>
              <c:numCache>
                <c:formatCode>0.00E+00</c:formatCode>
                <c:ptCount val="62"/>
                <c:pt idx="0">
                  <c:v>8.0645160000000007E-3</c:v>
                </c:pt>
                <c:pt idx="1">
                  <c:v>2.4193550000000001E-2</c:v>
                </c:pt>
                <c:pt idx="2">
                  <c:v>4.0322579999999997E-2</c:v>
                </c:pt>
                <c:pt idx="3">
                  <c:v>5.6451609999999999E-2</c:v>
                </c:pt>
                <c:pt idx="4">
                  <c:v>7.2580649999999997E-2</c:v>
                </c:pt>
                <c:pt idx="5">
                  <c:v>8.8709679999999999E-2</c:v>
                </c:pt>
                <c:pt idx="6">
                  <c:v>0.10483870000000001</c:v>
                </c:pt>
                <c:pt idx="7">
                  <c:v>0.1209677</c:v>
                </c:pt>
                <c:pt idx="8">
                  <c:v>0.13709679999999999</c:v>
                </c:pt>
                <c:pt idx="9">
                  <c:v>0.1532258</c:v>
                </c:pt>
                <c:pt idx="10">
                  <c:v>0.1693548</c:v>
                </c:pt>
                <c:pt idx="11">
                  <c:v>0.18548390000000001</c:v>
                </c:pt>
                <c:pt idx="12">
                  <c:v>0.20161290000000001</c:v>
                </c:pt>
                <c:pt idx="13">
                  <c:v>0.21774189999999999</c:v>
                </c:pt>
                <c:pt idx="14">
                  <c:v>0.233871</c:v>
                </c:pt>
                <c:pt idx="15">
                  <c:v>0.25</c:v>
                </c:pt>
                <c:pt idx="16">
                  <c:v>0.266129</c:v>
                </c:pt>
                <c:pt idx="17">
                  <c:v>0.28225810000000001</c:v>
                </c:pt>
                <c:pt idx="18">
                  <c:v>0.29838710000000002</c:v>
                </c:pt>
                <c:pt idx="19">
                  <c:v>0.31451610000000002</c:v>
                </c:pt>
                <c:pt idx="20">
                  <c:v>0.33064519999999997</c:v>
                </c:pt>
                <c:pt idx="21">
                  <c:v>0.34677419999999998</c:v>
                </c:pt>
                <c:pt idx="22">
                  <c:v>0.36290319999999998</c:v>
                </c:pt>
                <c:pt idx="23">
                  <c:v>0.37903229999999999</c:v>
                </c:pt>
                <c:pt idx="24">
                  <c:v>0.39516129999999999</c:v>
                </c:pt>
                <c:pt idx="25">
                  <c:v>0.4112903</c:v>
                </c:pt>
                <c:pt idx="26">
                  <c:v>0.4274194</c:v>
                </c:pt>
                <c:pt idx="27">
                  <c:v>0.44354840000000001</c:v>
                </c:pt>
                <c:pt idx="28">
                  <c:v>0.45967740000000001</c:v>
                </c:pt>
                <c:pt idx="29">
                  <c:v>0.47580650000000002</c:v>
                </c:pt>
                <c:pt idx="30">
                  <c:v>0.49193550000000003</c:v>
                </c:pt>
              </c:numCache>
            </c:numRef>
          </c:xVal>
          <c:yVal>
            <c:numRef>
              <c:f>補間なし線形IGA!$K$3:$K$64</c:f>
              <c:numCache>
                <c:formatCode>0.00E+00</c:formatCode>
                <c:ptCount val="62"/>
                <c:pt idx="0">
                  <c:v>0.20074039419440201</c:v>
                </c:pt>
                <c:pt idx="1">
                  <c:v>0.20076608588165001</c:v>
                </c:pt>
                <c:pt idx="2">
                  <c:v>0.20081732872900901</c:v>
                </c:pt>
                <c:pt idx="3">
                  <c:v>0.20089416486393</c:v>
                </c:pt>
                <c:pt idx="4">
                  <c:v>0.20099650745277001</c:v>
                </c:pt>
                <c:pt idx="5">
                  <c:v>0.20112426235793601</c:v>
                </c:pt>
                <c:pt idx="6">
                  <c:v>0.20127727483197799</c:v>
                </c:pt>
                <c:pt idx="7">
                  <c:v>0.20145532805821301</c:v>
                </c:pt>
                <c:pt idx="8">
                  <c:v>0.201658113854536</c:v>
                </c:pt>
                <c:pt idx="9">
                  <c:v>0.20188520345871599</c:v>
                </c:pt>
                <c:pt idx="10">
                  <c:v>0.20213601008436799</c:v>
                </c:pt>
                <c:pt idx="11">
                  <c:v>0.20240973218384301</c:v>
                </c:pt>
                <c:pt idx="12">
                  <c:v>0.20270529566025999</c:v>
                </c:pt>
                <c:pt idx="13">
                  <c:v>0.203021248854836</c:v>
                </c:pt>
                <c:pt idx="14">
                  <c:v>0.203355670514489</c:v>
                </c:pt>
                <c:pt idx="15">
                  <c:v>0.20370596731729401</c:v>
                </c:pt>
                <c:pt idx="16">
                  <c:v>0.204068727665288</c:v>
                </c:pt>
                <c:pt idx="17">
                  <c:v>0.20443928871519099</c:v>
                </c:pt>
                <c:pt idx="18">
                  <c:v>0.204811565434252</c:v>
                </c:pt>
                <c:pt idx="19">
                  <c:v>0.205176857847854</c:v>
                </c:pt>
                <c:pt idx="20">
                  <c:v>0.20552426345892899</c:v>
                </c:pt>
                <c:pt idx="21">
                  <c:v>0.20583604876460501</c:v>
                </c:pt>
                <c:pt idx="22">
                  <c:v>0.20609303388632699</c:v>
                </c:pt>
                <c:pt idx="23">
                  <c:v>0.20625310845677999</c:v>
                </c:pt>
                <c:pt idx="24">
                  <c:v>0.206284526126019</c:v>
                </c:pt>
                <c:pt idx="25">
                  <c:v>0.206067291392146</c:v>
                </c:pt>
                <c:pt idx="26">
                  <c:v>0.20554749205137901</c:v>
                </c:pt>
                <c:pt idx="27">
                  <c:v>0.204318985913712</c:v>
                </c:pt>
                <c:pt idx="28">
                  <c:v>0.202149578982349</c:v>
                </c:pt>
                <c:pt idx="29">
                  <c:v>0.19706786945076099</c:v>
                </c:pt>
                <c:pt idx="30">
                  <c:v>0.182193598833092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87-4FD6-84B2-18749DEFC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683551"/>
        <c:axId val="1085700351"/>
      </c:scatterChart>
      <c:valAx>
        <c:axId val="108568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700351"/>
        <c:crosses val="autoZero"/>
        <c:crossBetween val="midCat"/>
      </c:valAx>
      <c:valAx>
        <c:axId val="10857003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68355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38100">
              <a:noFill/>
            </a:ln>
          </c:spPr>
          <c:xVal>
            <c:numRef>
              <c:f>補間なし線形IGA!$AR$25:$AR$40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補間なし線形IGA!$AX$25:$AX$40</c:f>
              <c:numCache>
                <c:formatCode>0.00E+00</c:formatCode>
                <c:ptCount val="16"/>
                <c:pt idx="0">
                  <c:v>0.39848243605918199</c:v>
                </c:pt>
                <c:pt idx="1">
                  <c:v>0.39870020152426</c:v>
                </c:pt>
                <c:pt idx="2">
                  <c:v>0.39913045597008801</c:v>
                </c:pt>
                <c:pt idx="3">
                  <c:v>0.399776056789302</c:v>
                </c:pt>
                <c:pt idx="4">
                  <c:v>0.40063221148231998</c:v>
                </c:pt>
                <c:pt idx="5">
                  <c:v>0.40169746809593398</c:v>
                </c:pt>
                <c:pt idx="6">
                  <c:v>0.402953837831382</c:v>
                </c:pt>
                <c:pt idx="7">
                  <c:v>0.40439759549215998</c:v>
                </c:pt>
                <c:pt idx="8">
                  <c:v>0.40596048815159003</c:v>
                </c:pt>
                <c:pt idx="9">
                  <c:v>0.40764274112230803</c:v>
                </c:pt>
                <c:pt idx="10">
                  <c:v>0.40920054467532002</c:v>
                </c:pt>
                <c:pt idx="11">
                  <c:v>0.41063840626099402</c:v>
                </c:pt>
                <c:pt idx="12">
                  <c:v>0.411091033301616</c:v>
                </c:pt>
                <c:pt idx="13">
                  <c:v>0.41014341312552</c:v>
                </c:pt>
                <c:pt idx="14">
                  <c:v>0.40353985128874797</c:v>
                </c:pt>
                <c:pt idx="15">
                  <c:v>0.37701539852122601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96-4FC8-B976-4E8C15685D5A}"/>
            </c:ext>
          </c:extLst>
        </c:ser>
        <c:ser>
          <c:idx val="0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補間なし線形IGA!$AH$14:$AH$46</c:f>
              <c:numCache>
                <c:formatCode>0.00E+00</c:formatCode>
                <c:ptCount val="33"/>
                <c:pt idx="0">
                  <c:v>0</c:v>
                </c:pt>
                <c:pt idx="1">
                  <c:v>1.5625E-2</c:v>
                </c:pt>
                <c:pt idx="2">
                  <c:v>3.125E-2</c:v>
                </c:pt>
                <c:pt idx="3">
                  <c:v>4.6875E-2</c:v>
                </c:pt>
                <c:pt idx="4">
                  <c:v>6.25E-2</c:v>
                </c:pt>
                <c:pt idx="5">
                  <c:v>7.8125E-2</c:v>
                </c:pt>
                <c:pt idx="6">
                  <c:v>9.375E-2</c:v>
                </c:pt>
                <c:pt idx="7">
                  <c:v>0.109375</c:v>
                </c:pt>
                <c:pt idx="8">
                  <c:v>0.125</c:v>
                </c:pt>
                <c:pt idx="9">
                  <c:v>0.140625</c:v>
                </c:pt>
                <c:pt idx="10">
                  <c:v>0.15625</c:v>
                </c:pt>
                <c:pt idx="11">
                  <c:v>0.171875</c:v>
                </c:pt>
                <c:pt idx="12">
                  <c:v>0.1875</c:v>
                </c:pt>
                <c:pt idx="13">
                  <c:v>0.203125</c:v>
                </c:pt>
                <c:pt idx="14">
                  <c:v>0.21875</c:v>
                </c:pt>
                <c:pt idx="15">
                  <c:v>0.234375</c:v>
                </c:pt>
                <c:pt idx="16">
                  <c:v>0.25</c:v>
                </c:pt>
                <c:pt idx="17">
                  <c:v>0.265625</c:v>
                </c:pt>
                <c:pt idx="18">
                  <c:v>0.28125</c:v>
                </c:pt>
                <c:pt idx="19">
                  <c:v>0.296875</c:v>
                </c:pt>
                <c:pt idx="20">
                  <c:v>0.3125</c:v>
                </c:pt>
                <c:pt idx="21">
                  <c:v>0.328125</c:v>
                </c:pt>
                <c:pt idx="22">
                  <c:v>0.34375</c:v>
                </c:pt>
                <c:pt idx="23">
                  <c:v>0.359375</c:v>
                </c:pt>
                <c:pt idx="24">
                  <c:v>0.375</c:v>
                </c:pt>
                <c:pt idx="25">
                  <c:v>0.390625</c:v>
                </c:pt>
                <c:pt idx="26">
                  <c:v>0.40625</c:v>
                </c:pt>
                <c:pt idx="27">
                  <c:v>0.421875</c:v>
                </c:pt>
                <c:pt idx="28">
                  <c:v>0.4375</c:v>
                </c:pt>
                <c:pt idx="29">
                  <c:v>0.453125</c:v>
                </c:pt>
                <c:pt idx="30">
                  <c:v>0.46875</c:v>
                </c:pt>
                <c:pt idx="31">
                  <c:v>0.484375</c:v>
                </c:pt>
                <c:pt idx="32">
                  <c:v>0.5</c:v>
                </c:pt>
              </c:numCache>
            </c:numRef>
          </c:xVal>
          <c:yVal>
            <c:numRef>
              <c:f>補間なし線形IGA!$AI$14:$AI$46</c:f>
              <c:numCache>
                <c:formatCode>0.00E+00</c:formatCode>
                <c:ptCount val="33"/>
                <c:pt idx="0">
                  <c:v>0.398005</c:v>
                </c:pt>
                <c:pt idx="1">
                  <c:v>0.39805299999999999</c:v>
                </c:pt>
                <c:pt idx="2">
                  <c:v>0.39810099999999998</c:v>
                </c:pt>
                <c:pt idx="3">
                  <c:v>0.39824500000000002</c:v>
                </c:pt>
                <c:pt idx="4">
                  <c:v>0.39839000000000002</c:v>
                </c:pt>
                <c:pt idx="5">
                  <c:v>0.39862999999999998</c:v>
                </c:pt>
                <c:pt idx="6">
                  <c:v>0.39887</c:v>
                </c:pt>
                <c:pt idx="7">
                  <c:v>0.399204</c:v>
                </c:pt>
                <c:pt idx="8">
                  <c:v>0.39953899999999998</c:v>
                </c:pt>
                <c:pt idx="9">
                  <c:v>0.39996599999999999</c:v>
                </c:pt>
                <c:pt idx="10">
                  <c:v>0.400393</c:v>
                </c:pt>
                <c:pt idx="11">
                  <c:v>0.40090900000000002</c:v>
                </c:pt>
                <c:pt idx="12">
                  <c:v>0.401424</c:v>
                </c:pt>
                <c:pt idx="13">
                  <c:v>0.40202100000000002</c:v>
                </c:pt>
                <c:pt idx="14">
                  <c:v>0.40261799999999998</c:v>
                </c:pt>
                <c:pt idx="15">
                  <c:v>0.403283</c:v>
                </c:pt>
                <c:pt idx="16">
                  <c:v>0.403949</c:v>
                </c:pt>
                <c:pt idx="17">
                  <c:v>0.40465899999999999</c:v>
                </c:pt>
                <c:pt idx="18">
                  <c:v>0.40537000000000001</c:v>
                </c:pt>
                <c:pt idx="19">
                  <c:v>0.406086</c:v>
                </c:pt>
                <c:pt idx="20">
                  <c:v>0.406802</c:v>
                </c:pt>
                <c:pt idx="21">
                  <c:v>0.407447</c:v>
                </c:pt>
                <c:pt idx="22">
                  <c:v>0.40809200000000001</c:v>
                </c:pt>
                <c:pt idx="23">
                  <c:v>0.40852899999999998</c:v>
                </c:pt>
                <c:pt idx="24">
                  <c:v>0.40896700000000002</c:v>
                </c:pt>
                <c:pt idx="25">
                  <c:v>0.40883399999999998</c:v>
                </c:pt>
                <c:pt idx="26">
                  <c:v>0.40870000000000001</c:v>
                </c:pt>
                <c:pt idx="27">
                  <c:v>0.40736499999999998</c:v>
                </c:pt>
                <c:pt idx="28">
                  <c:v>0.40603</c:v>
                </c:pt>
                <c:pt idx="29">
                  <c:v>0.39985700000000002</c:v>
                </c:pt>
                <c:pt idx="30">
                  <c:v>0.39368500000000001</c:v>
                </c:pt>
                <c:pt idx="31">
                  <c:v>0.376971</c:v>
                </c:pt>
                <c:pt idx="32">
                  <c:v>0.36025699999999999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96-4FC8-B976-4E8C15685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825311"/>
        <c:axId val="498826271"/>
      </c:scatterChart>
      <c:valAx>
        <c:axId val="49882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8826271"/>
        <c:crosses val="autoZero"/>
        <c:crossBetween val="midCat"/>
      </c:valAx>
      <c:valAx>
        <c:axId val="49882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882531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補間あり線形IGA!$H$3:$H$33</c:f>
              <c:numCache>
                <c:formatCode>0.00E+00</c:formatCode>
                <c:ptCount val="31"/>
                <c:pt idx="0">
                  <c:v>8.0645160000000007E-3</c:v>
                </c:pt>
                <c:pt idx="1">
                  <c:v>2.4193550000000001E-2</c:v>
                </c:pt>
                <c:pt idx="2">
                  <c:v>4.0322579999999997E-2</c:v>
                </c:pt>
                <c:pt idx="3">
                  <c:v>5.6451609999999999E-2</c:v>
                </c:pt>
                <c:pt idx="4">
                  <c:v>7.2580649999999997E-2</c:v>
                </c:pt>
                <c:pt idx="5">
                  <c:v>8.8709679999999999E-2</c:v>
                </c:pt>
                <c:pt idx="6">
                  <c:v>0.10483870000000001</c:v>
                </c:pt>
                <c:pt idx="7">
                  <c:v>0.1209677</c:v>
                </c:pt>
                <c:pt idx="8">
                  <c:v>0.13709679999999999</c:v>
                </c:pt>
                <c:pt idx="9">
                  <c:v>0.1532258</c:v>
                </c:pt>
                <c:pt idx="10">
                  <c:v>0.1693548</c:v>
                </c:pt>
                <c:pt idx="11">
                  <c:v>0.18548390000000001</c:v>
                </c:pt>
                <c:pt idx="12">
                  <c:v>0.20161290000000001</c:v>
                </c:pt>
                <c:pt idx="13">
                  <c:v>0.21774189999999999</c:v>
                </c:pt>
                <c:pt idx="14">
                  <c:v>0.233871</c:v>
                </c:pt>
                <c:pt idx="15">
                  <c:v>0.25</c:v>
                </c:pt>
                <c:pt idx="16">
                  <c:v>0.266129</c:v>
                </c:pt>
                <c:pt idx="17">
                  <c:v>0.28225810000000001</c:v>
                </c:pt>
                <c:pt idx="18">
                  <c:v>0.29838710000000002</c:v>
                </c:pt>
                <c:pt idx="19">
                  <c:v>0.31451610000000002</c:v>
                </c:pt>
                <c:pt idx="20">
                  <c:v>0.33064519999999997</c:v>
                </c:pt>
                <c:pt idx="21">
                  <c:v>0.34677419999999998</c:v>
                </c:pt>
                <c:pt idx="22">
                  <c:v>0.36290319999999998</c:v>
                </c:pt>
                <c:pt idx="23">
                  <c:v>0.37903229999999999</c:v>
                </c:pt>
                <c:pt idx="24">
                  <c:v>0.39516129999999999</c:v>
                </c:pt>
                <c:pt idx="25">
                  <c:v>0.4112903</c:v>
                </c:pt>
                <c:pt idx="26">
                  <c:v>0.4274194</c:v>
                </c:pt>
                <c:pt idx="27">
                  <c:v>0.44354840000000001</c:v>
                </c:pt>
                <c:pt idx="28">
                  <c:v>0.45967740000000001</c:v>
                </c:pt>
                <c:pt idx="29">
                  <c:v>0.47580650000000002</c:v>
                </c:pt>
                <c:pt idx="30">
                  <c:v>0.49193550000000003</c:v>
                </c:pt>
              </c:numCache>
            </c:numRef>
          </c:xVal>
          <c:yVal>
            <c:numRef>
              <c:f>補間あり線形IGA!$K$3:$K$33</c:f>
              <c:numCache>
                <c:formatCode>0.00E+00</c:formatCode>
                <c:ptCount val="31"/>
                <c:pt idx="0">
                  <c:v>0.20060054101702199</c:v>
                </c:pt>
                <c:pt idx="1">
                  <c:v>0.20062643210105199</c:v>
                </c:pt>
                <c:pt idx="2">
                  <c:v>0.200678052299265</c:v>
                </c:pt>
                <c:pt idx="3">
                  <c:v>0.20075546697975699</c:v>
                </c:pt>
                <c:pt idx="4">
                  <c:v>0.200858595692814</c:v>
                </c:pt>
                <c:pt idx="5">
                  <c:v>0.20098736097285599</c:v>
                </c:pt>
                <c:pt idx="6">
                  <c:v>0.20114162763211099</c:v>
                </c:pt>
                <c:pt idx="7">
                  <c:v>0.20132120578340301</c:v>
                </c:pt>
                <c:pt idx="8">
                  <c:v>0.20152582168500899</c:v>
                </c:pt>
                <c:pt idx="9">
                  <c:v>0.201755090968121</c:v>
                </c:pt>
                <c:pt idx="10">
                  <c:v>0.20200848360896301</c:v>
                </c:pt>
                <c:pt idx="11">
                  <c:v>0.20228527031417101</c:v>
                </c:pt>
                <c:pt idx="12">
                  <c:v>0.20258446867981</c:v>
                </c:pt>
                <c:pt idx="13">
                  <c:v>0.20290474356765401</c:v>
                </c:pt>
                <c:pt idx="14">
                  <c:v>0.203244319313026</c:v>
                </c:pt>
                <c:pt idx="15">
                  <c:v>0.20360078806780499</c:v>
                </c:pt>
                <c:pt idx="16">
                  <c:v>0.20397096366401801</c:v>
                </c:pt>
                <c:pt idx="17">
                  <c:v>0.20435046699864801</c:v>
                </c:pt>
                <c:pt idx="18">
                  <c:v>0.204733554170344</c:v>
                </c:pt>
                <c:pt idx="19">
                  <c:v>0.20511189719564299</c:v>
                </c:pt>
                <c:pt idx="20">
                  <c:v>0.20547513597259401</c:v>
                </c:pt>
                <c:pt idx="21">
                  <c:v>0.20580570009591201</c:v>
                </c:pt>
                <c:pt idx="22">
                  <c:v>0.20608553678845601</c:v>
                </c:pt>
                <c:pt idx="23">
                  <c:v>0.206270808840119</c:v>
                </c:pt>
                <c:pt idx="24">
                  <c:v>0.20633310284651099</c:v>
                </c:pt>
                <c:pt idx="25">
                  <c:v>0.20614165428023101</c:v>
                </c:pt>
                <c:pt idx="26">
                  <c:v>0.20565213091157</c:v>
                </c:pt>
                <c:pt idx="27">
                  <c:v>0.20441150638585601</c:v>
                </c:pt>
                <c:pt idx="28">
                  <c:v>0.20218738373134801</c:v>
                </c:pt>
                <c:pt idx="29">
                  <c:v>0.19677419531620699</c:v>
                </c:pt>
                <c:pt idx="30">
                  <c:v>0.180016608880116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C1-4B70-9391-0A690BF5E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672991"/>
        <c:axId val="1085673471"/>
      </c:scatterChart>
      <c:valAx>
        <c:axId val="108567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673471"/>
        <c:crosses val="autoZero"/>
        <c:crossBetween val="midCat"/>
      </c:valAx>
      <c:valAx>
        <c:axId val="108567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672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補間あり線形IGA!$Z$3:$Z$33</c:f>
              <c:numCache>
                <c:formatCode>0.00E+00</c:formatCode>
                <c:ptCount val="31"/>
                <c:pt idx="0">
                  <c:v>8.0645160000000007E-3</c:v>
                </c:pt>
                <c:pt idx="1">
                  <c:v>2.4193550000000001E-2</c:v>
                </c:pt>
                <c:pt idx="2">
                  <c:v>4.0322579999999997E-2</c:v>
                </c:pt>
                <c:pt idx="3">
                  <c:v>5.6451609999999999E-2</c:v>
                </c:pt>
                <c:pt idx="4">
                  <c:v>7.2580649999999997E-2</c:v>
                </c:pt>
                <c:pt idx="5">
                  <c:v>8.8709679999999999E-2</c:v>
                </c:pt>
                <c:pt idx="6">
                  <c:v>0.10483870000000001</c:v>
                </c:pt>
                <c:pt idx="7">
                  <c:v>0.1209677</c:v>
                </c:pt>
                <c:pt idx="8">
                  <c:v>0.13709679999999999</c:v>
                </c:pt>
                <c:pt idx="9">
                  <c:v>0.1532258</c:v>
                </c:pt>
                <c:pt idx="10">
                  <c:v>0.1693548</c:v>
                </c:pt>
                <c:pt idx="11">
                  <c:v>0.18548390000000001</c:v>
                </c:pt>
                <c:pt idx="12">
                  <c:v>0.20161290000000001</c:v>
                </c:pt>
                <c:pt idx="13">
                  <c:v>0.21774189999999999</c:v>
                </c:pt>
                <c:pt idx="14">
                  <c:v>0.233871</c:v>
                </c:pt>
                <c:pt idx="15">
                  <c:v>0.25</c:v>
                </c:pt>
                <c:pt idx="16">
                  <c:v>0.266129</c:v>
                </c:pt>
                <c:pt idx="17">
                  <c:v>0.28225810000000001</c:v>
                </c:pt>
                <c:pt idx="18">
                  <c:v>0.29838710000000002</c:v>
                </c:pt>
                <c:pt idx="19">
                  <c:v>0.31451610000000002</c:v>
                </c:pt>
                <c:pt idx="20">
                  <c:v>0.33064519999999997</c:v>
                </c:pt>
                <c:pt idx="21">
                  <c:v>0.34677419999999998</c:v>
                </c:pt>
                <c:pt idx="22">
                  <c:v>0.36290319999999998</c:v>
                </c:pt>
                <c:pt idx="23">
                  <c:v>0.37903229999999999</c:v>
                </c:pt>
                <c:pt idx="24">
                  <c:v>0.39516129999999999</c:v>
                </c:pt>
                <c:pt idx="25">
                  <c:v>0.4112903</c:v>
                </c:pt>
                <c:pt idx="26">
                  <c:v>0.4274194</c:v>
                </c:pt>
                <c:pt idx="27">
                  <c:v>0.44354840000000001</c:v>
                </c:pt>
                <c:pt idx="28">
                  <c:v>0.45967740000000001</c:v>
                </c:pt>
                <c:pt idx="29">
                  <c:v>0.47580650000000002</c:v>
                </c:pt>
                <c:pt idx="30">
                  <c:v>0.49193550000000003</c:v>
                </c:pt>
              </c:numCache>
            </c:numRef>
          </c:xVal>
          <c:yVal>
            <c:numRef>
              <c:f>補間あり線形IGA!$AC$3:$AC$33</c:f>
              <c:numCache>
                <c:formatCode>0.00E+00</c:formatCode>
                <c:ptCount val="31"/>
                <c:pt idx="0">
                  <c:v>0.20064928331685</c:v>
                </c:pt>
                <c:pt idx="1">
                  <c:v>0.20066914256576199</c:v>
                </c:pt>
                <c:pt idx="2">
                  <c:v>0.20072042771295001</c:v>
                </c:pt>
                <c:pt idx="3">
                  <c:v>0.20079732898764899</c:v>
                </c:pt>
                <c:pt idx="4">
                  <c:v>0.20089975602114299</c:v>
                </c:pt>
                <c:pt idx="5">
                  <c:v>0.20102761466249799</c:v>
                </c:pt>
                <c:pt idx="6">
                  <c:v>0.20118074879970199</c:v>
                </c:pt>
                <c:pt idx="7">
                  <c:v>0.20135894123117601</c:v>
                </c:pt>
                <c:pt idx="8">
                  <c:v>0.201561884074654</c:v>
                </c:pt>
                <c:pt idx="9">
                  <c:v>0.20178915034941999</c:v>
                </c:pt>
                <c:pt idx="10">
                  <c:v>0.202040157673889</c:v>
                </c:pt>
                <c:pt idx="11">
                  <c:v>0.20231411239202701</c:v>
                </c:pt>
                <c:pt idx="12">
                  <c:v>0.202609954300457</c:v>
                </c:pt>
                <c:pt idx="13">
                  <c:v>0.20292625353924501</c:v>
                </c:pt>
                <c:pt idx="14">
                  <c:v>0.203261122709189</c:v>
                </c:pt>
                <c:pt idx="15">
                  <c:v>0.20361201952656099</c:v>
                </c:pt>
                <c:pt idx="16">
                  <c:v>0.20397560699721401</c:v>
                </c:pt>
                <c:pt idx="17">
                  <c:v>0.20434732855304399</c:v>
                </c:pt>
                <c:pt idx="18">
                  <c:v>0.20472126476602201</c:v>
                </c:pt>
                <c:pt idx="19">
                  <c:v>0.20508889298219499</c:v>
                </c:pt>
                <c:pt idx="20">
                  <c:v>0.20543973648583</c:v>
                </c:pt>
                <c:pt idx="21">
                  <c:v>0.20575613856331301</c:v>
                </c:pt>
                <c:pt idx="22">
                  <c:v>0.20602028051628599</c:v>
                </c:pt>
                <c:pt idx="23">
                  <c:v>0.206188767862998</c:v>
                </c:pt>
                <c:pt idx="24">
                  <c:v>0.20623460160555299</c:v>
                </c:pt>
                <c:pt idx="25">
                  <c:v>0.206029100379578</c:v>
                </c:pt>
                <c:pt idx="26">
                  <c:v>0.20553222563939499</c:v>
                </c:pt>
                <c:pt idx="27">
                  <c:v>0.20429612032545699</c:v>
                </c:pt>
                <c:pt idx="28">
                  <c:v>0.202095395697659</c:v>
                </c:pt>
                <c:pt idx="29">
                  <c:v>0.19672752727336201</c:v>
                </c:pt>
                <c:pt idx="30">
                  <c:v>0.180048454743785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DD-43C7-87C3-63AF24B95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677311"/>
        <c:axId val="1085677791"/>
      </c:scatterChart>
      <c:valAx>
        <c:axId val="108567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677791"/>
        <c:crosses val="autoZero"/>
        <c:crossBetween val="midCat"/>
      </c:valAx>
      <c:valAx>
        <c:axId val="108567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677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補間あり線形IGA!$AL$3:$AL$219</c:f>
              <c:numCache>
                <c:formatCode>0.00E+00</c:formatCode>
                <c:ptCount val="217"/>
                <c:pt idx="0">
                  <c:v>1.1520739999999999E-3</c:v>
                </c:pt>
                <c:pt idx="1">
                  <c:v>3.4562210000000002E-3</c:v>
                </c:pt>
                <c:pt idx="2">
                  <c:v>5.7603690000000004E-3</c:v>
                </c:pt>
                <c:pt idx="3">
                  <c:v>8.0645160000000007E-3</c:v>
                </c:pt>
                <c:pt idx="4">
                  <c:v>1.036866E-2</c:v>
                </c:pt>
                <c:pt idx="5">
                  <c:v>1.267281E-2</c:v>
                </c:pt>
                <c:pt idx="6">
                  <c:v>1.4976959999999999E-2</c:v>
                </c:pt>
                <c:pt idx="7">
                  <c:v>1.7281109999999999E-2</c:v>
                </c:pt>
                <c:pt idx="8">
                  <c:v>1.9585249999999998E-2</c:v>
                </c:pt>
                <c:pt idx="9">
                  <c:v>2.18894E-2</c:v>
                </c:pt>
                <c:pt idx="10">
                  <c:v>2.4193550000000001E-2</c:v>
                </c:pt>
                <c:pt idx="11">
                  <c:v>2.6497699999999999E-2</c:v>
                </c:pt>
                <c:pt idx="12">
                  <c:v>2.8801839999999999E-2</c:v>
                </c:pt>
                <c:pt idx="13">
                  <c:v>3.110599E-2</c:v>
                </c:pt>
                <c:pt idx="14">
                  <c:v>3.3410139999999998E-2</c:v>
                </c:pt>
                <c:pt idx="15">
                  <c:v>3.5714290000000003E-2</c:v>
                </c:pt>
                <c:pt idx="16">
                  <c:v>3.8018429999999999E-2</c:v>
                </c:pt>
                <c:pt idx="17">
                  <c:v>4.0322579999999997E-2</c:v>
                </c:pt>
                <c:pt idx="18">
                  <c:v>4.2626730000000002E-2</c:v>
                </c:pt>
                <c:pt idx="19">
                  <c:v>4.4930879999999999E-2</c:v>
                </c:pt>
                <c:pt idx="20">
                  <c:v>4.7235020000000003E-2</c:v>
                </c:pt>
                <c:pt idx="21">
                  <c:v>4.953917E-2</c:v>
                </c:pt>
                <c:pt idx="22">
                  <c:v>5.1843319999999998E-2</c:v>
                </c:pt>
                <c:pt idx="23">
                  <c:v>5.4147470000000003E-2</c:v>
                </c:pt>
                <c:pt idx="24">
                  <c:v>5.6451609999999999E-2</c:v>
                </c:pt>
                <c:pt idx="25">
                  <c:v>5.8755759999999997E-2</c:v>
                </c:pt>
                <c:pt idx="26">
                  <c:v>6.1059910000000002E-2</c:v>
                </c:pt>
                <c:pt idx="27">
                  <c:v>6.336406E-2</c:v>
                </c:pt>
                <c:pt idx="28">
                  <c:v>6.5668199999999996E-2</c:v>
                </c:pt>
                <c:pt idx="29">
                  <c:v>6.7972350000000001E-2</c:v>
                </c:pt>
                <c:pt idx="30">
                  <c:v>7.0276500000000006E-2</c:v>
                </c:pt>
                <c:pt idx="31">
                  <c:v>7.2580649999999997E-2</c:v>
                </c:pt>
                <c:pt idx="32">
                  <c:v>7.4884790000000007E-2</c:v>
                </c:pt>
                <c:pt idx="33">
                  <c:v>7.7188939999999998E-2</c:v>
                </c:pt>
                <c:pt idx="34">
                  <c:v>7.9493090000000002E-2</c:v>
                </c:pt>
                <c:pt idx="35">
                  <c:v>8.1797239999999993E-2</c:v>
                </c:pt>
                <c:pt idx="36">
                  <c:v>8.4101380000000003E-2</c:v>
                </c:pt>
                <c:pt idx="37">
                  <c:v>8.6405529999999994E-2</c:v>
                </c:pt>
                <c:pt idx="38">
                  <c:v>8.8709679999999999E-2</c:v>
                </c:pt>
                <c:pt idx="39">
                  <c:v>9.1013819999999995E-2</c:v>
                </c:pt>
                <c:pt idx="40">
                  <c:v>9.331797E-2</c:v>
                </c:pt>
                <c:pt idx="41">
                  <c:v>9.5622120000000005E-2</c:v>
                </c:pt>
                <c:pt idx="42">
                  <c:v>9.7926269999999996E-2</c:v>
                </c:pt>
                <c:pt idx="43">
                  <c:v>0.1002304</c:v>
                </c:pt>
                <c:pt idx="44">
                  <c:v>0.1025346</c:v>
                </c:pt>
                <c:pt idx="45">
                  <c:v>0.10483870000000001</c:v>
                </c:pt>
                <c:pt idx="46">
                  <c:v>0.1071429</c:v>
                </c:pt>
                <c:pt idx="47">
                  <c:v>0.109447</c:v>
                </c:pt>
                <c:pt idx="48">
                  <c:v>0.11175119999999999</c:v>
                </c:pt>
                <c:pt idx="49">
                  <c:v>0.1140553</c:v>
                </c:pt>
                <c:pt idx="50">
                  <c:v>0.1163594</c:v>
                </c:pt>
                <c:pt idx="51">
                  <c:v>0.11866359999999999</c:v>
                </c:pt>
                <c:pt idx="52">
                  <c:v>0.1209677</c:v>
                </c:pt>
                <c:pt idx="53">
                  <c:v>0.1232719</c:v>
                </c:pt>
                <c:pt idx="54">
                  <c:v>0.12557599999999999</c:v>
                </c:pt>
                <c:pt idx="55">
                  <c:v>0.1278802</c:v>
                </c:pt>
                <c:pt idx="56">
                  <c:v>0.1301843</c:v>
                </c:pt>
                <c:pt idx="57">
                  <c:v>0.13248850000000001</c:v>
                </c:pt>
                <c:pt idx="58">
                  <c:v>0.13479260000000001</c:v>
                </c:pt>
                <c:pt idx="59">
                  <c:v>0.13709679999999999</c:v>
                </c:pt>
                <c:pt idx="60">
                  <c:v>0.13940089999999999</c:v>
                </c:pt>
                <c:pt idx="61">
                  <c:v>0.1417051</c:v>
                </c:pt>
                <c:pt idx="62">
                  <c:v>0.1440092</c:v>
                </c:pt>
                <c:pt idx="63">
                  <c:v>0.14631340000000001</c:v>
                </c:pt>
                <c:pt idx="64">
                  <c:v>0.14861750000000001</c:v>
                </c:pt>
                <c:pt idx="65">
                  <c:v>0.15092169999999999</c:v>
                </c:pt>
                <c:pt idx="66">
                  <c:v>0.1532258</c:v>
                </c:pt>
                <c:pt idx="67">
                  <c:v>0.15553</c:v>
                </c:pt>
                <c:pt idx="68">
                  <c:v>0.1578341</c:v>
                </c:pt>
                <c:pt idx="69">
                  <c:v>0.16013820000000001</c:v>
                </c:pt>
                <c:pt idx="70">
                  <c:v>0.16244239999999999</c:v>
                </c:pt>
                <c:pt idx="71">
                  <c:v>0.16474649999999999</c:v>
                </c:pt>
                <c:pt idx="72">
                  <c:v>0.1670507</c:v>
                </c:pt>
                <c:pt idx="73">
                  <c:v>0.1693548</c:v>
                </c:pt>
                <c:pt idx="74">
                  <c:v>0.17165900000000001</c:v>
                </c:pt>
                <c:pt idx="75">
                  <c:v>0.17396310000000001</c:v>
                </c:pt>
                <c:pt idx="76">
                  <c:v>0.17626729999999999</c:v>
                </c:pt>
                <c:pt idx="77">
                  <c:v>0.17857139999999999</c:v>
                </c:pt>
                <c:pt idx="78">
                  <c:v>0.1808756</c:v>
                </c:pt>
                <c:pt idx="79">
                  <c:v>0.1831797</c:v>
                </c:pt>
                <c:pt idx="80">
                  <c:v>0.18548390000000001</c:v>
                </c:pt>
                <c:pt idx="81">
                  <c:v>0.18778800000000001</c:v>
                </c:pt>
                <c:pt idx="82">
                  <c:v>0.19009219999999999</c:v>
                </c:pt>
                <c:pt idx="83">
                  <c:v>0.19239629999999999</c:v>
                </c:pt>
                <c:pt idx="84">
                  <c:v>0.1947005</c:v>
                </c:pt>
                <c:pt idx="85">
                  <c:v>0.1970046</c:v>
                </c:pt>
                <c:pt idx="86">
                  <c:v>0.19930880000000001</c:v>
                </c:pt>
                <c:pt idx="87">
                  <c:v>0.20161290000000001</c:v>
                </c:pt>
                <c:pt idx="88">
                  <c:v>0.20391709999999999</c:v>
                </c:pt>
                <c:pt idx="89">
                  <c:v>0.20622119999999999</c:v>
                </c:pt>
                <c:pt idx="90">
                  <c:v>0.2085253</c:v>
                </c:pt>
                <c:pt idx="91">
                  <c:v>0.2108295</c:v>
                </c:pt>
                <c:pt idx="92">
                  <c:v>0.21313360000000001</c:v>
                </c:pt>
                <c:pt idx="93">
                  <c:v>0.21543780000000001</c:v>
                </c:pt>
                <c:pt idx="94">
                  <c:v>0.21774189999999999</c:v>
                </c:pt>
                <c:pt idx="95">
                  <c:v>0.22004609999999999</c:v>
                </c:pt>
                <c:pt idx="96">
                  <c:v>0.2223502</c:v>
                </c:pt>
                <c:pt idx="97">
                  <c:v>0.2246544</c:v>
                </c:pt>
                <c:pt idx="98">
                  <c:v>0.22695850000000001</c:v>
                </c:pt>
                <c:pt idx="99">
                  <c:v>0.22926270000000001</c:v>
                </c:pt>
                <c:pt idx="100">
                  <c:v>0.23156679999999999</c:v>
                </c:pt>
                <c:pt idx="101">
                  <c:v>0.233871</c:v>
                </c:pt>
                <c:pt idx="102">
                  <c:v>0.2361751</c:v>
                </c:pt>
                <c:pt idx="103">
                  <c:v>0.23847930000000001</c:v>
                </c:pt>
                <c:pt idx="104">
                  <c:v>0.24078340000000001</c:v>
                </c:pt>
                <c:pt idx="105">
                  <c:v>0.24308759999999999</c:v>
                </c:pt>
                <c:pt idx="106">
                  <c:v>0.24539169999999999</c:v>
                </c:pt>
                <c:pt idx="107">
                  <c:v>0.2476959</c:v>
                </c:pt>
                <c:pt idx="108">
                  <c:v>0.25</c:v>
                </c:pt>
                <c:pt idx="109">
                  <c:v>0.25230409999999998</c:v>
                </c:pt>
                <c:pt idx="110">
                  <c:v>0.25460830000000001</c:v>
                </c:pt>
                <c:pt idx="111">
                  <c:v>0.25691239999999999</c:v>
                </c:pt>
                <c:pt idx="112">
                  <c:v>0.25921660000000002</c:v>
                </c:pt>
                <c:pt idx="113">
                  <c:v>0.26152069999999999</c:v>
                </c:pt>
                <c:pt idx="114">
                  <c:v>0.26382489999999997</c:v>
                </c:pt>
                <c:pt idx="115">
                  <c:v>0.266129</c:v>
                </c:pt>
                <c:pt idx="116">
                  <c:v>0.26843319999999998</c:v>
                </c:pt>
                <c:pt idx="117">
                  <c:v>0.27073730000000001</c:v>
                </c:pt>
                <c:pt idx="118">
                  <c:v>0.27304149999999999</c:v>
                </c:pt>
                <c:pt idx="119">
                  <c:v>0.27534560000000002</c:v>
                </c:pt>
                <c:pt idx="120">
                  <c:v>0.2776498</c:v>
                </c:pt>
                <c:pt idx="121">
                  <c:v>0.27995389999999998</c:v>
                </c:pt>
                <c:pt idx="122">
                  <c:v>0.28225810000000001</c:v>
                </c:pt>
                <c:pt idx="123">
                  <c:v>0.28456219999999999</c:v>
                </c:pt>
                <c:pt idx="124">
                  <c:v>0.28686640000000002</c:v>
                </c:pt>
                <c:pt idx="125">
                  <c:v>0.2891705</c:v>
                </c:pt>
                <c:pt idx="126">
                  <c:v>0.29147469999999998</c:v>
                </c:pt>
                <c:pt idx="127">
                  <c:v>0.29377880000000001</c:v>
                </c:pt>
                <c:pt idx="128">
                  <c:v>0.29608289999999998</c:v>
                </c:pt>
                <c:pt idx="129">
                  <c:v>0.29838710000000002</c:v>
                </c:pt>
                <c:pt idx="130">
                  <c:v>0.30069119999999999</c:v>
                </c:pt>
                <c:pt idx="131">
                  <c:v>0.30299540000000003</c:v>
                </c:pt>
                <c:pt idx="132">
                  <c:v>0.3052995</c:v>
                </c:pt>
                <c:pt idx="133">
                  <c:v>0.30760369999999998</c:v>
                </c:pt>
                <c:pt idx="134">
                  <c:v>0.30990780000000001</c:v>
                </c:pt>
                <c:pt idx="135">
                  <c:v>0.31221199999999999</c:v>
                </c:pt>
                <c:pt idx="136">
                  <c:v>0.31451610000000002</c:v>
                </c:pt>
                <c:pt idx="137">
                  <c:v>0.3168203</c:v>
                </c:pt>
                <c:pt idx="138">
                  <c:v>0.31912439999999997</c:v>
                </c:pt>
                <c:pt idx="139">
                  <c:v>0.32142860000000001</c:v>
                </c:pt>
                <c:pt idx="140">
                  <c:v>0.32373269999999998</c:v>
                </c:pt>
                <c:pt idx="141">
                  <c:v>0.32603690000000002</c:v>
                </c:pt>
                <c:pt idx="142">
                  <c:v>0.32834099999999999</c:v>
                </c:pt>
                <c:pt idx="143">
                  <c:v>0.33064519999999997</c:v>
                </c:pt>
                <c:pt idx="144">
                  <c:v>0.3329493</c:v>
                </c:pt>
                <c:pt idx="145">
                  <c:v>0.33525349999999998</c:v>
                </c:pt>
                <c:pt idx="146">
                  <c:v>0.33755760000000001</c:v>
                </c:pt>
                <c:pt idx="147">
                  <c:v>0.33986179999999999</c:v>
                </c:pt>
                <c:pt idx="148">
                  <c:v>0.34216590000000002</c:v>
                </c:pt>
                <c:pt idx="149">
                  <c:v>0.34447</c:v>
                </c:pt>
                <c:pt idx="150">
                  <c:v>0.34677419999999998</c:v>
                </c:pt>
                <c:pt idx="151">
                  <c:v>0.34907830000000001</c:v>
                </c:pt>
                <c:pt idx="152">
                  <c:v>0.35138249999999999</c:v>
                </c:pt>
                <c:pt idx="153">
                  <c:v>0.35368660000000002</c:v>
                </c:pt>
                <c:pt idx="154">
                  <c:v>0.3559908</c:v>
                </c:pt>
                <c:pt idx="155">
                  <c:v>0.35829490000000003</c:v>
                </c:pt>
                <c:pt idx="156">
                  <c:v>0.36059910000000001</c:v>
                </c:pt>
                <c:pt idx="157">
                  <c:v>0.36290319999999998</c:v>
                </c:pt>
                <c:pt idx="158">
                  <c:v>0.36520740000000002</c:v>
                </c:pt>
                <c:pt idx="159">
                  <c:v>0.36751149999999999</c:v>
                </c:pt>
                <c:pt idx="160">
                  <c:v>0.36981570000000002</c:v>
                </c:pt>
                <c:pt idx="161">
                  <c:v>0.3721198</c:v>
                </c:pt>
                <c:pt idx="162">
                  <c:v>0.37442399999999998</c:v>
                </c:pt>
                <c:pt idx="163">
                  <c:v>0.37672810000000001</c:v>
                </c:pt>
                <c:pt idx="164">
                  <c:v>0.37903229999999999</c:v>
                </c:pt>
                <c:pt idx="165">
                  <c:v>0.38133640000000002</c:v>
                </c:pt>
                <c:pt idx="166">
                  <c:v>0.3836406</c:v>
                </c:pt>
                <c:pt idx="167">
                  <c:v>0.38594469999999997</c:v>
                </c:pt>
                <c:pt idx="168">
                  <c:v>0.38824880000000001</c:v>
                </c:pt>
                <c:pt idx="169">
                  <c:v>0.39055299999999998</c:v>
                </c:pt>
                <c:pt idx="170">
                  <c:v>0.39285710000000001</c:v>
                </c:pt>
                <c:pt idx="171">
                  <c:v>0.39516129999999999</c:v>
                </c:pt>
                <c:pt idx="172">
                  <c:v>0.39746540000000002</c:v>
                </c:pt>
                <c:pt idx="173">
                  <c:v>0.3997696</c:v>
                </c:pt>
                <c:pt idx="174">
                  <c:v>0.40207369999999998</c:v>
                </c:pt>
                <c:pt idx="175">
                  <c:v>0.40437790000000001</c:v>
                </c:pt>
                <c:pt idx="176">
                  <c:v>0.40668199999999999</c:v>
                </c:pt>
                <c:pt idx="177">
                  <c:v>0.40898620000000002</c:v>
                </c:pt>
                <c:pt idx="178">
                  <c:v>0.4112903</c:v>
                </c:pt>
                <c:pt idx="179">
                  <c:v>0.41359449999999998</c:v>
                </c:pt>
                <c:pt idx="180">
                  <c:v>0.41589860000000001</c:v>
                </c:pt>
                <c:pt idx="181">
                  <c:v>0.41820279999999999</c:v>
                </c:pt>
                <c:pt idx="182">
                  <c:v>0.42050690000000002</c:v>
                </c:pt>
                <c:pt idx="183">
                  <c:v>0.4228111</c:v>
                </c:pt>
                <c:pt idx="184">
                  <c:v>0.42511520000000003</c:v>
                </c:pt>
                <c:pt idx="185">
                  <c:v>0.4274194</c:v>
                </c:pt>
                <c:pt idx="186">
                  <c:v>0.42972349999999998</c:v>
                </c:pt>
                <c:pt idx="187">
                  <c:v>0.43202760000000001</c:v>
                </c:pt>
                <c:pt idx="188">
                  <c:v>0.43433179999999999</c:v>
                </c:pt>
                <c:pt idx="189">
                  <c:v>0.43663590000000002</c:v>
                </c:pt>
                <c:pt idx="190">
                  <c:v>0.4389401</c:v>
                </c:pt>
                <c:pt idx="191">
                  <c:v>0.44124419999999998</c:v>
                </c:pt>
                <c:pt idx="192">
                  <c:v>0.44354840000000001</c:v>
                </c:pt>
                <c:pt idx="193">
                  <c:v>0.44585249999999998</c:v>
                </c:pt>
                <c:pt idx="194">
                  <c:v>0.44815670000000002</c:v>
                </c:pt>
                <c:pt idx="195">
                  <c:v>0.45046079999999999</c:v>
                </c:pt>
                <c:pt idx="196">
                  <c:v>0.45276499999999997</c:v>
                </c:pt>
                <c:pt idx="197">
                  <c:v>0.4550691</c:v>
                </c:pt>
                <c:pt idx="198">
                  <c:v>0.45737329999999998</c:v>
                </c:pt>
                <c:pt idx="199">
                  <c:v>0.45967740000000001</c:v>
                </c:pt>
                <c:pt idx="200">
                  <c:v>0.46198159999999999</c:v>
                </c:pt>
                <c:pt idx="201">
                  <c:v>0.46428570000000002</c:v>
                </c:pt>
                <c:pt idx="202">
                  <c:v>0.4665899</c:v>
                </c:pt>
                <c:pt idx="203">
                  <c:v>0.46889399999999998</c:v>
                </c:pt>
                <c:pt idx="204">
                  <c:v>0.47119820000000001</c:v>
                </c:pt>
                <c:pt idx="205">
                  <c:v>0.47350229999999999</c:v>
                </c:pt>
                <c:pt idx="206">
                  <c:v>0.47580650000000002</c:v>
                </c:pt>
                <c:pt idx="207">
                  <c:v>0.4781106</c:v>
                </c:pt>
                <c:pt idx="208">
                  <c:v>0.48041469999999997</c:v>
                </c:pt>
                <c:pt idx="209">
                  <c:v>0.48271890000000001</c:v>
                </c:pt>
                <c:pt idx="210">
                  <c:v>0.48502299999999998</c:v>
                </c:pt>
                <c:pt idx="211">
                  <c:v>0.48732720000000002</c:v>
                </c:pt>
                <c:pt idx="212">
                  <c:v>0.48963129999999999</c:v>
                </c:pt>
                <c:pt idx="213">
                  <c:v>0.49193550000000003</c:v>
                </c:pt>
                <c:pt idx="214">
                  <c:v>0.4942396</c:v>
                </c:pt>
                <c:pt idx="215">
                  <c:v>0.49654379999999998</c:v>
                </c:pt>
                <c:pt idx="216">
                  <c:v>0.49884790000000001</c:v>
                </c:pt>
              </c:numCache>
            </c:numRef>
          </c:xVal>
          <c:yVal>
            <c:numRef>
              <c:f>補間あり線形IGA!$AO$3:$AO$219</c:f>
              <c:numCache>
                <c:formatCode>0.00E+00</c:formatCode>
                <c:ptCount val="217"/>
                <c:pt idx="0">
                  <c:v>0.20139351612919201</c:v>
                </c:pt>
                <c:pt idx="1">
                  <c:v>0.19990462831004199</c:v>
                </c:pt>
                <c:pt idx="2">
                  <c:v>0.20139183845563499</c:v>
                </c:pt>
                <c:pt idx="3">
                  <c:v>0.199298906717467</c:v>
                </c:pt>
                <c:pt idx="4">
                  <c:v>0.20139462226992699</c:v>
                </c:pt>
                <c:pt idx="5">
                  <c:v>0.199881155331501</c:v>
                </c:pt>
                <c:pt idx="6">
                  <c:v>0.20124333209199199</c:v>
                </c:pt>
                <c:pt idx="7">
                  <c:v>0.201247719904321</c:v>
                </c:pt>
                <c:pt idx="8">
                  <c:v>0.19989345817225199</c:v>
                </c:pt>
                <c:pt idx="9">
                  <c:v>0.20141397029291999</c:v>
                </c:pt>
                <c:pt idx="10">
                  <c:v>0.199324694807366</c:v>
                </c:pt>
                <c:pt idx="11">
                  <c:v>0.201422307073575</c:v>
                </c:pt>
                <c:pt idx="12">
                  <c:v>0.19991391459909899</c:v>
                </c:pt>
                <c:pt idx="13">
                  <c:v>0.20127879447222599</c:v>
                </c:pt>
                <c:pt idx="14">
                  <c:v>0.20128756864032801</c:v>
                </c:pt>
                <c:pt idx="15">
                  <c:v>0.19993840509014801</c:v>
                </c:pt>
                <c:pt idx="16">
                  <c:v>0.20146098843072699</c:v>
                </c:pt>
                <c:pt idx="17">
                  <c:v>0.199375882487556</c:v>
                </c:pt>
                <c:pt idx="18">
                  <c:v>0.201474844499265</c:v>
                </c:pt>
                <c:pt idx="19">
                  <c:v>0.19997257965427301</c:v>
                </c:pt>
                <c:pt idx="20">
                  <c:v>0.20133933371936899</c:v>
                </c:pt>
                <c:pt idx="21">
                  <c:v>0.20135249713422099</c:v>
                </c:pt>
                <c:pt idx="22">
                  <c:v>0.200009302613915</c:v>
                </c:pt>
                <c:pt idx="23">
                  <c:v>0.20153284763287699</c:v>
                </c:pt>
                <c:pt idx="24">
                  <c:v>0.19945263508524799</c:v>
                </c:pt>
                <c:pt idx="25">
                  <c:v>0.20155216147812599</c:v>
                </c:pt>
                <c:pt idx="26">
                  <c:v>0.200057076425675</c:v>
                </c:pt>
                <c:pt idx="27">
                  <c:v>0.20142486194961401</c:v>
                </c:pt>
                <c:pt idx="28">
                  <c:v>0.20144241524363801</c:v>
                </c:pt>
                <c:pt idx="29">
                  <c:v>0.20010597500079799</c:v>
                </c:pt>
                <c:pt idx="30">
                  <c:v>0.201629454673699</c:v>
                </c:pt>
                <c:pt idx="31">
                  <c:v>0.199554780196878</c:v>
                </c:pt>
                <c:pt idx="32">
                  <c:v>0.201654136093119</c:v>
                </c:pt>
                <c:pt idx="33">
                  <c:v>0.20016734337928399</c:v>
                </c:pt>
                <c:pt idx="34">
                  <c:v>0.20153527543747299</c:v>
                </c:pt>
                <c:pt idx="35">
                  <c:v>0.201557218078429</c:v>
                </c:pt>
                <c:pt idx="36">
                  <c:v>0.20022836535097999</c:v>
                </c:pt>
                <c:pt idx="37">
                  <c:v>0.20175066794657101</c:v>
                </c:pt>
                <c:pt idx="38">
                  <c:v>0.19968217808166999</c:v>
                </c:pt>
                <c:pt idx="39">
                  <c:v>0.201780591759946</c:v>
                </c:pt>
                <c:pt idx="40">
                  <c:v>0.200303249689642</c:v>
                </c:pt>
                <c:pt idx="41">
                  <c:v>0.20167040754815599</c:v>
                </c:pt>
                <c:pt idx="42">
                  <c:v>0.20169673523930601</c:v>
                </c:pt>
                <c:pt idx="43">
                  <c:v>0.200376308236104</c:v>
                </c:pt>
                <c:pt idx="44">
                  <c:v>0.201896278465796</c:v>
                </c:pt>
                <c:pt idx="45">
                  <c:v>0.19983459406531701</c:v>
                </c:pt>
                <c:pt idx="46">
                  <c:v>0.20193127766215799</c:v>
                </c:pt>
                <c:pt idx="47">
                  <c:v>0.20046462512433499</c:v>
                </c:pt>
                <c:pt idx="48">
                  <c:v>0.20183002637030101</c:v>
                </c:pt>
                <c:pt idx="49">
                  <c:v>0.20186072875553601</c:v>
                </c:pt>
                <c:pt idx="50">
                  <c:v>0.20054960380351999</c:v>
                </c:pt>
                <c:pt idx="51">
                  <c:v>0.202065989633016</c:v>
                </c:pt>
                <c:pt idx="52">
                  <c:v>0.20001172891135599</c:v>
                </c:pt>
                <c:pt idx="53">
                  <c:v>0.20210584540069801</c:v>
                </c:pt>
                <c:pt idx="54">
                  <c:v>0.20065122509224401</c:v>
                </c:pt>
                <c:pt idx="55">
                  <c:v>0.20201380474678399</c:v>
                </c:pt>
                <c:pt idx="56">
                  <c:v>0.202048861886648</c:v>
                </c:pt>
                <c:pt idx="57">
                  <c:v>0.20074796431851399</c:v>
                </c:pt>
                <c:pt idx="58">
                  <c:v>0.20225938819536199</c:v>
                </c:pt>
                <c:pt idx="59">
                  <c:v>0.200213183882612</c:v>
                </c:pt>
                <c:pt idx="60">
                  <c:v>0.20230381741837999</c:v>
                </c:pt>
                <c:pt idx="61">
                  <c:v>0.20086271613696499</c:v>
                </c:pt>
                <c:pt idx="62">
                  <c:v>0.20222129305984499</c:v>
                </c:pt>
                <c:pt idx="63">
                  <c:v>0.20226067085107899</c:v>
                </c:pt>
                <c:pt idx="64">
                  <c:v>0.20097099828201101</c:v>
                </c:pt>
                <c:pt idx="65">
                  <c:v>0.20247590646885599</c:v>
                </c:pt>
                <c:pt idx="66">
                  <c:v>0.20043843681965301</c:v>
                </c:pt>
                <c:pt idx="67">
                  <c:v>0.20252454492288499</c:v>
                </c:pt>
                <c:pt idx="68">
                  <c:v>0.2010986477085</c:v>
                </c:pt>
                <c:pt idx="69">
                  <c:v>0.20245187703026901</c:v>
                </c:pt>
                <c:pt idx="70">
                  <c:v>0.20249552145792499</c:v>
                </c:pt>
                <c:pt idx="71">
                  <c:v>0.20121818752878401</c:v>
                </c:pt>
                <c:pt idx="72">
                  <c:v>0.20271477413293801</c:v>
                </c:pt>
                <c:pt idx="73">
                  <c:v>0.20068682289083201</c:v>
                </c:pt>
                <c:pt idx="74">
                  <c:v>0.20276715573367801</c:v>
                </c:pt>
                <c:pt idx="75">
                  <c:v>0.20135841072921301</c:v>
                </c:pt>
                <c:pt idx="76">
                  <c:v>0.202704728938402</c:v>
                </c:pt>
                <c:pt idx="77">
                  <c:v>0.20275255772980899</c:v>
                </c:pt>
                <c:pt idx="78">
                  <c:v>0.20148882070045701</c:v>
                </c:pt>
                <c:pt idx="79">
                  <c:v>0.20297495236037699</c:v>
                </c:pt>
                <c:pt idx="80">
                  <c:v>0.20095747555854501</c:v>
                </c:pt>
                <c:pt idx="81">
                  <c:v>0.203030480591158</c:v>
                </c:pt>
                <c:pt idx="82">
                  <c:v>0.20164120931290799</c:v>
                </c:pt>
                <c:pt idx="83">
                  <c:v>0.20297873574125699</c:v>
                </c:pt>
                <c:pt idx="84">
                  <c:v>0.203030629242032</c:v>
                </c:pt>
                <c:pt idx="85">
                  <c:v>0.201781995326025</c:v>
                </c:pt>
                <c:pt idx="86">
                  <c:v>0.203255055001475</c:v>
                </c:pt>
                <c:pt idx="87">
                  <c:v>0.201249316066061</c:v>
                </c:pt>
                <c:pt idx="88">
                  <c:v>0.20331296915475899</c:v>
                </c:pt>
                <c:pt idx="89">
                  <c:v>0.20194596234807199</c:v>
                </c:pt>
                <c:pt idx="90">
                  <c:v>0.20327242040590299</c:v>
                </c:pt>
                <c:pt idx="91">
                  <c:v>0.20332820551098599</c:v>
                </c:pt>
                <c:pt idx="92">
                  <c:v>0.202096451350462</c:v>
                </c:pt>
                <c:pt idx="93">
                  <c:v>0.203553230657781</c:v>
                </c:pt>
                <c:pt idx="94">
                  <c:v>0.20156094332294</c:v>
                </c:pt>
                <c:pt idx="95">
                  <c:v>0.20361255609689499</c:v>
                </c:pt>
                <c:pt idx="96">
                  <c:v>0.20227130886957401</c:v>
                </c:pt>
                <c:pt idx="97">
                  <c:v>0.20358381130665601</c:v>
                </c:pt>
                <c:pt idx="98">
                  <c:v>0.203643248467683</c:v>
                </c:pt>
                <c:pt idx="99">
                  <c:v>0.202430658313039</c:v>
                </c:pt>
                <c:pt idx="100">
                  <c:v>0.20386703845683801</c:v>
                </c:pt>
                <c:pt idx="101">
                  <c:v>0.20189063050431399</c:v>
                </c:pt>
                <c:pt idx="102">
                  <c:v>0.20392653185017101</c:v>
                </c:pt>
                <c:pt idx="103">
                  <c:v>0.20261534655477001</c:v>
                </c:pt>
                <c:pt idx="104">
                  <c:v>0.203910321125018</c:v>
                </c:pt>
                <c:pt idx="105">
                  <c:v>0.20397307028122399</c:v>
                </c:pt>
                <c:pt idx="106">
                  <c:v>0.202782402301938</c:v>
                </c:pt>
                <c:pt idx="107">
                  <c:v>0.20419322313993599</c:v>
                </c:pt>
                <c:pt idx="108">
                  <c:v>0.20223614264756401</c:v>
                </c:pt>
                <c:pt idx="109">
                  <c:v>0.204251282847809</c:v>
                </c:pt>
                <c:pt idx="110">
                  <c:v>0.20297577673133901</c:v>
                </c:pt>
                <c:pt idx="111">
                  <c:v>0.204248491874087</c:v>
                </c:pt>
                <c:pt idx="112">
                  <c:v>0.20431409864609901</c:v>
                </c:pt>
                <c:pt idx="113">
                  <c:v>0.20314909645617499</c:v>
                </c:pt>
                <c:pt idx="114">
                  <c:v>0.20452753309354499</c:v>
                </c:pt>
                <c:pt idx="115">
                  <c:v>0.20259471138721899</c:v>
                </c:pt>
                <c:pt idx="116">
                  <c:v>0.20458211015453701</c:v>
                </c:pt>
                <c:pt idx="117">
                  <c:v>0.20334927037399</c:v>
                </c:pt>
                <c:pt idx="118">
                  <c:v>0.20459382459756401</c:v>
                </c:pt>
                <c:pt idx="119">
                  <c:v>0.20466164245312299</c:v>
                </c:pt>
                <c:pt idx="120">
                  <c:v>0.20352686748218399</c:v>
                </c:pt>
                <c:pt idx="121">
                  <c:v>0.20486426070844499</c:v>
                </c:pt>
                <c:pt idx="122">
                  <c:v>0.20296270397072599</c:v>
                </c:pt>
                <c:pt idx="123">
                  <c:v>0.20491268851494601</c:v>
                </c:pt>
                <c:pt idx="124">
                  <c:v>0.20373176142306401</c:v>
                </c:pt>
                <c:pt idx="125">
                  <c:v>0.204940231402478</c:v>
                </c:pt>
                <c:pt idx="126">
                  <c:v>0.205009417412504</c:v>
                </c:pt>
                <c:pt idx="127">
                  <c:v>0.20391113413346601</c:v>
                </c:pt>
                <c:pt idx="128">
                  <c:v>0.20519599855014201</c:v>
                </c:pt>
                <c:pt idx="129">
                  <c:v>0.20333573501978799</c:v>
                </c:pt>
                <c:pt idx="130">
                  <c:v>0.205234855676906</c:v>
                </c:pt>
                <c:pt idx="131">
                  <c:v>0.20411773610488201</c:v>
                </c:pt>
                <c:pt idx="132">
                  <c:v>0.20527986520442501</c:v>
                </c:pt>
                <c:pt idx="133">
                  <c:v>0.205349207547355</c:v>
                </c:pt>
                <c:pt idx="134">
                  <c:v>0.204295261425019</c:v>
                </c:pt>
                <c:pt idx="135">
                  <c:v>0.20551268904898301</c:v>
                </c:pt>
                <c:pt idx="136">
                  <c:v>0.20370704255216199</c:v>
                </c:pt>
                <c:pt idx="137">
                  <c:v>0.20553742581214399</c:v>
                </c:pt>
                <c:pt idx="138">
                  <c:v>0.20449853371135801</c:v>
                </c:pt>
                <c:pt idx="139">
                  <c:v>0.20560176892252599</c:v>
                </c:pt>
                <c:pt idx="140">
                  <c:v>0.20566968380573999</c:v>
                </c:pt>
                <c:pt idx="141">
                  <c:v>0.204670044105316</c:v>
                </c:pt>
                <c:pt idx="142">
                  <c:v>0.20580120730451201</c:v>
                </c:pt>
                <c:pt idx="143">
                  <c:v>0.204070801466326</c:v>
                </c:pt>
                <c:pt idx="144">
                  <c:v>0.205806040105249</c:v>
                </c:pt>
                <c:pt idx="145">
                  <c:v>0.20486732959450399</c:v>
                </c:pt>
                <c:pt idx="146">
                  <c:v>0.20589209821030799</c:v>
                </c:pt>
                <c:pt idx="147">
                  <c:v>0.20595634337372301</c:v>
                </c:pt>
                <c:pt idx="148">
                  <c:v>0.20502471715139001</c:v>
                </c:pt>
                <c:pt idx="149">
                  <c:v>0.20604371085979001</c:v>
                </c:pt>
                <c:pt idx="150">
                  <c:v>0.20440912114676299</c:v>
                </c:pt>
                <c:pt idx="151">
                  <c:v>0.20602046760137199</c:v>
                </c:pt>
                <c:pt idx="152">
                  <c:v>0.20519892918876101</c:v>
                </c:pt>
                <c:pt idx="153">
                  <c:v>0.20613005607267099</c:v>
                </c:pt>
                <c:pt idx="154">
                  <c:v>0.206187455108018</c:v>
                </c:pt>
                <c:pt idx="155">
                  <c:v>0.205337348054868</c:v>
                </c:pt>
                <c:pt idx="156">
                  <c:v>0.206215800651398</c:v>
                </c:pt>
                <c:pt idx="157">
                  <c:v>0.204722381394221</c:v>
                </c:pt>
                <c:pt idx="158">
                  <c:v>0.20615479661460001</c:v>
                </c:pt>
                <c:pt idx="159">
                  <c:v>0.205496869167482</c:v>
                </c:pt>
                <c:pt idx="160">
                  <c:v>0.20629089968883199</c:v>
                </c:pt>
                <c:pt idx="161">
                  <c:v>0.20633742415970399</c:v>
                </c:pt>
                <c:pt idx="162">
                  <c:v>0.20559061378406601</c:v>
                </c:pt>
                <c:pt idx="163">
                  <c:v>0.20628583861164401</c:v>
                </c:pt>
                <c:pt idx="164">
                  <c:v>0.20494263567858501</c:v>
                </c:pt>
                <c:pt idx="165">
                  <c:v>0.20617062844689699</c:v>
                </c:pt>
                <c:pt idx="166">
                  <c:v>0.20567051279411699</c:v>
                </c:pt>
                <c:pt idx="167">
                  <c:v>0.20633061737355499</c:v>
                </c:pt>
                <c:pt idx="168">
                  <c:v>0.20635903598737301</c:v>
                </c:pt>
                <c:pt idx="169">
                  <c:v>0.20572670698930101</c:v>
                </c:pt>
                <c:pt idx="170">
                  <c:v>0.20620369189431301</c:v>
                </c:pt>
                <c:pt idx="171">
                  <c:v>0.205120799179068</c:v>
                </c:pt>
                <c:pt idx="172">
                  <c:v>0.20601951235694599</c:v>
                </c:pt>
                <c:pt idx="173">
                  <c:v>0.20578546960473901</c:v>
                </c:pt>
                <c:pt idx="174">
                  <c:v>0.206204875082351</c:v>
                </c:pt>
                <c:pt idx="175">
                  <c:v>0.20620817785394299</c:v>
                </c:pt>
                <c:pt idx="176">
                  <c:v>0.205700407624651</c:v>
                </c:pt>
                <c:pt idx="177">
                  <c:v>0.20591341023544299</c:v>
                </c:pt>
                <c:pt idx="178">
                  <c:v>0.20496681791298599</c:v>
                </c:pt>
                <c:pt idx="179">
                  <c:v>0.205619537929983</c:v>
                </c:pt>
                <c:pt idx="180">
                  <c:v>0.205508569535892</c:v>
                </c:pt>
                <c:pt idx="181">
                  <c:v>0.205801619497544</c:v>
                </c:pt>
                <c:pt idx="182">
                  <c:v>0.205760741563455</c:v>
                </c:pt>
                <c:pt idx="183">
                  <c:v>0.20535903766681199</c:v>
                </c:pt>
                <c:pt idx="184">
                  <c:v>0.20529470966562599</c:v>
                </c:pt>
                <c:pt idx="185">
                  <c:v>0.20473265622689699</c:v>
                </c:pt>
                <c:pt idx="186">
                  <c:v>0.20487636930783801</c:v>
                </c:pt>
                <c:pt idx="187">
                  <c:v>0.20508578365628499</c:v>
                </c:pt>
                <c:pt idx="188">
                  <c:v>0.20503962710767701</c:v>
                </c:pt>
                <c:pt idx="189">
                  <c:v>0.20493963713024799</c:v>
                </c:pt>
                <c:pt idx="190">
                  <c:v>0.20442918465249299</c:v>
                </c:pt>
                <c:pt idx="191">
                  <c:v>0.204236913766212</c:v>
                </c:pt>
                <c:pt idx="192">
                  <c:v>0.20319572738144101</c:v>
                </c:pt>
                <c:pt idx="193">
                  <c:v>0.20356364957235701</c:v>
                </c:pt>
                <c:pt idx="194">
                  <c:v>0.203347453540351</c:v>
                </c:pt>
                <c:pt idx="195">
                  <c:v>0.20355555777295301</c:v>
                </c:pt>
                <c:pt idx="196">
                  <c:v>0.203340065927792</c:v>
                </c:pt>
                <c:pt idx="197">
                  <c:v>0.20241179246082999</c:v>
                </c:pt>
                <c:pt idx="198">
                  <c:v>0.20239208582155399</c:v>
                </c:pt>
                <c:pt idx="199">
                  <c:v>0.20075764324263601</c:v>
                </c:pt>
                <c:pt idx="200">
                  <c:v>0.20146775735057501</c:v>
                </c:pt>
                <c:pt idx="201">
                  <c:v>0.20030805712431901</c:v>
                </c:pt>
                <c:pt idx="202">
                  <c:v>0.201116470380344</c:v>
                </c:pt>
                <c:pt idx="203">
                  <c:v>0.20070294734747901</c:v>
                </c:pt>
                <c:pt idx="204">
                  <c:v>0.19689787577726101</c:v>
                </c:pt>
                <c:pt idx="205">
                  <c:v>0.19931085590070299</c:v>
                </c:pt>
                <c:pt idx="206">
                  <c:v>0.191042101471077</c:v>
                </c:pt>
                <c:pt idx="207">
                  <c:v>0.19756361413360199</c:v>
                </c:pt>
                <c:pt idx="208">
                  <c:v>0.19050966367245101</c:v>
                </c:pt>
                <c:pt idx="209">
                  <c:v>0.19610130821748001</c:v>
                </c:pt>
                <c:pt idx="210">
                  <c:v>0.195304436284432</c:v>
                </c:pt>
                <c:pt idx="211">
                  <c:v>0.180596267577533</c:v>
                </c:pt>
                <c:pt idx="212">
                  <c:v>0.19347760971351399</c:v>
                </c:pt>
                <c:pt idx="213">
                  <c:v>0.15147238253753001</c:v>
                </c:pt>
                <c:pt idx="214">
                  <c:v>0.189460889172505</c:v>
                </c:pt>
                <c:pt idx="215">
                  <c:v>0.14354414722893</c:v>
                </c:pt>
                <c:pt idx="216">
                  <c:v>0.18433904490429001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97-45FE-B3EA-5AFF37958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576079"/>
        <c:axId val="845562159"/>
      </c:scatterChart>
      <c:valAx>
        <c:axId val="84557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5562159"/>
        <c:crosses val="autoZero"/>
        <c:crossBetween val="midCat"/>
      </c:valAx>
      <c:valAx>
        <c:axId val="845562159"/>
        <c:scaling>
          <c:orientation val="minMax"/>
          <c:min val="0.175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5576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Sheet1!$K$2:$K$17</c:f>
              <c:numCache>
                <c:formatCode>0.00E+00</c:formatCode>
                <c:ptCount val="16"/>
                <c:pt idx="0">
                  <c:v>0.199878639631451</c:v>
                </c:pt>
                <c:pt idx="1">
                  <c:v>0.19996715117472399</c:v>
                </c:pt>
                <c:pt idx="2">
                  <c:v>0.20012428212191799</c:v>
                </c:pt>
                <c:pt idx="3">
                  <c:v>0.20043016580794201</c:v>
                </c:pt>
                <c:pt idx="4">
                  <c:v>0.20073709624622901</c:v>
                </c:pt>
                <c:pt idx="5">
                  <c:v>0.20118723338237501</c:v>
                </c:pt>
                <c:pt idx="6">
                  <c:v>0.201646576695443</c:v>
                </c:pt>
                <c:pt idx="7">
                  <c:v>0.20232630473097099</c:v>
                </c:pt>
                <c:pt idx="8">
                  <c:v>0.202857744787344</c:v>
                </c:pt>
                <c:pt idx="9">
                  <c:v>0.20352154683951501</c:v>
                </c:pt>
                <c:pt idx="10">
                  <c:v>0.204099756482125</c:v>
                </c:pt>
                <c:pt idx="11">
                  <c:v>0.204740023952829</c:v>
                </c:pt>
                <c:pt idx="12">
                  <c:v>0.20484434001568699</c:v>
                </c:pt>
                <c:pt idx="13">
                  <c:v>0.20423082370818901</c:v>
                </c:pt>
                <c:pt idx="14">
                  <c:v>0.20226773253215499</c:v>
                </c:pt>
                <c:pt idx="15">
                  <c:v>0.19250670265921199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A-4E9B-8CEA-6DEB6A5FE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676335"/>
        <c:axId val="1324675855"/>
      </c:scatterChart>
      <c:valAx>
        <c:axId val="1324676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4675855"/>
        <c:crosses val="autoZero"/>
        <c:crossBetween val="midCat"/>
      </c:valAx>
      <c:valAx>
        <c:axId val="132467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4676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 w="38100">
              <a:noFill/>
            </a:ln>
          </c:spPr>
          <c:xVal>
            <c:numRef>
              <c:f>補間なし線形IGA!$H$3:$H$64</c:f>
              <c:numCache>
                <c:formatCode>0.00E+00</c:formatCode>
                <c:ptCount val="62"/>
                <c:pt idx="0">
                  <c:v>8.0645160000000007E-3</c:v>
                </c:pt>
                <c:pt idx="1">
                  <c:v>2.4193550000000001E-2</c:v>
                </c:pt>
                <c:pt idx="2">
                  <c:v>4.0322579999999997E-2</c:v>
                </c:pt>
                <c:pt idx="3">
                  <c:v>5.6451609999999999E-2</c:v>
                </c:pt>
                <c:pt idx="4">
                  <c:v>7.2580649999999997E-2</c:v>
                </c:pt>
                <c:pt idx="5">
                  <c:v>8.8709679999999999E-2</c:v>
                </c:pt>
                <c:pt idx="6">
                  <c:v>0.10483870000000001</c:v>
                </c:pt>
                <c:pt idx="7">
                  <c:v>0.1209677</c:v>
                </c:pt>
                <c:pt idx="8">
                  <c:v>0.13709679999999999</c:v>
                </c:pt>
                <c:pt idx="9">
                  <c:v>0.1532258</c:v>
                </c:pt>
                <c:pt idx="10">
                  <c:v>0.1693548</c:v>
                </c:pt>
                <c:pt idx="11">
                  <c:v>0.18548390000000001</c:v>
                </c:pt>
                <c:pt idx="12">
                  <c:v>0.20161290000000001</c:v>
                </c:pt>
                <c:pt idx="13">
                  <c:v>0.21774189999999999</c:v>
                </c:pt>
                <c:pt idx="14">
                  <c:v>0.233871</c:v>
                </c:pt>
                <c:pt idx="15">
                  <c:v>0.25</c:v>
                </c:pt>
                <c:pt idx="16">
                  <c:v>0.266129</c:v>
                </c:pt>
                <c:pt idx="17">
                  <c:v>0.28225810000000001</c:v>
                </c:pt>
                <c:pt idx="18">
                  <c:v>0.29838710000000002</c:v>
                </c:pt>
                <c:pt idx="19">
                  <c:v>0.31451610000000002</c:v>
                </c:pt>
                <c:pt idx="20">
                  <c:v>0.33064519999999997</c:v>
                </c:pt>
                <c:pt idx="21">
                  <c:v>0.34677419999999998</c:v>
                </c:pt>
                <c:pt idx="22">
                  <c:v>0.36290319999999998</c:v>
                </c:pt>
                <c:pt idx="23">
                  <c:v>0.37903229999999999</c:v>
                </c:pt>
                <c:pt idx="24">
                  <c:v>0.39516129999999999</c:v>
                </c:pt>
                <c:pt idx="25">
                  <c:v>0.4112903</c:v>
                </c:pt>
                <c:pt idx="26">
                  <c:v>0.4274194</c:v>
                </c:pt>
                <c:pt idx="27">
                  <c:v>0.44354840000000001</c:v>
                </c:pt>
                <c:pt idx="28">
                  <c:v>0.45967740000000001</c:v>
                </c:pt>
                <c:pt idx="29">
                  <c:v>0.47580650000000002</c:v>
                </c:pt>
                <c:pt idx="30">
                  <c:v>0.49193550000000003</c:v>
                </c:pt>
              </c:numCache>
            </c:numRef>
          </c:xVal>
          <c:yVal>
            <c:numRef>
              <c:f>補間なし線形IGA!$K$3:$K$64</c:f>
              <c:numCache>
                <c:formatCode>0.00E+00</c:formatCode>
                <c:ptCount val="62"/>
                <c:pt idx="0">
                  <c:v>0.20074039419440201</c:v>
                </c:pt>
                <c:pt idx="1">
                  <c:v>0.20076608588165001</c:v>
                </c:pt>
                <c:pt idx="2">
                  <c:v>0.20081732872900901</c:v>
                </c:pt>
                <c:pt idx="3">
                  <c:v>0.20089416486393</c:v>
                </c:pt>
                <c:pt idx="4">
                  <c:v>0.20099650745277001</c:v>
                </c:pt>
                <c:pt idx="5">
                  <c:v>0.20112426235793601</c:v>
                </c:pt>
                <c:pt idx="6">
                  <c:v>0.20127727483197799</c:v>
                </c:pt>
                <c:pt idx="7">
                  <c:v>0.20145532805821301</c:v>
                </c:pt>
                <c:pt idx="8">
                  <c:v>0.201658113854536</c:v>
                </c:pt>
                <c:pt idx="9">
                  <c:v>0.20188520345871599</c:v>
                </c:pt>
                <c:pt idx="10">
                  <c:v>0.20213601008436799</c:v>
                </c:pt>
                <c:pt idx="11">
                  <c:v>0.20240973218384301</c:v>
                </c:pt>
                <c:pt idx="12">
                  <c:v>0.20270529566025999</c:v>
                </c:pt>
                <c:pt idx="13">
                  <c:v>0.203021248854836</c:v>
                </c:pt>
                <c:pt idx="14">
                  <c:v>0.203355670514489</c:v>
                </c:pt>
                <c:pt idx="15">
                  <c:v>0.20370596731729401</c:v>
                </c:pt>
                <c:pt idx="16">
                  <c:v>0.204068727665288</c:v>
                </c:pt>
                <c:pt idx="17">
                  <c:v>0.20443928871519099</c:v>
                </c:pt>
                <c:pt idx="18">
                  <c:v>0.204811565434252</c:v>
                </c:pt>
                <c:pt idx="19">
                  <c:v>0.205176857847854</c:v>
                </c:pt>
                <c:pt idx="20">
                  <c:v>0.20552426345892899</c:v>
                </c:pt>
                <c:pt idx="21">
                  <c:v>0.20583604876460501</c:v>
                </c:pt>
                <c:pt idx="22">
                  <c:v>0.20609303388632699</c:v>
                </c:pt>
                <c:pt idx="23">
                  <c:v>0.20625310845677999</c:v>
                </c:pt>
                <c:pt idx="24">
                  <c:v>0.206284526126019</c:v>
                </c:pt>
                <c:pt idx="25">
                  <c:v>0.206067291392146</c:v>
                </c:pt>
                <c:pt idx="26">
                  <c:v>0.20554749205137901</c:v>
                </c:pt>
                <c:pt idx="27">
                  <c:v>0.204318985913712</c:v>
                </c:pt>
                <c:pt idx="28">
                  <c:v>0.202149578982349</c:v>
                </c:pt>
                <c:pt idx="29">
                  <c:v>0.19706786945076099</c:v>
                </c:pt>
                <c:pt idx="30">
                  <c:v>0.182193598833092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11D1-4E64-9B97-CEA2C781D7A2}"/>
            </c:ext>
          </c:extLst>
        </c:ser>
        <c:ser>
          <c:idx val="3"/>
          <c:order val="1"/>
          <c:spPr>
            <a:ln w="38100" cap="rnd">
              <a:noFill/>
              <a:round/>
            </a:ln>
            <a:effectLst/>
          </c:spPr>
          <c:xVal>
            <c:numRef>
              <c:f>Sheet1!$F$2:$F$17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Sheet1!$K$2:$K$17</c:f>
              <c:numCache>
                <c:formatCode>0.00E+00</c:formatCode>
                <c:ptCount val="16"/>
                <c:pt idx="0">
                  <c:v>0.199878639631451</c:v>
                </c:pt>
                <c:pt idx="1">
                  <c:v>0.19996715117472399</c:v>
                </c:pt>
                <c:pt idx="2">
                  <c:v>0.20012428212191799</c:v>
                </c:pt>
                <c:pt idx="3">
                  <c:v>0.20043016580794201</c:v>
                </c:pt>
                <c:pt idx="4">
                  <c:v>0.20073709624622901</c:v>
                </c:pt>
                <c:pt idx="5">
                  <c:v>0.20118723338237501</c:v>
                </c:pt>
                <c:pt idx="6">
                  <c:v>0.201646576695443</c:v>
                </c:pt>
                <c:pt idx="7">
                  <c:v>0.20232630473097099</c:v>
                </c:pt>
                <c:pt idx="8">
                  <c:v>0.202857744787344</c:v>
                </c:pt>
                <c:pt idx="9">
                  <c:v>0.20352154683951501</c:v>
                </c:pt>
                <c:pt idx="10">
                  <c:v>0.204099756482125</c:v>
                </c:pt>
                <c:pt idx="11">
                  <c:v>0.204740023952829</c:v>
                </c:pt>
                <c:pt idx="12">
                  <c:v>0.20484434001568699</c:v>
                </c:pt>
                <c:pt idx="13">
                  <c:v>0.20423082370818901</c:v>
                </c:pt>
                <c:pt idx="14">
                  <c:v>0.20226773253215499</c:v>
                </c:pt>
                <c:pt idx="15">
                  <c:v>0.19250670265921199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11D1-4E64-9B97-CEA2C781D7A2}"/>
            </c:ext>
          </c:extLst>
        </c:ser>
        <c:ser>
          <c:idx val="4"/>
          <c:order val="2"/>
          <c:tx>
            <c:strRef>
              <c:f>Sheet1!$AD$1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Sheet1!$Y$2:$Y$17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Sheet1!$AD$2:$AD$17</c:f>
              <c:numCache>
                <c:formatCode>0.00E+00</c:formatCode>
                <c:ptCount val="16"/>
                <c:pt idx="0">
                  <c:v>0.19987728421887299</c:v>
                </c:pt>
                <c:pt idx="1">
                  <c:v>0.19994515558298501</c:v>
                </c:pt>
                <c:pt idx="2">
                  <c:v>0.20016373950545099</c:v>
                </c:pt>
                <c:pt idx="3">
                  <c:v>0.20041880381239799</c:v>
                </c:pt>
                <c:pt idx="4">
                  <c:v>0.20071156278277699</c:v>
                </c:pt>
                <c:pt idx="5">
                  <c:v>0.20120506145705999</c:v>
                </c:pt>
                <c:pt idx="6">
                  <c:v>0.20167410525061899</c:v>
                </c:pt>
                <c:pt idx="7">
                  <c:v>0.202313020906665</c:v>
                </c:pt>
                <c:pt idx="8">
                  <c:v>0.20284390215953199</c:v>
                </c:pt>
                <c:pt idx="9">
                  <c:v>0.20356842248412699</c:v>
                </c:pt>
                <c:pt idx="10">
                  <c:v>0.20406046700819699</c:v>
                </c:pt>
                <c:pt idx="11">
                  <c:v>0.20477513407895101</c:v>
                </c:pt>
                <c:pt idx="12">
                  <c:v>0.20499643662710099</c:v>
                </c:pt>
                <c:pt idx="13">
                  <c:v>0.204145576311694</c:v>
                </c:pt>
                <c:pt idx="14">
                  <c:v>0.20236646895780699</c:v>
                </c:pt>
                <c:pt idx="15">
                  <c:v>0.192240266331548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11D1-4E64-9B97-CEA2C781D7A2}"/>
            </c:ext>
          </c:extLst>
        </c:ser>
        <c:ser>
          <c:idx val="5"/>
          <c:order val="3"/>
          <c:tx>
            <c:strRef>
              <c:f>Sheet1!$AP$1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Sheet1!$AK$2:$AK$81</c:f>
              <c:numCache>
                <c:formatCode>0.00E+00</c:formatCode>
                <c:ptCount val="80"/>
                <c:pt idx="0">
                  <c:v>3.1250000000000002E-3</c:v>
                </c:pt>
                <c:pt idx="1">
                  <c:v>9.3749999999999997E-3</c:v>
                </c:pt>
                <c:pt idx="2">
                  <c:v>1.5625E-2</c:v>
                </c:pt>
                <c:pt idx="3">
                  <c:v>2.1874999999999999E-2</c:v>
                </c:pt>
                <c:pt idx="4">
                  <c:v>2.8125000000000001E-2</c:v>
                </c:pt>
                <c:pt idx="5">
                  <c:v>3.4375000000000003E-2</c:v>
                </c:pt>
                <c:pt idx="6">
                  <c:v>4.0625000000000001E-2</c:v>
                </c:pt>
                <c:pt idx="7">
                  <c:v>4.6875E-2</c:v>
                </c:pt>
                <c:pt idx="8">
                  <c:v>5.3124999999999999E-2</c:v>
                </c:pt>
                <c:pt idx="9">
                  <c:v>5.9374999999999997E-2</c:v>
                </c:pt>
                <c:pt idx="10">
                  <c:v>6.5625000000000003E-2</c:v>
                </c:pt>
                <c:pt idx="11">
                  <c:v>7.1874999999999994E-2</c:v>
                </c:pt>
                <c:pt idx="12">
                  <c:v>7.8125E-2</c:v>
                </c:pt>
                <c:pt idx="13">
                  <c:v>8.4375000000000006E-2</c:v>
                </c:pt>
                <c:pt idx="14">
                  <c:v>9.0624999999999997E-2</c:v>
                </c:pt>
                <c:pt idx="15">
                  <c:v>9.6875000000000003E-2</c:v>
                </c:pt>
                <c:pt idx="16">
                  <c:v>0.10312499999999999</c:v>
                </c:pt>
                <c:pt idx="17">
                  <c:v>0.109375</c:v>
                </c:pt>
                <c:pt idx="18">
                  <c:v>0.11562500000000001</c:v>
                </c:pt>
                <c:pt idx="19">
                  <c:v>0.121875</c:v>
                </c:pt>
                <c:pt idx="20">
                  <c:v>0.12812499999999999</c:v>
                </c:pt>
                <c:pt idx="21">
                  <c:v>0.13437499999999999</c:v>
                </c:pt>
                <c:pt idx="22">
                  <c:v>0.140625</c:v>
                </c:pt>
                <c:pt idx="23">
                  <c:v>0.14687500000000001</c:v>
                </c:pt>
                <c:pt idx="24">
                  <c:v>0.15312500000000001</c:v>
                </c:pt>
                <c:pt idx="25">
                  <c:v>0.15937499999999999</c:v>
                </c:pt>
                <c:pt idx="26">
                  <c:v>0.16562499999999999</c:v>
                </c:pt>
                <c:pt idx="27">
                  <c:v>0.171875</c:v>
                </c:pt>
                <c:pt idx="28">
                  <c:v>0.17812500000000001</c:v>
                </c:pt>
                <c:pt idx="29">
                  <c:v>0.18437500000000001</c:v>
                </c:pt>
                <c:pt idx="30">
                  <c:v>0.19062499999999999</c:v>
                </c:pt>
                <c:pt idx="31">
                  <c:v>0.19687499999999999</c:v>
                </c:pt>
                <c:pt idx="32">
                  <c:v>0.203125</c:v>
                </c:pt>
                <c:pt idx="33">
                  <c:v>0.20937500000000001</c:v>
                </c:pt>
                <c:pt idx="34">
                  <c:v>0.21562500000000001</c:v>
                </c:pt>
                <c:pt idx="35">
                  <c:v>0.22187499999999999</c:v>
                </c:pt>
                <c:pt idx="36">
                  <c:v>0.22812499999999999</c:v>
                </c:pt>
                <c:pt idx="37">
                  <c:v>0.234375</c:v>
                </c:pt>
                <c:pt idx="38">
                  <c:v>0.24062500000000001</c:v>
                </c:pt>
                <c:pt idx="39">
                  <c:v>0.24687500000000001</c:v>
                </c:pt>
                <c:pt idx="40">
                  <c:v>0.25312499999999999</c:v>
                </c:pt>
                <c:pt idx="41">
                  <c:v>0.25937500000000002</c:v>
                </c:pt>
                <c:pt idx="42">
                  <c:v>0.265625</c:v>
                </c:pt>
                <c:pt idx="43">
                  <c:v>0.27187499999999998</c:v>
                </c:pt>
                <c:pt idx="44">
                  <c:v>0.27812500000000001</c:v>
                </c:pt>
                <c:pt idx="45">
                  <c:v>0.28437499999999999</c:v>
                </c:pt>
                <c:pt idx="46">
                  <c:v>0.29062500000000002</c:v>
                </c:pt>
                <c:pt idx="47">
                  <c:v>0.296875</c:v>
                </c:pt>
                <c:pt idx="48">
                  <c:v>0.30312499999999998</c:v>
                </c:pt>
                <c:pt idx="49">
                  <c:v>0.30937500000000001</c:v>
                </c:pt>
                <c:pt idx="50">
                  <c:v>0.31562499999999999</c:v>
                </c:pt>
                <c:pt idx="51">
                  <c:v>0.32187500000000002</c:v>
                </c:pt>
                <c:pt idx="52">
                  <c:v>0.328125</c:v>
                </c:pt>
                <c:pt idx="53">
                  <c:v>0.33437499999999998</c:v>
                </c:pt>
                <c:pt idx="54">
                  <c:v>0.34062500000000001</c:v>
                </c:pt>
                <c:pt idx="55">
                  <c:v>0.34687499999999999</c:v>
                </c:pt>
                <c:pt idx="56">
                  <c:v>0.35312500000000002</c:v>
                </c:pt>
                <c:pt idx="57">
                  <c:v>0.359375</c:v>
                </c:pt>
                <c:pt idx="58">
                  <c:v>0.36562499999999998</c:v>
                </c:pt>
                <c:pt idx="59">
                  <c:v>0.37187500000000001</c:v>
                </c:pt>
                <c:pt idx="60">
                  <c:v>0.37812499999999999</c:v>
                </c:pt>
                <c:pt idx="61">
                  <c:v>0.38437500000000002</c:v>
                </c:pt>
                <c:pt idx="62">
                  <c:v>0.390625</c:v>
                </c:pt>
                <c:pt idx="63">
                  <c:v>0.39687499999999998</c:v>
                </c:pt>
                <c:pt idx="64">
                  <c:v>0.40312500000000001</c:v>
                </c:pt>
                <c:pt idx="65">
                  <c:v>0.40937499999999999</c:v>
                </c:pt>
                <c:pt idx="66">
                  <c:v>0.41562500000000002</c:v>
                </c:pt>
                <c:pt idx="67">
                  <c:v>0.421875</c:v>
                </c:pt>
                <c:pt idx="68">
                  <c:v>0.42812499999999998</c:v>
                </c:pt>
                <c:pt idx="69">
                  <c:v>0.43437500000000001</c:v>
                </c:pt>
                <c:pt idx="70">
                  <c:v>0.44062499999999999</c:v>
                </c:pt>
                <c:pt idx="71">
                  <c:v>0.44687500000000002</c:v>
                </c:pt>
                <c:pt idx="72">
                  <c:v>0.453125</c:v>
                </c:pt>
                <c:pt idx="73">
                  <c:v>0.45937499999999998</c:v>
                </c:pt>
                <c:pt idx="74">
                  <c:v>0.46562500000000001</c:v>
                </c:pt>
                <c:pt idx="75">
                  <c:v>0.47187499999999999</c:v>
                </c:pt>
                <c:pt idx="76">
                  <c:v>0.47812500000000002</c:v>
                </c:pt>
                <c:pt idx="77">
                  <c:v>0.484375</c:v>
                </c:pt>
                <c:pt idx="78">
                  <c:v>0.49062499999999998</c:v>
                </c:pt>
                <c:pt idx="79">
                  <c:v>0.49687500000000001</c:v>
                </c:pt>
              </c:numCache>
            </c:numRef>
          </c:xVal>
          <c:yVal>
            <c:numRef>
              <c:f>Sheet1!$AP$2:$AP$81</c:f>
              <c:numCache>
                <c:formatCode>0.00E+00</c:formatCode>
                <c:ptCount val="80"/>
                <c:pt idx="0">
                  <c:v>0.199592180405081</c:v>
                </c:pt>
                <c:pt idx="1">
                  <c:v>0.19960705471977</c:v>
                </c:pt>
                <c:pt idx="2">
                  <c:v>0.199622637805417</c:v>
                </c:pt>
                <c:pt idx="3">
                  <c:v>0.19963890718230301</c:v>
                </c:pt>
                <c:pt idx="4">
                  <c:v>0.199655841164571</c:v>
                </c:pt>
                <c:pt idx="5">
                  <c:v>0.19967341919696899</c:v>
                </c:pt>
                <c:pt idx="6">
                  <c:v>0.19969162219033701</c:v>
                </c:pt>
                <c:pt idx="7">
                  <c:v>0.19971043285554099</c:v>
                </c:pt>
                <c:pt idx="8">
                  <c:v>0.19972983603594399</c:v>
                </c:pt>
                <c:pt idx="9">
                  <c:v>0.199749819038499</c:v>
                </c:pt>
                <c:pt idx="10">
                  <c:v>0.19978788598952499</c:v>
                </c:pt>
                <c:pt idx="11">
                  <c:v>0.19984442063830901</c:v>
                </c:pt>
                <c:pt idx="12">
                  <c:v>0.199902027322305</c:v>
                </c:pt>
                <c:pt idx="13">
                  <c:v>0.19996065547443401</c:v>
                </c:pt>
                <c:pt idx="14">
                  <c:v>0.200020256486971</c:v>
                </c:pt>
                <c:pt idx="15">
                  <c:v>0.20008078398370399</c:v>
                </c:pt>
                <c:pt idx="16">
                  <c:v>0.20014219409279699</c:v>
                </c:pt>
                <c:pt idx="17">
                  <c:v>0.20020444572036999</c:v>
                </c:pt>
                <c:pt idx="18">
                  <c:v>0.20026750082486899</c:v>
                </c:pt>
                <c:pt idx="19">
                  <c:v>0.20033132469208301</c:v>
                </c:pt>
                <c:pt idx="20">
                  <c:v>0.20040621590088301</c:v>
                </c:pt>
                <c:pt idx="21">
                  <c:v>0.200492405524588</c:v>
                </c:pt>
                <c:pt idx="22">
                  <c:v>0.20057956892873899</c:v>
                </c:pt>
                <c:pt idx="23">
                  <c:v>0.200667587871316</c:v>
                </c:pt>
                <c:pt idx="24">
                  <c:v>0.20075634786765401</c:v>
                </c:pt>
                <c:pt idx="25">
                  <c:v>0.20084573886612</c:v>
                </c:pt>
                <c:pt idx="26">
                  <c:v>0.20093565592957499</c:v>
                </c:pt>
                <c:pt idx="27">
                  <c:v>0.20102599992320599</c:v>
                </c:pt>
                <c:pt idx="28">
                  <c:v>0.20111667820811299</c:v>
                </c:pt>
                <c:pt idx="29">
                  <c:v>0.20120760534118001</c:v>
                </c:pt>
                <c:pt idx="30">
                  <c:v>0.20132211487822699</c:v>
                </c:pt>
                <c:pt idx="31">
                  <c:v>0.20145989156452401</c:v>
                </c:pt>
                <c:pt idx="32">
                  <c:v>0.201597240245074</c:v>
                </c:pt>
                <c:pt idx="33">
                  <c:v>0.201733950241056</c:v>
                </c:pt>
                <c:pt idx="34">
                  <c:v>0.201869815231142</c:v>
                </c:pt>
                <c:pt idx="35">
                  <c:v>0.202004635100001</c:v>
                </c:pt>
                <c:pt idx="36">
                  <c:v>0.20213821780348801</c:v>
                </c:pt>
                <c:pt idx="37">
                  <c:v>0.20227038125083199</c:v>
                </c:pt>
                <c:pt idx="38">
                  <c:v>0.20240095520350301</c:v>
                </c:pt>
                <c:pt idx="39">
                  <c:v>0.202529783190987</c:v>
                </c:pt>
                <c:pt idx="40">
                  <c:v>0.20266085118402999</c:v>
                </c:pt>
                <c:pt idx="41">
                  <c:v>0.20279584980868001</c:v>
                </c:pt>
                <c:pt idx="42">
                  <c:v>0.202931000217832</c:v>
                </c:pt>
                <c:pt idx="43">
                  <c:v>0.20306583720580601</c:v>
                </c:pt>
                <c:pt idx="44">
                  <c:v>0.203199909981882</c:v>
                </c:pt>
                <c:pt idx="45">
                  <c:v>0.20333278911302399</c:v>
                </c:pt>
                <c:pt idx="46">
                  <c:v>0.20346407356260501</c:v>
                </c:pt>
                <c:pt idx="47">
                  <c:v>0.203593397825617</c:v>
                </c:pt>
                <c:pt idx="48">
                  <c:v>0.20372043915993501</c:v>
                </c:pt>
                <c:pt idx="49">
                  <c:v>0.20384492491391401</c:v>
                </c:pt>
                <c:pt idx="50">
                  <c:v>0.203999460943184</c:v>
                </c:pt>
                <c:pt idx="51">
                  <c:v>0.204178708715957</c:v>
                </c:pt>
                <c:pt idx="52">
                  <c:v>0.20434697004039101</c:v>
                </c:pt>
                <c:pt idx="53">
                  <c:v>0.20450332969093599</c:v>
                </c:pt>
                <c:pt idx="54">
                  <c:v>0.20464687430790299</c:v>
                </c:pt>
                <c:pt idx="55">
                  <c:v>0.20477671449830401</c:v>
                </c:pt>
                <c:pt idx="56">
                  <c:v>0.204892007157739</c:v>
                </c:pt>
                <c:pt idx="57">
                  <c:v>0.20499197801357999</c:v>
                </c:pt>
                <c:pt idx="58">
                  <c:v>0.20507594438930199</c:v>
                </c:pt>
                <c:pt idx="59">
                  <c:v>0.20514333819000899</c:v>
                </c:pt>
                <c:pt idx="60">
                  <c:v>0.205169434244798</c:v>
                </c:pt>
                <c:pt idx="61">
                  <c:v>0.20515346571226101</c:v>
                </c:pt>
                <c:pt idx="62">
                  <c:v>0.20511716270312799</c:v>
                </c:pt>
                <c:pt idx="63">
                  <c:v>0.20505774992292999</c:v>
                </c:pt>
                <c:pt idx="64">
                  <c:v>0.20497284767576901</c:v>
                </c:pt>
                <c:pt idx="65">
                  <c:v>0.20486073373060201</c:v>
                </c:pt>
                <c:pt idx="66">
                  <c:v>0.20472060927809799</c:v>
                </c:pt>
                <c:pt idx="67">
                  <c:v>0.204552868978571</c:v>
                </c:pt>
                <c:pt idx="68">
                  <c:v>0.20435937510049501</c:v>
                </c:pt>
                <c:pt idx="69">
                  <c:v>0.20414373574997599</c:v>
                </c:pt>
                <c:pt idx="70">
                  <c:v>0.20369910174782199</c:v>
                </c:pt>
                <c:pt idx="71">
                  <c:v>0.20289640603092801</c:v>
                </c:pt>
                <c:pt idx="72">
                  <c:v>0.20187008712705801</c:v>
                </c:pt>
                <c:pt idx="73">
                  <c:v>0.200590296680866</c:v>
                </c:pt>
                <c:pt idx="74">
                  <c:v>0.19902984129076601</c:v>
                </c:pt>
                <c:pt idx="75">
                  <c:v>0.197167741012474</c:v>
                </c:pt>
                <c:pt idx="76">
                  <c:v>0.19499288329575301</c:v>
                </c:pt>
                <c:pt idx="77">
                  <c:v>0.19250777235438299</c:v>
                </c:pt>
                <c:pt idx="78">
                  <c:v>0.18973237396920101</c:v>
                </c:pt>
                <c:pt idx="79">
                  <c:v>0.18670805572452001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11D1-4E64-9B97-CEA2C781D7A2}"/>
            </c:ext>
          </c:extLst>
        </c:ser>
        <c:ser>
          <c:idx val="1"/>
          <c:order val="4"/>
          <c:tx>
            <c:strRef>
              <c:f>Sheet1!$AD$1</c:f>
              <c:strCache>
                <c:ptCount val="1"/>
              </c:strCache>
            </c:strRef>
          </c:tx>
          <c:spPr>
            <a:ln w="38100">
              <a:noFill/>
            </a:ln>
          </c:spPr>
          <c:xVal>
            <c:numRef>
              <c:f>Sheet1!$Y$2:$Y$17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Sheet1!$AD$2:$AD$17</c:f>
              <c:numCache>
                <c:formatCode>0.00E+00</c:formatCode>
                <c:ptCount val="16"/>
                <c:pt idx="0">
                  <c:v>0.19987728421887299</c:v>
                </c:pt>
                <c:pt idx="1">
                  <c:v>0.19994515558298501</c:v>
                </c:pt>
                <c:pt idx="2">
                  <c:v>0.20016373950545099</c:v>
                </c:pt>
                <c:pt idx="3">
                  <c:v>0.20041880381239799</c:v>
                </c:pt>
                <c:pt idx="4">
                  <c:v>0.20071156278277699</c:v>
                </c:pt>
                <c:pt idx="5">
                  <c:v>0.20120506145705999</c:v>
                </c:pt>
                <c:pt idx="6">
                  <c:v>0.20167410525061899</c:v>
                </c:pt>
                <c:pt idx="7">
                  <c:v>0.202313020906665</c:v>
                </c:pt>
                <c:pt idx="8">
                  <c:v>0.20284390215953199</c:v>
                </c:pt>
                <c:pt idx="9">
                  <c:v>0.20356842248412699</c:v>
                </c:pt>
                <c:pt idx="10">
                  <c:v>0.20406046700819699</c:v>
                </c:pt>
                <c:pt idx="11">
                  <c:v>0.20477513407895101</c:v>
                </c:pt>
                <c:pt idx="12">
                  <c:v>0.20499643662710099</c:v>
                </c:pt>
                <c:pt idx="13">
                  <c:v>0.204145576311694</c:v>
                </c:pt>
                <c:pt idx="14">
                  <c:v>0.20236646895780699</c:v>
                </c:pt>
                <c:pt idx="15">
                  <c:v>0.192240266331548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11D1-4E64-9B97-CEA2C781D7A2}"/>
            </c:ext>
          </c:extLst>
        </c:ser>
        <c:ser>
          <c:idx val="0"/>
          <c:order val="5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Sheet1!$K$2:$K$17</c:f>
              <c:numCache>
                <c:formatCode>0.00E+00</c:formatCode>
                <c:ptCount val="16"/>
                <c:pt idx="0">
                  <c:v>0.199878639631451</c:v>
                </c:pt>
                <c:pt idx="1">
                  <c:v>0.19996715117472399</c:v>
                </c:pt>
                <c:pt idx="2">
                  <c:v>0.20012428212191799</c:v>
                </c:pt>
                <c:pt idx="3">
                  <c:v>0.20043016580794201</c:v>
                </c:pt>
                <c:pt idx="4">
                  <c:v>0.20073709624622901</c:v>
                </c:pt>
                <c:pt idx="5">
                  <c:v>0.20118723338237501</c:v>
                </c:pt>
                <c:pt idx="6">
                  <c:v>0.201646576695443</c:v>
                </c:pt>
                <c:pt idx="7">
                  <c:v>0.20232630473097099</c:v>
                </c:pt>
                <c:pt idx="8">
                  <c:v>0.202857744787344</c:v>
                </c:pt>
                <c:pt idx="9">
                  <c:v>0.20352154683951501</c:v>
                </c:pt>
                <c:pt idx="10">
                  <c:v>0.204099756482125</c:v>
                </c:pt>
                <c:pt idx="11">
                  <c:v>0.204740023952829</c:v>
                </c:pt>
                <c:pt idx="12">
                  <c:v>0.20484434001568699</c:v>
                </c:pt>
                <c:pt idx="13">
                  <c:v>0.20423082370818901</c:v>
                </c:pt>
                <c:pt idx="14">
                  <c:v>0.20226773253215499</c:v>
                </c:pt>
                <c:pt idx="15">
                  <c:v>0.19250670265921199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11D1-4E64-9B97-CEA2C781D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676335"/>
        <c:axId val="1324675855"/>
      </c:scatterChart>
      <c:valAx>
        <c:axId val="1324676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4675855"/>
        <c:crosses val="autoZero"/>
        <c:crossBetween val="midCat"/>
      </c:valAx>
      <c:valAx>
        <c:axId val="132467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467633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Sheet1!$AD$1</c:f>
              <c:strCache>
                <c:ptCount val="1"/>
              </c:strCache>
            </c:strRef>
          </c:tx>
          <c:spPr>
            <a:ln w="38100">
              <a:noFill/>
            </a:ln>
          </c:spPr>
          <c:xVal>
            <c:numRef>
              <c:f>Sheet1!$Y$2:$Y$17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Sheet1!$AD$2:$AD$17</c:f>
              <c:numCache>
                <c:formatCode>0.00E+00</c:formatCode>
                <c:ptCount val="16"/>
                <c:pt idx="0">
                  <c:v>0.19987728421887299</c:v>
                </c:pt>
                <c:pt idx="1">
                  <c:v>0.19994515558298501</c:v>
                </c:pt>
                <c:pt idx="2">
                  <c:v>0.20016373950545099</c:v>
                </c:pt>
                <c:pt idx="3">
                  <c:v>0.20041880381239799</c:v>
                </c:pt>
                <c:pt idx="4">
                  <c:v>0.20071156278277699</c:v>
                </c:pt>
                <c:pt idx="5">
                  <c:v>0.20120506145705999</c:v>
                </c:pt>
                <c:pt idx="6">
                  <c:v>0.20167410525061899</c:v>
                </c:pt>
                <c:pt idx="7">
                  <c:v>0.202313020906665</c:v>
                </c:pt>
                <c:pt idx="8">
                  <c:v>0.20284390215953199</c:v>
                </c:pt>
                <c:pt idx="9">
                  <c:v>0.20356842248412699</c:v>
                </c:pt>
                <c:pt idx="10">
                  <c:v>0.20406046700819699</c:v>
                </c:pt>
                <c:pt idx="11">
                  <c:v>0.20477513407895101</c:v>
                </c:pt>
                <c:pt idx="12">
                  <c:v>0.20499643662710099</c:v>
                </c:pt>
                <c:pt idx="13">
                  <c:v>0.204145576311694</c:v>
                </c:pt>
                <c:pt idx="14">
                  <c:v>0.20236646895780699</c:v>
                </c:pt>
                <c:pt idx="15">
                  <c:v>0.192240266331548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EB-4819-9629-AFC428CC4C2D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Sheet1!$K$2:$K$17</c:f>
              <c:numCache>
                <c:formatCode>0.00E+00</c:formatCode>
                <c:ptCount val="16"/>
                <c:pt idx="0">
                  <c:v>0.199878639631451</c:v>
                </c:pt>
                <c:pt idx="1">
                  <c:v>0.19996715117472399</c:v>
                </c:pt>
                <c:pt idx="2">
                  <c:v>0.20012428212191799</c:v>
                </c:pt>
                <c:pt idx="3">
                  <c:v>0.20043016580794201</c:v>
                </c:pt>
                <c:pt idx="4">
                  <c:v>0.20073709624622901</c:v>
                </c:pt>
                <c:pt idx="5">
                  <c:v>0.20118723338237501</c:v>
                </c:pt>
                <c:pt idx="6">
                  <c:v>0.201646576695443</c:v>
                </c:pt>
                <c:pt idx="7">
                  <c:v>0.20232630473097099</c:v>
                </c:pt>
                <c:pt idx="8">
                  <c:v>0.202857744787344</c:v>
                </c:pt>
                <c:pt idx="9">
                  <c:v>0.20352154683951501</c:v>
                </c:pt>
                <c:pt idx="10">
                  <c:v>0.204099756482125</c:v>
                </c:pt>
                <c:pt idx="11">
                  <c:v>0.204740023952829</c:v>
                </c:pt>
                <c:pt idx="12">
                  <c:v>0.20484434001568699</c:v>
                </c:pt>
                <c:pt idx="13">
                  <c:v>0.20423082370818901</c:v>
                </c:pt>
                <c:pt idx="14">
                  <c:v>0.20226773253215499</c:v>
                </c:pt>
                <c:pt idx="15">
                  <c:v>0.19250670265921199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EB-4819-9629-AFC428CC4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676335"/>
        <c:axId val="1324675855"/>
      </c:scatterChart>
      <c:valAx>
        <c:axId val="1324676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4675855"/>
        <c:crosses val="autoZero"/>
        <c:crossBetween val="midCat"/>
      </c:valAx>
      <c:valAx>
        <c:axId val="132467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467633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Sheet1!$AP$1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Sheet1!$AK$2:$AK$81</c:f>
              <c:numCache>
                <c:formatCode>0.00E+00</c:formatCode>
                <c:ptCount val="80"/>
                <c:pt idx="0">
                  <c:v>3.1250000000000002E-3</c:v>
                </c:pt>
                <c:pt idx="1">
                  <c:v>9.3749999999999997E-3</c:v>
                </c:pt>
                <c:pt idx="2">
                  <c:v>1.5625E-2</c:v>
                </c:pt>
                <c:pt idx="3">
                  <c:v>2.1874999999999999E-2</c:v>
                </c:pt>
                <c:pt idx="4">
                  <c:v>2.8125000000000001E-2</c:v>
                </c:pt>
                <c:pt idx="5">
                  <c:v>3.4375000000000003E-2</c:v>
                </c:pt>
                <c:pt idx="6">
                  <c:v>4.0625000000000001E-2</c:v>
                </c:pt>
                <c:pt idx="7">
                  <c:v>4.6875E-2</c:v>
                </c:pt>
                <c:pt idx="8">
                  <c:v>5.3124999999999999E-2</c:v>
                </c:pt>
                <c:pt idx="9">
                  <c:v>5.9374999999999997E-2</c:v>
                </c:pt>
                <c:pt idx="10">
                  <c:v>6.5625000000000003E-2</c:v>
                </c:pt>
                <c:pt idx="11">
                  <c:v>7.1874999999999994E-2</c:v>
                </c:pt>
                <c:pt idx="12">
                  <c:v>7.8125E-2</c:v>
                </c:pt>
                <c:pt idx="13">
                  <c:v>8.4375000000000006E-2</c:v>
                </c:pt>
                <c:pt idx="14">
                  <c:v>9.0624999999999997E-2</c:v>
                </c:pt>
                <c:pt idx="15">
                  <c:v>9.6875000000000003E-2</c:v>
                </c:pt>
                <c:pt idx="16">
                  <c:v>0.10312499999999999</c:v>
                </c:pt>
                <c:pt idx="17">
                  <c:v>0.109375</c:v>
                </c:pt>
                <c:pt idx="18">
                  <c:v>0.11562500000000001</c:v>
                </c:pt>
                <c:pt idx="19">
                  <c:v>0.121875</c:v>
                </c:pt>
                <c:pt idx="20">
                  <c:v>0.12812499999999999</c:v>
                </c:pt>
                <c:pt idx="21">
                  <c:v>0.13437499999999999</c:v>
                </c:pt>
                <c:pt idx="22">
                  <c:v>0.140625</c:v>
                </c:pt>
                <c:pt idx="23">
                  <c:v>0.14687500000000001</c:v>
                </c:pt>
                <c:pt idx="24">
                  <c:v>0.15312500000000001</c:v>
                </c:pt>
                <c:pt idx="25">
                  <c:v>0.15937499999999999</c:v>
                </c:pt>
                <c:pt idx="26">
                  <c:v>0.16562499999999999</c:v>
                </c:pt>
                <c:pt idx="27">
                  <c:v>0.171875</c:v>
                </c:pt>
                <c:pt idx="28">
                  <c:v>0.17812500000000001</c:v>
                </c:pt>
                <c:pt idx="29">
                  <c:v>0.18437500000000001</c:v>
                </c:pt>
                <c:pt idx="30">
                  <c:v>0.19062499999999999</c:v>
                </c:pt>
                <c:pt idx="31">
                  <c:v>0.19687499999999999</c:v>
                </c:pt>
                <c:pt idx="32">
                  <c:v>0.203125</c:v>
                </c:pt>
                <c:pt idx="33">
                  <c:v>0.20937500000000001</c:v>
                </c:pt>
                <c:pt idx="34">
                  <c:v>0.21562500000000001</c:v>
                </c:pt>
                <c:pt idx="35">
                  <c:v>0.22187499999999999</c:v>
                </c:pt>
                <c:pt idx="36">
                  <c:v>0.22812499999999999</c:v>
                </c:pt>
                <c:pt idx="37">
                  <c:v>0.234375</c:v>
                </c:pt>
                <c:pt idx="38">
                  <c:v>0.24062500000000001</c:v>
                </c:pt>
                <c:pt idx="39">
                  <c:v>0.24687500000000001</c:v>
                </c:pt>
                <c:pt idx="40">
                  <c:v>0.25312499999999999</c:v>
                </c:pt>
                <c:pt idx="41">
                  <c:v>0.25937500000000002</c:v>
                </c:pt>
                <c:pt idx="42">
                  <c:v>0.265625</c:v>
                </c:pt>
                <c:pt idx="43">
                  <c:v>0.27187499999999998</c:v>
                </c:pt>
                <c:pt idx="44">
                  <c:v>0.27812500000000001</c:v>
                </c:pt>
                <c:pt idx="45">
                  <c:v>0.28437499999999999</c:v>
                </c:pt>
                <c:pt idx="46">
                  <c:v>0.29062500000000002</c:v>
                </c:pt>
                <c:pt idx="47">
                  <c:v>0.296875</c:v>
                </c:pt>
                <c:pt idx="48">
                  <c:v>0.30312499999999998</c:v>
                </c:pt>
                <c:pt idx="49">
                  <c:v>0.30937500000000001</c:v>
                </c:pt>
                <c:pt idx="50">
                  <c:v>0.31562499999999999</c:v>
                </c:pt>
                <c:pt idx="51">
                  <c:v>0.32187500000000002</c:v>
                </c:pt>
                <c:pt idx="52">
                  <c:v>0.328125</c:v>
                </c:pt>
                <c:pt idx="53">
                  <c:v>0.33437499999999998</c:v>
                </c:pt>
                <c:pt idx="54">
                  <c:v>0.34062500000000001</c:v>
                </c:pt>
                <c:pt idx="55">
                  <c:v>0.34687499999999999</c:v>
                </c:pt>
                <c:pt idx="56">
                  <c:v>0.35312500000000002</c:v>
                </c:pt>
                <c:pt idx="57">
                  <c:v>0.359375</c:v>
                </c:pt>
                <c:pt idx="58">
                  <c:v>0.36562499999999998</c:v>
                </c:pt>
                <c:pt idx="59">
                  <c:v>0.37187500000000001</c:v>
                </c:pt>
                <c:pt idx="60">
                  <c:v>0.37812499999999999</c:v>
                </c:pt>
                <c:pt idx="61">
                  <c:v>0.38437500000000002</c:v>
                </c:pt>
                <c:pt idx="62">
                  <c:v>0.390625</c:v>
                </c:pt>
                <c:pt idx="63">
                  <c:v>0.39687499999999998</c:v>
                </c:pt>
                <c:pt idx="64">
                  <c:v>0.40312500000000001</c:v>
                </c:pt>
                <c:pt idx="65">
                  <c:v>0.40937499999999999</c:v>
                </c:pt>
                <c:pt idx="66">
                  <c:v>0.41562500000000002</c:v>
                </c:pt>
                <c:pt idx="67">
                  <c:v>0.421875</c:v>
                </c:pt>
                <c:pt idx="68">
                  <c:v>0.42812499999999998</c:v>
                </c:pt>
                <c:pt idx="69">
                  <c:v>0.43437500000000001</c:v>
                </c:pt>
                <c:pt idx="70">
                  <c:v>0.44062499999999999</c:v>
                </c:pt>
                <c:pt idx="71">
                  <c:v>0.44687500000000002</c:v>
                </c:pt>
                <c:pt idx="72">
                  <c:v>0.453125</c:v>
                </c:pt>
                <c:pt idx="73">
                  <c:v>0.45937499999999998</c:v>
                </c:pt>
                <c:pt idx="74">
                  <c:v>0.46562500000000001</c:v>
                </c:pt>
                <c:pt idx="75">
                  <c:v>0.47187499999999999</c:v>
                </c:pt>
                <c:pt idx="76">
                  <c:v>0.47812500000000002</c:v>
                </c:pt>
                <c:pt idx="77">
                  <c:v>0.484375</c:v>
                </c:pt>
                <c:pt idx="78">
                  <c:v>0.49062499999999998</c:v>
                </c:pt>
                <c:pt idx="79">
                  <c:v>0.49687500000000001</c:v>
                </c:pt>
              </c:numCache>
            </c:numRef>
          </c:xVal>
          <c:yVal>
            <c:numRef>
              <c:f>Sheet1!$AP$2:$AP$81</c:f>
              <c:numCache>
                <c:formatCode>0.00E+00</c:formatCode>
                <c:ptCount val="80"/>
                <c:pt idx="0">
                  <c:v>0.199592180405081</c:v>
                </c:pt>
                <c:pt idx="1">
                  <c:v>0.19960705471977</c:v>
                </c:pt>
                <c:pt idx="2">
                  <c:v>0.199622637805417</c:v>
                </c:pt>
                <c:pt idx="3">
                  <c:v>0.19963890718230301</c:v>
                </c:pt>
                <c:pt idx="4">
                  <c:v>0.199655841164571</c:v>
                </c:pt>
                <c:pt idx="5">
                  <c:v>0.19967341919696899</c:v>
                </c:pt>
                <c:pt idx="6">
                  <c:v>0.19969162219033701</c:v>
                </c:pt>
                <c:pt idx="7">
                  <c:v>0.19971043285554099</c:v>
                </c:pt>
                <c:pt idx="8">
                  <c:v>0.19972983603594399</c:v>
                </c:pt>
                <c:pt idx="9">
                  <c:v>0.199749819038499</c:v>
                </c:pt>
                <c:pt idx="10">
                  <c:v>0.19978788598952499</c:v>
                </c:pt>
                <c:pt idx="11">
                  <c:v>0.19984442063830901</c:v>
                </c:pt>
                <c:pt idx="12">
                  <c:v>0.199902027322305</c:v>
                </c:pt>
                <c:pt idx="13">
                  <c:v>0.19996065547443401</c:v>
                </c:pt>
                <c:pt idx="14">
                  <c:v>0.200020256486971</c:v>
                </c:pt>
                <c:pt idx="15">
                  <c:v>0.20008078398370399</c:v>
                </c:pt>
                <c:pt idx="16">
                  <c:v>0.20014219409279699</c:v>
                </c:pt>
                <c:pt idx="17">
                  <c:v>0.20020444572036999</c:v>
                </c:pt>
                <c:pt idx="18">
                  <c:v>0.20026750082486899</c:v>
                </c:pt>
                <c:pt idx="19">
                  <c:v>0.20033132469208301</c:v>
                </c:pt>
                <c:pt idx="20">
                  <c:v>0.20040621590088301</c:v>
                </c:pt>
                <c:pt idx="21">
                  <c:v>0.200492405524588</c:v>
                </c:pt>
                <c:pt idx="22">
                  <c:v>0.20057956892873899</c:v>
                </c:pt>
                <c:pt idx="23">
                  <c:v>0.200667587871316</c:v>
                </c:pt>
                <c:pt idx="24">
                  <c:v>0.20075634786765401</c:v>
                </c:pt>
                <c:pt idx="25">
                  <c:v>0.20084573886612</c:v>
                </c:pt>
                <c:pt idx="26">
                  <c:v>0.20093565592957499</c:v>
                </c:pt>
                <c:pt idx="27">
                  <c:v>0.20102599992320599</c:v>
                </c:pt>
                <c:pt idx="28">
                  <c:v>0.20111667820811299</c:v>
                </c:pt>
                <c:pt idx="29">
                  <c:v>0.20120760534118001</c:v>
                </c:pt>
                <c:pt idx="30">
                  <c:v>0.20132211487822699</c:v>
                </c:pt>
                <c:pt idx="31">
                  <c:v>0.20145989156452401</c:v>
                </c:pt>
                <c:pt idx="32">
                  <c:v>0.201597240245074</c:v>
                </c:pt>
                <c:pt idx="33">
                  <c:v>0.201733950241056</c:v>
                </c:pt>
                <c:pt idx="34">
                  <c:v>0.201869815231142</c:v>
                </c:pt>
                <c:pt idx="35">
                  <c:v>0.202004635100001</c:v>
                </c:pt>
                <c:pt idx="36">
                  <c:v>0.20213821780348801</c:v>
                </c:pt>
                <c:pt idx="37">
                  <c:v>0.20227038125083199</c:v>
                </c:pt>
                <c:pt idx="38">
                  <c:v>0.20240095520350301</c:v>
                </c:pt>
                <c:pt idx="39">
                  <c:v>0.202529783190987</c:v>
                </c:pt>
                <c:pt idx="40">
                  <c:v>0.20266085118402999</c:v>
                </c:pt>
                <c:pt idx="41">
                  <c:v>0.20279584980868001</c:v>
                </c:pt>
                <c:pt idx="42">
                  <c:v>0.202931000217832</c:v>
                </c:pt>
                <c:pt idx="43">
                  <c:v>0.20306583720580601</c:v>
                </c:pt>
                <c:pt idx="44">
                  <c:v>0.203199909981882</c:v>
                </c:pt>
                <c:pt idx="45">
                  <c:v>0.20333278911302399</c:v>
                </c:pt>
                <c:pt idx="46">
                  <c:v>0.20346407356260501</c:v>
                </c:pt>
                <c:pt idx="47">
                  <c:v>0.203593397825617</c:v>
                </c:pt>
                <c:pt idx="48">
                  <c:v>0.20372043915993501</c:v>
                </c:pt>
                <c:pt idx="49">
                  <c:v>0.20384492491391401</c:v>
                </c:pt>
                <c:pt idx="50">
                  <c:v>0.203999460943184</c:v>
                </c:pt>
                <c:pt idx="51">
                  <c:v>0.204178708715957</c:v>
                </c:pt>
                <c:pt idx="52">
                  <c:v>0.20434697004039101</c:v>
                </c:pt>
                <c:pt idx="53">
                  <c:v>0.20450332969093599</c:v>
                </c:pt>
                <c:pt idx="54">
                  <c:v>0.20464687430790299</c:v>
                </c:pt>
                <c:pt idx="55">
                  <c:v>0.20477671449830401</c:v>
                </c:pt>
                <c:pt idx="56">
                  <c:v>0.204892007157739</c:v>
                </c:pt>
                <c:pt idx="57">
                  <c:v>0.20499197801357999</c:v>
                </c:pt>
                <c:pt idx="58">
                  <c:v>0.20507594438930199</c:v>
                </c:pt>
                <c:pt idx="59">
                  <c:v>0.20514333819000899</c:v>
                </c:pt>
                <c:pt idx="60">
                  <c:v>0.205169434244798</c:v>
                </c:pt>
                <c:pt idx="61">
                  <c:v>0.20515346571226101</c:v>
                </c:pt>
                <c:pt idx="62">
                  <c:v>0.20511716270312799</c:v>
                </c:pt>
                <c:pt idx="63">
                  <c:v>0.20505774992292999</c:v>
                </c:pt>
                <c:pt idx="64">
                  <c:v>0.20497284767576901</c:v>
                </c:pt>
                <c:pt idx="65">
                  <c:v>0.20486073373060201</c:v>
                </c:pt>
                <c:pt idx="66">
                  <c:v>0.20472060927809799</c:v>
                </c:pt>
                <c:pt idx="67">
                  <c:v>0.204552868978571</c:v>
                </c:pt>
                <c:pt idx="68">
                  <c:v>0.20435937510049501</c:v>
                </c:pt>
                <c:pt idx="69">
                  <c:v>0.20414373574997599</c:v>
                </c:pt>
                <c:pt idx="70">
                  <c:v>0.20369910174782199</c:v>
                </c:pt>
                <c:pt idx="71">
                  <c:v>0.20289640603092801</c:v>
                </c:pt>
                <c:pt idx="72">
                  <c:v>0.20187008712705801</c:v>
                </c:pt>
                <c:pt idx="73">
                  <c:v>0.200590296680866</c:v>
                </c:pt>
                <c:pt idx="74">
                  <c:v>0.19902984129076601</c:v>
                </c:pt>
                <c:pt idx="75">
                  <c:v>0.197167741012474</c:v>
                </c:pt>
                <c:pt idx="76">
                  <c:v>0.19499288329575301</c:v>
                </c:pt>
                <c:pt idx="77">
                  <c:v>0.19250777235438299</c:v>
                </c:pt>
                <c:pt idx="78">
                  <c:v>0.18973237396920101</c:v>
                </c:pt>
                <c:pt idx="79">
                  <c:v>0.18670805572452001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B3-427B-92C3-60BC56115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5931199"/>
        <c:axId val="1315931679"/>
      </c:scatterChart>
      <c:valAx>
        <c:axId val="131593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5931679"/>
        <c:crosses val="autoZero"/>
        <c:crossBetween val="midCat"/>
      </c:valAx>
      <c:valAx>
        <c:axId val="131593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593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Sheet1!$BC$2:$BC$33</c:f>
              <c:numCache>
                <c:formatCode>0.00E+00</c:formatCode>
                <c:ptCount val="32"/>
                <c:pt idx="0">
                  <c:v>-1.5625E-2</c:v>
                </c:pt>
                <c:pt idx="1">
                  <c:v>-0.484375</c:v>
                </c:pt>
                <c:pt idx="2">
                  <c:v>-0.453125</c:v>
                </c:pt>
                <c:pt idx="3">
                  <c:v>-0.421875</c:v>
                </c:pt>
                <c:pt idx="4">
                  <c:v>-0.390625</c:v>
                </c:pt>
                <c:pt idx="5">
                  <c:v>-0.359375</c:v>
                </c:pt>
                <c:pt idx="6">
                  <c:v>-0.328125</c:v>
                </c:pt>
                <c:pt idx="7">
                  <c:v>-0.296875</c:v>
                </c:pt>
                <c:pt idx="8">
                  <c:v>-0.265625</c:v>
                </c:pt>
                <c:pt idx="9">
                  <c:v>-0.234375</c:v>
                </c:pt>
                <c:pt idx="10">
                  <c:v>-0.203125</c:v>
                </c:pt>
                <c:pt idx="11">
                  <c:v>-0.171875</c:v>
                </c:pt>
                <c:pt idx="12">
                  <c:v>-0.140625</c:v>
                </c:pt>
                <c:pt idx="13">
                  <c:v>-0.109375</c:v>
                </c:pt>
                <c:pt idx="14">
                  <c:v>-7.8125E-2</c:v>
                </c:pt>
                <c:pt idx="15">
                  <c:v>-4.6875E-2</c:v>
                </c:pt>
                <c:pt idx="16">
                  <c:v>1.5625E-2</c:v>
                </c:pt>
                <c:pt idx="17">
                  <c:v>4.6875E-2</c:v>
                </c:pt>
                <c:pt idx="18">
                  <c:v>7.8125E-2</c:v>
                </c:pt>
                <c:pt idx="19">
                  <c:v>0.109375</c:v>
                </c:pt>
                <c:pt idx="20">
                  <c:v>0.140625</c:v>
                </c:pt>
                <c:pt idx="21">
                  <c:v>0.171875</c:v>
                </c:pt>
                <c:pt idx="22">
                  <c:v>0.203125</c:v>
                </c:pt>
                <c:pt idx="23">
                  <c:v>0.234375</c:v>
                </c:pt>
                <c:pt idx="24">
                  <c:v>0.265625</c:v>
                </c:pt>
                <c:pt idx="25">
                  <c:v>0.296875</c:v>
                </c:pt>
                <c:pt idx="26">
                  <c:v>0.328125</c:v>
                </c:pt>
                <c:pt idx="27">
                  <c:v>0.359375</c:v>
                </c:pt>
                <c:pt idx="28">
                  <c:v>0.390625</c:v>
                </c:pt>
                <c:pt idx="29">
                  <c:v>0.421875</c:v>
                </c:pt>
                <c:pt idx="30">
                  <c:v>0.453125</c:v>
                </c:pt>
                <c:pt idx="31">
                  <c:v>0.484375</c:v>
                </c:pt>
              </c:numCache>
            </c:numRef>
          </c:xVal>
          <c:yVal>
            <c:numRef>
              <c:f>Sheet1!$BD$2:$BD$33</c:f>
              <c:numCache>
                <c:formatCode>0.00E+00</c:formatCode>
                <c:ptCount val="32"/>
                <c:pt idx="0">
                  <c:v>0.199878639631451</c:v>
                </c:pt>
                <c:pt idx="1">
                  <c:v>0.19250670265921199</c:v>
                </c:pt>
                <c:pt idx="2">
                  <c:v>0.20226773253215499</c:v>
                </c:pt>
                <c:pt idx="3">
                  <c:v>0.20423082370818901</c:v>
                </c:pt>
                <c:pt idx="4">
                  <c:v>0.20484434001568699</c:v>
                </c:pt>
                <c:pt idx="5">
                  <c:v>0.204740023952829</c:v>
                </c:pt>
                <c:pt idx="6">
                  <c:v>0.204099756482125</c:v>
                </c:pt>
                <c:pt idx="7">
                  <c:v>0.20352154683951501</c:v>
                </c:pt>
                <c:pt idx="8">
                  <c:v>0.202857744787344</c:v>
                </c:pt>
                <c:pt idx="9">
                  <c:v>0.20232630473097099</c:v>
                </c:pt>
                <c:pt idx="10">
                  <c:v>0.201646576695443</c:v>
                </c:pt>
                <c:pt idx="11">
                  <c:v>0.20118723338237501</c:v>
                </c:pt>
                <c:pt idx="12">
                  <c:v>0.20073709624622901</c:v>
                </c:pt>
                <c:pt idx="13">
                  <c:v>0.20043016580794201</c:v>
                </c:pt>
                <c:pt idx="14">
                  <c:v>0.20012428212191799</c:v>
                </c:pt>
                <c:pt idx="15">
                  <c:v>0.19996715117472399</c:v>
                </c:pt>
                <c:pt idx="16">
                  <c:v>0.199878639631451</c:v>
                </c:pt>
                <c:pt idx="17">
                  <c:v>0.19996715117472399</c:v>
                </c:pt>
                <c:pt idx="18">
                  <c:v>0.20012428212191799</c:v>
                </c:pt>
                <c:pt idx="19">
                  <c:v>0.20043016580794201</c:v>
                </c:pt>
                <c:pt idx="20">
                  <c:v>0.20073709624622901</c:v>
                </c:pt>
                <c:pt idx="21">
                  <c:v>0.20118723338237501</c:v>
                </c:pt>
                <c:pt idx="22">
                  <c:v>0.201646576695443</c:v>
                </c:pt>
                <c:pt idx="23">
                  <c:v>0.20232630473097099</c:v>
                </c:pt>
                <c:pt idx="24">
                  <c:v>0.202857744787344</c:v>
                </c:pt>
                <c:pt idx="25">
                  <c:v>0.20352154683951501</c:v>
                </c:pt>
                <c:pt idx="26">
                  <c:v>0.204099756482125</c:v>
                </c:pt>
                <c:pt idx="27">
                  <c:v>0.204740023952829</c:v>
                </c:pt>
                <c:pt idx="28">
                  <c:v>0.20484434001568699</c:v>
                </c:pt>
                <c:pt idx="29">
                  <c:v>0.20423082370818901</c:v>
                </c:pt>
                <c:pt idx="30">
                  <c:v>0.20226773253215499</c:v>
                </c:pt>
                <c:pt idx="31">
                  <c:v>0.19250670265921199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08-4571-9975-BEFBAE561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5897119"/>
        <c:axId val="1315897599"/>
      </c:scatterChart>
      <c:valAx>
        <c:axId val="131589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5897599"/>
        <c:crosses val="autoZero"/>
        <c:crossBetween val="midCat"/>
      </c:valAx>
      <c:valAx>
        <c:axId val="131589759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5897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'nonlinear, t16, 1p'!$F$2:$F$17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'nonlinear, t16, 1p'!$K$2:$K$17</c:f>
              <c:numCache>
                <c:formatCode>0.00E+00</c:formatCode>
                <c:ptCount val="16"/>
                <c:pt idx="0">
                  <c:v>27.500894741615198</c:v>
                </c:pt>
                <c:pt idx="1">
                  <c:v>27.4190256278075</c:v>
                </c:pt>
                <c:pt idx="2">
                  <c:v>27.223640979455102</c:v>
                </c:pt>
                <c:pt idx="3">
                  <c:v>26.941766714131798</c:v>
                </c:pt>
                <c:pt idx="4">
                  <c:v>26.601314343423802</c:v>
                </c:pt>
                <c:pt idx="5">
                  <c:v>26.132062383209</c:v>
                </c:pt>
                <c:pt idx="6">
                  <c:v>25.567387395770901</c:v>
                </c:pt>
                <c:pt idx="7">
                  <c:v>24.964708843172101</c:v>
                </c:pt>
                <c:pt idx="8">
                  <c:v>24.210343031190099</c:v>
                </c:pt>
                <c:pt idx="9">
                  <c:v>23.229418901751998</c:v>
                </c:pt>
                <c:pt idx="10">
                  <c:v>22.5456527936689</c:v>
                </c:pt>
                <c:pt idx="11">
                  <c:v>21.5473743871712</c:v>
                </c:pt>
                <c:pt idx="12">
                  <c:v>19.290411571295699</c:v>
                </c:pt>
                <c:pt idx="13">
                  <c:v>19.027750786605601</c:v>
                </c:pt>
                <c:pt idx="14">
                  <c:v>21.622178046924802</c:v>
                </c:pt>
                <c:pt idx="15">
                  <c:v>17.6233463860519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BB-46A4-A566-EA25EED28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7039"/>
        <c:axId val="924900719"/>
      </c:scatterChart>
      <c:valAx>
        <c:axId val="92491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0719"/>
        <c:crosses val="autoZero"/>
        <c:crossBetween val="midCat"/>
      </c:valAx>
      <c:valAx>
        <c:axId val="92490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'nonlinear, t16, 1p'!$F$19:$F$34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'nonlinear, t16, 1p'!$K$19:$K$34</c:f>
              <c:numCache>
                <c:formatCode>0.00E+00</c:formatCode>
                <c:ptCount val="16"/>
                <c:pt idx="0">
                  <c:v>27.3456344983558</c:v>
                </c:pt>
                <c:pt idx="1">
                  <c:v>27.252486446677601</c:v>
                </c:pt>
                <c:pt idx="2">
                  <c:v>27.046555981138301</c:v>
                </c:pt>
                <c:pt idx="3">
                  <c:v>26.9095450093449</c:v>
                </c:pt>
                <c:pt idx="4">
                  <c:v>26.3820306440773</c:v>
                </c:pt>
                <c:pt idx="5">
                  <c:v>25.9747904127649</c:v>
                </c:pt>
                <c:pt idx="6">
                  <c:v>25.661801973102701</c:v>
                </c:pt>
                <c:pt idx="7">
                  <c:v>24.742941401821099</c:v>
                </c:pt>
                <c:pt idx="8">
                  <c:v>23.920555162227199</c:v>
                </c:pt>
                <c:pt idx="9">
                  <c:v>23.144643672232998</c:v>
                </c:pt>
                <c:pt idx="10">
                  <c:v>22.652326760073102</c:v>
                </c:pt>
                <c:pt idx="11">
                  <c:v>21.086927596911099</c:v>
                </c:pt>
                <c:pt idx="12">
                  <c:v>19.633210041058</c:v>
                </c:pt>
                <c:pt idx="13">
                  <c:v>19.5081509507989</c:v>
                </c:pt>
                <c:pt idx="14">
                  <c:v>23.176497112364</c:v>
                </c:pt>
                <c:pt idx="15">
                  <c:v>19.433458012699099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A-44F8-8841-282CFB195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4639"/>
        <c:axId val="924904559"/>
      </c:scatterChart>
      <c:valAx>
        <c:axId val="92491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4559"/>
        <c:crosses val="autoZero"/>
        <c:crossBetween val="midCat"/>
      </c:valAx>
      <c:valAx>
        <c:axId val="92490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'nonlinear, t16, 1p'!$F$36:$F$51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'nonlinear, t16, 1p'!$K$36:$K$51</c:f>
              <c:numCache>
                <c:formatCode>0.00E+00</c:formatCode>
                <c:ptCount val="16"/>
                <c:pt idx="0">
                  <c:v>27.233542557968502</c:v>
                </c:pt>
                <c:pt idx="1">
                  <c:v>27.1530111497554</c:v>
                </c:pt>
                <c:pt idx="2">
                  <c:v>26.965531759032501</c:v>
                </c:pt>
                <c:pt idx="3">
                  <c:v>27.133075219317</c:v>
                </c:pt>
                <c:pt idx="4">
                  <c:v>26.350310651948199</c:v>
                </c:pt>
                <c:pt idx="5">
                  <c:v>25.920861964013401</c:v>
                </c:pt>
                <c:pt idx="6">
                  <c:v>25.8735361106976</c:v>
                </c:pt>
                <c:pt idx="7">
                  <c:v>24.7889032959202</c:v>
                </c:pt>
                <c:pt idx="8">
                  <c:v>23.900081807265401</c:v>
                </c:pt>
                <c:pt idx="9">
                  <c:v>23.395750825623701</c:v>
                </c:pt>
                <c:pt idx="10">
                  <c:v>22.6528487008115</c:v>
                </c:pt>
                <c:pt idx="11">
                  <c:v>21.299302368004401</c:v>
                </c:pt>
                <c:pt idx="12">
                  <c:v>19.898870252936302</c:v>
                </c:pt>
                <c:pt idx="13">
                  <c:v>18.773765483322599</c:v>
                </c:pt>
                <c:pt idx="14">
                  <c:v>23.222808356738401</c:v>
                </c:pt>
                <c:pt idx="15">
                  <c:v>17.530790626394499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BC-4C92-AC35-B934E628F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S-IGA no blending</c:v>
          </c:tx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squar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'nonlinear, t16, 1p'!$L$19:$L$34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'nonlinear, t16, 1p'!$M$19:$M$34</c:f>
              <c:numCache>
                <c:formatCode>0.00E+00</c:formatCode>
                <c:ptCount val="16"/>
                <c:pt idx="0">
                  <c:v>13.6728172491779</c:v>
                </c:pt>
                <c:pt idx="1">
                  <c:v>13.6262432233388</c:v>
                </c:pt>
                <c:pt idx="2">
                  <c:v>13.52327799056915</c:v>
                </c:pt>
                <c:pt idx="3">
                  <c:v>13.45477250467245</c:v>
                </c:pt>
                <c:pt idx="4">
                  <c:v>13.19101532203865</c:v>
                </c:pt>
                <c:pt idx="5">
                  <c:v>12.98739520638245</c:v>
                </c:pt>
                <c:pt idx="6">
                  <c:v>12.830900986551351</c:v>
                </c:pt>
                <c:pt idx="7">
                  <c:v>12.37147070091055</c:v>
                </c:pt>
                <c:pt idx="8">
                  <c:v>11.9602775811136</c:v>
                </c:pt>
                <c:pt idx="9">
                  <c:v>11.572321836116499</c:v>
                </c:pt>
                <c:pt idx="10">
                  <c:v>11.326163380036551</c:v>
                </c:pt>
                <c:pt idx="11">
                  <c:v>10.54346379845555</c:v>
                </c:pt>
                <c:pt idx="12">
                  <c:v>9.8166050205289999</c:v>
                </c:pt>
                <c:pt idx="13">
                  <c:v>9.7540754753994499</c:v>
                </c:pt>
                <c:pt idx="14">
                  <c:v>11.588248556182</c:v>
                </c:pt>
                <c:pt idx="15">
                  <c:v>9.7167290063495493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5F4-4ADE-B278-FA59234549B6}"/>
            </c:ext>
          </c:extLst>
        </c:ser>
        <c:ser>
          <c:idx val="0"/>
          <c:order val="1"/>
          <c:tx>
            <c:v>S-IGA cubic</c:v>
          </c:tx>
          <c:spPr>
            <a:ln w="15875">
              <a:solidFill>
                <a:srgbClr val="00B0F0"/>
              </a:solidFill>
            </a:ln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'nonlinear, t16, 1p'!$L$36:$L$51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'nonlinear, t16, 1p'!$M$36:$M$51</c:f>
              <c:numCache>
                <c:formatCode>0.00E+00</c:formatCode>
                <c:ptCount val="16"/>
                <c:pt idx="0">
                  <c:v>13.616771278984251</c:v>
                </c:pt>
                <c:pt idx="1">
                  <c:v>13.5765055748777</c:v>
                </c:pt>
                <c:pt idx="2">
                  <c:v>13.482765879516251</c:v>
                </c:pt>
                <c:pt idx="3">
                  <c:v>13.5665376096585</c:v>
                </c:pt>
                <c:pt idx="4">
                  <c:v>13.175155325974099</c:v>
                </c:pt>
                <c:pt idx="5">
                  <c:v>12.960430982006701</c:v>
                </c:pt>
                <c:pt idx="6">
                  <c:v>12.9367680553488</c:v>
                </c:pt>
                <c:pt idx="7">
                  <c:v>12.3944516479601</c:v>
                </c:pt>
                <c:pt idx="8">
                  <c:v>11.950040903632701</c:v>
                </c:pt>
                <c:pt idx="9">
                  <c:v>11.69787541281185</c:v>
                </c:pt>
                <c:pt idx="10">
                  <c:v>11.32642435040575</c:v>
                </c:pt>
                <c:pt idx="11">
                  <c:v>10.649651184002201</c:v>
                </c:pt>
                <c:pt idx="12">
                  <c:v>9.9494351264681509</c:v>
                </c:pt>
                <c:pt idx="13">
                  <c:v>9.3868827416612994</c:v>
                </c:pt>
                <c:pt idx="14">
                  <c:v>11.611404178369201</c:v>
                </c:pt>
                <c:pt idx="15">
                  <c:v>8.7653953131972493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F4-4ADE-B278-FA59234549B6}"/>
            </c:ext>
          </c:extLst>
        </c:ser>
        <c:ser>
          <c:idx val="1"/>
          <c:order val="2"/>
          <c:tx>
            <c:v>IGA</c:v>
          </c:tx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'nonlinear, t16, 1p'!$L$2:$L$17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'nonlinear, t16, 1p'!$M$2:$M$17</c:f>
              <c:numCache>
                <c:formatCode>0.00E+00</c:formatCode>
                <c:ptCount val="16"/>
                <c:pt idx="0">
                  <c:v>13.750447370807599</c:v>
                </c:pt>
                <c:pt idx="1">
                  <c:v>13.70951281390375</c:v>
                </c:pt>
                <c:pt idx="2">
                  <c:v>13.611820489727551</c:v>
                </c:pt>
                <c:pt idx="3">
                  <c:v>13.470883357065899</c:v>
                </c:pt>
                <c:pt idx="4">
                  <c:v>13.300657171711901</c:v>
                </c:pt>
                <c:pt idx="5">
                  <c:v>13.0660311916045</c:v>
                </c:pt>
                <c:pt idx="6">
                  <c:v>12.78369369788545</c:v>
                </c:pt>
                <c:pt idx="7">
                  <c:v>12.48235442158605</c:v>
                </c:pt>
                <c:pt idx="8">
                  <c:v>12.10517151559505</c:v>
                </c:pt>
                <c:pt idx="9">
                  <c:v>11.614709450875999</c:v>
                </c:pt>
                <c:pt idx="10">
                  <c:v>11.27282639683445</c:v>
                </c:pt>
                <c:pt idx="11">
                  <c:v>10.7736871935856</c:v>
                </c:pt>
                <c:pt idx="12">
                  <c:v>9.6452057856478497</c:v>
                </c:pt>
                <c:pt idx="13">
                  <c:v>9.5138753933028006</c:v>
                </c:pt>
                <c:pt idx="14">
                  <c:v>10.811089023462401</c:v>
                </c:pt>
                <c:pt idx="15">
                  <c:v>8.8116731930259498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5F4-4ADE-B278-FA5923454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77117224713"/>
          <c:y val="0.46835281249615945"/>
          <c:w val="0.37495841653448941"/>
          <c:h val="0.30535188803816904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38100">
              <a:noFill/>
            </a:ln>
          </c:spPr>
          <c:xVal>
            <c:numRef>
              <c:f>'nonlinear, t16, 1p'!$AF$13:$AF$45</c:f>
              <c:numCache>
                <c:formatCode>0.00E+00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'nonlinear, t16, 1p'!$AG$13:$AG$45</c:f>
              <c:numCache>
                <c:formatCode>0.00E+00</c:formatCode>
                <c:ptCount val="33"/>
                <c:pt idx="0">
                  <c:v>13.5907</c:v>
                </c:pt>
                <c:pt idx="1">
                  <c:v>13.579800000000001</c:v>
                </c:pt>
                <c:pt idx="2">
                  <c:v>13.5688</c:v>
                </c:pt>
                <c:pt idx="3">
                  <c:v>13.5359</c:v>
                </c:pt>
                <c:pt idx="4">
                  <c:v>13.5031</c:v>
                </c:pt>
                <c:pt idx="5">
                  <c:v>13.4482</c:v>
                </c:pt>
                <c:pt idx="6">
                  <c:v>13.3934</c:v>
                </c:pt>
                <c:pt idx="7">
                  <c:v>13.316599999999999</c:v>
                </c:pt>
                <c:pt idx="8">
                  <c:v>13.239699999999999</c:v>
                </c:pt>
                <c:pt idx="9">
                  <c:v>13.140700000000001</c:v>
                </c:pt>
                <c:pt idx="10">
                  <c:v>13.041700000000001</c:v>
                </c:pt>
                <c:pt idx="11">
                  <c:v>12.920199999999999</c:v>
                </c:pt>
                <c:pt idx="12">
                  <c:v>12.7987</c:v>
                </c:pt>
                <c:pt idx="13">
                  <c:v>12.6541</c:v>
                </c:pt>
                <c:pt idx="14">
                  <c:v>12.509499999999999</c:v>
                </c:pt>
                <c:pt idx="15">
                  <c:v>12.3408</c:v>
                </c:pt>
                <c:pt idx="16">
                  <c:v>12.1722</c:v>
                </c:pt>
                <c:pt idx="17">
                  <c:v>11.978400000000001</c:v>
                </c:pt>
                <c:pt idx="18">
                  <c:v>11.784599999999999</c:v>
                </c:pt>
                <c:pt idx="19">
                  <c:v>11.5633</c:v>
                </c:pt>
                <c:pt idx="20">
                  <c:v>11.342000000000001</c:v>
                </c:pt>
                <c:pt idx="21">
                  <c:v>11.0878</c:v>
                </c:pt>
                <c:pt idx="22">
                  <c:v>10.833600000000001</c:v>
                </c:pt>
                <c:pt idx="23">
                  <c:v>10.535399999999999</c:v>
                </c:pt>
                <c:pt idx="24">
                  <c:v>10.2372</c:v>
                </c:pt>
                <c:pt idx="25">
                  <c:v>9.8813800000000001</c:v>
                </c:pt>
                <c:pt idx="26">
                  <c:v>9.5255299999999998</c:v>
                </c:pt>
                <c:pt idx="27">
                  <c:v>9.1795799999999996</c:v>
                </c:pt>
                <c:pt idx="28">
                  <c:v>8.8336199999999998</c:v>
                </c:pt>
                <c:pt idx="29">
                  <c:v>7.9292999999999996</c:v>
                </c:pt>
                <c:pt idx="30">
                  <c:v>7.0249800000000002</c:v>
                </c:pt>
                <c:pt idx="31">
                  <c:v>6.2415000000000003</c:v>
                </c:pt>
                <c:pt idx="32">
                  <c:v>5.4580200000000003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623-41A0-96D1-2CD87B3FF173}"/>
            </c:ext>
          </c:extLst>
        </c:ser>
        <c:ser>
          <c:idx val="2"/>
          <c:order val="1"/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  <c:marker>
            <c:symbol val="squar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'nonlinear, t16, 1p'!$L$19:$L$34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'nonlinear, t16, 1p'!$K$19:$K$34</c:f>
              <c:numCache>
                <c:formatCode>0.00E+00</c:formatCode>
                <c:ptCount val="16"/>
                <c:pt idx="0">
                  <c:v>27.3456344983558</c:v>
                </c:pt>
                <c:pt idx="1">
                  <c:v>27.252486446677601</c:v>
                </c:pt>
                <c:pt idx="2">
                  <c:v>27.046555981138301</c:v>
                </c:pt>
                <c:pt idx="3">
                  <c:v>26.9095450093449</c:v>
                </c:pt>
                <c:pt idx="4">
                  <c:v>26.3820306440773</c:v>
                </c:pt>
                <c:pt idx="5">
                  <c:v>25.9747904127649</c:v>
                </c:pt>
                <c:pt idx="6">
                  <c:v>25.661801973102701</c:v>
                </c:pt>
                <c:pt idx="7">
                  <c:v>24.742941401821099</c:v>
                </c:pt>
                <c:pt idx="8">
                  <c:v>23.920555162227199</c:v>
                </c:pt>
                <c:pt idx="9">
                  <c:v>23.144643672232998</c:v>
                </c:pt>
                <c:pt idx="10">
                  <c:v>22.652326760073102</c:v>
                </c:pt>
                <c:pt idx="11">
                  <c:v>21.086927596911099</c:v>
                </c:pt>
                <c:pt idx="12">
                  <c:v>19.633210041058</c:v>
                </c:pt>
                <c:pt idx="13">
                  <c:v>19.5081509507989</c:v>
                </c:pt>
                <c:pt idx="14">
                  <c:v>23.176497112364</c:v>
                </c:pt>
                <c:pt idx="15">
                  <c:v>19.433458012699099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S-IGA no blending</c:v>
                </c15:tx>
              </c15:filteredSeriesTitle>
            </c:ext>
            <c:ext xmlns:c16="http://schemas.microsoft.com/office/drawing/2014/chart" uri="{C3380CC4-5D6E-409C-BE32-E72D297353CC}">
              <c16:uniqueId val="{00000002-5623-41A0-96D1-2CD87B3FF173}"/>
            </c:ext>
          </c:extLst>
        </c:ser>
        <c:ser>
          <c:idx val="0"/>
          <c:order val="2"/>
          <c:spPr>
            <a:ln w="15875">
              <a:solidFill>
                <a:srgbClr val="00B0F0"/>
              </a:solidFill>
            </a:ln>
            <a:effectLst/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'nonlinear, t16, 1p'!$L$36:$L$51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'nonlinear, t16, 1p'!$K$36:$K$51</c:f>
              <c:numCache>
                <c:formatCode>0.00E+00</c:formatCode>
                <c:ptCount val="16"/>
                <c:pt idx="0">
                  <c:v>27.233542557968502</c:v>
                </c:pt>
                <c:pt idx="1">
                  <c:v>27.1530111497554</c:v>
                </c:pt>
                <c:pt idx="2">
                  <c:v>26.965531759032501</c:v>
                </c:pt>
                <c:pt idx="3">
                  <c:v>27.133075219317</c:v>
                </c:pt>
                <c:pt idx="4">
                  <c:v>26.350310651948199</c:v>
                </c:pt>
                <c:pt idx="5">
                  <c:v>25.920861964013401</c:v>
                </c:pt>
                <c:pt idx="6">
                  <c:v>25.8735361106976</c:v>
                </c:pt>
                <c:pt idx="7">
                  <c:v>24.7889032959202</c:v>
                </c:pt>
                <c:pt idx="8">
                  <c:v>23.900081807265401</c:v>
                </c:pt>
                <c:pt idx="9">
                  <c:v>23.395750825623701</c:v>
                </c:pt>
                <c:pt idx="10">
                  <c:v>22.6528487008115</c:v>
                </c:pt>
                <c:pt idx="11">
                  <c:v>21.299302368004401</c:v>
                </c:pt>
                <c:pt idx="12">
                  <c:v>19.898870252936302</c:v>
                </c:pt>
                <c:pt idx="13">
                  <c:v>18.773765483322599</c:v>
                </c:pt>
                <c:pt idx="14">
                  <c:v>23.222808356738401</c:v>
                </c:pt>
                <c:pt idx="15">
                  <c:v>17.530790626394499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S-IGA cubic</c:v>
                </c15:tx>
              </c15:filteredSeriesTitle>
            </c:ext>
            <c:ext xmlns:c16="http://schemas.microsoft.com/office/drawing/2014/chart" uri="{C3380CC4-5D6E-409C-BE32-E72D297353CC}">
              <c16:uniqueId val="{00000004-5623-41A0-96D1-2CD87B3FF173}"/>
            </c:ext>
          </c:extLst>
        </c:ser>
        <c:ser>
          <c:idx val="1"/>
          <c:order val="3"/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'nonlinear, t16, 1p'!$L$2:$L$17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'nonlinear, t16, 1p'!$K$2:$K$17</c:f>
              <c:numCache>
                <c:formatCode>0.00E+00</c:formatCode>
                <c:ptCount val="16"/>
                <c:pt idx="0">
                  <c:v>27.500894741615198</c:v>
                </c:pt>
                <c:pt idx="1">
                  <c:v>27.4190256278075</c:v>
                </c:pt>
                <c:pt idx="2">
                  <c:v>27.223640979455102</c:v>
                </c:pt>
                <c:pt idx="3">
                  <c:v>26.941766714131798</c:v>
                </c:pt>
                <c:pt idx="4">
                  <c:v>26.601314343423802</c:v>
                </c:pt>
                <c:pt idx="5">
                  <c:v>26.132062383209</c:v>
                </c:pt>
                <c:pt idx="6">
                  <c:v>25.567387395770901</c:v>
                </c:pt>
                <c:pt idx="7">
                  <c:v>24.964708843172101</c:v>
                </c:pt>
                <c:pt idx="8">
                  <c:v>24.210343031190099</c:v>
                </c:pt>
                <c:pt idx="9">
                  <c:v>23.229418901751998</c:v>
                </c:pt>
                <c:pt idx="10">
                  <c:v>22.5456527936689</c:v>
                </c:pt>
                <c:pt idx="11">
                  <c:v>21.5473743871712</c:v>
                </c:pt>
                <c:pt idx="12">
                  <c:v>19.290411571295699</c:v>
                </c:pt>
                <c:pt idx="13">
                  <c:v>19.027750786605601</c:v>
                </c:pt>
                <c:pt idx="14">
                  <c:v>21.622178046924802</c:v>
                </c:pt>
                <c:pt idx="15">
                  <c:v>17.6233463860519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IGA</c:v>
                </c15:tx>
              </c15:filteredSeriesTitle>
            </c:ext>
            <c:ext xmlns:c16="http://schemas.microsoft.com/office/drawing/2014/chart" uri="{C3380CC4-5D6E-409C-BE32-E72D297353CC}">
              <c16:uniqueId val="{00000006-5623-41A0-96D1-2CD87B3FF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56989960629921255"/>
          <c:y val="5.2696326473193243E-2"/>
          <c:w val="0.37495841653448941"/>
          <c:h val="0.30535188803816904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S-IGA no blending</c:v>
          </c:tx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squar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'nonlinear, t16, 1p'!$L$19:$L$34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'nonlinear, t16, 1p'!$M$19:$M$34</c:f>
              <c:numCache>
                <c:formatCode>0.00E+00</c:formatCode>
                <c:ptCount val="16"/>
                <c:pt idx="0">
                  <c:v>13.6728172491779</c:v>
                </c:pt>
                <c:pt idx="1">
                  <c:v>13.6262432233388</c:v>
                </c:pt>
                <c:pt idx="2">
                  <c:v>13.52327799056915</c:v>
                </c:pt>
                <c:pt idx="3">
                  <c:v>13.45477250467245</c:v>
                </c:pt>
                <c:pt idx="4">
                  <c:v>13.19101532203865</c:v>
                </c:pt>
                <c:pt idx="5">
                  <c:v>12.98739520638245</c:v>
                </c:pt>
                <c:pt idx="6">
                  <c:v>12.830900986551351</c:v>
                </c:pt>
                <c:pt idx="7">
                  <c:v>12.37147070091055</c:v>
                </c:pt>
                <c:pt idx="8">
                  <c:v>11.9602775811136</c:v>
                </c:pt>
                <c:pt idx="9">
                  <c:v>11.572321836116499</c:v>
                </c:pt>
                <c:pt idx="10">
                  <c:v>11.326163380036551</c:v>
                </c:pt>
                <c:pt idx="11">
                  <c:v>10.54346379845555</c:v>
                </c:pt>
                <c:pt idx="12">
                  <c:v>9.8166050205289999</c:v>
                </c:pt>
                <c:pt idx="13">
                  <c:v>9.7540754753994499</c:v>
                </c:pt>
                <c:pt idx="14">
                  <c:v>11.588248556182</c:v>
                </c:pt>
                <c:pt idx="15">
                  <c:v>9.7167290063495493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60-4F93-A0A6-AE656E693B6C}"/>
            </c:ext>
          </c:extLst>
        </c:ser>
        <c:ser>
          <c:idx val="0"/>
          <c:order val="1"/>
          <c:tx>
            <c:v>S-IGA cubic</c:v>
          </c:tx>
          <c:spPr>
            <a:ln w="15875">
              <a:solidFill>
                <a:srgbClr val="00B0F0"/>
              </a:solidFill>
            </a:ln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'nonlinear, t16, 1p'!$L$36:$L$51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'nonlinear, t16, 1p'!$M$36:$M$51</c:f>
              <c:numCache>
                <c:formatCode>0.00E+00</c:formatCode>
                <c:ptCount val="16"/>
                <c:pt idx="0">
                  <c:v>13.616771278984251</c:v>
                </c:pt>
                <c:pt idx="1">
                  <c:v>13.5765055748777</c:v>
                </c:pt>
                <c:pt idx="2">
                  <c:v>13.482765879516251</c:v>
                </c:pt>
                <c:pt idx="3">
                  <c:v>13.5665376096585</c:v>
                </c:pt>
                <c:pt idx="4">
                  <c:v>13.175155325974099</c:v>
                </c:pt>
                <c:pt idx="5">
                  <c:v>12.960430982006701</c:v>
                </c:pt>
                <c:pt idx="6">
                  <c:v>12.9367680553488</c:v>
                </c:pt>
                <c:pt idx="7">
                  <c:v>12.3944516479601</c:v>
                </c:pt>
                <c:pt idx="8">
                  <c:v>11.950040903632701</c:v>
                </c:pt>
                <c:pt idx="9">
                  <c:v>11.69787541281185</c:v>
                </c:pt>
                <c:pt idx="10">
                  <c:v>11.32642435040575</c:v>
                </c:pt>
                <c:pt idx="11">
                  <c:v>10.649651184002201</c:v>
                </c:pt>
                <c:pt idx="12">
                  <c:v>9.9494351264681509</c:v>
                </c:pt>
                <c:pt idx="13">
                  <c:v>9.3868827416612994</c:v>
                </c:pt>
                <c:pt idx="14">
                  <c:v>11.611404178369201</c:v>
                </c:pt>
                <c:pt idx="15">
                  <c:v>8.7653953131972493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60-4F93-A0A6-AE656E693B6C}"/>
            </c:ext>
          </c:extLst>
        </c:ser>
        <c:ser>
          <c:idx val="1"/>
          <c:order val="2"/>
          <c:tx>
            <c:v>IGA</c:v>
          </c:tx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'nonlinear, t16, 1p'!$L$2:$L$17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'nonlinear, t16, 1p'!$M$2:$M$17</c:f>
              <c:numCache>
                <c:formatCode>0.00E+00</c:formatCode>
                <c:ptCount val="16"/>
                <c:pt idx="0">
                  <c:v>13.750447370807599</c:v>
                </c:pt>
                <c:pt idx="1">
                  <c:v>13.70951281390375</c:v>
                </c:pt>
                <c:pt idx="2">
                  <c:v>13.611820489727551</c:v>
                </c:pt>
                <c:pt idx="3">
                  <c:v>13.470883357065899</c:v>
                </c:pt>
                <c:pt idx="4">
                  <c:v>13.300657171711901</c:v>
                </c:pt>
                <c:pt idx="5">
                  <c:v>13.0660311916045</c:v>
                </c:pt>
                <c:pt idx="6">
                  <c:v>12.78369369788545</c:v>
                </c:pt>
                <c:pt idx="7">
                  <c:v>12.48235442158605</c:v>
                </c:pt>
                <c:pt idx="8">
                  <c:v>12.10517151559505</c:v>
                </c:pt>
                <c:pt idx="9">
                  <c:v>11.614709450875999</c:v>
                </c:pt>
                <c:pt idx="10">
                  <c:v>11.27282639683445</c:v>
                </c:pt>
                <c:pt idx="11">
                  <c:v>10.7736871935856</c:v>
                </c:pt>
                <c:pt idx="12">
                  <c:v>9.6452057856478497</c:v>
                </c:pt>
                <c:pt idx="13">
                  <c:v>9.5138753933028006</c:v>
                </c:pt>
                <c:pt idx="14">
                  <c:v>10.811089023462401</c:v>
                </c:pt>
                <c:pt idx="15">
                  <c:v>8.8116731930259498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60-4F93-A0A6-AE656E693B6C}"/>
            </c:ext>
          </c:extLst>
        </c:ser>
        <c:ser>
          <c:idx val="3"/>
          <c:order val="3"/>
          <c:tx>
            <c:v>FEM</c:v>
          </c:tx>
          <c:spPr>
            <a:ln w="15875">
              <a:solidFill>
                <a:schemeClr val="tx1"/>
              </a:solidFill>
            </a:ln>
          </c:spPr>
          <c:marker>
            <c:symbol val="x"/>
            <c:size val="8"/>
            <c:spPr>
              <a:ln>
                <a:solidFill>
                  <a:schemeClr val="tx1"/>
                </a:solidFill>
              </a:ln>
            </c:spPr>
          </c:marker>
          <c:xVal>
            <c:numRef>
              <c:f>'nonlinear, t16, 1p'!$AF$13:$AF$45</c:f>
              <c:numCache>
                <c:formatCode>0.00E+00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'nonlinear, t16, 1p'!$AG$13:$AG$45</c:f>
              <c:numCache>
                <c:formatCode>0.00E+00</c:formatCode>
                <c:ptCount val="33"/>
                <c:pt idx="0">
                  <c:v>13.5907</c:v>
                </c:pt>
                <c:pt idx="1">
                  <c:v>13.579800000000001</c:v>
                </c:pt>
                <c:pt idx="2">
                  <c:v>13.5688</c:v>
                </c:pt>
                <c:pt idx="3">
                  <c:v>13.5359</c:v>
                </c:pt>
                <c:pt idx="4">
                  <c:v>13.5031</c:v>
                </c:pt>
                <c:pt idx="5">
                  <c:v>13.4482</c:v>
                </c:pt>
                <c:pt idx="6">
                  <c:v>13.3934</c:v>
                </c:pt>
                <c:pt idx="7">
                  <c:v>13.316599999999999</c:v>
                </c:pt>
                <c:pt idx="8">
                  <c:v>13.239699999999999</c:v>
                </c:pt>
                <c:pt idx="9">
                  <c:v>13.140700000000001</c:v>
                </c:pt>
                <c:pt idx="10">
                  <c:v>13.041700000000001</c:v>
                </c:pt>
                <c:pt idx="11">
                  <c:v>12.920199999999999</c:v>
                </c:pt>
                <c:pt idx="12">
                  <c:v>12.7987</c:v>
                </c:pt>
                <c:pt idx="13">
                  <c:v>12.6541</c:v>
                </c:pt>
                <c:pt idx="14">
                  <c:v>12.509499999999999</c:v>
                </c:pt>
                <c:pt idx="15">
                  <c:v>12.3408</c:v>
                </c:pt>
                <c:pt idx="16">
                  <c:v>12.1722</c:v>
                </c:pt>
                <c:pt idx="17">
                  <c:v>11.978400000000001</c:v>
                </c:pt>
                <c:pt idx="18">
                  <c:v>11.784599999999999</c:v>
                </c:pt>
                <c:pt idx="19">
                  <c:v>11.5633</c:v>
                </c:pt>
                <c:pt idx="20">
                  <c:v>11.342000000000001</c:v>
                </c:pt>
                <c:pt idx="21">
                  <c:v>11.0878</c:v>
                </c:pt>
                <c:pt idx="22">
                  <c:v>10.833600000000001</c:v>
                </c:pt>
                <c:pt idx="23">
                  <c:v>10.535399999999999</c:v>
                </c:pt>
                <c:pt idx="24">
                  <c:v>10.2372</c:v>
                </c:pt>
                <c:pt idx="25">
                  <c:v>9.8813800000000001</c:v>
                </c:pt>
                <c:pt idx="26">
                  <c:v>9.5255299999999998</c:v>
                </c:pt>
                <c:pt idx="27">
                  <c:v>9.1795799999999996</c:v>
                </c:pt>
                <c:pt idx="28">
                  <c:v>8.8336199999999998</c:v>
                </c:pt>
                <c:pt idx="29">
                  <c:v>7.9292999999999996</c:v>
                </c:pt>
                <c:pt idx="30">
                  <c:v>7.0249800000000002</c:v>
                </c:pt>
                <c:pt idx="31">
                  <c:v>6.2415000000000003</c:v>
                </c:pt>
                <c:pt idx="32">
                  <c:v>5.4580200000000003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60-4F93-A0A6-AE656E693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68576245595"/>
          <c:y val="0.4055893426403932"/>
          <c:w val="0.38326658891201126"/>
          <c:h val="0.3851994905351166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'nonlinear, t16, 2p'!$F$2:$F$17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'nonlinear, t16, 2p'!$K$2:$K$17</c:f>
              <c:numCache>
                <c:formatCode>0.00E+00</c:formatCode>
                <c:ptCount val="16"/>
                <c:pt idx="0">
                  <c:v>8.2889931607694702</c:v>
                </c:pt>
                <c:pt idx="1">
                  <c:v>8.2449649606433297</c:v>
                </c:pt>
                <c:pt idx="2">
                  <c:v>8.1571409135628095</c:v>
                </c:pt>
                <c:pt idx="3">
                  <c:v>8.0270197920102593</c:v>
                </c:pt>
                <c:pt idx="4">
                  <c:v>7.8536881756951802</c:v>
                </c:pt>
                <c:pt idx="5">
                  <c:v>7.6337749042345902</c:v>
                </c:pt>
                <c:pt idx="6">
                  <c:v>7.3714212069882903</c:v>
                </c:pt>
                <c:pt idx="7">
                  <c:v>7.08463707127496</c:v>
                </c:pt>
                <c:pt idx="8">
                  <c:v>6.7117578494032299</c:v>
                </c:pt>
                <c:pt idx="9">
                  <c:v>6.2468548092860896</c:v>
                </c:pt>
                <c:pt idx="10">
                  <c:v>5.9407807792369898</c:v>
                </c:pt>
                <c:pt idx="11">
                  <c:v>5.4926352555214102</c:v>
                </c:pt>
                <c:pt idx="12">
                  <c:v>4.1968985035265201</c:v>
                </c:pt>
                <c:pt idx="13">
                  <c:v>4.2743494778681299</c:v>
                </c:pt>
                <c:pt idx="14">
                  <c:v>6.7790763626452897</c:v>
                </c:pt>
                <c:pt idx="15">
                  <c:v>4.5420412204529601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74-47E6-8C8D-DF2B6DAB3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7039"/>
        <c:axId val="924900719"/>
      </c:scatterChart>
      <c:valAx>
        <c:axId val="92491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0719"/>
        <c:crosses val="autoZero"/>
        <c:crossBetween val="midCat"/>
      </c:valAx>
      <c:valAx>
        <c:axId val="92490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'nonlinear, t16, 2p'!$F$19:$F$34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'nonlinear, t16, 2p'!$K$19:$K$34</c:f>
              <c:numCache>
                <c:formatCode>0.00E+00</c:formatCode>
                <c:ptCount val="16"/>
                <c:pt idx="0">
                  <c:v>8.1707175705758903</c:v>
                </c:pt>
                <c:pt idx="1">
                  <c:v>8.1315104219857499</c:v>
                </c:pt>
                <c:pt idx="2">
                  <c:v>8.0795675433656502</c:v>
                </c:pt>
                <c:pt idx="3">
                  <c:v>7.7443133876888997</c:v>
                </c:pt>
                <c:pt idx="4">
                  <c:v>7.7024285234593304</c:v>
                </c:pt>
                <c:pt idx="5">
                  <c:v>7.4889546239515097</c:v>
                </c:pt>
                <c:pt idx="6">
                  <c:v>7.7040721658117404</c:v>
                </c:pt>
                <c:pt idx="7">
                  <c:v>6.8871622305609597</c:v>
                </c:pt>
                <c:pt idx="8">
                  <c:v>6.4761796826909404</c:v>
                </c:pt>
                <c:pt idx="9">
                  <c:v>5.63817775292625</c:v>
                </c:pt>
                <c:pt idx="10">
                  <c:v>6.0360820551398904</c:v>
                </c:pt>
                <c:pt idx="11">
                  <c:v>5.4088933059601398</c:v>
                </c:pt>
                <c:pt idx="12">
                  <c:v>4.4220836941258597</c:v>
                </c:pt>
                <c:pt idx="13">
                  <c:v>3.77279632606432</c:v>
                </c:pt>
                <c:pt idx="14">
                  <c:v>6.6069564028361398</c:v>
                </c:pt>
                <c:pt idx="15">
                  <c:v>4.6512015009969296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37-4F33-81E9-221B30FDC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4639"/>
        <c:axId val="924904559"/>
      </c:scatterChart>
      <c:valAx>
        <c:axId val="92491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4559"/>
        <c:crosses val="autoZero"/>
        <c:crossBetween val="midCat"/>
      </c:valAx>
      <c:valAx>
        <c:axId val="92490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'nonlinear, t16, 2p'!$F$36:$F$51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'nonlinear, t16, 2p'!$K$36:$K$51</c:f>
              <c:numCache>
                <c:formatCode>0.00E+00</c:formatCode>
                <c:ptCount val="16"/>
                <c:pt idx="0">
                  <c:v>8.2791288079124605</c:v>
                </c:pt>
                <c:pt idx="1">
                  <c:v>8.2415367299934399</c:v>
                </c:pt>
                <c:pt idx="2">
                  <c:v>8.1900528526622303</c:v>
                </c:pt>
                <c:pt idx="3">
                  <c:v>7.8689691121033896</c:v>
                </c:pt>
                <c:pt idx="4">
                  <c:v>7.8243103192975996</c:v>
                </c:pt>
                <c:pt idx="5">
                  <c:v>7.6120038021886396</c:v>
                </c:pt>
                <c:pt idx="6">
                  <c:v>7.8740287504899298</c:v>
                </c:pt>
                <c:pt idx="7">
                  <c:v>7.0142377575167503</c:v>
                </c:pt>
                <c:pt idx="8">
                  <c:v>6.6117408630210903</c:v>
                </c:pt>
                <c:pt idx="9">
                  <c:v>5.8884770485370996</c:v>
                </c:pt>
                <c:pt idx="10">
                  <c:v>6.1467962871018598</c:v>
                </c:pt>
                <c:pt idx="11">
                  <c:v>5.5574670851055696</c:v>
                </c:pt>
                <c:pt idx="12">
                  <c:v>4.6528751827260901</c:v>
                </c:pt>
                <c:pt idx="13">
                  <c:v>3.8604430159103602</c:v>
                </c:pt>
                <c:pt idx="14">
                  <c:v>6.7909710672370798</c:v>
                </c:pt>
                <c:pt idx="15">
                  <c:v>4.7611172003524898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8E-4E7D-B659-0FE8917B5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xVal>
            <c:numRef>
              <c:f>'nonlinear, t16, 2p'!$F$2:$F$17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'nonlinear, t16, 2p'!$K$2:$K$17</c:f>
              <c:numCache>
                <c:formatCode>0.00E+00</c:formatCode>
                <c:ptCount val="16"/>
                <c:pt idx="0">
                  <c:v>8.2889931607694702</c:v>
                </c:pt>
                <c:pt idx="1">
                  <c:v>8.2449649606433297</c:v>
                </c:pt>
                <c:pt idx="2">
                  <c:v>8.1571409135628095</c:v>
                </c:pt>
                <c:pt idx="3">
                  <c:v>8.0270197920102593</c:v>
                </c:pt>
                <c:pt idx="4">
                  <c:v>7.8536881756951802</c:v>
                </c:pt>
                <c:pt idx="5">
                  <c:v>7.6337749042345902</c:v>
                </c:pt>
                <c:pt idx="6">
                  <c:v>7.3714212069882903</c:v>
                </c:pt>
                <c:pt idx="7">
                  <c:v>7.08463707127496</c:v>
                </c:pt>
                <c:pt idx="8">
                  <c:v>6.7117578494032299</c:v>
                </c:pt>
                <c:pt idx="9">
                  <c:v>6.2468548092860896</c:v>
                </c:pt>
                <c:pt idx="10">
                  <c:v>5.9407807792369898</c:v>
                </c:pt>
                <c:pt idx="11">
                  <c:v>5.4926352555214102</c:v>
                </c:pt>
                <c:pt idx="12">
                  <c:v>4.1968985035265201</c:v>
                </c:pt>
                <c:pt idx="13">
                  <c:v>4.2743494778681299</c:v>
                </c:pt>
                <c:pt idx="14">
                  <c:v>6.7790763626452897</c:v>
                </c:pt>
                <c:pt idx="15">
                  <c:v>4.5420412204529601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7D-4AB4-90EF-5524E54FE36E}"/>
            </c:ext>
          </c:extLst>
        </c:ser>
        <c:ser>
          <c:idx val="2"/>
          <c:order val="1"/>
          <c:spPr>
            <a:effectLst/>
          </c:spPr>
          <c:xVal>
            <c:numRef>
              <c:f>'nonlinear, t16, 2p'!$F$19:$F$34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'nonlinear, t16, 2p'!$K$19:$K$34</c:f>
              <c:numCache>
                <c:formatCode>0.00E+00</c:formatCode>
                <c:ptCount val="16"/>
                <c:pt idx="0">
                  <c:v>8.1707175705758903</c:v>
                </c:pt>
                <c:pt idx="1">
                  <c:v>8.1315104219857499</c:v>
                </c:pt>
                <c:pt idx="2">
                  <c:v>8.0795675433656502</c:v>
                </c:pt>
                <c:pt idx="3">
                  <c:v>7.7443133876888997</c:v>
                </c:pt>
                <c:pt idx="4">
                  <c:v>7.7024285234593304</c:v>
                </c:pt>
                <c:pt idx="5">
                  <c:v>7.4889546239515097</c:v>
                </c:pt>
                <c:pt idx="6">
                  <c:v>7.7040721658117404</c:v>
                </c:pt>
                <c:pt idx="7">
                  <c:v>6.8871622305609597</c:v>
                </c:pt>
                <c:pt idx="8">
                  <c:v>6.4761796826909404</c:v>
                </c:pt>
                <c:pt idx="9">
                  <c:v>5.63817775292625</c:v>
                </c:pt>
                <c:pt idx="10">
                  <c:v>6.0360820551398904</c:v>
                </c:pt>
                <c:pt idx="11">
                  <c:v>5.4088933059601398</c:v>
                </c:pt>
                <c:pt idx="12">
                  <c:v>4.4220836941258597</c:v>
                </c:pt>
                <c:pt idx="13">
                  <c:v>3.77279632606432</c:v>
                </c:pt>
                <c:pt idx="14">
                  <c:v>6.6069564028361398</c:v>
                </c:pt>
                <c:pt idx="15">
                  <c:v>4.6512015009969296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7D-4AB4-90EF-5524E54FE36E}"/>
            </c:ext>
          </c:extLst>
        </c:ser>
        <c:ser>
          <c:idx val="0"/>
          <c:order val="2"/>
          <c:spPr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'nonlinear, t16, 2p'!$F$36:$F$51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'nonlinear, t16, 2p'!$K$36:$K$51</c:f>
              <c:numCache>
                <c:formatCode>0.00E+00</c:formatCode>
                <c:ptCount val="16"/>
                <c:pt idx="0">
                  <c:v>8.2791288079124605</c:v>
                </c:pt>
                <c:pt idx="1">
                  <c:v>8.2415367299934399</c:v>
                </c:pt>
                <c:pt idx="2">
                  <c:v>8.1900528526622303</c:v>
                </c:pt>
                <c:pt idx="3">
                  <c:v>7.8689691121033896</c:v>
                </c:pt>
                <c:pt idx="4">
                  <c:v>7.8243103192975996</c:v>
                </c:pt>
                <c:pt idx="5">
                  <c:v>7.6120038021886396</c:v>
                </c:pt>
                <c:pt idx="6">
                  <c:v>7.8740287504899298</c:v>
                </c:pt>
                <c:pt idx="7">
                  <c:v>7.0142377575167503</c:v>
                </c:pt>
                <c:pt idx="8">
                  <c:v>6.6117408630210903</c:v>
                </c:pt>
                <c:pt idx="9">
                  <c:v>5.8884770485370996</c:v>
                </c:pt>
                <c:pt idx="10">
                  <c:v>6.1467962871018598</c:v>
                </c:pt>
                <c:pt idx="11">
                  <c:v>5.5574670851055696</c:v>
                </c:pt>
                <c:pt idx="12">
                  <c:v>4.6528751827260901</c:v>
                </c:pt>
                <c:pt idx="13">
                  <c:v>3.8604430159103602</c:v>
                </c:pt>
                <c:pt idx="14">
                  <c:v>6.7909710672370798</c:v>
                </c:pt>
                <c:pt idx="15">
                  <c:v>4.7611172003524898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7D-4AB4-90EF-5524E54FE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'100step'!$F$2:$F$17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'100step'!$K$2:$K$17</c:f>
              <c:numCache>
                <c:formatCode>0.00E+00</c:formatCode>
                <c:ptCount val="16"/>
                <c:pt idx="0">
                  <c:v>8.3043187750052407</c:v>
                </c:pt>
                <c:pt idx="1">
                  <c:v>8.2584226546718593</c:v>
                </c:pt>
                <c:pt idx="2">
                  <c:v>8.1709965003810598</c:v>
                </c:pt>
                <c:pt idx="3">
                  <c:v>8.0423166730588296</c:v>
                </c:pt>
                <c:pt idx="4">
                  <c:v>7.8706604069189003</c:v>
                </c:pt>
                <c:pt idx="5">
                  <c:v>7.6510962191751197</c:v>
                </c:pt>
                <c:pt idx="6">
                  <c:v>7.3857824082991597</c:v>
                </c:pt>
                <c:pt idx="7">
                  <c:v>7.1020020207673298</c:v>
                </c:pt>
                <c:pt idx="8">
                  <c:v>6.7338110187589404</c:v>
                </c:pt>
                <c:pt idx="9">
                  <c:v>6.2485386969274304</c:v>
                </c:pt>
                <c:pt idx="10">
                  <c:v>5.9431196182542099</c:v>
                </c:pt>
                <c:pt idx="11">
                  <c:v>5.5280789909006502</c:v>
                </c:pt>
                <c:pt idx="12">
                  <c:v>4.1946596610184201</c:v>
                </c:pt>
                <c:pt idx="13">
                  <c:v>4.1889883838578799</c:v>
                </c:pt>
                <c:pt idx="14">
                  <c:v>6.8159360328618703</c:v>
                </c:pt>
                <c:pt idx="15">
                  <c:v>4.5880892605944501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DC-413E-801E-C19886437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7039"/>
        <c:axId val="924900719"/>
      </c:scatterChart>
      <c:valAx>
        <c:axId val="92491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0719"/>
        <c:crosses val="autoZero"/>
        <c:crossBetween val="midCat"/>
      </c:valAx>
      <c:valAx>
        <c:axId val="92490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'100step'!$F$19:$F$34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'100step'!$K$19:$K$34</c:f>
              <c:numCache>
                <c:formatCode>0.00E+00</c:formatCode>
                <c:ptCount val="16"/>
                <c:pt idx="0">
                  <c:v>8.4068562309831396</c:v>
                </c:pt>
                <c:pt idx="1">
                  <c:v>8.3650140201998209</c:v>
                </c:pt>
                <c:pt idx="2">
                  <c:v>8.2684767588809507</c:v>
                </c:pt>
                <c:pt idx="3">
                  <c:v>8.2144540815585607</c:v>
                </c:pt>
                <c:pt idx="4">
                  <c:v>7.96631462953086</c:v>
                </c:pt>
                <c:pt idx="5">
                  <c:v>7.7798666108211298</c:v>
                </c:pt>
                <c:pt idx="6">
                  <c:v>7.6533665008541201</c:v>
                </c:pt>
                <c:pt idx="7">
                  <c:v>7.21921934797665</c:v>
                </c:pt>
                <c:pt idx="8">
                  <c:v>6.8425684634784698</c:v>
                </c:pt>
                <c:pt idx="9">
                  <c:v>6.4966264831970397</c:v>
                </c:pt>
                <c:pt idx="10">
                  <c:v>6.2797155918728498</c:v>
                </c:pt>
                <c:pt idx="11">
                  <c:v>5.5586303471372398</c:v>
                </c:pt>
                <c:pt idx="12">
                  <c:v>4.8456847706888304</c:v>
                </c:pt>
                <c:pt idx="13">
                  <c:v>4.7564913374347704</c:v>
                </c:pt>
                <c:pt idx="14">
                  <c:v>6.77978583693515</c:v>
                </c:pt>
                <c:pt idx="15">
                  <c:v>4.9542558144771798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C1-4902-A8BB-5FE6681C6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4639"/>
        <c:axId val="924904559"/>
      </c:scatterChart>
      <c:valAx>
        <c:axId val="92491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4559"/>
        <c:crosses val="autoZero"/>
        <c:crossBetween val="midCat"/>
      </c:valAx>
      <c:valAx>
        <c:axId val="92490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'100step'!$F$36:$F$51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'100step'!$K$36:$K$51</c:f>
              <c:numCache>
                <c:formatCode>0.00E+00</c:formatCode>
                <c:ptCount val="16"/>
                <c:pt idx="0">
                  <c:v>8.2688674911035491</c:v>
                </c:pt>
                <c:pt idx="1">
                  <c:v>8.2266154468189594</c:v>
                </c:pt>
                <c:pt idx="2">
                  <c:v>8.1281977381388195</c:v>
                </c:pt>
                <c:pt idx="3">
                  <c:v>8.0777703963593304</c:v>
                </c:pt>
                <c:pt idx="4">
                  <c:v>7.8260677685178903</c:v>
                </c:pt>
                <c:pt idx="5">
                  <c:v>7.6330097870390698</c:v>
                </c:pt>
                <c:pt idx="6">
                  <c:v>7.5278458873499803</c:v>
                </c:pt>
                <c:pt idx="7">
                  <c:v>7.0666530554026901</c:v>
                </c:pt>
                <c:pt idx="8">
                  <c:v>6.70599351550573</c:v>
                </c:pt>
                <c:pt idx="9">
                  <c:v>6.3895958609229</c:v>
                </c:pt>
                <c:pt idx="10">
                  <c:v>6.1019627461760297</c:v>
                </c:pt>
                <c:pt idx="11">
                  <c:v>5.4551939077291003</c:v>
                </c:pt>
                <c:pt idx="12">
                  <c:v>4.7393162199289396</c:v>
                </c:pt>
                <c:pt idx="13">
                  <c:v>4.5810807133725504</c:v>
                </c:pt>
                <c:pt idx="14">
                  <c:v>6.6731386768201997</c:v>
                </c:pt>
                <c:pt idx="15">
                  <c:v>4.8365156244876797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A9-4459-9C39-D876DCA0B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S-IGA no blending</c:v>
          </c:tx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squar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'100step'!$L$19:$L$34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'100step'!$M$19:$M$34</c:f>
              <c:numCache>
                <c:formatCode>0.00E+00</c:formatCode>
                <c:ptCount val="16"/>
                <c:pt idx="0">
                  <c:v>16.813712461966279</c:v>
                </c:pt>
                <c:pt idx="1">
                  <c:v>16.730028040399642</c:v>
                </c:pt>
                <c:pt idx="2">
                  <c:v>16.536953517761901</c:v>
                </c:pt>
                <c:pt idx="3">
                  <c:v>16.428908163117121</c:v>
                </c:pt>
                <c:pt idx="4">
                  <c:v>15.93262925906172</c:v>
                </c:pt>
                <c:pt idx="5">
                  <c:v>15.55973322164226</c:v>
                </c:pt>
                <c:pt idx="6">
                  <c:v>15.30673300170824</c:v>
                </c:pt>
                <c:pt idx="7">
                  <c:v>14.4384386959533</c:v>
                </c:pt>
                <c:pt idx="8">
                  <c:v>13.68513692695694</c:v>
                </c:pt>
                <c:pt idx="9">
                  <c:v>12.993252966394079</c:v>
                </c:pt>
                <c:pt idx="10">
                  <c:v>12.5594311837457</c:v>
                </c:pt>
                <c:pt idx="11">
                  <c:v>11.11726069427448</c:v>
                </c:pt>
                <c:pt idx="12">
                  <c:v>9.6913695413776608</c:v>
                </c:pt>
                <c:pt idx="13">
                  <c:v>9.5129826748695407</c:v>
                </c:pt>
                <c:pt idx="14">
                  <c:v>13.5595716738703</c:v>
                </c:pt>
                <c:pt idx="15">
                  <c:v>9.9085116289543596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D5-4C21-9C83-6E5FF7A2629E}"/>
            </c:ext>
          </c:extLst>
        </c:ser>
        <c:ser>
          <c:idx val="0"/>
          <c:order val="1"/>
          <c:tx>
            <c:v>S-IGA cubic</c:v>
          </c:tx>
          <c:spPr>
            <a:ln w="15875">
              <a:solidFill>
                <a:srgbClr val="00B0F0"/>
              </a:solidFill>
            </a:ln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'100step'!$L$36:$L$51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'100step'!$M$36:$M$51</c:f>
              <c:numCache>
                <c:formatCode>0.00E+00</c:formatCode>
                <c:ptCount val="16"/>
                <c:pt idx="0">
                  <c:v>16.537734982207098</c:v>
                </c:pt>
                <c:pt idx="1">
                  <c:v>16.453230893637919</c:v>
                </c:pt>
                <c:pt idx="2">
                  <c:v>16.256395476277639</c:v>
                </c:pt>
                <c:pt idx="3">
                  <c:v>16.155540792718661</c:v>
                </c:pt>
                <c:pt idx="4">
                  <c:v>15.652135537035781</c:v>
                </c:pt>
                <c:pt idx="5">
                  <c:v>15.26601957407814</c:v>
                </c:pt>
                <c:pt idx="6">
                  <c:v>15.055691774699961</c:v>
                </c:pt>
                <c:pt idx="7">
                  <c:v>14.13330611080538</c:v>
                </c:pt>
                <c:pt idx="8">
                  <c:v>13.41198703101146</c:v>
                </c:pt>
                <c:pt idx="9">
                  <c:v>12.7791917218458</c:v>
                </c:pt>
                <c:pt idx="10">
                  <c:v>12.203925492352059</c:v>
                </c:pt>
                <c:pt idx="11">
                  <c:v>10.910387815458201</c:v>
                </c:pt>
                <c:pt idx="12">
                  <c:v>9.4786324398578792</c:v>
                </c:pt>
                <c:pt idx="13">
                  <c:v>9.1621614267451008</c:v>
                </c:pt>
                <c:pt idx="14">
                  <c:v>13.346277353640399</c:v>
                </c:pt>
                <c:pt idx="15">
                  <c:v>9.6730312489753594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D5-4C21-9C83-6E5FF7A2629E}"/>
            </c:ext>
          </c:extLst>
        </c:ser>
        <c:ser>
          <c:idx val="1"/>
          <c:order val="2"/>
          <c:tx>
            <c:v>IGA</c:v>
          </c:tx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'100step'!$L$2:$L$17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'100step'!$M$2:$M$17</c:f>
              <c:numCache>
                <c:formatCode>0.00E+00</c:formatCode>
                <c:ptCount val="16"/>
                <c:pt idx="0">
                  <c:v>16.608637550010481</c:v>
                </c:pt>
                <c:pt idx="1">
                  <c:v>16.516845309343719</c:v>
                </c:pt>
                <c:pt idx="2">
                  <c:v>16.34199300076212</c:v>
                </c:pt>
                <c:pt idx="3">
                  <c:v>16.084633346117659</c:v>
                </c:pt>
                <c:pt idx="4">
                  <c:v>15.741320813837801</c:v>
                </c:pt>
                <c:pt idx="5">
                  <c:v>15.302192438350239</c:v>
                </c:pt>
                <c:pt idx="6">
                  <c:v>14.771564816598319</c:v>
                </c:pt>
                <c:pt idx="7">
                  <c:v>14.20400404153466</c:v>
                </c:pt>
                <c:pt idx="8">
                  <c:v>13.467622037517881</c:v>
                </c:pt>
                <c:pt idx="9">
                  <c:v>12.497077393854861</c:v>
                </c:pt>
                <c:pt idx="10">
                  <c:v>11.88623923650842</c:v>
                </c:pt>
                <c:pt idx="11">
                  <c:v>11.0561579818013</c:v>
                </c:pt>
                <c:pt idx="12">
                  <c:v>8.3893193220368403</c:v>
                </c:pt>
                <c:pt idx="13">
                  <c:v>8.3779767677157597</c:v>
                </c:pt>
                <c:pt idx="14">
                  <c:v>13.631872065723741</c:v>
                </c:pt>
                <c:pt idx="15">
                  <c:v>9.1761785211889002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D5-4C21-9C83-6E5FF7A26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77117224713"/>
          <c:y val="0.46835281249615945"/>
          <c:w val="0.37495841653448941"/>
          <c:h val="0.30535188803816904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38100">
              <a:noFill/>
            </a:ln>
          </c:spPr>
          <c:xVal>
            <c:numRef>
              <c:f>'100step'!$AF$13:$AF$45</c:f>
              <c:numCache>
                <c:formatCode>0.00E+00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'100step'!$AG$13:$AG$45</c:f>
              <c:numCache>
                <c:formatCode>0.00E+00</c:formatCode>
                <c:ptCount val="33"/>
                <c:pt idx="0">
                  <c:v>13.5907</c:v>
                </c:pt>
                <c:pt idx="1">
                  <c:v>13.579800000000001</c:v>
                </c:pt>
                <c:pt idx="2">
                  <c:v>13.5688</c:v>
                </c:pt>
                <c:pt idx="3">
                  <c:v>13.5359</c:v>
                </c:pt>
                <c:pt idx="4">
                  <c:v>13.5031</c:v>
                </c:pt>
                <c:pt idx="5">
                  <c:v>13.4482</c:v>
                </c:pt>
                <c:pt idx="6">
                  <c:v>13.3934</c:v>
                </c:pt>
                <c:pt idx="7">
                  <c:v>13.316599999999999</c:v>
                </c:pt>
                <c:pt idx="8">
                  <c:v>13.239699999999999</c:v>
                </c:pt>
                <c:pt idx="9">
                  <c:v>13.140700000000001</c:v>
                </c:pt>
                <c:pt idx="10">
                  <c:v>13.041700000000001</c:v>
                </c:pt>
                <c:pt idx="11">
                  <c:v>12.920199999999999</c:v>
                </c:pt>
                <c:pt idx="12">
                  <c:v>12.7987</c:v>
                </c:pt>
                <c:pt idx="13">
                  <c:v>12.6541</c:v>
                </c:pt>
                <c:pt idx="14">
                  <c:v>12.509499999999999</c:v>
                </c:pt>
                <c:pt idx="15">
                  <c:v>12.3408</c:v>
                </c:pt>
                <c:pt idx="16">
                  <c:v>12.1722</c:v>
                </c:pt>
                <c:pt idx="17">
                  <c:v>11.978400000000001</c:v>
                </c:pt>
                <c:pt idx="18">
                  <c:v>11.784599999999999</c:v>
                </c:pt>
                <c:pt idx="19">
                  <c:v>11.5633</c:v>
                </c:pt>
                <c:pt idx="20">
                  <c:v>11.342000000000001</c:v>
                </c:pt>
                <c:pt idx="21">
                  <c:v>11.0878</c:v>
                </c:pt>
                <c:pt idx="22">
                  <c:v>10.833600000000001</c:v>
                </c:pt>
                <c:pt idx="23">
                  <c:v>10.535399999999999</c:v>
                </c:pt>
                <c:pt idx="24">
                  <c:v>10.2372</c:v>
                </c:pt>
                <c:pt idx="25">
                  <c:v>9.8813800000000001</c:v>
                </c:pt>
                <c:pt idx="26">
                  <c:v>9.5255299999999998</c:v>
                </c:pt>
                <c:pt idx="27">
                  <c:v>9.1795799999999996</c:v>
                </c:pt>
                <c:pt idx="28">
                  <c:v>8.8336199999999998</c:v>
                </c:pt>
                <c:pt idx="29">
                  <c:v>7.9292999999999996</c:v>
                </c:pt>
                <c:pt idx="30">
                  <c:v>7.0249800000000002</c:v>
                </c:pt>
                <c:pt idx="31">
                  <c:v>6.2415000000000003</c:v>
                </c:pt>
                <c:pt idx="32">
                  <c:v>5.4580200000000003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7B-4E41-BCF0-A850C031ACA6}"/>
            </c:ext>
          </c:extLst>
        </c:ser>
        <c:ser>
          <c:idx val="2"/>
          <c:order val="1"/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  <c:marker>
            <c:symbol val="squar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'100step'!$L$19:$L$34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'100step'!$K$19:$K$34</c:f>
              <c:numCache>
                <c:formatCode>0.00E+00</c:formatCode>
                <c:ptCount val="16"/>
                <c:pt idx="0">
                  <c:v>8.4068562309831396</c:v>
                </c:pt>
                <c:pt idx="1">
                  <c:v>8.3650140201998209</c:v>
                </c:pt>
                <c:pt idx="2">
                  <c:v>8.2684767588809507</c:v>
                </c:pt>
                <c:pt idx="3">
                  <c:v>8.2144540815585607</c:v>
                </c:pt>
                <c:pt idx="4">
                  <c:v>7.96631462953086</c:v>
                </c:pt>
                <c:pt idx="5">
                  <c:v>7.7798666108211298</c:v>
                </c:pt>
                <c:pt idx="6">
                  <c:v>7.6533665008541201</c:v>
                </c:pt>
                <c:pt idx="7">
                  <c:v>7.21921934797665</c:v>
                </c:pt>
                <c:pt idx="8">
                  <c:v>6.8425684634784698</c:v>
                </c:pt>
                <c:pt idx="9">
                  <c:v>6.4966264831970397</c:v>
                </c:pt>
                <c:pt idx="10">
                  <c:v>6.2797155918728498</c:v>
                </c:pt>
                <c:pt idx="11">
                  <c:v>5.5586303471372398</c:v>
                </c:pt>
                <c:pt idx="12">
                  <c:v>4.8456847706888304</c:v>
                </c:pt>
                <c:pt idx="13">
                  <c:v>4.7564913374347704</c:v>
                </c:pt>
                <c:pt idx="14">
                  <c:v>6.77978583693515</c:v>
                </c:pt>
                <c:pt idx="15">
                  <c:v>4.9542558144771798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S-IGA no blending</c:v>
                </c15:tx>
              </c15:filteredSeriesTitle>
            </c:ext>
            <c:ext xmlns:c16="http://schemas.microsoft.com/office/drawing/2014/chart" uri="{C3380CC4-5D6E-409C-BE32-E72D297353CC}">
              <c16:uniqueId val="{00000001-017B-4E41-BCF0-A850C031ACA6}"/>
            </c:ext>
          </c:extLst>
        </c:ser>
        <c:ser>
          <c:idx val="0"/>
          <c:order val="2"/>
          <c:spPr>
            <a:ln w="15875">
              <a:solidFill>
                <a:srgbClr val="00B0F0"/>
              </a:solidFill>
            </a:ln>
            <a:effectLst/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'100step'!$L$36:$L$51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'100step'!$K$36:$K$51</c:f>
              <c:numCache>
                <c:formatCode>0.00E+00</c:formatCode>
                <c:ptCount val="16"/>
                <c:pt idx="0">
                  <c:v>8.2688674911035491</c:v>
                </c:pt>
                <c:pt idx="1">
                  <c:v>8.2266154468189594</c:v>
                </c:pt>
                <c:pt idx="2">
                  <c:v>8.1281977381388195</c:v>
                </c:pt>
                <c:pt idx="3">
                  <c:v>8.0777703963593304</c:v>
                </c:pt>
                <c:pt idx="4">
                  <c:v>7.8260677685178903</c:v>
                </c:pt>
                <c:pt idx="5">
                  <c:v>7.6330097870390698</c:v>
                </c:pt>
                <c:pt idx="6">
                  <c:v>7.5278458873499803</c:v>
                </c:pt>
                <c:pt idx="7">
                  <c:v>7.0666530554026901</c:v>
                </c:pt>
                <c:pt idx="8">
                  <c:v>6.70599351550573</c:v>
                </c:pt>
                <c:pt idx="9">
                  <c:v>6.3895958609229</c:v>
                </c:pt>
                <c:pt idx="10">
                  <c:v>6.1019627461760297</c:v>
                </c:pt>
                <c:pt idx="11">
                  <c:v>5.4551939077291003</c:v>
                </c:pt>
                <c:pt idx="12">
                  <c:v>4.7393162199289396</c:v>
                </c:pt>
                <c:pt idx="13">
                  <c:v>4.5810807133725504</c:v>
                </c:pt>
                <c:pt idx="14">
                  <c:v>6.6731386768201997</c:v>
                </c:pt>
                <c:pt idx="15">
                  <c:v>4.8365156244876797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S-IGA cubic</c:v>
                </c15:tx>
              </c15:filteredSeriesTitle>
            </c:ext>
            <c:ext xmlns:c16="http://schemas.microsoft.com/office/drawing/2014/chart" uri="{C3380CC4-5D6E-409C-BE32-E72D297353CC}">
              <c16:uniqueId val="{00000002-017B-4E41-BCF0-A850C031ACA6}"/>
            </c:ext>
          </c:extLst>
        </c:ser>
        <c:ser>
          <c:idx val="1"/>
          <c:order val="3"/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'100step'!$L$2:$L$17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'100step'!$K$2:$K$17</c:f>
              <c:numCache>
                <c:formatCode>0.00E+00</c:formatCode>
                <c:ptCount val="16"/>
                <c:pt idx="0">
                  <c:v>8.3043187750052407</c:v>
                </c:pt>
                <c:pt idx="1">
                  <c:v>8.2584226546718593</c:v>
                </c:pt>
                <c:pt idx="2">
                  <c:v>8.1709965003810598</c:v>
                </c:pt>
                <c:pt idx="3">
                  <c:v>8.0423166730588296</c:v>
                </c:pt>
                <c:pt idx="4">
                  <c:v>7.8706604069189003</c:v>
                </c:pt>
                <c:pt idx="5">
                  <c:v>7.6510962191751197</c:v>
                </c:pt>
                <c:pt idx="6">
                  <c:v>7.3857824082991597</c:v>
                </c:pt>
                <c:pt idx="7">
                  <c:v>7.1020020207673298</c:v>
                </c:pt>
                <c:pt idx="8">
                  <c:v>6.7338110187589404</c:v>
                </c:pt>
                <c:pt idx="9">
                  <c:v>6.2485386969274304</c:v>
                </c:pt>
                <c:pt idx="10">
                  <c:v>5.9431196182542099</c:v>
                </c:pt>
                <c:pt idx="11">
                  <c:v>5.5280789909006502</c:v>
                </c:pt>
                <c:pt idx="12">
                  <c:v>4.1946596610184201</c:v>
                </c:pt>
                <c:pt idx="13">
                  <c:v>4.1889883838578799</c:v>
                </c:pt>
                <c:pt idx="14">
                  <c:v>6.8159360328618703</c:v>
                </c:pt>
                <c:pt idx="15">
                  <c:v>4.5880892605944501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IGA</c:v>
                </c15:tx>
              </c15:filteredSeriesTitle>
            </c:ext>
            <c:ext xmlns:c16="http://schemas.microsoft.com/office/drawing/2014/chart" uri="{C3380CC4-5D6E-409C-BE32-E72D297353CC}">
              <c16:uniqueId val="{00000003-017B-4E41-BCF0-A850C031A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56989960629921255"/>
          <c:y val="5.2696326473193243E-2"/>
          <c:w val="0.37495841653448941"/>
          <c:h val="0.30535188803816904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S-IGA no blending</c:v>
          </c:tx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squar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'100step'!$L$19:$L$34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'100step'!$M$19:$M$34</c:f>
              <c:numCache>
                <c:formatCode>0.00E+00</c:formatCode>
                <c:ptCount val="16"/>
                <c:pt idx="0">
                  <c:v>16.813712461966279</c:v>
                </c:pt>
                <c:pt idx="1">
                  <c:v>16.730028040399642</c:v>
                </c:pt>
                <c:pt idx="2">
                  <c:v>16.536953517761901</c:v>
                </c:pt>
                <c:pt idx="3">
                  <c:v>16.428908163117121</c:v>
                </c:pt>
                <c:pt idx="4">
                  <c:v>15.93262925906172</c:v>
                </c:pt>
                <c:pt idx="5">
                  <c:v>15.55973322164226</c:v>
                </c:pt>
                <c:pt idx="6">
                  <c:v>15.30673300170824</c:v>
                </c:pt>
                <c:pt idx="7">
                  <c:v>14.4384386959533</c:v>
                </c:pt>
                <c:pt idx="8">
                  <c:v>13.68513692695694</c:v>
                </c:pt>
                <c:pt idx="9">
                  <c:v>12.993252966394079</c:v>
                </c:pt>
                <c:pt idx="10">
                  <c:v>12.5594311837457</c:v>
                </c:pt>
                <c:pt idx="11">
                  <c:v>11.11726069427448</c:v>
                </c:pt>
                <c:pt idx="12">
                  <c:v>9.6913695413776608</c:v>
                </c:pt>
                <c:pt idx="13">
                  <c:v>9.5129826748695407</c:v>
                </c:pt>
                <c:pt idx="14">
                  <c:v>13.5595716738703</c:v>
                </c:pt>
                <c:pt idx="15">
                  <c:v>9.9085116289543596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8B-44CB-BCD6-213D08B14853}"/>
            </c:ext>
          </c:extLst>
        </c:ser>
        <c:ser>
          <c:idx val="0"/>
          <c:order val="1"/>
          <c:tx>
            <c:v>S-IGA cubic</c:v>
          </c:tx>
          <c:spPr>
            <a:ln w="15875">
              <a:solidFill>
                <a:srgbClr val="00B0F0"/>
              </a:solidFill>
            </a:ln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'100step'!$L$36:$L$51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'100step'!$M$36:$M$51</c:f>
              <c:numCache>
                <c:formatCode>0.00E+00</c:formatCode>
                <c:ptCount val="16"/>
                <c:pt idx="0">
                  <c:v>16.537734982207098</c:v>
                </c:pt>
                <c:pt idx="1">
                  <c:v>16.453230893637919</c:v>
                </c:pt>
                <c:pt idx="2">
                  <c:v>16.256395476277639</c:v>
                </c:pt>
                <c:pt idx="3">
                  <c:v>16.155540792718661</c:v>
                </c:pt>
                <c:pt idx="4">
                  <c:v>15.652135537035781</c:v>
                </c:pt>
                <c:pt idx="5">
                  <c:v>15.26601957407814</c:v>
                </c:pt>
                <c:pt idx="6">
                  <c:v>15.055691774699961</c:v>
                </c:pt>
                <c:pt idx="7">
                  <c:v>14.13330611080538</c:v>
                </c:pt>
                <c:pt idx="8">
                  <c:v>13.41198703101146</c:v>
                </c:pt>
                <c:pt idx="9">
                  <c:v>12.7791917218458</c:v>
                </c:pt>
                <c:pt idx="10">
                  <c:v>12.203925492352059</c:v>
                </c:pt>
                <c:pt idx="11">
                  <c:v>10.910387815458201</c:v>
                </c:pt>
                <c:pt idx="12">
                  <c:v>9.4786324398578792</c:v>
                </c:pt>
                <c:pt idx="13">
                  <c:v>9.1621614267451008</c:v>
                </c:pt>
                <c:pt idx="14">
                  <c:v>13.346277353640399</c:v>
                </c:pt>
                <c:pt idx="15">
                  <c:v>9.6730312489753594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8B-44CB-BCD6-213D08B14853}"/>
            </c:ext>
          </c:extLst>
        </c:ser>
        <c:ser>
          <c:idx val="1"/>
          <c:order val="2"/>
          <c:tx>
            <c:v>IGA</c:v>
          </c:tx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'100step'!$L$2:$L$17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'100step'!$M$2:$M$17</c:f>
              <c:numCache>
                <c:formatCode>0.00E+00</c:formatCode>
                <c:ptCount val="16"/>
                <c:pt idx="0">
                  <c:v>16.608637550010481</c:v>
                </c:pt>
                <c:pt idx="1">
                  <c:v>16.516845309343719</c:v>
                </c:pt>
                <c:pt idx="2">
                  <c:v>16.34199300076212</c:v>
                </c:pt>
                <c:pt idx="3">
                  <c:v>16.084633346117659</c:v>
                </c:pt>
                <c:pt idx="4">
                  <c:v>15.741320813837801</c:v>
                </c:pt>
                <c:pt idx="5">
                  <c:v>15.302192438350239</c:v>
                </c:pt>
                <c:pt idx="6">
                  <c:v>14.771564816598319</c:v>
                </c:pt>
                <c:pt idx="7">
                  <c:v>14.20400404153466</c:v>
                </c:pt>
                <c:pt idx="8">
                  <c:v>13.467622037517881</c:v>
                </c:pt>
                <c:pt idx="9">
                  <c:v>12.497077393854861</c:v>
                </c:pt>
                <c:pt idx="10">
                  <c:v>11.88623923650842</c:v>
                </c:pt>
                <c:pt idx="11">
                  <c:v>11.0561579818013</c:v>
                </c:pt>
                <c:pt idx="12">
                  <c:v>8.3893193220368403</c:v>
                </c:pt>
                <c:pt idx="13">
                  <c:v>8.3779767677157597</c:v>
                </c:pt>
                <c:pt idx="14">
                  <c:v>13.631872065723741</c:v>
                </c:pt>
                <c:pt idx="15">
                  <c:v>9.1761785211889002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8B-44CB-BCD6-213D08B14853}"/>
            </c:ext>
          </c:extLst>
        </c:ser>
        <c:ser>
          <c:idx val="3"/>
          <c:order val="3"/>
          <c:tx>
            <c:v>FEM</c:v>
          </c:tx>
          <c:xVal>
            <c:numRef>
              <c:f>'100step'!$AF$13:$AF$45</c:f>
              <c:numCache>
                <c:formatCode>0.00E+00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'100step'!$AG$13:$AG$45</c:f>
              <c:numCache>
                <c:formatCode>0.00E+00</c:formatCode>
                <c:ptCount val="33"/>
                <c:pt idx="0">
                  <c:v>13.5907</c:v>
                </c:pt>
                <c:pt idx="1">
                  <c:v>13.579800000000001</c:v>
                </c:pt>
                <c:pt idx="2">
                  <c:v>13.5688</c:v>
                </c:pt>
                <c:pt idx="3">
                  <c:v>13.5359</c:v>
                </c:pt>
                <c:pt idx="4">
                  <c:v>13.5031</c:v>
                </c:pt>
                <c:pt idx="5">
                  <c:v>13.4482</c:v>
                </c:pt>
                <c:pt idx="6">
                  <c:v>13.3934</c:v>
                </c:pt>
                <c:pt idx="7">
                  <c:v>13.316599999999999</c:v>
                </c:pt>
                <c:pt idx="8">
                  <c:v>13.239699999999999</c:v>
                </c:pt>
                <c:pt idx="9">
                  <c:v>13.140700000000001</c:v>
                </c:pt>
                <c:pt idx="10">
                  <c:v>13.041700000000001</c:v>
                </c:pt>
                <c:pt idx="11">
                  <c:v>12.920199999999999</c:v>
                </c:pt>
                <c:pt idx="12">
                  <c:v>12.7987</c:v>
                </c:pt>
                <c:pt idx="13">
                  <c:v>12.6541</c:v>
                </c:pt>
                <c:pt idx="14">
                  <c:v>12.509499999999999</c:v>
                </c:pt>
                <c:pt idx="15">
                  <c:v>12.3408</c:v>
                </c:pt>
                <c:pt idx="16">
                  <c:v>12.1722</c:v>
                </c:pt>
                <c:pt idx="17">
                  <c:v>11.978400000000001</c:v>
                </c:pt>
                <c:pt idx="18">
                  <c:v>11.784599999999999</c:v>
                </c:pt>
                <c:pt idx="19">
                  <c:v>11.5633</c:v>
                </c:pt>
                <c:pt idx="20">
                  <c:v>11.342000000000001</c:v>
                </c:pt>
                <c:pt idx="21">
                  <c:v>11.0878</c:v>
                </c:pt>
                <c:pt idx="22">
                  <c:v>10.833600000000001</c:v>
                </c:pt>
                <c:pt idx="23">
                  <c:v>10.535399999999999</c:v>
                </c:pt>
                <c:pt idx="24">
                  <c:v>10.2372</c:v>
                </c:pt>
                <c:pt idx="25">
                  <c:v>9.8813800000000001</c:v>
                </c:pt>
                <c:pt idx="26">
                  <c:v>9.5255299999999998</c:v>
                </c:pt>
                <c:pt idx="27">
                  <c:v>9.1795799999999996</c:v>
                </c:pt>
                <c:pt idx="28">
                  <c:v>8.8336199999999998</c:v>
                </c:pt>
                <c:pt idx="29">
                  <c:v>7.9292999999999996</c:v>
                </c:pt>
                <c:pt idx="30">
                  <c:v>7.0249800000000002</c:v>
                </c:pt>
                <c:pt idx="31">
                  <c:v>6.2415000000000003</c:v>
                </c:pt>
                <c:pt idx="32">
                  <c:v>5.4580200000000003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8B-44CB-BCD6-213D08B14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68576245595"/>
          <c:y val="0.4055893426403932"/>
          <c:w val="0.38326658891201126"/>
          <c:h val="0.3851994905351166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final!$F$2:$F$17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final!$K$2:$K$17</c:f>
              <c:numCache>
                <c:formatCode>0.00E+00</c:formatCode>
                <c:ptCount val="16"/>
                <c:pt idx="0">
                  <c:v>28.540453037514101</c:v>
                </c:pt>
                <c:pt idx="1">
                  <c:v>28.508444737590601</c:v>
                </c:pt>
                <c:pt idx="2">
                  <c:v>28.271998617775399</c:v>
                </c:pt>
                <c:pt idx="3">
                  <c:v>27.946817762842201</c:v>
                </c:pt>
                <c:pt idx="4">
                  <c:v>27.609124170932699</c:v>
                </c:pt>
                <c:pt idx="5">
                  <c:v>27.109601787545301</c:v>
                </c:pt>
                <c:pt idx="6">
                  <c:v>26.476860792216701</c:v>
                </c:pt>
                <c:pt idx="7">
                  <c:v>25.909283937402002</c:v>
                </c:pt>
                <c:pt idx="8">
                  <c:v>25.151596121178201</c:v>
                </c:pt>
                <c:pt idx="9">
                  <c:v>24.030235293896801</c:v>
                </c:pt>
                <c:pt idx="10">
                  <c:v>23.305487386433601</c:v>
                </c:pt>
                <c:pt idx="11">
                  <c:v>22.265785519163899</c:v>
                </c:pt>
                <c:pt idx="12">
                  <c:v>20.328137981168702</c:v>
                </c:pt>
                <c:pt idx="13">
                  <c:v>19.0660499295943</c:v>
                </c:pt>
                <c:pt idx="14">
                  <c:v>17.5366665415551</c:v>
                </c:pt>
                <c:pt idx="15">
                  <c:v>12.0207936115662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7F-41A2-A135-540A98F1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7039"/>
        <c:axId val="924900719"/>
      </c:scatterChart>
      <c:valAx>
        <c:axId val="92491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0719"/>
        <c:crosses val="autoZero"/>
        <c:crossBetween val="midCat"/>
      </c:valAx>
      <c:valAx>
        <c:axId val="92490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final!$F$19:$F$34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final!$K$19:$K$34</c:f>
              <c:numCache>
                <c:formatCode>0.00E+00</c:formatCode>
                <c:ptCount val="16"/>
                <c:pt idx="0">
                  <c:v>28.603486166113299</c:v>
                </c:pt>
                <c:pt idx="1">
                  <c:v>28.521617598000802</c:v>
                </c:pt>
                <c:pt idx="2">
                  <c:v>28.3098657283096</c:v>
                </c:pt>
                <c:pt idx="3">
                  <c:v>28.443956782164399</c:v>
                </c:pt>
                <c:pt idx="4">
                  <c:v>27.655869884670601</c:v>
                </c:pt>
                <c:pt idx="5">
                  <c:v>27.1413942923921</c:v>
                </c:pt>
                <c:pt idx="6">
                  <c:v>27.1075780060672</c:v>
                </c:pt>
                <c:pt idx="7">
                  <c:v>25.930462069289501</c:v>
                </c:pt>
                <c:pt idx="8">
                  <c:v>25.0970483128824</c:v>
                </c:pt>
                <c:pt idx="9">
                  <c:v>24.510545385360199</c:v>
                </c:pt>
                <c:pt idx="10">
                  <c:v>23.529190844173201</c:v>
                </c:pt>
                <c:pt idx="11">
                  <c:v>22.192514809691001</c:v>
                </c:pt>
                <c:pt idx="12">
                  <c:v>21.0826885920515</c:v>
                </c:pt>
                <c:pt idx="13">
                  <c:v>17.984943326833999</c:v>
                </c:pt>
                <c:pt idx="14">
                  <c:v>20.382294082429201</c:v>
                </c:pt>
                <c:pt idx="15">
                  <c:v>10.382953285412601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A4-481A-85A3-E23929FFC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4639"/>
        <c:axId val="924904559"/>
      </c:scatterChart>
      <c:valAx>
        <c:axId val="92491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4559"/>
        <c:crosses val="autoZero"/>
        <c:crossBetween val="midCat"/>
      </c:valAx>
      <c:valAx>
        <c:axId val="92490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final!$F$36:$F$51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final!$K$36:$K$51</c:f>
              <c:numCache>
                <c:formatCode>0.00E+00</c:formatCode>
                <c:ptCount val="16"/>
                <c:pt idx="0">
                  <c:v>28.335203669091701</c:v>
                </c:pt>
                <c:pt idx="1">
                  <c:v>28.2642804184798</c:v>
                </c:pt>
                <c:pt idx="2">
                  <c:v>28.540507291194199</c:v>
                </c:pt>
                <c:pt idx="3">
                  <c:v>28.375165788930499</c:v>
                </c:pt>
                <c:pt idx="4">
                  <c:v>26.7157389522507</c:v>
                </c:pt>
                <c:pt idx="5">
                  <c:v>27.811461333534801</c:v>
                </c:pt>
                <c:pt idx="6">
                  <c:v>27.004277633375199</c:v>
                </c:pt>
                <c:pt idx="7">
                  <c:v>24.363095969292001</c:v>
                </c:pt>
                <c:pt idx="8">
                  <c:v>26.1177604606602</c:v>
                </c:pt>
                <c:pt idx="9">
                  <c:v>24.194646548416099</c:v>
                </c:pt>
                <c:pt idx="10">
                  <c:v>21.4700684795821</c:v>
                </c:pt>
                <c:pt idx="11">
                  <c:v>23.295561126362699</c:v>
                </c:pt>
                <c:pt idx="12">
                  <c:v>20.955815880394599</c:v>
                </c:pt>
                <c:pt idx="13">
                  <c:v>15.175039354000701</c:v>
                </c:pt>
                <c:pt idx="14">
                  <c:v>17.9866888413688</c:v>
                </c:pt>
                <c:pt idx="15">
                  <c:v>8.3103953039904503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8F-4809-A135-28B7AB748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S-IGA no blending</c:v>
          </c:tx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squar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final!$L$19:$L$34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final!$M$19:$M$34</c:f>
              <c:numCache>
                <c:formatCode>0.00E+00</c:formatCode>
                <c:ptCount val="16"/>
                <c:pt idx="0">
                  <c:v>14.30174308305665</c:v>
                </c:pt>
                <c:pt idx="1">
                  <c:v>14.260808799000401</c:v>
                </c:pt>
                <c:pt idx="2">
                  <c:v>14.1549328641548</c:v>
                </c:pt>
                <c:pt idx="3">
                  <c:v>14.2219783910822</c:v>
                </c:pt>
                <c:pt idx="4">
                  <c:v>13.8279349423353</c:v>
                </c:pt>
                <c:pt idx="5">
                  <c:v>13.57069714619605</c:v>
                </c:pt>
                <c:pt idx="6">
                  <c:v>13.5537890030336</c:v>
                </c:pt>
                <c:pt idx="7">
                  <c:v>12.96523103464475</c:v>
                </c:pt>
                <c:pt idx="8">
                  <c:v>12.5485241564412</c:v>
                </c:pt>
                <c:pt idx="9">
                  <c:v>12.2552726926801</c:v>
                </c:pt>
                <c:pt idx="10">
                  <c:v>11.7645954220866</c:v>
                </c:pt>
                <c:pt idx="11">
                  <c:v>11.096257404845501</c:v>
                </c:pt>
                <c:pt idx="12">
                  <c:v>10.54134429602575</c:v>
                </c:pt>
                <c:pt idx="13">
                  <c:v>8.9924716634169997</c:v>
                </c:pt>
                <c:pt idx="14">
                  <c:v>10.191147041214601</c:v>
                </c:pt>
                <c:pt idx="15">
                  <c:v>5.1914766427063004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A5-42E7-BBA3-163E58D6DD1D}"/>
            </c:ext>
          </c:extLst>
        </c:ser>
        <c:ser>
          <c:idx val="0"/>
          <c:order val="1"/>
          <c:tx>
            <c:v>S-IGA cubic</c:v>
          </c:tx>
          <c:spPr>
            <a:ln w="15875">
              <a:solidFill>
                <a:srgbClr val="00B0F0"/>
              </a:solidFill>
            </a:ln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final!$L$36:$L$51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final!$M$36:$M$51</c:f>
              <c:numCache>
                <c:formatCode>0.00E+00</c:formatCode>
                <c:ptCount val="16"/>
                <c:pt idx="0">
                  <c:v>14.167601834545851</c:v>
                </c:pt>
                <c:pt idx="1">
                  <c:v>14.1321402092399</c:v>
                </c:pt>
                <c:pt idx="2">
                  <c:v>14.2702536455971</c:v>
                </c:pt>
                <c:pt idx="3">
                  <c:v>14.187582894465249</c:v>
                </c:pt>
                <c:pt idx="4">
                  <c:v>13.35786947612535</c:v>
                </c:pt>
                <c:pt idx="5">
                  <c:v>13.905730666767401</c:v>
                </c:pt>
                <c:pt idx="6">
                  <c:v>13.5021388166876</c:v>
                </c:pt>
                <c:pt idx="7">
                  <c:v>12.181547984646</c:v>
                </c:pt>
                <c:pt idx="8">
                  <c:v>13.0588802303301</c:v>
                </c:pt>
                <c:pt idx="9">
                  <c:v>12.097323274208049</c:v>
                </c:pt>
                <c:pt idx="10">
                  <c:v>10.73503423979105</c:v>
                </c:pt>
                <c:pt idx="11">
                  <c:v>11.64778056318135</c:v>
                </c:pt>
                <c:pt idx="12">
                  <c:v>10.4779079401973</c:v>
                </c:pt>
                <c:pt idx="13">
                  <c:v>7.5875196770003503</c:v>
                </c:pt>
                <c:pt idx="14">
                  <c:v>8.9933444206843998</c:v>
                </c:pt>
                <c:pt idx="15">
                  <c:v>4.1551976519952252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A5-42E7-BBA3-163E58D6DD1D}"/>
            </c:ext>
          </c:extLst>
        </c:ser>
        <c:ser>
          <c:idx val="1"/>
          <c:order val="2"/>
          <c:tx>
            <c:v>IGA</c:v>
          </c:tx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final!$L$2:$L$17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final!$M$2:$M$17</c:f>
              <c:numCache>
                <c:formatCode>0.00E+00</c:formatCode>
                <c:ptCount val="16"/>
                <c:pt idx="0">
                  <c:v>14.270226518757051</c:v>
                </c:pt>
                <c:pt idx="1">
                  <c:v>14.2542223687953</c:v>
                </c:pt>
                <c:pt idx="2">
                  <c:v>14.135999308887699</c:v>
                </c:pt>
                <c:pt idx="3">
                  <c:v>13.973408881421101</c:v>
                </c:pt>
                <c:pt idx="4">
                  <c:v>13.804562085466349</c:v>
                </c:pt>
                <c:pt idx="5">
                  <c:v>13.554800893772651</c:v>
                </c:pt>
                <c:pt idx="6">
                  <c:v>13.238430396108351</c:v>
                </c:pt>
                <c:pt idx="7">
                  <c:v>12.954641968701001</c:v>
                </c:pt>
                <c:pt idx="8">
                  <c:v>12.575798060589101</c:v>
                </c:pt>
                <c:pt idx="9">
                  <c:v>12.015117646948401</c:v>
                </c:pt>
                <c:pt idx="10">
                  <c:v>11.6527436932168</c:v>
                </c:pt>
                <c:pt idx="11">
                  <c:v>11.132892759581949</c:v>
                </c:pt>
                <c:pt idx="12">
                  <c:v>10.164068990584351</c:v>
                </c:pt>
                <c:pt idx="13">
                  <c:v>9.5330249647971499</c:v>
                </c:pt>
                <c:pt idx="14">
                  <c:v>8.7683332707775499</c:v>
                </c:pt>
                <c:pt idx="15">
                  <c:v>6.0103968057830999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A5-42E7-BBA3-163E58D6D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77117224713"/>
          <c:y val="0.46835281249615945"/>
          <c:w val="0.37495841653448941"/>
          <c:h val="0.30535188803816904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S-IGA no blending</c:v>
          </c:tx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squar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final!$L$19:$L$34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final!$M$19:$M$34</c:f>
              <c:numCache>
                <c:formatCode>0.00E+00</c:formatCode>
                <c:ptCount val="16"/>
                <c:pt idx="0">
                  <c:v>14.30174308305665</c:v>
                </c:pt>
                <c:pt idx="1">
                  <c:v>14.260808799000401</c:v>
                </c:pt>
                <c:pt idx="2">
                  <c:v>14.1549328641548</c:v>
                </c:pt>
                <c:pt idx="3">
                  <c:v>14.2219783910822</c:v>
                </c:pt>
                <c:pt idx="4">
                  <c:v>13.8279349423353</c:v>
                </c:pt>
                <c:pt idx="5">
                  <c:v>13.57069714619605</c:v>
                </c:pt>
                <c:pt idx="6">
                  <c:v>13.5537890030336</c:v>
                </c:pt>
                <c:pt idx="7">
                  <c:v>12.96523103464475</c:v>
                </c:pt>
                <c:pt idx="8">
                  <c:v>12.5485241564412</c:v>
                </c:pt>
                <c:pt idx="9">
                  <c:v>12.2552726926801</c:v>
                </c:pt>
                <c:pt idx="10">
                  <c:v>11.7645954220866</c:v>
                </c:pt>
                <c:pt idx="11">
                  <c:v>11.096257404845501</c:v>
                </c:pt>
                <c:pt idx="12">
                  <c:v>10.54134429602575</c:v>
                </c:pt>
                <c:pt idx="13">
                  <c:v>8.9924716634169997</c:v>
                </c:pt>
                <c:pt idx="14">
                  <c:v>10.191147041214601</c:v>
                </c:pt>
                <c:pt idx="15">
                  <c:v>5.1914766427063004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A5-462B-8C8F-6CD5CDD3B795}"/>
            </c:ext>
          </c:extLst>
        </c:ser>
        <c:ser>
          <c:idx val="0"/>
          <c:order val="1"/>
          <c:tx>
            <c:v>S-IGA cubic</c:v>
          </c:tx>
          <c:spPr>
            <a:ln w="15875">
              <a:solidFill>
                <a:srgbClr val="00B0F0"/>
              </a:solidFill>
            </a:ln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final!$L$36:$L$51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final!$M$36:$M$51</c:f>
              <c:numCache>
                <c:formatCode>0.00E+00</c:formatCode>
                <c:ptCount val="16"/>
                <c:pt idx="0">
                  <c:v>14.167601834545851</c:v>
                </c:pt>
                <c:pt idx="1">
                  <c:v>14.1321402092399</c:v>
                </c:pt>
                <c:pt idx="2">
                  <c:v>14.2702536455971</c:v>
                </c:pt>
                <c:pt idx="3">
                  <c:v>14.187582894465249</c:v>
                </c:pt>
                <c:pt idx="4">
                  <c:v>13.35786947612535</c:v>
                </c:pt>
                <c:pt idx="5">
                  <c:v>13.905730666767401</c:v>
                </c:pt>
                <c:pt idx="6">
                  <c:v>13.5021388166876</c:v>
                </c:pt>
                <c:pt idx="7">
                  <c:v>12.181547984646</c:v>
                </c:pt>
                <c:pt idx="8">
                  <c:v>13.0588802303301</c:v>
                </c:pt>
                <c:pt idx="9">
                  <c:v>12.097323274208049</c:v>
                </c:pt>
                <c:pt idx="10">
                  <c:v>10.73503423979105</c:v>
                </c:pt>
                <c:pt idx="11">
                  <c:v>11.64778056318135</c:v>
                </c:pt>
                <c:pt idx="12">
                  <c:v>10.4779079401973</c:v>
                </c:pt>
                <c:pt idx="13">
                  <c:v>7.5875196770003503</c:v>
                </c:pt>
                <c:pt idx="14">
                  <c:v>8.9933444206843998</c:v>
                </c:pt>
                <c:pt idx="15">
                  <c:v>4.1551976519952252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A5-462B-8C8F-6CD5CDD3B795}"/>
            </c:ext>
          </c:extLst>
        </c:ser>
        <c:ser>
          <c:idx val="1"/>
          <c:order val="2"/>
          <c:tx>
            <c:v>IGA</c:v>
          </c:tx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final!$L$2:$L$17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final!$M$2:$M$17</c:f>
              <c:numCache>
                <c:formatCode>0.00E+00</c:formatCode>
                <c:ptCount val="16"/>
                <c:pt idx="0">
                  <c:v>14.270226518757051</c:v>
                </c:pt>
                <c:pt idx="1">
                  <c:v>14.2542223687953</c:v>
                </c:pt>
                <c:pt idx="2">
                  <c:v>14.135999308887699</c:v>
                </c:pt>
                <c:pt idx="3">
                  <c:v>13.973408881421101</c:v>
                </c:pt>
                <c:pt idx="4">
                  <c:v>13.804562085466349</c:v>
                </c:pt>
                <c:pt idx="5">
                  <c:v>13.554800893772651</c:v>
                </c:pt>
                <c:pt idx="6">
                  <c:v>13.238430396108351</c:v>
                </c:pt>
                <c:pt idx="7">
                  <c:v>12.954641968701001</c:v>
                </c:pt>
                <c:pt idx="8">
                  <c:v>12.575798060589101</c:v>
                </c:pt>
                <c:pt idx="9">
                  <c:v>12.015117646948401</c:v>
                </c:pt>
                <c:pt idx="10">
                  <c:v>11.6527436932168</c:v>
                </c:pt>
                <c:pt idx="11">
                  <c:v>11.132892759581949</c:v>
                </c:pt>
                <c:pt idx="12">
                  <c:v>10.164068990584351</c:v>
                </c:pt>
                <c:pt idx="13">
                  <c:v>9.5330249647971499</c:v>
                </c:pt>
                <c:pt idx="14">
                  <c:v>8.7683332707775499</c:v>
                </c:pt>
                <c:pt idx="15">
                  <c:v>6.0103968057830999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A5-462B-8C8F-6CD5CDD3B795}"/>
            </c:ext>
          </c:extLst>
        </c:ser>
        <c:ser>
          <c:idx val="3"/>
          <c:order val="3"/>
          <c:tx>
            <c:v>FEM</c:v>
          </c:tx>
          <c:spPr>
            <a:ln w="15875">
              <a:solidFill>
                <a:schemeClr val="tx1"/>
              </a:solidFill>
            </a:ln>
          </c:spPr>
          <c:marker>
            <c:symbol val="x"/>
            <c:size val="8"/>
            <c:spPr>
              <a:ln>
                <a:solidFill>
                  <a:schemeClr val="tx1"/>
                </a:solidFill>
              </a:ln>
            </c:spPr>
          </c:marker>
          <c:xVal>
            <c:numRef>
              <c:f>final!$AF$13:$AF$45</c:f>
              <c:numCache>
                <c:formatCode>0.00E+00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final!$AG$13:$AG$45</c:f>
              <c:numCache>
                <c:formatCode>0.00E+00</c:formatCode>
                <c:ptCount val="33"/>
                <c:pt idx="0">
                  <c:v>13.5907</c:v>
                </c:pt>
                <c:pt idx="1">
                  <c:v>13.579800000000001</c:v>
                </c:pt>
                <c:pt idx="2">
                  <c:v>13.5688</c:v>
                </c:pt>
                <c:pt idx="3">
                  <c:v>13.5359</c:v>
                </c:pt>
                <c:pt idx="4">
                  <c:v>13.5031</c:v>
                </c:pt>
                <c:pt idx="5">
                  <c:v>13.4482</c:v>
                </c:pt>
                <c:pt idx="6">
                  <c:v>13.3934</c:v>
                </c:pt>
                <c:pt idx="7">
                  <c:v>13.316599999999999</c:v>
                </c:pt>
                <c:pt idx="8">
                  <c:v>13.239699999999999</c:v>
                </c:pt>
                <c:pt idx="9">
                  <c:v>13.140700000000001</c:v>
                </c:pt>
                <c:pt idx="10">
                  <c:v>13.041700000000001</c:v>
                </c:pt>
                <c:pt idx="11">
                  <c:v>12.920199999999999</c:v>
                </c:pt>
                <c:pt idx="12">
                  <c:v>12.7987</c:v>
                </c:pt>
                <c:pt idx="13">
                  <c:v>12.6541</c:v>
                </c:pt>
                <c:pt idx="14">
                  <c:v>12.509499999999999</c:v>
                </c:pt>
                <c:pt idx="15">
                  <c:v>12.3408</c:v>
                </c:pt>
                <c:pt idx="16">
                  <c:v>12.1722</c:v>
                </c:pt>
                <c:pt idx="17">
                  <c:v>11.978400000000001</c:v>
                </c:pt>
                <c:pt idx="18">
                  <c:v>11.784599999999999</c:v>
                </c:pt>
                <c:pt idx="19">
                  <c:v>11.5633</c:v>
                </c:pt>
                <c:pt idx="20">
                  <c:v>11.342000000000001</c:v>
                </c:pt>
                <c:pt idx="21">
                  <c:v>11.0878</c:v>
                </c:pt>
                <c:pt idx="22">
                  <c:v>10.833600000000001</c:v>
                </c:pt>
                <c:pt idx="23">
                  <c:v>10.535399999999999</c:v>
                </c:pt>
                <c:pt idx="24">
                  <c:v>10.2372</c:v>
                </c:pt>
                <c:pt idx="25">
                  <c:v>9.8813800000000001</c:v>
                </c:pt>
                <c:pt idx="26">
                  <c:v>9.5255299999999998</c:v>
                </c:pt>
                <c:pt idx="27">
                  <c:v>9.1795799999999996</c:v>
                </c:pt>
                <c:pt idx="28">
                  <c:v>8.8336199999999998</c:v>
                </c:pt>
                <c:pt idx="29">
                  <c:v>7.9292999999999996</c:v>
                </c:pt>
                <c:pt idx="30">
                  <c:v>7.0249800000000002</c:v>
                </c:pt>
                <c:pt idx="31">
                  <c:v>6.2415000000000003</c:v>
                </c:pt>
                <c:pt idx="32">
                  <c:v>5.4580200000000003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A5-462B-8C8F-6CD5CDD3B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68576245595"/>
          <c:y val="0.4055893426403932"/>
          <c:w val="0.38326658891201126"/>
          <c:h val="0.3851994905351166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 w="38100">
              <a:noFill/>
            </a:ln>
          </c:spPr>
          <c:xVal>
            <c:numRef>
              <c:f>final!$AM$13:$AM$61</c:f>
              <c:numCache>
                <c:formatCode>0.00E+00</c:formatCode>
                <c:ptCount val="49"/>
                <c:pt idx="0">
                  <c:v>0</c:v>
                </c:pt>
                <c:pt idx="1">
                  <c:v>2.0833399999999998E-2</c:v>
                </c:pt>
                <c:pt idx="2">
                  <c:v>4.1666599999999998E-2</c:v>
                </c:pt>
                <c:pt idx="3">
                  <c:v>6.25E-2</c:v>
                </c:pt>
                <c:pt idx="4">
                  <c:v>8.3333400000000002E-2</c:v>
                </c:pt>
                <c:pt idx="5">
                  <c:v>0.1041666</c:v>
                </c:pt>
                <c:pt idx="6">
                  <c:v>0.125</c:v>
                </c:pt>
                <c:pt idx="7">
                  <c:v>0.1458334</c:v>
                </c:pt>
                <c:pt idx="8">
                  <c:v>0.1666666</c:v>
                </c:pt>
                <c:pt idx="9">
                  <c:v>0.1875</c:v>
                </c:pt>
                <c:pt idx="10">
                  <c:v>0.20833399999999999</c:v>
                </c:pt>
                <c:pt idx="11">
                  <c:v>0.22916600000000001</c:v>
                </c:pt>
                <c:pt idx="12">
                  <c:v>0.25</c:v>
                </c:pt>
                <c:pt idx="13">
                  <c:v>0.27083400000000002</c:v>
                </c:pt>
                <c:pt idx="14">
                  <c:v>0.29166599999999998</c:v>
                </c:pt>
                <c:pt idx="15">
                  <c:v>0.3125</c:v>
                </c:pt>
                <c:pt idx="16">
                  <c:v>0.33333400000000002</c:v>
                </c:pt>
                <c:pt idx="17">
                  <c:v>0.35416599999999998</c:v>
                </c:pt>
                <c:pt idx="18">
                  <c:v>0.375</c:v>
                </c:pt>
                <c:pt idx="19">
                  <c:v>0.39583400000000002</c:v>
                </c:pt>
                <c:pt idx="20">
                  <c:v>0.41666599999999998</c:v>
                </c:pt>
                <c:pt idx="21">
                  <c:v>0.4375</c:v>
                </c:pt>
                <c:pt idx="22">
                  <c:v>0.45833400000000002</c:v>
                </c:pt>
                <c:pt idx="23">
                  <c:v>0.47916599999999998</c:v>
                </c:pt>
                <c:pt idx="24">
                  <c:v>0.5</c:v>
                </c:pt>
                <c:pt idx="25">
                  <c:v>0.52083400000000002</c:v>
                </c:pt>
                <c:pt idx="26">
                  <c:v>0.54166599999999998</c:v>
                </c:pt>
                <c:pt idx="27">
                  <c:v>0.5625</c:v>
                </c:pt>
                <c:pt idx="28">
                  <c:v>0.58333400000000002</c:v>
                </c:pt>
                <c:pt idx="29">
                  <c:v>0.60416599999999998</c:v>
                </c:pt>
                <c:pt idx="30">
                  <c:v>0.625</c:v>
                </c:pt>
                <c:pt idx="31">
                  <c:v>0.64583400000000002</c:v>
                </c:pt>
                <c:pt idx="32">
                  <c:v>0.66666599999999998</c:v>
                </c:pt>
                <c:pt idx="33">
                  <c:v>0.6875</c:v>
                </c:pt>
                <c:pt idx="34">
                  <c:v>0.70833400000000002</c:v>
                </c:pt>
                <c:pt idx="35">
                  <c:v>0.72916599999999998</c:v>
                </c:pt>
                <c:pt idx="36">
                  <c:v>0.75</c:v>
                </c:pt>
                <c:pt idx="37">
                  <c:v>0.77083400000000002</c:v>
                </c:pt>
                <c:pt idx="38">
                  <c:v>0.79166599999999998</c:v>
                </c:pt>
                <c:pt idx="39">
                  <c:v>0.8125</c:v>
                </c:pt>
                <c:pt idx="40">
                  <c:v>0.83333400000000002</c:v>
                </c:pt>
                <c:pt idx="41">
                  <c:v>0.85416599999999998</c:v>
                </c:pt>
                <c:pt idx="42">
                  <c:v>0.875</c:v>
                </c:pt>
                <c:pt idx="43">
                  <c:v>0.89583400000000002</c:v>
                </c:pt>
                <c:pt idx="44">
                  <c:v>0.91666599999999998</c:v>
                </c:pt>
                <c:pt idx="45">
                  <c:v>0.9375</c:v>
                </c:pt>
                <c:pt idx="46">
                  <c:v>0.95833400000000002</c:v>
                </c:pt>
                <c:pt idx="47">
                  <c:v>0.97916599999999998</c:v>
                </c:pt>
                <c:pt idx="48">
                  <c:v>1</c:v>
                </c:pt>
              </c:numCache>
            </c:numRef>
          </c:xVal>
          <c:yVal>
            <c:numRef>
              <c:f>final!$AN$13:$AN$61</c:f>
              <c:numCache>
                <c:formatCode>0.00E+00</c:formatCode>
                <c:ptCount val="49"/>
                <c:pt idx="0">
                  <c:v>13.433400000000001</c:v>
                </c:pt>
                <c:pt idx="1">
                  <c:v>13.428599999999999</c:v>
                </c:pt>
                <c:pt idx="2">
                  <c:v>13.4238</c:v>
                </c:pt>
                <c:pt idx="3">
                  <c:v>13.4094</c:v>
                </c:pt>
                <c:pt idx="4">
                  <c:v>13.3949</c:v>
                </c:pt>
                <c:pt idx="5">
                  <c:v>13.370900000000001</c:v>
                </c:pt>
                <c:pt idx="6">
                  <c:v>13.3468</c:v>
                </c:pt>
                <c:pt idx="7">
                  <c:v>13.3131</c:v>
                </c:pt>
                <c:pt idx="8">
                  <c:v>13.279500000000001</c:v>
                </c:pt>
                <c:pt idx="9">
                  <c:v>13.2361</c:v>
                </c:pt>
                <c:pt idx="10">
                  <c:v>13.1928</c:v>
                </c:pt>
                <c:pt idx="11">
                  <c:v>13.139799999999999</c:v>
                </c:pt>
                <c:pt idx="12">
                  <c:v>13.0869</c:v>
                </c:pt>
                <c:pt idx="13">
                  <c:v>13.0242</c:v>
                </c:pt>
                <c:pt idx="14">
                  <c:v>12.961499999999999</c:v>
                </c:pt>
                <c:pt idx="15">
                  <c:v>12.889099999999999</c:v>
                </c:pt>
                <c:pt idx="16">
                  <c:v>12.816800000000001</c:v>
                </c:pt>
                <c:pt idx="17">
                  <c:v>12.7346</c:v>
                </c:pt>
                <c:pt idx="18">
                  <c:v>12.6524</c:v>
                </c:pt>
                <c:pt idx="19">
                  <c:v>12.5604</c:v>
                </c:pt>
                <c:pt idx="20">
                  <c:v>12.468299999999999</c:v>
                </c:pt>
                <c:pt idx="21">
                  <c:v>12.366099999999999</c:v>
                </c:pt>
                <c:pt idx="22">
                  <c:v>12.2639</c:v>
                </c:pt>
                <c:pt idx="23">
                  <c:v>12.151300000000001</c:v>
                </c:pt>
                <c:pt idx="24">
                  <c:v>12.0387</c:v>
                </c:pt>
                <c:pt idx="25">
                  <c:v>11.915100000000001</c:v>
                </c:pt>
                <c:pt idx="26">
                  <c:v>11.791499999999999</c:v>
                </c:pt>
                <c:pt idx="27">
                  <c:v>11.656000000000001</c:v>
                </c:pt>
                <c:pt idx="28">
                  <c:v>11.5205</c:v>
                </c:pt>
                <c:pt idx="29">
                  <c:v>11.3714</c:v>
                </c:pt>
                <c:pt idx="30">
                  <c:v>11.222300000000001</c:v>
                </c:pt>
                <c:pt idx="31">
                  <c:v>11.0572</c:v>
                </c:pt>
                <c:pt idx="32">
                  <c:v>10.891999999999999</c:v>
                </c:pt>
                <c:pt idx="33">
                  <c:v>10.707599999999999</c:v>
                </c:pt>
                <c:pt idx="34">
                  <c:v>10.523099999999999</c:v>
                </c:pt>
                <c:pt idx="35">
                  <c:v>10.3154</c:v>
                </c:pt>
                <c:pt idx="36">
                  <c:v>10.1076</c:v>
                </c:pt>
                <c:pt idx="37">
                  <c:v>9.8723100000000006</c:v>
                </c:pt>
                <c:pt idx="38">
                  <c:v>9.6369900000000008</c:v>
                </c:pt>
                <c:pt idx="39">
                  <c:v>9.3722799999999999</c:v>
                </c:pt>
                <c:pt idx="40">
                  <c:v>9.1075700000000008</c:v>
                </c:pt>
                <c:pt idx="41">
                  <c:v>8.8015799999999995</c:v>
                </c:pt>
                <c:pt idx="42">
                  <c:v>8.4955999999999996</c:v>
                </c:pt>
                <c:pt idx="43">
                  <c:v>8.2087299999999992</c:v>
                </c:pt>
                <c:pt idx="44">
                  <c:v>7.9218599999999997</c:v>
                </c:pt>
                <c:pt idx="45">
                  <c:v>6.7829300000000003</c:v>
                </c:pt>
                <c:pt idx="46">
                  <c:v>5.6440000000000001</c:v>
                </c:pt>
                <c:pt idx="47">
                  <c:v>5.7351599999999996</c:v>
                </c:pt>
                <c:pt idx="48">
                  <c:v>5.8263100000000003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E5C-45BD-BFA6-347FE3D66386}"/>
            </c:ext>
          </c:extLst>
        </c:ser>
        <c:ser>
          <c:idx val="2"/>
          <c:order val="1"/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xVal>
            <c:numRef>
              <c:f>final!$L$19:$L$34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final!$M$19:$M$34</c:f>
              <c:numCache>
                <c:formatCode>0.00E+00</c:formatCode>
                <c:ptCount val="16"/>
                <c:pt idx="0">
                  <c:v>14.30174308305665</c:v>
                </c:pt>
                <c:pt idx="1">
                  <c:v>14.260808799000401</c:v>
                </c:pt>
                <c:pt idx="2">
                  <c:v>14.1549328641548</c:v>
                </c:pt>
                <c:pt idx="3">
                  <c:v>14.2219783910822</c:v>
                </c:pt>
                <c:pt idx="4">
                  <c:v>13.8279349423353</c:v>
                </c:pt>
                <c:pt idx="5">
                  <c:v>13.57069714619605</c:v>
                </c:pt>
                <c:pt idx="6">
                  <c:v>13.5537890030336</c:v>
                </c:pt>
                <c:pt idx="7">
                  <c:v>12.96523103464475</c:v>
                </c:pt>
                <c:pt idx="8">
                  <c:v>12.5485241564412</c:v>
                </c:pt>
                <c:pt idx="9">
                  <c:v>12.2552726926801</c:v>
                </c:pt>
                <c:pt idx="10">
                  <c:v>11.7645954220866</c:v>
                </c:pt>
                <c:pt idx="11">
                  <c:v>11.096257404845501</c:v>
                </c:pt>
                <c:pt idx="12">
                  <c:v>10.54134429602575</c:v>
                </c:pt>
                <c:pt idx="13">
                  <c:v>8.9924716634169997</c:v>
                </c:pt>
                <c:pt idx="14">
                  <c:v>10.191147041214601</c:v>
                </c:pt>
                <c:pt idx="15">
                  <c:v>5.1914766427063004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S-IGA no blending</c:v>
                </c15:tx>
              </c15:filteredSeriesTitle>
            </c:ext>
            <c:ext xmlns:c16="http://schemas.microsoft.com/office/drawing/2014/chart" uri="{C3380CC4-5D6E-409C-BE32-E72D297353CC}">
              <c16:uniqueId val="{00000002-FE5C-45BD-BFA6-347FE3D66386}"/>
            </c:ext>
          </c:extLst>
        </c:ser>
        <c:ser>
          <c:idx val="0"/>
          <c:order val="2"/>
          <c:spPr>
            <a:ln w="15875">
              <a:solidFill>
                <a:srgbClr val="00B0F0"/>
              </a:solidFill>
            </a:ln>
          </c:spPr>
          <c:xVal>
            <c:numRef>
              <c:f>final!$L$36:$L$51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final!$M$36:$M$51</c:f>
              <c:numCache>
                <c:formatCode>0.00E+00</c:formatCode>
                <c:ptCount val="16"/>
                <c:pt idx="0">
                  <c:v>14.167601834545851</c:v>
                </c:pt>
                <c:pt idx="1">
                  <c:v>14.1321402092399</c:v>
                </c:pt>
                <c:pt idx="2">
                  <c:v>14.2702536455971</c:v>
                </c:pt>
                <c:pt idx="3">
                  <c:v>14.187582894465249</c:v>
                </c:pt>
                <c:pt idx="4">
                  <c:v>13.35786947612535</c:v>
                </c:pt>
                <c:pt idx="5">
                  <c:v>13.905730666767401</c:v>
                </c:pt>
                <c:pt idx="6">
                  <c:v>13.5021388166876</c:v>
                </c:pt>
                <c:pt idx="7">
                  <c:v>12.181547984646</c:v>
                </c:pt>
                <c:pt idx="8">
                  <c:v>13.0588802303301</c:v>
                </c:pt>
                <c:pt idx="9">
                  <c:v>12.097323274208049</c:v>
                </c:pt>
                <c:pt idx="10">
                  <c:v>10.73503423979105</c:v>
                </c:pt>
                <c:pt idx="11">
                  <c:v>11.64778056318135</c:v>
                </c:pt>
                <c:pt idx="12">
                  <c:v>10.4779079401973</c:v>
                </c:pt>
                <c:pt idx="13">
                  <c:v>7.5875196770003503</c:v>
                </c:pt>
                <c:pt idx="14">
                  <c:v>8.9933444206843998</c:v>
                </c:pt>
                <c:pt idx="15">
                  <c:v>4.1551976519952252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S-IGA cubic</c:v>
                </c15:tx>
              </c15:filteredSeriesTitle>
            </c:ext>
            <c:ext xmlns:c16="http://schemas.microsoft.com/office/drawing/2014/chart" uri="{C3380CC4-5D6E-409C-BE32-E72D297353CC}">
              <c16:uniqueId val="{00000004-FE5C-45BD-BFA6-347FE3D66386}"/>
            </c:ext>
          </c:extLst>
        </c:ser>
        <c:ser>
          <c:idx val="1"/>
          <c:order val="3"/>
          <c:spPr>
            <a:ln w="15875">
              <a:solidFill>
                <a:srgbClr val="FF0000"/>
              </a:solidFill>
            </a:ln>
          </c:spPr>
          <c:xVal>
            <c:numRef>
              <c:f>final!$L$2:$L$17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final!$M$2:$M$17</c:f>
              <c:numCache>
                <c:formatCode>0.00E+00</c:formatCode>
                <c:ptCount val="16"/>
                <c:pt idx="0">
                  <c:v>14.270226518757051</c:v>
                </c:pt>
                <c:pt idx="1">
                  <c:v>14.2542223687953</c:v>
                </c:pt>
                <c:pt idx="2">
                  <c:v>14.135999308887699</c:v>
                </c:pt>
                <c:pt idx="3">
                  <c:v>13.973408881421101</c:v>
                </c:pt>
                <c:pt idx="4">
                  <c:v>13.804562085466349</c:v>
                </c:pt>
                <c:pt idx="5">
                  <c:v>13.554800893772651</c:v>
                </c:pt>
                <c:pt idx="6">
                  <c:v>13.238430396108351</c:v>
                </c:pt>
                <c:pt idx="7">
                  <c:v>12.954641968701001</c:v>
                </c:pt>
                <c:pt idx="8">
                  <c:v>12.575798060589101</c:v>
                </c:pt>
                <c:pt idx="9">
                  <c:v>12.015117646948401</c:v>
                </c:pt>
                <c:pt idx="10">
                  <c:v>11.6527436932168</c:v>
                </c:pt>
                <c:pt idx="11">
                  <c:v>11.132892759581949</c:v>
                </c:pt>
                <c:pt idx="12">
                  <c:v>10.164068990584351</c:v>
                </c:pt>
                <c:pt idx="13">
                  <c:v>9.5330249647971499</c:v>
                </c:pt>
                <c:pt idx="14">
                  <c:v>8.7683332707775499</c:v>
                </c:pt>
                <c:pt idx="15">
                  <c:v>6.0103968057830999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IGA</c:v>
                </c15:tx>
              </c15:filteredSeriesTitle>
            </c:ext>
            <c:ext xmlns:c16="http://schemas.microsoft.com/office/drawing/2014/chart" uri="{C3380CC4-5D6E-409C-BE32-E72D297353CC}">
              <c16:uniqueId val="{00000006-FE5C-45BD-BFA6-347FE3D66386}"/>
            </c:ext>
          </c:extLst>
        </c:ser>
        <c:ser>
          <c:idx val="3"/>
          <c:order val="4"/>
          <c:spPr>
            <a:ln w="15875">
              <a:solidFill>
                <a:schemeClr val="tx1"/>
              </a:solidFill>
            </a:ln>
          </c:spPr>
          <c:xVal>
            <c:numRef>
              <c:f>final!$AF$13:$AF$45</c:f>
              <c:numCache>
                <c:formatCode>0.00E+00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final!$AG$13:$AG$45</c:f>
              <c:numCache>
                <c:formatCode>0.00E+00</c:formatCode>
                <c:ptCount val="33"/>
                <c:pt idx="0">
                  <c:v>13.5907</c:v>
                </c:pt>
                <c:pt idx="1">
                  <c:v>13.579800000000001</c:v>
                </c:pt>
                <c:pt idx="2">
                  <c:v>13.5688</c:v>
                </c:pt>
                <c:pt idx="3">
                  <c:v>13.5359</c:v>
                </c:pt>
                <c:pt idx="4">
                  <c:v>13.5031</c:v>
                </c:pt>
                <c:pt idx="5">
                  <c:v>13.4482</c:v>
                </c:pt>
                <c:pt idx="6">
                  <c:v>13.3934</c:v>
                </c:pt>
                <c:pt idx="7">
                  <c:v>13.316599999999999</c:v>
                </c:pt>
                <c:pt idx="8">
                  <c:v>13.239699999999999</c:v>
                </c:pt>
                <c:pt idx="9">
                  <c:v>13.140700000000001</c:v>
                </c:pt>
                <c:pt idx="10">
                  <c:v>13.041700000000001</c:v>
                </c:pt>
                <c:pt idx="11">
                  <c:v>12.920199999999999</c:v>
                </c:pt>
                <c:pt idx="12">
                  <c:v>12.7987</c:v>
                </c:pt>
                <c:pt idx="13">
                  <c:v>12.6541</c:v>
                </c:pt>
                <c:pt idx="14">
                  <c:v>12.509499999999999</c:v>
                </c:pt>
                <c:pt idx="15">
                  <c:v>12.3408</c:v>
                </c:pt>
                <c:pt idx="16">
                  <c:v>12.1722</c:v>
                </c:pt>
                <c:pt idx="17">
                  <c:v>11.978400000000001</c:v>
                </c:pt>
                <c:pt idx="18">
                  <c:v>11.784599999999999</c:v>
                </c:pt>
                <c:pt idx="19">
                  <c:v>11.5633</c:v>
                </c:pt>
                <c:pt idx="20">
                  <c:v>11.342000000000001</c:v>
                </c:pt>
                <c:pt idx="21">
                  <c:v>11.0878</c:v>
                </c:pt>
                <c:pt idx="22">
                  <c:v>10.833600000000001</c:v>
                </c:pt>
                <c:pt idx="23">
                  <c:v>10.535399999999999</c:v>
                </c:pt>
                <c:pt idx="24">
                  <c:v>10.2372</c:v>
                </c:pt>
                <c:pt idx="25">
                  <c:v>9.8813800000000001</c:v>
                </c:pt>
                <c:pt idx="26">
                  <c:v>9.5255299999999998</c:v>
                </c:pt>
                <c:pt idx="27">
                  <c:v>9.1795799999999996</c:v>
                </c:pt>
                <c:pt idx="28">
                  <c:v>8.8336199999999998</c:v>
                </c:pt>
                <c:pt idx="29">
                  <c:v>7.9292999999999996</c:v>
                </c:pt>
                <c:pt idx="30">
                  <c:v>7.0249800000000002</c:v>
                </c:pt>
                <c:pt idx="31">
                  <c:v>6.2415000000000003</c:v>
                </c:pt>
                <c:pt idx="32">
                  <c:v>5.4580200000000003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FEM</c:v>
                </c15:tx>
              </c15:filteredSeriesTitle>
            </c:ext>
            <c:ext xmlns:c16="http://schemas.microsoft.com/office/drawing/2014/chart" uri="{C3380CC4-5D6E-409C-BE32-E72D297353CC}">
              <c16:uniqueId val="{00000008-FE5C-45BD-BFA6-347FE3D66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68576245595"/>
          <c:y val="0.4055893426403932"/>
          <c:w val="0.38326658891201126"/>
          <c:h val="0.3851994905351166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final2!$F$2:$F$17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final2!$K$2:$K$17</c:f>
              <c:numCache>
                <c:formatCode>0.00E+00</c:formatCode>
                <c:ptCount val="16"/>
                <c:pt idx="0">
                  <c:v>28.540453037514101</c:v>
                </c:pt>
                <c:pt idx="1">
                  <c:v>28.508444737590601</c:v>
                </c:pt>
                <c:pt idx="2">
                  <c:v>28.271998617775399</c:v>
                </c:pt>
                <c:pt idx="3">
                  <c:v>27.946817762842201</c:v>
                </c:pt>
                <c:pt idx="4">
                  <c:v>27.609124170932699</c:v>
                </c:pt>
                <c:pt idx="5">
                  <c:v>27.109601787545301</c:v>
                </c:pt>
                <c:pt idx="6">
                  <c:v>26.476860792216701</c:v>
                </c:pt>
                <c:pt idx="7">
                  <c:v>25.909283937402002</c:v>
                </c:pt>
                <c:pt idx="8">
                  <c:v>25.151596121178201</c:v>
                </c:pt>
                <c:pt idx="9">
                  <c:v>24.030235293896801</c:v>
                </c:pt>
                <c:pt idx="10">
                  <c:v>23.305487386433601</c:v>
                </c:pt>
                <c:pt idx="11">
                  <c:v>22.265785519163899</c:v>
                </c:pt>
                <c:pt idx="12">
                  <c:v>20.328137981168702</c:v>
                </c:pt>
                <c:pt idx="13">
                  <c:v>19.0660499295943</c:v>
                </c:pt>
                <c:pt idx="14">
                  <c:v>17.5366665415551</c:v>
                </c:pt>
                <c:pt idx="15">
                  <c:v>12.0207936115662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EA-4B59-BD0E-D6D4A5AB2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7039"/>
        <c:axId val="924900719"/>
      </c:scatterChart>
      <c:valAx>
        <c:axId val="92491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0719"/>
        <c:crosses val="autoZero"/>
        <c:crossBetween val="midCat"/>
      </c:valAx>
      <c:valAx>
        <c:axId val="92490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final2!$F$19:$F$34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final2!$K$19:$K$34</c:f>
              <c:numCache>
                <c:formatCode>0.00E+00</c:formatCode>
                <c:ptCount val="16"/>
                <c:pt idx="0">
                  <c:v>28.603486166113299</c:v>
                </c:pt>
                <c:pt idx="1">
                  <c:v>28.521617598000802</c:v>
                </c:pt>
                <c:pt idx="2">
                  <c:v>28.3098657283096</c:v>
                </c:pt>
                <c:pt idx="3">
                  <c:v>28.443956782164399</c:v>
                </c:pt>
                <c:pt idx="4">
                  <c:v>27.655869884670601</c:v>
                </c:pt>
                <c:pt idx="5">
                  <c:v>27.1413942923921</c:v>
                </c:pt>
                <c:pt idx="6">
                  <c:v>27.1075780060672</c:v>
                </c:pt>
                <c:pt idx="7">
                  <c:v>25.930462069289501</c:v>
                </c:pt>
                <c:pt idx="8">
                  <c:v>25.0970483128824</c:v>
                </c:pt>
                <c:pt idx="9">
                  <c:v>24.510545385360199</c:v>
                </c:pt>
                <c:pt idx="10">
                  <c:v>23.529190844173201</c:v>
                </c:pt>
                <c:pt idx="11">
                  <c:v>22.192514809691001</c:v>
                </c:pt>
                <c:pt idx="12">
                  <c:v>21.0826885920515</c:v>
                </c:pt>
                <c:pt idx="13">
                  <c:v>17.984943326833999</c:v>
                </c:pt>
                <c:pt idx="14">
                  <c:v>20.382294082429201</c:v>
                </c:pt>
                <c:pt idx="15">
                  <c:v>10.382953285412601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0C-40D3-8CB6-831689349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4639"/>
        <c:axId val="924904559"/>
      </c:scatterChart>
      <c:valAx>
        <c:axId val="92491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4559"/>
        <c:crosses val="autoZero"/>
        <c:crossBetween val="midCat"/>
      </c:valAx>
      <c:valAx>
        <c:axId val="92490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final2!$F$36:$F$51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final2!$K$36:$K$51</c:f>
              <c:numCache>
                <c:formatCode>0.00E+00</c:formatCode>
                <c:ptCount val="16"/>
                <c:pt idx="0">
                  <c:v>28.240582255388698</c:v>
                </c:pt>
                <c:pt idx="1">
                  <c:v>28.175743073532399</c:v>
                </c:pt>
                <c:pt idx="2">
                  <c:v>27.963507839908601</c:v>
                </c:pt>
                <c:pt idx="3">
                  <c:v>28.091072533317998</c:v>
                </c:pt>
                <c:pt idx="4">
                  <c:v>27.309346029344901</c:v>
                </c:pt>
                <c:pt idx="5">
                  <c:v>26.774924801826199</c:v>
                </c:pt>
                <c:pt idx="6">
                  <c:v>26.7268961441345</c:v>
                </c:pt>
                <c:pt idx="7">
                  <c:v>25.553030896681701</c:v>
                </c:pt>
                <c:pt idx="8">
                  <c:v>24.750429286114102</c:v>
                </c:pt>
                <c:pt idx="9">
                  <c:v>24.1553782498472</c:v>
                </c:pt>
                <c:pt idx="10">
                  <c:v>23.1508463591672</c:v>
                </c:pt>
                <c:pt idx="11">
                  <c:v>21.663894072745599</c:v>
                </c:pt>
                <c:pt idx="12">
                  <c:v>21.119529854613699</c:v>
                </c:pt>
                <c:pt idx="13">
                  <c:v>17.616052103124499</c:v>
                </c:pt>
                <c:pt idx="14">
                  <c:v>19.8696665871365</c:v>
                </c:pt>
                <c:pt idx="15">
                  <c:v>10.311261893477401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CC-436F-833D-C5C8BB347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S-IGA no blending</c:v>
          </c:tx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squar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final2!$L$19:$L$34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final2!$M$19:$M$34</c:f>
              <c:numCache>
                <c:formatCode>0.00E+00</c:formatCode>
                <c:ptCount val="16"/>
                <c:pt idx="0">
                  <c:v>14.30174308305665</c:v>
                </c:pt>
                <c:pt idx="1">
                  <c:v>14.260808799000401</c:v>
                </c:pt>
                <c:pt idx="2">
                  <c:v>14.1549328641548</c:v>
                </c:pt>
                <c:pt idx="3">
                  <c:v>14.2219783910822</c:v>
                </c:pt>
                <c:pt idx="4">
                  <c:v>13.8279349423353</c:v>
                </c:pt>
                <c:pt idx="5">
                  <c:v>13.57069714619605</c:v>
                </c:pt>
                <c:pt idx="6">
                  <c:v>13.5537890030336</c:v>
                </c:pt>
                <c:pt idx="7">
                  <c:v>12.96523103464475</c:v>
                </c:pt>
                <c:pt idx="8">
                  <c:v>12.5485241564412</c:v>
                </c:pt>
                <c:pt idx="9">
                  <c:v>12.2552726926801</c:v>
                </c:pt>
                <c:pt idx="10">
                  <c:v>11.7645954220866</c:v>
                </c:pt>
                <c:pt idx="11">
                  <c:v>11.096257404845501</c:v>
                </c:pt>
                <c:pt idx="12">
                  <c:v>10.54134429602575</c:v>
                </c:pt>
                <c:pt idx="13">
                  <c:v>8.9924716634169997</c:v>
                </c:pt>
                <c:pt idx="14">
                  <c:v>10.191147041214601</c:v>
                </c:pt>
                <c:pt idx="15">
                  <c:v>5.1914766427063004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32-470C-A159-212DB90E054A}"/>
            </c:ext>
          </c:extLst>
        </c:ser>
        <c:ser>
          <c:idx val="0"/>
          <c:order val="1"/>
          <c:tx>
            <c:v>S-IGA cubic</c:v>
          </c:tx>
          <c:spPr>
            <a:ln w="15875">
              <a:solidFill>
                <a:srgbClr val="00B0F0"/>
              </a:solidFill>
            </a:ln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final2!$L$36:$L$51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final2!$M$36:$M$51</c:f>
              <c:numCache>
                <c:formatCode>0.00E+00</c:formatCode>
                <c:ptCount val="16"/>
                <c:pt idx="0">
                  <c:v>14.120291127694349</c:v>
                </c:pt>
                <c:pt idx="1">
                  <c:v>14.087871536766199</c:v>
                </c:pt>
                <c:pt idx="2">
                  <c:v>13.981753919954301</c:v>
                </c:pt>
                <c:pt idx="3">
                  <c:v>14.045536266658999</c:v>
                </c:pt>
                <c:pt idx="4">
                  <c:v>13.654673014672451</c:v>
                </c:pt>
                <c:pt idx="5">
                  <c:v>13.387462400913099</c:v>
                </c:pt>
                <c:pt idx="6">
                  <c:v>13.36344807206725</c:v>
                </c:pt>
                <c:pt idx="7">
                  <c:v>12.776515448340851</c:v>
                </c:pt>
                <c:pt idx="8">
                  <c:v>12.375214643057051</c:v>
                </c:pt>
                <c:pt idx="9">
                  <c:v>12.0776891249236</c:v>
                </c:pt>
                <c:pt idx="10">
                  <c:v>11.5754231795836</c:v>
                </c:pt>
                <c:pt idx="11">
                  <c:v>10.831947036372799</c:v>
                </c:pt>
                <c:pt idx="12">
                  <c:v>10.559764927306849</c:v>
                </c:pt>
                <c:pt idx="13">
                  <c:v>8.8080260515622495</c:v>
                </c:pt>
                <c:pt idx="14">
                  <c:v>9.93483329356825</c:v>
                </c:pt>
                <c:pt idx="15">
                  <c:v>5.1556309467387003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32-470C-A159-212DB90E054A}"/>
            </c:ext>
          </c:extLst>
        </c:ser>
        <c:ser>
          <c:idx val="1"/>
          <c:order val="2"/>
          <c:tx>
            <c:v>IGA</c:v>
          </c:tx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final2!$L$2:$L$17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final2!$M$2:$M$17</c:f>
              <c:numCache>
                <c:formatCode>0.00E+00</c:formatCode>
                <c:ptCount val="16"/>
                <c:pt idx="0">
                  <c:v>14.270226518757051</c:v>
                </c:pt>
                <c:pt idx="1">
                  <c:v>14.2542223687953</c:v>
                </c:pt>
                <c:pt idx="2">
                  <c:v>14.135999308887699</c:v>
                </c:pt>
                <c:pt idx="3">
                  <c:v>13.973408881421101</c:v>
                </c:pt>
                <c:pt idx="4">
                  <c:v>13.804562085466349</c:v>
                </c:pt>
                <c:pt idx="5">
                  <c:v>13.554800893772651</c:v>
                </c:pt>
                <c:pt idx="6">
                  <c:v>13.238430396108351</c:v>
                </c:pt>
                <c:pt idx="7">
                  <c:v>12.954641968701001</c:v>
                </c:pt>
                <c:pt idx="8">
                  <c:v>12.575798060589101</c:v>
                </c:pt>
                <c:pt idx="9">
                  <c:v>12.015117646948401</c:v>
                </c:pt>
                <c:pt idx="10">
                  <c:v>11.6527436932168</c:v>
                </c:pt>
                <c:pt idx="11">
                  <c:v>11.132892759581949</c:v>
                </c:pt>
                <c:pt idx="12">
                  <c:v>10.164068990584351</c:v>
                </c:pt>
                <c:pt idx="13">
                  <c:v>9.5330249647971499</c:v>
                </c:pt>
                <c:pt idx="14">
                  <c:v>8.7683332707775499</c:v>
                </c:pt>
                <c:pt idx="15">
                  <c:v>6.0103968057830999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32-470C-A159-212DB90E0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77117224713"/>
          <c:y val="0.46835281249615945"/>
          <c:w val="0.37495841653448941"/>
          <c:h val="0.30535188803816904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S-IGA no blending</c:v>
          </c:tx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squar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final2!$L$19:$L$34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final2!$M$19:$M$34</c:f>
              <c:numCache>
                <c:formatCode>0.00E+00</c:formatCode>
                <c:ptCount val="16"/>
                <c:pt idx="0">
                  <c:v>14.30174308305665</c:v>
                </c:pt>
                <c:pt idx="1">
                  <c:v>14.260808799000401</c:v>
                </c:pt>
                <c:pt idx="2">
                  <c:v>14.1549328641548</c:v>
                </c:pt>
                <c:pt idx="3">
                  <c:v>14.2219783910822</c:v>
                </c:pt>
                <c:pt idx="4">
                  <c:v>13.8279349423353</c:v>
                </c:pt>
                <c:pt idx="5">
                  <c:v>13.57069714619605</c:v>
                </c:pt>
                <c:pt idx="6">
                  <c:v>13.5537890030336</c:v>
                </c:pt>
                <c:pt idx="7">
                  <c:v>12.96523103464475</c:v>
                </c:pt>
                <c:pt idx="8">
                  <c:v>12.5485241564412</c:v>
                </c:pt>
                <c:pt idx="9">
                  <c:v>12.2552726926801</c:v>
                </c:pt>
                <c:pt idx="10">
                  <c:v>11.7645954220866</c:v>
                </c:pt>
                <c:pt idx="11">
                  <c:v>11.096257404845501</c:v>
                </c:pt>
                <c:pt idx="12">
                  <c:v>10.54134429602575</c:v>
                </c:pt>
                <c:pt idx="13">
                  <c:v>8.9924716634169997</c:v>
                </c:pt>
                <c:pt idx="14">
                  <c:v>10.191147041214601</c:v>
                </c:pt>
                <c:pt idx="15">
                  <c:v>5.1914766427063004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74-45E7-ACFE-C044FE810C85}"/>
            </c:ext>
          </c:extLst>
        </c:ser>
        <c:ser>
          <c:idx val="0"/>
          <c:order val="1"/>
          <c:tx>
            <c:v>S-IGA cubic</c:v>
          </c:tx>
          <c:spPr>
            <a:ln w="15875">
              <a:solidFill>
                <a:srgbClr val="00B0F0"/>
              </a:solidFill>
            </a:ln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final2!$L$36:$L$51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final2!$M$36:$M$51</c:f>
              <c:numCache>
                <c:formatCode>0.00E+00</c:formatCode>
                <c:ptCount val="16"/>
                <c:pt idx="0">
                  <c:v>14.120291127694349</c:v>
                </c:pt>
                <c:pt idx="1">
                  <c:v>14.087871536766199</c:v>
                </c:pt>
                <c:pt idx="2">
                  <c:v>13.981753919954301</c:v>
                </c:pt>
                <c:pt idx="3">
                  <c:v>14.045536266658999</c:v>
                </c:pt>
                <c:pt idx="4">
                  <c:v>13.654673014672451</c:v>
                </c:pt>
                <c:pt idx="5">
                  <c:v>13.387462400913099</c:v>
                </c:pt>
                <c:pt idx="6">
                  <c:v>13.36344807206725</c:v>
                </c:pt>
                <c:pt idx="7">
                  <c:v>12.776515448340851</c:v>
                </c:pt>
                <c:pt idx="8">
                  <c:v>12.375214643057051</c:v>
                </c:pt>
                <c:pt idx="9">
                  <c:v>12.0776891249236</c:v>
                </c:pt>
                <c:pt idx="10">
                  <c:v>11.5754231795836</c:v>
                </c:pt>
                <c:pt idx="11">
                  <c:v>10.831947036372799</c:v>
                </c:pt>
                <c:pt idx="12">
                  <c:v>10.559764927306849</c:v>
                </c:pt>
                <c:pt idx="13">
                  <c:v>8.8080260515622495</c:v>
                </c:pt>
                <c:pt idx="14">
                  <c:v>9.93483329356825</c:v>
                </c:pt>
                <c:pt idx="15">
                  <c:v>5.1556309467387003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74-45E7-ACFE-C044FE810C85}"/>
            </c:ext>
          </c:extLst>
        </c:ser>
        <c:ser>
          <c:idx val="1"/>
          <c:order val="2"/>
          <c:tx>
            <c:v>IGA</c:v>
          </c:tx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final2!$L$2:$L$17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final2!$M$2:$M$17</c:f>
              <c:numCache>
                <c:formatCode>0.00E+00</c:formatCode>
                <c:ptCount val="16"/>
                <c:pt idx="0">
                  <c:v>14.270226518757051</c:v>
                </c:pt>
                <c:pt idx="1">
                  <c:v>14.2542223687953</c:v>
                </c:pt>
                <c:pt idx="2">
                  <c:v>14.135999308887699</c:v>
                </c:pt>
                <c:pt idx="3">
                  <c:v>13.973408881421101</c:v>
                </c:pt>
                <c:pt idx="4">
                  <c:v>13.804562085466349</c:v>
                </c:pt>
                <c:pt idx="5">
                  <c:v>13.554800893772651</c:v>
                </c:pt>
                <c:pt idx="6">
                  <c:v>13.238430396108351</c:v>
                </c:pt>
                <c:pt idx="7">
                  <c:v>12.954641968701001</c:v>
                </c:pt>
                <c:pt idx="8">
                  <c:v>12.575798060589101</c:v>
                </c:pt>
                <c:pt idx="9">
                  <c:v>12.015117646948401</c:v>
                </c:pt>
                <c:pt idx="10">
                  <c:v>11.6527436932168</c:v>
                </c:pt>
                <c:pt idx="11">
                  <c:v>11.132892759581949</c:v>
                </c:pt>
                <c:pt idx="12">
                  <c:v>10.164068990584351</c:v>
                </c:pt>
                <c:pt idx="13">
                  <c:v>9.5330249647971499</c:v>
                </c:pt>
                <c:pt idx="14">
                  <c:v>8.7683332707775499</c:v>
                </c:pt>
                <c:pt idx="15">
                  <c:v>6.0103968057830999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74-45E7-ACFE-C044FE810C85}"/>
            </c:ext>
          </c:extLst>
        </c:ser>
        <c:ser>
          <c:idx val="3"/>
          <c:order val="3"/>
          <c:tx>
            <c:v>FEM</c:v>
          </c:tx>
          <c:spPr>
            <a:ln w="15875">
              <a:solidFill>
                <a:schemeClr val="tx1"/>
              </a:solidFill>
            </a:ln>
          </c:spPr>
          <c:marker>
            <c:symbol val="x"/>
            <c:size val="8"/>
            <c:spPr>
              <a:ln>
                <a:solidFill>
                  <a:schemeClr val="tx1"/>
                </a:solidFill>
              </a:ln>
            </c:spPr>
          </c:marker>
          <c:xVal>
            <c:numRef>
              <c:f>final2!$AF$13:$AF$45</c:f>
              <c:numCache>
                <c:formatCode>0.00E+00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final2!$AG$13:$AG$45</c:f>
              <c:numCache>
                <c:formatCode>0.00E+00</c:formatCode>
                <c:ptCount val="33"/>
                <c:pt idx="0">
                  <c:v>13.5907</c:v>
                </c:pt>
                <c:pt idx="1">
                  <c:v>13.579800000000001</c:v>
                </c:pt>
                <c:pt idx="2">
                  <c:v>13.5688</c:v>
                </c:pt>
                <c:pt idx="3">
                  <c:v>13.5359</c:v>
                </c:pt>
                <c:pt idx="4">
                  <c:v>13.5031</c:v>
                </c:pt>
                <c:pt idx="5">
                  <c:v>13.4482</c:v>
                </c:pt>
                <c:pt idx="6">
                  <c:v>13.3934</c:v>
                </c:pt>
                <c:pt idx="7">
                  <c:v>13.316599999999999</c:v>
                </c:pt>
                <c:pt idx="8">
                  <c:v>13.239699999999999</c:v>
                </c:pt>
                <c:pt idx="9">
                  <c:v>13.140700000000001</c:v>
                </c:pt>
                <c:pt idx="10">
                  <c:v>13.041700000000001</c:v>
                </c:pt>
                <c:pt idx="11">
                  <c:v>12.920199999999999</c:v>
                </c:pt>
                <c:pt idx="12">
                  <c:v>12.7987</c:v>
                </c:pt>
                <c:pt idx="13">
                  <c:v>12.6541</c:v>
                </c:pt>
                <c:pt idx="14">
                  <c:v>12.509499999999999</c:v>
                </c:pt>
                <c:pt idx="15">
                  <c:v>12.3408</c:v>
                </c:pt>
                <c:pt idx="16">
                  <c:v>12.1722</c:v>
                </c:pt>
                <c:pt idx="17">
                  <c:v>11.978400000000001</c:v>
                </c:pt>
                <c:pt idx="18">
                  <c:v>11.784599999999999</c:v>
                </c:pt>
                <c:pt idx="19">
                  <c:v>11.5633</c:v>
                </c:pt>
                <c:pt idx="20">
                  <c:v>11.342000000000001</c:v>
                </c:pt>
                <c:pt idx="21">
                  <c:v>11.0878</c:v>
                </c:pt>
                <c:pt idx="22">
                  <c:v>10.833600000000001</c:v>
                </c:pt>
                <c:pt idx="23">
                  <c:v>10.535399999999999</c:v>
                </c:pt>
                <c:pt idx="24">
                  <c:v>10.2372</c:v>
                </c:pt>
                <c:pt idx="25">
                  <c:v>9.8813800000000001</c:v>
                </c:pt>
                <c:pt idx="26">
                  <c:v>9.5255299999999998</c:v>
                </c:pt>
                <c:pt idx="27">
                  <c:v>9.1795799999999996</c:v>
                </c:pt>
                <c:pt idx="28">
                  <c:v>8.8336199999999998</c:v>
                </c:pt>
                <c:pt idx="29">
                  <c:v>7.9292999999999996</c:v>
                </c:pt>
                <c:pt idx="30">
                  <c:v>7.0249800000000002</c:v>
                </c:pt>
                <c:pt idx="31">
                  <c:v>6.2415000000000003</c:v>
                </c:pt>
                <c:pt idx="32">
                  <c:v>5.4580200000000003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74-45E7-ACFE-C044FE810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68576245595"/>
          <c:y val="0.4055893426403932"/>
          <c:w val="0.38326658891201126"/>
          <c:h val="0.3851994905351166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 w="38100">
              <a:noFill/>
            </a:ln>
          </c:spPr>
          <c:xVal>
            <c:numRef>
              <c:f>final2!$AM$13:$AM$61</c:f>
              <c:numCache>
                <c:formatCode>0.00E+00</c:formatCode>
                <c:ptCount val="49"/>
                <c:pt idx="0">
                  <c:v>0</c:v>
                </c:pt>
                <c:pt idx="1">
                  <c:v>2.0833399999999998E-2</c:v>
                </c:pt>
                <c:pt idx="2">
                  <c:v>4.1666599999999998E-2</c:v>
                </c:pt>
                <c:pt idx="3">
                  <c:v>6.25E-2</c:v>
                </c:pt>
                <c:pt idx="4">
                  <c:v>8.3333400000000002E-2</c:v>
                </c:pt>
                <c:pt idx="5">
                  <c:v>0.1041666</c:v>
                </c:pt>
                <c:pt idx="6">
                  <c:v>0.125</c:v>
                </c:pt>
                <c:pt idx="7">
                  <c:v>0.1458334</c:v>
                </c:pt>
                <c:pt idx="8">
                  <c:v>0.1666666</c:v>
                </c:pt>
                <c:pt idx="9">
                  <c:v>0.1875</c:v>
                </c:pt>
                <c:pt idx="10">
                  <c:v>0.20833399999999999</c:v>
                </c:pt>
                <c:pt idx="11">
                  <c:v>0.22916600000000001</c:v>
                </c:pt>
                <c:pt idx="12">
                  <c:v>0.25</c:v>
                </c:pt>
                <c:pt idx="13">
                  <c:v>0.27083400000000002</c:v>
                </c:pt>
                <c:pt idx="14">
                  <c:v>0.29166599999999998</c:v>
                </c:pt>
                <c:pt idx="15">
                  <c:v>0.3125</c:v>
                </c:pt>
                <c:pt idx="16">
                  <c:v>0.33333400000000002</c:v>
                </c:pt>
                <c:pt idx="17">
                  <c:v>0.35416599999999998</c:v>
                </c:pt>
                <c:pt idx="18">
                  <c:v>0.375</c:v>
                </c:pt>
                <c:pt idx="19">
                  <c:v>0.39583400000000002</c:v>
                </c:pt>
                <c:pt idx="20">
                  <c:v>0.41666599999999998</c:v>
                </c:pt>
                <c:pt idx="21">
                  <c:v>0.4375</c:v>
                </c:pt>
                <c:pt idx="22">
                  <c:v>0.45833400000000002</c:v>
                </c:pt>
                <c:pt idx="23">
                  <c:v>0.47916599999999998</c:v>
                </c:pt>
                <c:pt idx="24">
                  <c:v>0.5</c:v>
                </c:pt>
                <c:pt idx="25">
                  <c:v>0.52083400000000002</c:v>
                </c:pt>
                <c:pt idx="26">
                  <c:v>0.54166599999999998</c:v>
                </c:pt>
                <c:pt idx="27">
                  <c:v>0.5625</c:v>
                </c:pt>
                <c:pt idx="28">
                  <c:v>0.58333400000000002</c:v>
                </c:pt>
                <c:pt idx="29">
                  <c:v>0.60416599999999998</c:v>
                </c:pt>
                <c:pt idx="30">
                  <c:v>0.625</c:v>
                </c:pt>
                <c:pt idx="31">
                  <c:v>0.64583400000000002</c:v>
                </c:pt>
                <c:pt idx="32">
                  <c:v>0.66666599999999998</c:v>
                </c:pt>
                <c:pt idx="33">
                  <c:v>0.6875</c:v>
                </c:pt>
                <c:pt idx="34">
                  <c:v>0.70833400000000002</c:v>
                </c:pt>
                <c:pt idx="35">
                  <c:v>0.72916599999999998</c:v>
                </c:pt>
                <c:pt idx="36">
                  <c:v>0.75</c:v>
                </c:pt>
                <c:pt idx="37">
                  <c:v>0.77083400000000002</c:v>
                </c:pt>
                <c:pt idx="38">
                  <c:v>0.79166599999999998</c:v>
                </c:pt>
                <c:pt idx="39">
                  <c:v>0.8125</c:v>
                </c:pt>
                <c:pt idx="40">
                  <c:v>0.83333400000000002</c:v>
                </c:pt>
                <c:pt idx="41">
                  <c:v>0.85416599999999998</c:v>
                </c:pt>
                <c:pt idx="42">
                  <c:v>0.875</c:v>
                </c:pt>
                <c:pt idx="43">
                  <c:v>0.89583400000000002</c:v>
                </c:pt>
                <c:pt idx="44">
                  <c:v>0.91666599999999998</c:v>
                </c:pt>
                <c:pt idx="45">
                  <c:v>0.9375</c:v>
                </c:pt>
                <c:pt idx="46">
                  <c:v>0.95833400000000002</c:v>
                </c:pt>
                <c:pt idx="47">
                  <c:v>0.97916599999999998</c:v>
                </c:pt>
                <c:pt idx="48">
                  <c:v>1</c:v>
                </c:pt>
              </c:numCache>
            </c:numRef>
          </c:xVal>
          <c:yVal>
            <c:numRef>
              <c:f>final2!$AN$13:$AN$61</c:f>
              <c:numCache>
                <c:formatCode>0.00E+00</c:formatCode>
                <c:ptCount val="49"/>
                <c:pt idx="0">
                  <c:v>13.433400000000001</c:v>
                </c:pt>
                <c:pt idx="1">
                  <c:v>13.428599999999999</c:v>
                </c:pt>
                <c:pt idx="2">
                  <c:v>13.4238</c:v>
                </c:pt>
                <c:pt idx="3">
                  <c:v>13.4094</c:v>
                </c:pt>
                <c:pt idx="4">
                  <c:v>13.3949</c:v>
                </c:pt>
                <c:pt idx="5">
                  <c:v>13.370900000000001</c:v>
                </c:pt>
                <c:pt idx="6">
                  <c:v>13.3468</c:v>
                </c:pt>
                <c:pt idx="7">
                  <c:v>13.3131</c:v>
                </c:pt>
                <c:pt idx="8">
                  <c:v>13.279500000000001</c:v>
                </c:pt>
                <c:pt idx="9">
                  <c:v>13.2361</c:v>
                </c:pt>
                <c:pt idx="10">
                  <c:v>13.1928</c:v>
                </c:pt>
                <c:pt idx="11">
                  <c:v>13.139799999999999</c:v>
                </c:pt>
                <c:pt idx="12">
                  <c:v>13.0869</c:v>
                </c:pt>
                <c:pt idx="13">
                  <c:v>13.0242</c:v>
                </c:pt>
                <c:pt idx="14">
                  <c:v>12.961499999999999</c:v>
                </c:pt>
                <c:pt idx="15">
                  <c:v>12.889099999999999</c:v>
                </c:pt>
                <c:pt idx="16">
                  <c:v>12.816800000000001</c:v>
                </c:pt>
                <c:pt idx="17">
                  <c:v>12.7346</c:v>
                </c:pt>
                <c:pt idx="18">
                  <c:v>12.6524</c:v>
                </c:pt>
                <c:pt idx="19">
                  <c:v>12.5604</c:v>
                </c:pt>
                <c:pt idx="20">
                  <c:v>12.468299999999999</c:v>
                </c:pt>
                <c:pt idx="21">
                  <c:v>12.366099999999999</c:v>
                </c:pt>
                <c:pt idx="22">
                  <c:v>12.2639</c:v>
                </c:pt>
                <c:pt idx="23">
                  <c:v>12.151300000000001</c:v>
                </c:pt>
                <c:pt idx="24">
                  <c:v>12.0387</c:v>
                </c:pt>
                <c:pt idx="25">
                  <c:v>11.915100000000001</c:v>
                </c:pt>
                <c:pt idx="26">
                  <c:v>11.791499999999999</c:v>
                </c:pt>
                <c:pt idx="27">
                  <c:v>11.656000000000001</c:v>
                </c:pt>
                <c:pt idx="28">
                  <c:v>11.5205</c:v>
                </c:pt>
                <c:pt idx="29">
                  <c:v>11.3714</c:v>
                </c:pt>
                <c:pt idx="30">
                  <c:v>11.222300000000001</c:v>
                </c:pt>
                <c:pt idx="31">
                  <c:v>11.0572</c:v>
                </c:pt>
                <c:pt idx="32">
                  <c:v>10.891999999999999</c:v>
                </c:pt>
                <c:pt idx="33">
                  <c:v>10.707599999999999</c:v>
                </c:pt>
                <c:pt idx="34">
                  <c:v>10.523099999999999</c:v>
                </c:pt>
                <c:pt idx="35">
                  <c:v>10.3154</c:v>
                </c:pt>
                <c:pt idx="36">
                  <c:v>10.1076</c:v>
                </c:pt>
                <c:pt idx="37">
                  <c:v>9.8723100000000006</c:v>
                </c:pt>
                <c:pt idx="38">
                  <c:v>9.6369900000000008</c:v>
                </c:pt>
                <c:pt idx="39">
                  <c:v>9.3722799999999999</c:v>
                </c:pt>
                <c:pt idx="40">
                  <c:v>9.1075700000000008</c:v>
                </c:pt>
                <c:pt idx="41">
                  <c:v>8.8015799999999995</c:v>
                </c:pt>
                <c:pt idx="42">
                  <c:v>8.4955999999999996</c:v>
                </c:pt>
                <c:pt idx="43">
                  <c:v>8.2087299999999992</c:v>
                </c:pt>
                <c:pt idx="44">
                  <c:v>7.9218599999999997</c:v>
                </c:pt>
                <c:pt idx="45">
                  <c:v>6.7829300000000003</c:v>
                </c:pt>
                <c:pt idx="46">
                  <c:v>5.6440000000000001</c:v>
                </c:pt>
                <c:pt idx="47">
                  <c:v>5.7351599999999996</c:v>
                </c:pt>
                <c:pt idx="48">
                  <c:v>5.8263100000000003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47-4C91-998F-41781DC5B224}"/>
            </c:ext>
          </c:extLst>
        </c:ser>
        <c:ser>
          <c:idx val="2"/>
          <c:order val="1"/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xVal>
            <c:numRef>
              <c:f>final2!$L$19:$L$34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final2!$M$19:$M$34</c:f>
              <c:numCache>
                <c:formatCode>0.00E+00</c:formatCode>
                <c:ptCount val="16"/>
                <c:pt idx="0">
                  <c:v>14.30174308305665</c:v>
                </c:pt>
                <c:pt idx="1">
                  <c:v>14.260808799000401</c:v>
                </c:pt>
                <c:pt idx="2">
                  <c:v>14.1549328641548</c:v>
                </c:pt>
                <c:pt idx="3">
                  <c:v>14.2219783910822</c:v>
                </c:pt>
                <c:pt idx="4">
                  <c:v>13.8279349423353</c:v>
                </c:pt>
                <c:pt idx="5">
                  <c:v>13.57069714619605</c:v>
                </c:pt>
                <c:pt idx="6">
                  <c:v>13.5537890030336</c:v>
                </c:pt>
                <c:pt idx="7">
                  <c:v>12.96523103464475</c:v>
                </c:pt>
                <c:pt idx="8">
                  <c:v>12.5485241564412</c:v>
                </c:pt>
                <c:pt idx="9">
                  <c:v>12.2552726926801</c:v>
                </c:pt>
                <c:pt idx="10">
                  <c:v>11.7645954220866</c:v>
                </c:pt>
                <c:pt idx="11">
                  <c:v>11.096257404845501</c:v>
                </c:pt>
                <c:pt idx="12">
                  <c:v>10.54134429602575</c:v>
                </c:pt>
                <c:pt idx="13">
                  <c:v>8.9924716634169997</c:v>
                </c:pt>
                <c:pt idx="14">
                  <c:v>10.191147041214601</c:v>
                </c:pt>
                <c:pt idx="15">
                  <c:v>5.1914766427063004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S-IGA no blending</c:v>
                </c15:tx>
              </c15:filteredSeriesTitle>
            </c:ext>
            <c:ext xmlns:c16="http://schemas.microsoft.com/office/drawing/2014/chart" uri="{C3380CC4-5D6E-409C-BE32-E72D297353CC}">
              <c16:uniqueId val="{00000001-AC47-4C91-998F-41781DC5B224}"/>
            </c:ext>
          </c:extLst>
        </c:ser>
        <c:ser>
          <c:idx val="0"/>
          <c:order val="2"/>
          <c:spPr>
            <a:ln w="15875">
              <a:solidFill>
                <a:srgbClr val="00B0F0"/>
              </a:solidFill>
            </a:ln>
          </c:spPr>
          <c:xVal>
            <c:numRef>
              <c:f>final2!$L$36:$L$51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final2!$M$36:$M$51</c:f>
              <c:numCache>
                <c:formatCode>0.00E+00</c:formatCode>
                <c:ptCount val="16"/>
                <c:pt idx="0">
                  <c:v>14.120291127694349</c:v>
                </c:pt>
                <c:pt idx="1">
                  <c:v>14.087871536766199</c:v>
                </c:pt>
                <c:pt idx="2">
                  <c:v>13.981753919954301</c:v>
                </c:pt>
                <c:pt idx="3">
                  <c:v>14.045536266658999</c:v>
                </c:pt>
                <c:pt idx="4">
                  <c:v>13.654673014672451</c:v>
                </c:pt>
                <c:pt idx="5">
                  <c:v>13.387462400913099</c:v>
                </c:pt>
                <c:pt idx="6">
                  <c:v>13.36344807206725</c:v>
                </c:pt>
                <c:pt idx="7">
                  <c:v>12.776515448340851</c:v>
                </c:pt>
                <c:pt idx="8">
                  <c:v>12.375214643057051</c:v>
                </c:pt>
                <c:pt idx="9">
                  <c:v>12.0776891249236</c:v>
                </c:pt>
                <c:pt idx="10">
                  <c:v>11.5754231795836</c:v>
                </c:pt>
                <c:pt idx="11">
                  <c:v>10.831947036372799</c:v>
                </c:pt>
                <c:pt idx="12">
                  <c:v>10.559764927306849</c:v>
                </c:pt>
                <c:pt idx="13">
                  <c:v>8.8080260515622495</c:v>
                </c:pt>
                <c:pt idx="14">
                  <c:v>9.93483329356825</c:v>
                </c:pt>
                <c:pt idx="15">
                  <c:v>5.1556309467387003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S-IGA cubic</c:v>
                </c15:tx>
              </c15:filteredSeriesTitle>
            </c:ext>
            <c:ext xmlns:c16="http://schemas.microsoft.com/office/drawing/2014/chart" uri="{C3380CC4-5D6E-409C-BE32-E72D297353CC}">
              <c16:uniqueId val="{00000002-AC47-4C91-998F-41781DC5B224}"/>
            </c:ext>
          </c:extLst>
        </c:ser>
        <c:ser>
          <c:idx val="1"/>
          <c:order val="3"/>
          <c:spPr>
            <a:ln w="15875">
              <a:solidFill>
                <a:srgbClr val="FF0000"/>
              </a:solidFill>
            </a:ln>
          </c:spPr>
          <c:xVal>
            <c:numRef>
              <c:f>final2!$L$2:$L$17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final2!$M$2:$M$17</c:f>
              <c:numCache>
                <c:formatCode>0.00E+00</c:formatCode>
                <c:ptCount val="16"/>
                <c:pt idx="0">
                  <c:v>14.270226518757051</c:v>
                </c:pt>
                <c:pt idx="1">
                  <c:v>14.2542223687953</c:v>
                </c:pt>
                <c:pt idx="2">
                  <c:v>14.135999308887699</c:v>
                </c:pt>
                <c:pt idx="3">
                  <c:v>13.973408881421101</c:v>
                </c:pt>
                <c:pt idx="4">
                  <c:v>13.804562085466349</c:v>
                </c:pt>
                <c:pt idx="5">
                  <c:v>13.554800893772651</c:v>
                </c:pt>
                <c:pt idx="6">
                  <c:v>13.238430396108351</c:v>
                </c:pt>
                <c:pt idx="7">
                  <c:v>12.954641968701001</c:v>
                </c:pt>
                <c:pt idx="8">
                  <c:v>12.575798060589101</c:v>
                </c:pt>
                <c:pt idx="9">
                  <c:v>12.015117646948401</c:v>
                </c:pt>
                <c:pt idx="10">
                  <c:v>11.6527436932168</c:v>
                </c:pt>
                <c:pt idx="11">
                  <c:v>11.132892759581949</c:v>
                </c:pt>
                <c:pt idx="12">
                  <c:v>10.164068990584351</c:v>
                </c:pt>
                <c:pt idx="13">
                  <c:v>9.5330249647971499</c:v>
                </c:pt>
                <c:pt idx="14">
                  <c:v>8.7683332707775499</c:v>
                </c:pt>
                <c:pt idx="15">
                  <c:v>6.0103968057830999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IGA</c:v>
                </c15:tx>
              </c15:filteredSeriesTitle>
            </c:ext>
            <c:ext xmlns:c16="http://schemas.microsoft.com/office/drawing/2014/chart" uri="{C3380CC4-5D6E-409C-BE32-E72D297353CC}">
              <c16:uniqueId val="{00000003-AC47-4C91-998F-41781DC5B224}"/>
            </c:ext>
          </c:extLst>
        </c:ser>
        <c:ser>
          <c:idx val="3"/>
          <c:order val="4"/>
          <c:spPr>
            <a:ln w="15875">
              <a:solidFill>
                <a:schemeClr val="tx1"/>
              </a:solidFill>
            </a:ln>
          </c:spPr>
          <c:xVal>
            <c:numRef>
              <c:f>final2!$AF$13:$AF$45</c:f>
              <c:numCache>
                <c:formatCode>0.00E+00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final2!$AG$13:$AG$45</c:f>
              <c:numCache>
                <c:formatCode>0.00E+00</c:formatCode>
                <c:ptCount val="33"/>
                <c:pt idx="0">
                  <c:v>13.5907</c:v>
                </c:pt>
                <c:pt idx="1">
                  <c:v>13.579800000000001</c:v>
                </c:pt>
                <c:pt idx="2">
                  <c:v>13.5688</c:v>
                </c:pt>
                <c:pt idx="3">
                  <c:v>13.5359</c:v>
                </c:pt>
                <c:pt idx="4">
                  <c:v>13.5031</c:v>
                </c:pt>
                <c:pt idx="5">
                  <c:v>13.4482</c:v>
                </c:pt>
                <c:pt idx="6">
                  <c:v>13.3934</c:v>
                </c:pt>
                <c:pt idx="7">
                  <c:v>13.316599999999999</c:v>
                </c:pt>
                <c:pt idx="8">
                  <c:v>13.239699999999999</c:v>
                </c:pt>
                <c:pt idx="9">
                  <c:v>13.140700000000001</c:v>
                </c:pt>
                <c:pt idx="10">
                  <c:v>13.041700000000001</c:v>
                </c:pt>
                <c:pt idx="11">
                  <c:v>12.920199999999999</c:v>
                </c:pt>
                <c:pt idx="12">
                  <c:v>12.7987</c:v>
                </c:pt>
                <c:pt idx="13">
                  <c:v>12.6541</c:v>
                </c:pt>
                <c:pt idx="14">
                  <c:v>12.509499999999999</c:v>
                </c:pt>
                <c:pt idx="15">
                  <c:v>12.3408</c:v>
                </c:pt>
                <c:pt idx="16">
                  <c:v>12.1722</c:v>
                </c:pt>
                <c:pt idx="17">
                  <c:v>11.978400000000001</c:v>
                </c:pt>
                <c:pt idx="18">
                  <c:v>11.784599999999999</c:v>
                </c:pt>
                <c:pt idx="19">
                  <c:v>11.5633</c:v>
                </c:pt>
                <c:pt idx="20">
                  <c:v>11.342000000000001</c:v>
                </c:pt>
                <c:pt idx="21">
                  <c:v>11.0878</c:v>
                </c:pt>
                <c:pt idx="22">
                  <c:v>10.833600000000001</c:v>
                </c:pt>
                <c:pt idx="23">
                  <c:v>10.535399999999999</c:v>
                </c:pt>
                <c:pt idx="24">
                  <c:v>10.2372</c:v>
                </c:pt>
                <c:pt idx="25">
                  <c:v>9.8813800000000001</c:v>
                </c:pt>
                <c:pt idx="26">
                  <c:v>9.5255299999999998</c:v>
                </c:pt>
                <c:pt idx="27">
                  <c:v>9.1795799999999996</c:v>
                </c:pt>
                <c:pt idx="28">
                  <c:v>8.8336199999999998</c:v>
                </c:pt>
                <c:pt idx="29">
                  <c:v>7.9292999999999996</c:v>
                </c:pt>
                <c:pt idx="30">
                  <c:v>7.0249800000000002</c:v>
                </c:pt>
                <c:pt idx="31">
                  <c:v>6.2415000000000003</c:v>
                </c:pt>
                <c:pt idx="32">
                  <c:v>5.4580200000000003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FEM</c:v>
                </c15:tx>
              </c15:filteredSeriesTitle>
            </c:ext>
            <c:ext xmlns:c16="http://schemas.microsoft.com/office/drawing/2014/chart" uri="{C3380CC4-5D6E-409C-BE32-E72D297353CC}">
              <c16:uniqueId val="{00000004-AC47-4C91-998F-41781DC5B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68576245595"/>
          <c:y val="0.4055893426403932"/>
          <c:w val="0.38326658891201126"/>
          <c:h val="0.3851994905351166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final3!$F$2:$F$17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final3!$K$2:$K$17</c:f>
              <c:numCache>
                <c:formatCode>0.00E+00</c:formatCode>
                <c:ptCount val="16"/>
                <c:pt idx="0">
                  <c:v>28.540453037514101</c:v>
                </c:pt>
                <c:pt idx="1">
                  <c:v>28.508444737590601</c:v>
                </c:pt>
                <c:pt idx="2">
                  <c:v>28.271998617775399</c:v>
                </c:pt>
                <c:pt idx="3">
                  <c:v>27.946817762842201</c:v>
                </c:pt>
                <c:pt idx="4">
                  <c:v>27.609124170932699</c:v>
                </c:pt>
                <c:pt idx="5">
                  <c:v>27.109601787545301</c:v>
                </c:pt>
                <c:pt idx="6">
                  <c:v>26.476860792216701</c:v>
                </c:pt>
                <c:pt idx="7">
                  <c:v>25.909283937402002</c:v>
                </c:pt>
                <c:pt idx="8">
                  <c:v>25.151596121178201</c:v>
                </c:pt>
                <c:pt idx="9">
                  <c:v>24.030235293896801</c:v>
                </c:pt>
                <c:pt idx="10">
                  <c:v>23.305487386433601</c:v>
                </c:pt>
                <c:pt idx="11">
                  <c:v>22.265785519163899</c:v>
                </c:pt>
                <c:pt idx="12">
                  <c:v>20.328137981168702</c:v>
                </c:pt>
                <c:pt idx="13">
                  <c:v>19.0660499295943</c:v>
                </c:pt>
                <c:pt idx="14">
                  <c:v>17.5366665415551</c:v>
                </c:pt>
                <c:pt idx="15">
                  <c:v>12.0207936115662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17-4E6B-9448-10B503977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7039"/>
        <c:axId val="924900719"/>
      </c:scatterChart>
      <c:valAx>
        <c:axId val="92491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0719"/>
        <c:crosses val="autoZero"/>
        <c:crossBetween val="midCat"/>
      </c:valAx>
      <c:valAx>
        <c:axId val="92490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final3!$F$19:$F$34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final3!$K$19:$K$34</c:f>
              <c:numCache>
                <c:formatCode>0.00E+00</c:formatCode>
                <c:ptCount val="16"/>
                <c:pt idx="0">
                  <c:v>28.603486166113299</c:v>
                </c:pt>
                <c:pt idx="1">
                  <c:v>28.521617598000802</c:v>
                </c:pt>
                <c:pt idx="2">
                  <c:v>28.3098657283096</c:v>
                </c:pt>
                <c:pt idx="3">
                  <c:v>28.443956782164399</c:v>
                </c:pt>
                <c:pt idx="4">
                  <c:v>27.655869884670601</c:v>
                </c:pt>
                <c:pt idx="5">
                  <c:v>27.1413942923921</c:v>
                </c:pt>
                <c:pt idx="6">
                  <c:v>27.1075780060672</c:v>
                </c:pt>
                <c:pt idx="7">
                  <c:v>25.930462069289501</c:v>
                </c:pt>
                <c:pt idx="8">
                  <c:v>25.0970483128824</c:v>
                </c:pt>
                <c:pt idx="9">
                  <c:v>24.510545385360199</c:v>
                </c:pt>
                <c:pt idx="10">
                  <c:v>23.529190844173201</c:v>
                </c:pt>
                <c:pt idx="11">
                  <c:v>22.192514809691001</c:v>
                </c:pt>
                <c:pt idx="12">
                  <c:v>21.0826885920515</c:v>
                </c:pt>
                <c:pt idx="13">
                  <c:v>17.984943326833999</c:v>
                </c:pt>
                <c:pt idx="14">
                  <c:v>18.382294082429201</c:v>
                </c:pt>
                <c:pt idx="15">
                  <c:v>10.382953285412601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E4-4F67-AC2C-2B4DDE303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4639"/>
        <c:axId val="924904559"/>
      </c:scatterChart>
      <c:valAx>
        <c:axId val="92491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4559"/>
        <c:crosses val="autoZero"/>
        <c:crossBetween val="midCat"/>
      </c:valAx>
      <c:valAx>
        <c:axId val="92490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final3!$F$36:$F$51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final3!$K$36:$K$51</c:f>
              <c:numCache>
                <c:formatCode>0.00E+00</c:formatCode>
                <c:ptCount val="16"/>
                <c:pt idx="0">
                  <c:v>28.240582255388698</c:v>
                </c:pt>
                <c:pt idx="1">
                  <c:v>28.175743073532399</c:v>
                </c:pt>
                <c:pt idx="2">
                  <c:v>27.963507839908601</c:v>
                </c:pt>
                <c:pt idx="3">
                  <c:v>28.091072533317998</c:v>
                </c:pt>
                <c:pt idx="4">
                  <c:v>27.309346029344901</c:v>
                </c:pt>
                <c:pt idx="5">
                  <c:v>26.774924801826199</c:v>
                </c:pt>
                <c:pt idx="6">
                  <c:v>26.7268961441345</c:v>
                </c:pt>
                <c:pt idx="7">
                  <c:v>25.553030896681701</c:v>
                </c:pt>
                <c:pt idx="8">
                  <c:v>24.750429286114102</c:v>
                </c:pt>
                <c:pt idx="9">
                  <c:v>24.1553782498472</c:v>
                </c:pt>
                <c:pt idx="10">
                  <c:v>23.1508463591672</c:v>
                </c:pt>
                <c:pt idx="11">
                  <c:v>21.663894072745599</c:v>
                </c:pt>
                <c:pt idx="12">
                  <c:v>21.119529854613699</c:v>
                </c:pt>
                <c:pt idx="13">
                  <c:v>17.616052103124499</c:v>
                </c:pt>
                <c:pt idx="14">
                  <c:v>18.8696665871365</c:v>
                </c:pt>
                <c:pt idx="15">
                  <c:v>10.311261893477401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62-4A6B-9D4B-D84366E07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S-IGA no blending</c:v>
          </c:tx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squar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final3!$L$19:$L$34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final3!$M$19:$M$34</c:f>
              <c:numCache>
                <c:formatCode>0.00E+00</c:formatCode>
                <c:ptCount val="16"/>
                <c:pt idx="0">
                  <c:v>14.30174308305665</c:v>
                </c:pt>
                <c:pt idx="1">
                  <c:v>14.260808799000401</c:v>
                </c:pt>
                <c:pt idx="2">
                  <c:v>14.1549328641548</c:v>
                </c:pt>
                <c:pt idx="3">
                  <c:v>14.2219783910822</c:v>
                </c:pt>
                <c:pt idx="4">
                  <c:v>13.8279349423353</c:v>
                </c:pt>
                <c:pt idx="5">
                  <c:v>13.57069714619605</c:v>
                </c:pt>
                <c:pt idx="6">
                  <c:v>13.5537890030336</c:v>
                </c:pt>
                <c:pt idx="7">
                  <c:v>12.96523103464475</c:v>
                </c:pt>
                <c:pt idx="8">
                  <c:v>12.5485241564412</c:v>
                </c:pt>
                <c:pt idx="9">
                  <c:v>12.2552726926801</c:v>
                </c:pt>
                <c:pt idx="10">
                  <c:v>11.7645954220866</c:v>
                </c:pt>
                <c:pt idx="11">
                  <c:v>11.096257404845501</c:v>
                </c:pt>
                <c:pt idx="12">
                  <c:v>10.54134429602575</c:v>
                </c:pt>
                <c:pt idx="13">
                  <c:v>8.9924716634169997</c:v>
                </c:pt>
                <c:pt idx="14">
                  <c:v>9.1911470412146006</c:v>
                </c:pt>
                <c:pt idx="15">
                  <c:v>5.1914766427063004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C4-4458-BC85-244537308C12}"/>
            </c:ext>
          </c:extLst>
        </c:ser>
        <c:ser>
          <c:idx val="0"/>
          <c:order val="1"/>
          <c:tx>
            <c:v>S-IGA cubic</c:v>
          </c:tx>
          <c:spPr>
            <a:ln w="15875">
              <a:solidFill>
                <a:srgbClr val="00B0F0"/>
              </a:solidFill>
            </a:ln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final3!$L$36:$L$51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final3!$M$36:$M$51</c:f>
              <c:numCache>
                <c:formatCode>0.00E+00</c:formatCode>
                <c:ptCount val="16"/>
                <c:pt idx="0">
                  <c:v>14.120291127694349</c:v>
                </c:pt>
                <c:pt idx="1">
                  <c:v>14.087871536766199</c:v>
                </c:pt>
                <c:pt idx="2">
                  <c:v>13.981753919954301</c:v>
                </c:pt>
                <c:pt idx="3">
                  <c:v>14.045536266658999</c:v>
                </c:pt>
                <c:pt idx="4">
                  <c:v>13.654673014672451</c:v>
                </c:pt>
                <c:pt idx="5">
                  <c:v>13.387462400913099</c:v>
                </c:pt>
                <c:pt idx="6">
                  <c:v>13.36344807206725</c:v>
                </c:pt>
                <c:pt idx="7">
                  <c:v>12.776515448340851</c:v>
                </c:pt>
                <c:pt idx="8">
                  <c:v>12.375214643057051</c:v>
                </c:pt>
                <c:pt idx="9">
                  <c:v>12.0776891249236</c:v>
                </c:pt>
                <c:pt idx="10">
                  <c:v>11.5754231795836</c:v>
                </c:pt>
                <c:pt idx="11">
                  <c:v>10.831947036372799</c:v>
                </c:pt>
                <c:pt idx="12">
                  <c:v>10.559764927306849</c:v>
                </c:pt>
                <c:pt idx="13">
                  <c:v>8.8080260515622495</c:v>
                </c:pt>
                <c:pt idx="14">
                  <c:v>9.43483329356825</c:v>
                </c:pt>
                <c:pt idx="15">
                  <c:v>5.1556309467387003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C4-4458-BC85-244537308C12}"/>
            </c:ext>
          </c:extLst>
        </c:ser>
        <c:ser>
          <c:idx val="1"/>
          <c:order val="2"/>
          <c:tx>
            <c:v>IGA</c:v>
          </c:tx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final3!$L$2:$L$17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final3!$M$2:$M$17</c:f>
              <c:numCache>
                <c:formatCode>0.00E+00</c:formatCode>
                <c:ptCount val="16"/>
                <c:pt idx="0">
                  <c:v>14.270226518757051</c:v>
                </c:pt>
                <c:pt idx="1">
                  <c:v>14.2542223687953</c:v>
                </c:pt>
                <c:pt idx="2">
                  <c:v>14.135999308887699</c:v>
                </c:pt>
                <c:pt idx="3">
                  <c:v>13.973408881421101</c:v>
                </c:pt>
                <c:pt idx="4">
                  <c:v>13.804562085466349</c:v>
                </c:pt>
                <c:pt idx="5">
                  <c:v>13.554800893772651</c:v>
                </c:pt>
                <c:pt idx="6">
                  <c:v>13.238430396108351</c:v>
                </c:pt>
                <c:pt idx="7">
                  <c:v>12.954641968701001</c:v>
                </c:pt>
                <c:pt idx="8">
                  <c:v>12.575798060589101</c:v>
                </c:pt>
                <c:pt idx="9">
                  <c:v>12.015117646948401</c:v>
                </c:pt>
                <c:pt idx="10">
                  <c:v>11.6527436932168</c:v>
                </c:pt>
                <c:pt idx="11">
                  <c:v>11.132892759581949</c:v>
                </c:pt>
                <c:pt idx="12">
                  <c:v>10.164068990584351</c:v>
                </c:pt>
                <c:pt idx="13">
                  <c:v>9.5330249647971499</c:v>
                </c:pt>
                <c:pt idx="14">
                  <c:v>8.7683332707775499</c:v>
                </c:pt>
                <c:pt idx="15">
                  <c:v>6.0103968057830999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C4-4458-BC85-244537308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77117224713"/>
          <c:y val="0.46835281249615945"/>
          <c:w val="0.37495841653448941"/>
          <c:h val="0.30535188803816904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S-IGA no blending</c:v>
          </c:tx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xVal>
            <c:numRef>
              <c:f>final3!$L$19:$L$34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final3!$M$19:$M$34</c:f>
              <c:numCache>
                <c:formatCode>0.00E+00</c:formatCode>
                <c:ptCount val="16"/>
                <c:pt idx="0">
                  <c:v>14.30174308305665</c:v>
                </c:pt>
                <c:pt idx="1">
                  <c:v>14.260808799000401</c:v>
                </c:pt>
                <c:pt idx="2">
                  <c:v>14.1549328641548</c:v>
                </c:pt>
                <c:pt idx="3">
                  <c:v>14.2219783910822</c:v>
                </c:pt>
                <c:pt idx="4">
                  <c:v>13.8279349423353</c:v>
                </c:pt>
                <c:pt idx="5">
                  <c:v>13.57069714619605</c:v>
                </c:pt>
                <c:pt idx="6">
                  <c:v>13.5537890030336</c:v>
                </c:pt>
                <c:pt idx="7">
                  <c:v>12.96523103464475</c:v>
                </c:pt>
                <c:pt idx="8">
                  <c:v>12.5485241564412</c:v>
                </c:pt>
                <c:pt idx="9">
                  <c:v>12.2552726926801</c:v>
                </c:pt>
                <c:pt idx="10">
                  <c:v>11.7645954220866</c:v>
                </c:pt>
                <c:pt idx="11">
                  <c:v>11.096257404845501</c:v>
                </c:pt>
                <c:pt idx="12">
                  <c:v>10.54134429602575</c:v>
                </c:pt>
                <c:pt idx="13">
                  <c:v>8.9924716634169997</c:v>
                </c:pt>
                <c:pt idx="14">
                  <c:v>9.1911470412146006</c:v>
                </c:pt>
                <c:pt idx="15">
                  <c:v>5.1914766427063004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B6C-49F5-998F-953CD8E44ABA}"/>
            </c:ext>
          </c:extLst>
        </c:ser>
        <c:ser>
          <c:idx val="2"/>
          <c:order val="1"/>
          <c:tx>
            <c:v>S-IGA cubic</c:v>
          </c:tx>
          <c:spPr>
            <a:ln w="15875">
              <a:solidFill>
                <a:srgbClr val="00B0F0"/>
              </a:solidFill>
            </a:ln>
          </c:spPr>
          <c:xVal>
            <c:numRef>
              <c:f>final3!$L$36:$L$51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final3!$M$36:$M$51</c:f>
              <c:numCache>
                <c:formatCode>0.00E+00</c:formatCode>
                <c:ptCount val="16"/>
                <c:pt idx="0">
                  <c:v>14.120291127694349</c:v>
                </c:pt>
                <c:pt idx="1">
                  <c:v>14.087871536766199</c:v>
                </c:pt>
                <c:pt idx="2">
                  <c:v>13.981753919954301</c:v>
                </c:pt>
                <c:pt idx="3">
                  <c:v>14.045536266658999</c:v>
                </c:pt>
                <c:pt idx="4">
                  <c:v>13.654673014672451</c:v>
                </c:pt>
                <c:pt idx="5">
                  <c:v>13.387462400913099</c:v>
                </c:pt>
                <c:pt idx="6">
                  <c:v>13.36344807206725</c:v>
                </c:pt>
                <c:pt idx="7">
                  <c:v>12.776515448340851</c:v>
                </c:pt>
                <c:pt idx="8">
                  <c:v>12.375214643057051</c:v>
                </c:pt>
                <c:pt idx="9">
                  <c:v>12.0776891249236</c:v>
                </c:pt>
                <c:pt idx="10">
                  <c:v>11.5754231795836</c:v>
                </c:pt>
                <c:pt idx="11">
                  <c:v>10.831947036372799</c:v>
                </c:pt>
                <c:pt idx="12">
                  <c:v>10.559764927306849</c:v>
                </c:pt>
                <c:pt idx="13">
                  <c:v>8.8080260515622495</c:v>
                </c:pt>
                <c:pt idx="14">
                  <c:v>9.43483329356825</c:v>
                </c:pt>
                <c:pt idx="15">
                  <c:v>5.1556309467387003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B6C-49F5-998F-953CD8E44ABA}"/>
            </c:ext>
          </c:extLst>
        </c:ser>
        <c:ser>
          <c:idx val="3"/>
          <c:order val="2"/>
          <c:tx>
            <c:v>IGA</c:v>
          </c:tx>
          <c:spPr>
            <a:ln w="15875">
              <a:solidFill>
                <a:srgbClr val="FF0000"/>
              </a:solidFill>
            </a:ln>
          </c:spPr>
          <c:xVal>
            <c:numRef>
              <c:f>final3!$L$2:$L$17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final3!$M$2:$M$17</c:f>
              <c:numCache>
                <c:formatCode>0.00E+00</c:formatCode>
                <c:ptCount val="16"/>
                <c:pt idx="0">
                  <c:v>14.270226518757051</c:v>
                </c:pt>
                <c:pt idx="1">
                  <c:v>14.2542223687953</c:v>
                </c:pt>
                <c:pt idx="2">
                  <c:v>14.135999308887699</c:v>
                </c:pt>
                <c:pt idx="3">
                  <c:v>13.973408881421101</c:v>
                </c:pt>
                <c:pt idx="4">
                  <c:v>13.804562085466349</c:v>
                </c:pt>
                <c:pt idx="5">
                  <c:v>13.554800893772651</c:v>
                </c:pt>
                <c:pt idx="6">
                  <c:v>13.238430396108351</c:v>
                </c:pt>
                <c:pt idx="7">
                  <c:v>12.954641968701001</c:v>
                </c:pt>
                <c:pt idx="8">
                  <c:v>12.575798060589101</c:v>
                </c:pt>
                <c:pt idx="9">
                  <c:v>12.015117646948401</c:v>
                </c:pt>
                <c:pt idx="10">
                  <c:v>11.6527436932168</c:v>
                </c:pt>
                <c:pt idx="11">
                  <c:v>11.132892759581949</c:v>
                </c:pt>
                <c:pt idx="12">
                  <c:v>10.164068990584351</c:v>
                </c:pt>
                <c:pt idx="13">
                  <c:v>9.5330249647971499</c:v>
                </c:pt>
                <c:pt idx="14">
                  <c:v>8.7683332707775499</c:v>
                </c:pt>
                <c:pt idx="15">
                  <c:v>6.0103968057830999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B6C-49F5-998F-953CD8E44ABA}"/>
            </c:ext>
          </c:extLst>
        </c:ser>
        <c:ser>
          <c:idx val="4"/>
          <c:order val="3"/>
          <c:tx>
            <c:v>FEM</c:v>
          </c:tx>
          <c:spPr>
            <a:ln w="15875">
              <a:solidFill>
                <a:schemeClr val="tx1"/>
              </a:solidFill>
            </a:ln>
          </c:spPr>
          <c:xVal>
            <c:numRef>
              <c:f>final3!$AF$13:$AF$45</c:f>
              <c:numCache>
                <c:formatCode>0.00E+00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final3!$AG$13:$AG$45</c:f>
              <c:numCache>
                <c:formatCode>0.00E+00</c:formatCode>
                <c:ptCount val="33"/>
                <c:pt idx="0">
                  <c:v>13.5907</c:v>
                </c:pt>
                <c:pt idx="1">
                  <c:v>13.579800000000001</c:v>
                </c:pt>
                <c:pt idx="2">
                  <c:v>13.5688</c:v>
                </c:pt>
                <c:pt idx="3">
                  <c:v>13.5359</c:v>
                </c:pt>
                <c:pt idx="4">
                  <c:v>13.5031</c:v>
                </c:pt>
                <c:pt idx="5">
                  <c:v>13.4482</c:v>
                </c:pt>
                <c:pt idx="6">
                  <c:v>13.3934</c:v>
                </c:pt>
                <c:pt idx="7">
                  <c:v>13.316599999999999</c:v>
                </c:pt>
                <c:pt idx="8">
                  <c:v>13.239699999999999</c:v>
                </c:pt>
                <c:pt idx="9">
                  <c:v>13.140700000000001</c:v>
                </c:pt>
                <c:pt idx="10">
                  <c:v>13.041700000000001</c:v>
                </c:pt>
                <c:pt idx="11">
                  <c:v>12.920199999999999</c:v>
                </c:pt>
                <c:pt idx="12">
                  <c:v>12.7987</c:v>
                </c:pt>
                <c:pt idx="13">
                  <c:v>12.6541</c:v>
                </c:pt>
                <c:pt idx="14">
                  <c:v>12.509499999999999</c:v>
                </c:pt>
                <c:pt idx="15">
                  <c:v>12.3408</c:v>
                </c:pt>
                <c:pt idx="16">
                  <c:v>12.1722</c:v>
                </c:pt>
                <c:pt idx="17">
                  <c:v>11.978400000000001</c:v>
                </c:pt>
                <c:pt idx="18">
                  <c:v>11.784599999999999</c:v>
                </c:pt>
                <c:pt idx="19">
                  <c:v>11.5633</c:v>
                </c:pt>
                <c:pt idx="20">
                  <c:v>11.342000000000001</c:v>
                </c:pt>
                <c:pt idx="21">
                  <c:v>11.0878</c:v>
                </c:pt>
                <c:pt idx="22">
                  <c:v>10.833600000000001</c:v>
                </c:pt>
                <c:pt idx="23">
                  <c:v>10.535399999999999</c:v>
                </c:pt>
                <c:pt idx="24">
                  <c:v>10.2372</c:v>
                </c:pt>
                <c:pt idx="25">
                  <c:v>9.8813800000000001</c:v>
                </c:pt>
                <c:pt idx="26">
                  <c:v>9.5255299999999998</c:v>
                </c:pt>
                <c:pt idx="27">
                  <c:v>9.1795799999999996</c:v>
                </c:pt>
                <c:pt idx="28">
                  <c:v>8.8336199999999998</c:v>
                </c:pt>
                <c:pt idx="29">
                  <c:v>7.9292999999999996</c:v>
                </c:pt>
                <c:pt idx="30">
                  <c:v>7.0249800000000002</c:v>
                </c:pt>
                <c:pt idx="31">
                  <c:v>6.2415000000000003</c:v>
                </c:pt>
                <c:pt idx="32">
                  <c:v>5.4580200000000003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B6C-49F5-998F-953CD8E44ABA}"/>
            </c:ext>
          </c:extLst>
        </c:ser>
        <c:ser>
          <c:idx val="0"/>
          <c:order val="4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[2]Sheet3!$G$1:$G$320</c:f>
              <c:numCache>
                <c:formatCode>0.00E+00</c:formatCode>
                <c:ptCount val="320"/>
                <c:pt idx="0">
                  <c:v>1.5625000000000001E-3</c:v>
                </c:pt>
                <c:pt idx="1">
                  <c:v>4.6874999999999998E-3</c:v>
                </c:pt>
                <c:pt idx="2">
                  <c:v>7.8125E-3</c:v>
                </c:pt>
                <c:pt idx="3">
                  <c:v>1.0937499999999999E-2</c:v>
                </c:pt>
                <c:pt idx="4">
                  <c:v>1.40625E-2</c:v>
                </c:pt>
                <c:pt idx="5">
                  <c:v>1.7187500000000001E-2</c:v>
                </c:pt>
                <c:pt idx="6">
                  <c:v>2.0312500000000001E-2</c:v>
                </c:pt>
                <c:pt idx="7">
                  <c:v>2.34375E-2</c:v>
                </c:pt>
                <c:pt idx="8">
                  <c:v>2.6562499999999999E-2</c:v>
                </c:pt>
                <c:pt idx="9">
                  <c:v>2.9687499999999999E-2</c:v>
                </c:pt>
                <c:pt idx="10">
                  <c:v>3.2812500000000001E-2</c:v>
                </c:pt>
                <c:pt idx="11">
                  <c:v>3.5937499999999997E-2</c:v>
                </c:pt>
                <c:pt idx="12">
                  <c:v>3.90625E-2</c:v>
                </c:pt>
                <c:pt idx="13">
                  <c:v>4.2187500000000003E-2</c:v>
                </c:pt>
                <c:pt idx="14">
                  <c:v>4.5312499999999999E-2</c:v>
                </c:pt>
                <c:pt idx="15">
                  <c:v>4.8437500000000001E-2</c:v>
                </c:pt>
                <c:pt idx="16">
                  <c:v>5.1562499999999997E-2</c:v>
                </c:pt>
                <c:pt idx="17">
                  <c:v>5.46875E-2</c:v>
                </c:pt>
                <c:pt idx="18">
                  <c:v>5.7812500000000003E-2</c:v>
                </c:pt>
                <c:pt idx="19">
                  <c:v>6.0937499999999999E-2</c:v>
                </c:pt>
                <c:pt idx="20">
                  <c:v>6.4062499999999994E-2</c:v>
                </c:pt>
                <c:pt idx="21">
                  <c:v>6.7187499999999997E-2</c:v>
                </c:pt>
                <c:pt idx="22">
                  <c:v>7.03125E-2</c:v>
                </c:pt>
                <c:pt idx="23">
                  <c:v>7.3437500000000003E-2</c:v>
                </c:pt>
                <c:pt idx="24">
                  <c:v>7.6562500000000006E-2</c:v>
                </c:pt>
                <c:pt idx="25">
                  <c:v>7.9687499999999994E-2</c:v>
                </c:pt>
                <c:pt idx="26">
                  <c:v>8.2812499999999997E-2</c:v>
                </c:pt>
                <c:pt idx="27">
                  <c:v>8.59375E-2</c:v>
                </c:pt>
                <c:pt idx="28">
                  <c:v>8.9062500000000003E-2</c:v>
                </c:pt>
                <c:pt idx="29">
                  <c:v>9.2187500000000006E-2</c:v>
                </c:pt>
                <c:pt idx="30">
                  <c:v>9.5312499999999994E-2</c:v>
                </c:pt>
                <c:pt idx="31">
                  <c:v>9.8437499999999997E-2</c:v>
                </c:pt>
                <c:pt idx="32">
                  <c:v>0.1015625</c:v>
                </c:pt>
                <c:pt idx="33">
                  <c:v>0.1046875</c:v>
                </c:pt>
                <c:pt idx="34">
                  <c:v>0.10781250000000001</c:v>
                </c:pt>
                <c:pt idx="35">
                  <c:v>0.11093749999999999</c:v>
                </c:pt>
                <c:pt idx="36">
                  <c:v>0.1140625</c:v>
                </c:pt>
                <c:pt idx="37">
                  <c:v>0.1171875</c:v>
                </c:pt>
                <c:pt idx="38">
                  <c:v>0.1203125</c:v>
                </c:pt>
                <c:pt idx="39">
                  <c:v>0.12343750000000001</c:v>
                </c:pt>
                <c:pt idx="40">
                  <c:v>0.12656249999999999</c:v>
                </c:pt>
                <c:pt idx="41">
                  <c:v>0.12968750000000001</c:v>
                </c:pt>
                <c:pt idx="42">
                  <c:v>0.1328125</c:v>
                </c:pt>
                <c:pt idx="43">
                  <c:v>0.13593749999999999</c:v>
                </c:pt>
                <c:pt idx="44">
                  <c:v>0.13906250000000001</c:v>
                </c:pt>
                <c:pt idx="45">
                  <c:v>0.14218749999999999</c:v>
                </c:pt>
                <c:pt idx="46">
                  <c:v>0.14531250000000001</c:v>
                </c:pt>
                <c:pt idx="47">
                  <c:v>0.1484375</c:v>
                </c:pt>
                <c:pt idx="48">
                  <c:v>0.15156249999999999</c:v>
                </c:pt>
                <c:pt idx="49">
                  <c:v>0.15468750000000001</c:v>
                </c:pt>
                <c:pt idx="50">
                  <c:v>0.15781249999999999</c:v>
                </c:pt>
                <c:pt idx="51">
                  <c:v>0.16093750000000001</c:v>
                </c:pt>
                <c:pt idx="52">
                  <c:v>0.1640625</c:v>
                </c:pt>
                <c:pt idx="53">
                  <c:v>0.16718749999999999</c:v>
                </c:pt>
                <c:pt idx="54">
                  <c:v>0.17031250000000001</c:v>
                </c:pt>
                <c:pt idx="55">
                  <c:v>0.17343749999999999</c:v>
                </c:pt>
                <c:pt idx="56">
                  <c:v>0.17656250000000001</c:v>
                </c:pt>
                <c:pt idx="57">
                  <c:v>0.1796875</c:v>
                </c:pt>
                <c:pt idx="58">
                  <c:v>0.18281249999999999</c:v>
                </c:pt>
                <c:pt idx="59">
                  <c:v>0.18593750000000001</c:v>
                </c:pt>
                <c:pt idx="60">
                  <c:v>0.18906249999999999</c:v>
                </c:pt>
                <c:pt idx="61">
                  <c:v>0.19218750000000001</c:v>
                </c:pt>
                <c:pt idx="62">
                  <c:v>0.1953125</c:v>
                </c:pt>
                <c:pt idx="63">
                  <c:v>0.19843749999999999</c:v>
                </c:pt>
                <c:pt idx="64">
                  <c:v>0.20156260000000001</c:v>
                </c:pt>
                <c:pt idx="65">
                  <c:v>0.2046876</c:v>
                </c:pt>
                <c:pt idx="66">
                  <c:v>0.20781259999999999</c:v>
                </c:pt>
                <c:pt idx="67">
                  <c:v>0.2109376</c:v>
                </c:pt>
                <c:pt idx="68">
                  <c:v>0.21406259999999999</c:v>
                </c:pt>
                <c:pt idx="69">
                  <c:v>0.21718760000000001</c:v>
                </c:pt>
                <c:pt idx="70">
                  <c:v>0.2203126</c:v>
                </c:pt>
                <c:pt idx="71">
                  <c:v>0.22343759999999999</c:v>
                </c:pt>
                <c:pt idx="72">
                  <c:v>0.2265626</c:v>
                </c:pt>
                <c:pt idx="73">
                  <c:v>0.22968740000000001</c:v>
                </c:pt>
                <c:pt idx="74">
                  <c:v>0.23281260000000001</c:v>
                </c:pt>
                <c:pt idx="75">
                  <c:v>0.23593739999999999</c:v>
                </c:pt>
                <c:pt idx="76">
                  <c:v>0.23906259999999999</c:v>
                </c:pt>
                <c:pt idx="77">
                  <c:v>0.2421876</c:v>
                </c:pt>
                <c:pt idx="78">
                  <c:v>0.24531240000000001</c:v>
                </c:pt>
                <c:pt idx="79">
                  <c:v>0.24843760000000001</c:v>
                </c:pt>
                <c:pt idx="80">
                  <c:v>0.25156260000000003</c:v>
                </c:pt>
                <c:pt idx="81">
                  <c:v>0.25468760000000001</c:v>
                </c:pt>
                <c:pt idx="82">
                  <c:v>0.2578124</c:v>
                </c:pt>
                <c:pt idx="83">
                  <c:v>0.26093739999999999</c:v>
                </c:pt>
                <c:pt idx="84">
                  <c:v>0.26406239999999997</c:v>
                </c:pt>
                <c:pt idx="85">
                  <c:v>0.26718760000000003</c:v>
                </c:pt>
                <c:pt idx="86">
                  <c:v>0.27031260000000001</c:v>
                </c:pt>
                <c:pt idx="87">
                  <c:v>0.2734376</c:v>
                </c:pt>
                <c:pt idx="88">
                  <c:v>0.27656239999999999</c:v>
                </c:pt>
                <c:pt idx="89">
                  <c:v>0.27968739999999997</c:v>
                </c:pt>
                <c:pt idx="90">
                  <c:v>0.28281260000000003</c:v>
                </c:pt>
                <c:pt idx="91">
                  <c:v>0.28593760000000001</c:v>
                </c:pt>
                <c:pt idx="92">
                  <c:v>0.2890624</c:v>
                </c:pt>
                <c:pt idx="93">
                  <c:v>0.29218739999999999</c:v>
                </c:pt>
                <c:pt idx="94">
                  <c:v>0.29531239999999997</c:v>
                </c:pt>
                <c:pt idx="95">
                  <c:v>0.29843760000000003</c:v>
                </c:pt>
                <c:pt idx="96">
                  <c:v>0.30156260000000001</c:v>
                </c:pt>
                <c:pt idx="97">
                  <c:v>0.3046876</c:v>
                </c:pt>
                <c:pt idx="98">
                  <c:v>0.30781259999999999</c:v>
                </c:pt>
                <c:pt idx="99">
                  <c:v>0.31093739999999997</c:v>
                </c:pt>
                <c:pt idx="100">
                  <c:v>0.31406260000000003</c:v>
                </c:pt>
                <c:pt idx="101">
                  <c:v>0.31718760000000001</c:v>
                </c:pt>
                <c:pt idx="102">
                  <c:v>0.3203124</c:v>
                </c:pt>
                <c:pt idx="103">
                  <c:v>0.32343739999999999</c:v>
                </c:pt>
                <c:pt idx="104">
                  <c:v>0.32656239999999997</c:v>
                </c:pt>
                <c:pt idx="105">
                  <c:v>0.32968760000000003</c:v>
                </c:pt>
                <c:pt idx="106">
                  <c:v>0.33281260000000001</c:v>
                </c:pt>
                <c:pt idx="107">
                  <c:v>0.3359376</c:v>
                </c:pt>
                <c:pt idx="108">
                  <c:v>0.33906239999999999</c:v>
                </c:pt>
                <c:pt idx="109">
                  <c:v>0.34218739999999997</c:v>
                </c:pt>
                <c:pt idx="110">
                  <c:v>0.34531260000000003</c:v>
                </c:pt>
                <c:pt idx="111">
                  <c:v>0.34843760000000001</c:v>
                </c:pt>
                <c:pt idx="112">
                  <c:v>0.3515624</c:v>
                </c:pt>
                <c:pt idx="113">
                  <c:v>0.35468739999999999</c:v>
                </c:pt>
                <c:pt idx="114">
                  <c:v>0.35781239999999997</c:v>
                </c:pt>
                <c:pt idx="115">
                  <c:v>0.36093760000000003</c:v>
                </c:pt>
                <c:pt idx="116">
                  <c:v>0.36406260000000001</c:v>
                </c:pt>
                <c:pt idx="117">
                  <c:v>0.3671876</c:v>
                </c:pt>
                <c:pt idx="118">
                  <c:v>0.37031239999999999</c:v>
                </c:pt>
                <c:pt idx="119">
                  <c:v>0.37343739999999997</c:v>
                </c:pt>
                <c:pt idx="120">
                  <c:v>0.37656260000000003</c:v>
                </c:pt>
                <c:pt idx="121">
                  <c:v>0.37968760000000001</c:v>
                </c:pt>
                <c:pt idx="122">
                  <c:v>0.3828126</c:v>
                </c:pt>
                <c:pt idx="123">
                  <c:v>0.38593739999999999</c:v>
                </c:pt>
                <c:pt idx="124">
                  <c:v>0.38906259999999998</c:v>
                </c:pt>
                <c:pt idx="125">
                  <c:v>0.39218760000000003</c:v>
                </c:pt>
                <c:pt idx="126">
                  <c:v>0.39531260000000001</c:v>
                </c:pt>
                <c:pt idx="127">
                  <c:v>0.3984376</c:v>
                </c:pt>
                <c:pt idx="128">
                  <c:v>0.40156239999999999</c:v>
                </c:pt>
                <c:pt idx="129">
                  <c:v>0.40468739999999997</c:v>
                </c:pt>
                <c:pt idx="130">
                  <c:v>0.40781260000000003</c:v>
                </c:pt>
                <c:pt idx="131">
                  <c:v>0.41093760000000001</c:v>
                </c:pt>
                <c:pt idx="132">
                  <c:v>0.4140624</c:v>
                </c:pt>
                <c:pt idx="133">
                  <c:v>0.41718739999999999</c:v>
                </c:pt>
                <c:pt idx="134">
                  <c:v>0.42031259999999998</c:v>
                </c:pt>
                <c:pt idx="135">
                  <c:v>0.42343760000000003</c:v>
                </c:pt>
                <c:pt idx="136">
                  <c:v>0.42656260000000001</c:v>
                </c:pt>
                <c:pt idx="137">
                  <c:v>0.4296876</c:v>
                </c:pt>
                <c:pt idx="138">
                  <c:v>0.43281259999999999</c:v>
                </c:pt>
                <c:pt idx="139">
                  <c:v>0.43593739999999997</c:v>
                </c:pt>
                <c:pt idx="140">
                  <c:v>0.43906260000000003</c:v>
                </c:pt>
                <c:pt idx="141">
                  <c:v>0.44218760000000001</c:v>
                </c:pt>
                <c:pt idx="142">
                  <c:v>0.4453126</c:v>
                </c:pt>
                <c:pt idx="143">
                  <c:v>0.44843739999999999</c:v>
                </c:pt>
                <c:pt idx="144">
                  <c:v>0.45156259999999998</c:v>
                </c:pt>
                <c:pt idx="145">
                  <c:v>0.45468760000000003</c:v>
                </c:pt>
                <c:pt idx="146">
                  <c:v>0.45781260000000001</c:v>
                </c:pt>
                <c:pt idx="147">
                  <c:v>0.4609376</c:v>
                </c:pt>
                <c:pt idx="148">
                  <c:v>0.46406259999999999</c:v>
                </c:pt>
                <c:pt idx="149">
                  <c:v>0.46718739999999997</c:v>
                </c:pt>
                <c:pt idx="150">
                  <c:v>0.47031260000000003</c:v>
                </c:pt>
                <c:pt idx="151">
                  <c:v>0.47343760000000001</c:v>
                </c:pt>
                <c:pt idx="152">
                  <c:v>0.4765624</c:v>
                </c:pt>
                <c:pt idx="153">
                  <c:v>0.47968739999999999</c:v>
                </c:pt>
                <c:pt idx="154">
                  <c:v>0.48281259999999998</c:v>
                </c:pt>
                <c:pt idx="155">
                  <c:v>0.48593760000000003</c:v>
                </c:pt>
                <c:pt idx="156">
                  <c:v>0.48906260000000001</c:v>
                </c:pt>
                <c:pt idx="157">
                  <c:v>0.4921876</c:v>
                </c:pt>
                <c:pt idx="158">
                  <c:v>0.49531239999999999</c:v>
                </c:pt>
                <c:pt idx="159">
                  <c:v>0.49843739999999997</c:v>
                </c:pt>
                <c:pt idx="160">
                  <c:v>0.50156259999999997</c:v>
                </c:pt>
                <c:pt idx="161">
                  <c:v>0.50468740000000001</c:v>
                </c:pt>
                <c:pt idx="162">
                  <c:v>0.50781240000000005</c:v>
                </c:pt>
                <c:pt idx="163">
                  <c:v>0.51093759999999999</c:v>
                </c:pt>
                <c:pt idx="164">
                  <c:v>0.51406240000000003</c:v>
                </c:pt>
                <c:pt idx="165">
                  <c:v>0.51718759999999997</c:v>
                </c:pt>
                <c:pt idx="166">
                  <c:v>0.52031240000000001</c:v>
                </c:pt>
                <c:pt idx="167">
                  <c:v>0.52343759999999995</c:v>
                </c:pt>
                <c:pt idx="168">
                  <c:v>0.52656259999999999</c:v>
                </c:pt>
                <c:pt idx="169">
                  <c:v>0.52968740000000003</c:v>
                </c:pt>
                <c:pt idx="170">
                  <c:v>0.53281259999999997</c:v>
                </c:pt>
                <c:pt idx="171">
                  <c:v>0.53593740000000001</c:v>
                </c:pt>
                <c:pt idx="172">
                  <c:v>0.53906240000000005</c:v>
                </c:pt>
                <c:pt idx="173">
                  <c:v>0.54218759999999999</c:v>
                </c:pt>
                <c:pt idx="174">
                  <c:v>0.54531240000000003</c:v>
                </c:pt>
                <c:pt idx="175">
                  <c:v>0.54843759999999997</c:v>
                </c:pt>
                <c:pt idx="176">
                  <c:v>0.55156240000000001</c:v>
                </c:pt>
                <c:pt idx="177">
                  <c:v>0.55468759999999995</c:v>
                </c:pt>
                <c:pt idx="178">
                  <c:v>0.55781259999999999</c:v>
                </c:pt>
                <c:pt idx="179">
                  <c:v>0.56093740000000003</c:v>
                </c:pt>
                <c:pt idx="180">
                  <c:v>0.56406259999999997</c:v>
                </c:pt>
                <c:pt idx="181">
                  <c:v>0.56718740000000001</c:v>
                </c:pt>
                <c:pt idx="182">
                  <c:v>0.57031240000000005</c:v>
                </c:pt>
                <c:pt idx="183">
                  <c:v>0.57343739999999999</c:v>
                </c:pt>
                <c:pt idx="184">
                  <c:v>0.57656240000000003</c:v>
                </c:pt>
                <c:pt idx="185">
                  <c:v>0.57968759999999997</c:v>
                </c:pt>
                <c:pt idx="186">
                  <c:v>0.58281240000000001</c:v>
                </c:pt>
                <c:pt idx="187">
                  <c:v>0.58593759999999995</c:v>
                </c:pt>
                <c:pt idx="188">
                  <c:v>0.58906259999999999</c:v>
                </c:pt>
                <c:pt idx="189">
                  <c:v>0.59218740000000003</c:v>
                </c:pt>
                <c:pt idx="190">
                  <c:v>0.59531259999999997</c:v>
                </c:pt>
                <c:pt idx="191">
                  <c:v>0.59843740000000001</c:v>
                </c:pt>
                <c:pt idx="192">
                  <c:v>0.60156240000000005</c:v>
                </c:pt>
                <c:pt idx="193">
                  <c:v>0.60468739999999999</c:v>
                </c:pt>
                <c:pt idx="194">
                  <c:v>0.60781240000000003</c:v>
                </c:pt>
                <c:pt idx="195">
                  <c:v>0.61093759999999997</c:v>
                </c:pt>
                <c:pt idx="196">
                  <c:v>0.61406260000000001</c:v>
                </c:pt>
                <c:pt idx="197">
                  <c:v>0.61718759999999995</c:v>
                </c:pt>
                <c:pt idx="198">
                  <c:v>0.62031239999999999</c:v>
                </c:pt>
                <c:pt idx="199">
                  <c:v>0.62343740000000003</c:v>
                </c:pt>
                <c:pt idx="200">
                  <c:v>0.62656259999999997</c:v>
                </c:pt>
                <c:pt idx="201">
                  <c:v>0.62968740000000001</c:v>
                </c:pt>
                <c:pt idx="202">
                  <c:v>0.63281240000000005</c:v>
                </c:pt>
                <c:pt idx="203">
                  <c:v>0.63593759999999999</c:v>
                </c:pt>
                <c:pt idx="204">
                  <c:v>0.63906240000000003</c:v>
                </c:pt>
                <c:pt idx="205">
                  <c:v>0.64218759999999997</c:v>
                </c:pt>
                <c:pt idx="206">
                  <c:v>0.64531240000000001</c:v>
                </c:pt>
                <c:pt idx="207">
                  <c:v>0.64843759999999995</c:v>
                </c:pt>
                <c:pt idx="208">
                  <c:v>0.65156259999999999</c:v>
                </c:pt>
                <c:pt idx="209">
                  <c:v>0.65468740000000003</c:v>
                </c:pt>
                <c:pt idx="210">
                  <c:v>0.65781259999999997</c:v>
                </c:pt>
                <c:pt idx="211">
                  <c:v>0.66093740000000001</c:v>
                </c:pt>
                <c:pt idx="212">
                  <c:v>0.66406240000000005</c:v>
                </c:pt>
                <c:pt idx="213">
                  <c:v>0.66718759999999999</c:v>
                </c:pt>
                <c:pt idx="214">
                  <c:v>0.67031240000000003</c:v>
                </c:pt>
                <c:pt idx="215">
                  <c:v>0.67343759999999997</c:v>
                </c:pt>
                <c:pt idx="216">
                  <c:v>0.67656240000000001</c:v>
                </c:pt>
                <c:pt idx="217">
                  <c:v>0.67968759999999995</c:v>
                </c:pt>
                <c:pt idx="218">
                  <c:v>0.68281239999999999</c:v>
                </c:pt>
                <c:pt idx="219">
                  <c:v>0.68593740000000003</c:v>
                </c:pt>
                <c:pt idx="220">
                  <c:v>0.68906259999999997</c:v>
                </c:pt>
                <c:pt idx="221">
                  <c:v>0.69218740000000001</c:v>
                </c:pt>
                <c:pt idx="222">
                  <c:v>0.69531259999999995</c:v>
                </c:pt>
                <c:pt idx="223">
                  <c:v>0.69843759999999999</c:v>
                </c:pt>
                <c:pt idx="224">
                  <c:v>0.70156240000000003</c:v>
                </c:pt>
                <c:pt idx="225">
                  <c:v>0.70468759999999997</c:v>
                </c:pt>
                <c:pt idx="226">
                  <c:v>0.70781240000000001</c:v>
                </c:pt>
                <c:pt idx="227">
                  <c:v>0.71093759999999995</c:v>
                </c:pt>
                <c:pt idx="228">
                  <c:v>0.71406259999999999</c:v>
                </c:pt>
                <c:pt idx="229">
                  <c:v>0.71718740000000003</c:v>
                </c:pt>
                <c:pt idx="230">
                  <c:v>0.72031259999999997</c:v>
                </c:pt>
                <c:pt idx="231">
                  <c:v>0.72343740000000001</c:v>
                </c:pt>
                <c:pt idx="232">
                  <c:v>0.72656240000000005</c:v>
                </c:pt>
                <c:pt idx="233">
                  <c:v>0.72968759999999999</c:v>
                </c:pt>
                <c:pt idx="234">
                  <c:v>0.73281240000000003</c:v>
                </c:pt>
                <c:pt idx="235">
                  <c:v>0.73593759999999997</c:v>
                </c:pt>
                <c:pt idx="236">
                  <c:v>0.73906240000000001</c:v>
                </c:pt>
                <c:pt idx="237">
                  <c:v>0.74218759999999995</c:v>
                </c:pt>
                <c:pt idx="238">
                  <c:v>0.74531239999999999</c:v>
                </c:pt>
                <c:pt idx="239">
                  <c:v>0.74843740000000003</c:v>
                </c:pt>
                <c:pt idx="240">
                  <c:v>0.75156259999999997</c:v>
                </c:pt>
                <c:pt idx="241">
                  <c:v>0.75468740000000001</c:v>
                </c:pt>
                <c:pt idx="242">
                  <c:v>0.75781240000000005</c:v>
                </c:pt>
                <c:pt idx="243">
                  <c:v>0.76093739999999999</c:v>
                </c:pt>
                <c:pt idx="244">
                  <c:v>0.76406240000000003</c:v>
                </c:pt>
                <c:pt idx="245">
                  <c:v>0.76718759999999997</c:v>
                </c:pt>
                <c:pt idx="246">
                  <c:v>0.77031240000000001</c:v>
                </c:pt>
                <c:pt idx="247">
                  <c:v>0.77343759999999995</c:v>
                </c:pt>
                <c:pt idx="248">
                  <c:v>0.77656259999999999</c:v>
                </c:pt>
                <c:pt idx="249">
                  <c:v>0.77968740000000003</c:v>
                </c:pt>
                <c:pt idx="250">
                  <c:v>0.78281259999999997</c:v>
                </c:pt>
                <c:pt idx="251">
                  <c:v>0.78593740000000001</c:v>
                </c:pt>
                <c:pt idx="252">
                  <c:v>0.78906240000000005</c:v>
                </c:pt>
                <c:pt idx="253">
                  <c:v>0.79218759999999999</c:v>
                </c:pt>
                <c:pt idx="254">
                  <c:v>0.79531240000000003</c:v>
                </c:pt>
                <c:pt idx="255">
                  <c:v>0.79843759999999997</c:v>
                </c:pt>
                <c:pt idx="256">
                  <c:v>0.80156240000000001</c:v>
                </c:pt>
                <c:pt idx="257">
                  <c:v>0.80468759999999995</c:v>
                </c:pt>
                <c:pt idx="258">
                  <c:v>0.80781239999999999</c:v>
                </c:pt>
                <c:pt idx="259">
                  <c:v>0.81093740000000003</c:v>
                </c:pt>
                <c:pt idx="260">
                  <c:v>0.81406259999999997</c:v>
                </c:pt>
                <c:pt idx="261">
                  <c:v>0.81718740000000001</c:v>
                </c:pt>
                <c:pt idx="262">
                  <c:v>0.82031240000000005</c:v>
                </c:pt>
                <c:pt idx="263">
                  <c:v>0.82343759999999999</c:v>
                </c:pt>
                <c:pt idx="264">
                  <c:v>0.82656260000000004</c:v>
                </c:pt>
                <c:pt idx="265">
                  <c:v>0.82968759999999997</c:v>
                </c:pt>
                <c:pt idx="266">
                  <c:v>0.83281240000000001</c:v>
                </c:pt>
                <c:pt idx="267">
                  <c:v>0.83593759999999995</c:v>
                </c:pt>
                <c:pt idx="268">
                  <c:v>0.83906259999999999</c:v>
                </c:pt>
                <c:pt idx="269">
                  <c:v>0.84218740000000003</c:v>
                </c:pt>
                <c:pt idx="270">
                  <c:v>0.84531259999999997</c:v>
                </c:pt>
                <c:pt idx="271">
                  <c:v>0.84843740000000001</c:v>
                </c:pt>
                <c:pt idx="272">
                  <c:v>0.85156240000000005</c:v>
                </c:pt>
                <c:pt idx="273">
                  <c:v>0.85468759999999999</c:v>
                </c:pt>
                <c:pt idx="274">
                  <c:v>0.85781260000000004</c:v>
                </c:pt>
                <c:pt idx="275">
                  <c:v>0.86093759999999997</c:v>
                </c:pt>
                <c:pt idx="276">
                  <c:v>0.86406240000000001</c:v>
                </c:pt>
                <c:pt idx="277">
                  <c:v>0.86718759999999995</c:v>
                </c:pt>
                <c:pt idx="278">
                  <c:v>0.87031259999999999</c:v>
                </c:pt>
                <c:pt idx="279">
                  <c:v>0.87343740000000003</c:v>
                </c:pt>
                <c:pt idx="280">
                  <c:v>0.87656259999999997</c:v>
                </c:pt>
                <c:pt idx="281">
                  <c:v>0.87968740000000001</c:v>
                </c:pt>
                <c:pt idx="282">
                  <c:v>0.88281259999999995</c:v>
                </c:pt>
                <c:pt idx="283">
                  <c:v>0.88593759999999999</c:v>
                </c:pt>
                <c:pt idx="284">
                  <c:v>0.88906240000000003</c:v>
                </c:pt>
                <c:pt idx="285">
                  <c:v>0.89218759999999997</c:v>
                </c:pt>
                <c:pt idx="286">
                  <c:v>0.89531240000000001</c:v>
                </c:pt>
                <c:pt idx="287">
                  <c:v>0.89843759999999995</c:v>
                </c:pt>
                <c:pt idx="288">
                  <c:v>0.90156259999999999</c:v>
                </c:pt>
                <c:pt idx="289">
                  <c:v>0.90468740000000003</c:v>
                </c:pt>
                <c:pt idx="290">
                  <c:v>0.90781259999999997</c:v>
                </c:pt>
                <c:pt idx="291">
                  <c:v>0.91093760000000001</c:v>
                </c:pt>
                <c:pt idx="292">
                  <c:v>0.91406240000000005</c:v>
                </c:pt>
                <c:pt idx="293">
                  <c:v>0.91718759999999999</c:v>
                </c:pt>
                <c:pt idx="294">
                  <c:v>0.92031240000000003</c:v>
                </c:pt>
                <c:pt idx="295">
                  <c:v>0.92343759999999997</c:v>
                </c:pt>
                <c:pt idx="296">
                  <c:v>0.92656240000000001</c:v>
                </c:pt>
                <c:pt idx="297">
                  <c:v>0.92968759999999995</c:v>
                </c:pt>
                <c:pt idx="298">
                  <c:v>0.93281239999999999</c:v>
                </c:pt>
                <c:pt idx="299">
                  <c:v>0.93593740000000003</c:v>
                </c:pt>
                <c:pt idx="300">
                  <c:v>0.93906259999999997</c:v>
                </c:pt>
                <c:pt idx="301">
                  <c:v>0.94218760000000001</c:v>
                </c:pt>
                <c:pt idx="302">
                  <c:v>0.94531240000000005</c:v>
                </c:pt>
                <c:pt idx="303">
                  <c:v>0.94843759999999999</c:v>
                </c:pt>
                <c:pt idx="304">
                  <c:v>0.95156240000000003</c:v>
                </c:pt>
                <c:pt idx="305">
                  <c:v>0.95468759999999997</c:v>
                </c:pt>
                <c:pt idx="306">
                  <c:v>0.95781240000000001</c:v>
                </c:pt>
                <c:pt idx="307">
                  <c:v>0.96093759999999995</c:v>
                </c:pt>
                <c:pt idx="308">
                  <c:v>0.96406259999999999</c:v>
                </c:pt>
                <c:pt idx="309">
                  <c:v>0.96718740000000003</c:v>
                </c:pt>
                <c:pt idx="310">
                  <c:v>0.97031259999999997</c:v>
                </c:pt>
                <c:pt idx="311">
                  <c:v>0.97343760000000001</c:v>
                </c:pt>
                <c:pt idx="312">
                  <c:v>0.97656240000000005</c:v>
                </c:pt>
                <c:pt idx="313">
                  <c:v>0.97968759999999999</c:v>
                </c:pt>
                <c:pt idx="314">
                  <c:v>0.98281240000000003</c:v>
                </c:pt>
                <c:pt idx="315">
                  <c:v>0.98593759999999997</c:v>
                </c:pt>
                <c:pt idx="316">
                  <c:v>0.98906240000000001</c:v>
                </c:pt>
                <c:pt idx="317">
                  <c:v>0.99218759999999995</c:v>
                </c:pt>
                <c:pt idx="318">
                  <c:v>0.99531259999999999</c:v>
                </c:pt>
                <c:pt idx="319">
                  <c:v>0.99843760000000004</c:v>
                </c:pt>
              </c:numCache>
            </c:numRef>
          </c:xVal>
          <c:yVal>
            <c:numRef>
              <c:f>[2]Sheet3!$K$1:$K$320</c:f>
              <c:numCache>
                <c:formatCode>0.00E+00</c:formatCode>
                <c:ptCount val="320"/>
                <c:pt idx="0">
                  <c:v>14.2783826174987</c:v>
                </c:pt>
                <c:pt idx="1">
                  <c:v>14.278870873880701</c:v>
                </c:pt>
                <c:pt idx="2">
                  <c:v>14.2793246431984</c:v>
                </c:pt>
                <c:pt idx="3">
                  <c:v>14.279743906594501</c:v>
                </c:pt>
                <c:pt idx="4">
                  <c:v>14.2801286399557</c:v>
                </c:pt>
                <c:pt idx="5">
                  <c:v>14.280478819607</c:v>
                </c:pt>
                <c:pt idx="6">
                  <c:v>14.280794406612801</c:v>
                </c:pt>
                <c:pt idx="7">
                  <c:v>14.2810753663185</c:v>
                </c:pt>
                <c:pt idx="8">
                  <c:v>14.2813216575579</c:v>
                </c:pt>
                <c:pt idx="9">
                  <c:v>14.281533238485199</c:v>
                </c:pt>
                <c:pt idx="10">
                  <c:v>14.2817101060133</c:v>
                </c:pt>
                <c:pt idx="11">
                  <c:v>14.281852099467899</c:v>
                </c:pt>
                <c:pt idx="12">
                  <c:v>14.281959214806699</c:v>
                </c:pt>
                <c:pt idx="13">
                  <c:v>14.282031402829899</c:v>
                </c:pt>
                <c:pt idx="14">
                  <c:v>14.282068613295699</c:v>
                </c:pt>
                <c:pt idx="15">
                  <c:v>14.2820707300267</c:v>
                </c:pt>
                <c:pt idx="16">
                  <c:v>14.282037700607001</c:v>
                </c:pt>
                <c:pt idx="17">
                  <c:v>14.281969363861499</c:v>
                </c:pt>
                <c:pt idx="18">
                  <c:v>14.2818657221484</c:v>
                </c:pt>
                <c:pt idx="19">
                  <c:v>14.2817267070568</c:v>
                </c:pt>
                <c:pt idx="20">
                  <c:v>14.2572938339478</c:v>
                </c:pt>
                <c:pt idx="21">
                  <c:v>14.2567440784543</c:v>
                </c:pt>
                <c:pt idx="22">
                  <c:v>14.256185908680999</c:v>
                </c:pt>
                <c:pt idx="23">
                  <c:v>14.255619858388799</c:v>
                </c:pt>
                <c:pt idx="24">
                  <c:v>14.2550462939447</c:v>
                </c:pt>
                <c:pt idx="25">
                  <c:v>14.2544647185423</c:v>
                </c:pt>
                <c:pt idx="26">
                  <c:v>14.2538760049028</c:v>
                </c:pt>
                <c:pt idx="27">
                  <c:v>14.253279205237799</c:v>
                </c:pt>
                <c:pt idx="28">
                  <c:v>14.2526748933325</c:v>
                </c:pt>
                <c:pt idx="29">
                  <c:v>14.2520632872496</c:v>
                </c:pt>
                <c:pt idx="30">
                  <c:v>14.2514445741947</c:v>
                </c:pt>
                <c:pt idx="31">
                  <c:v>14.250818842976599</c:v>
                </c:pt>
                <c:pt idx="32">
                  <c:v>14.2501857970381</c:v>
                </c:pt>
                <c:pt idx="33">
                  <c:v>14.2495456429876</c:v>
                </c:pt>
                <c:pt idx="34">
                  <c:v>14.248896951271099</c:v>
                </c:pt>
                <c:pt idx="35">
                  <c:v>14.2482421718704</c:v>
                </c:pt>
                <c:pt idx="36">
                  <c:v>14.247581170838901</c:v>
                </c:pt>
                <c:pt idx="37">
                  <c:v>14.246913571247999</c:v>
                </c:pt>
                <c:pt idx="38">
                  <c:v>14.246239130208</c:v>
                </c:pt>
                <c:pt idx="39">
                  <c:v>14.245558558459701</c:v>
                </c:pt>
                <c:pt idx="40">
                  <c:v>14.1956972420057</c:v>
                </c:pt>
                <c:pt idx="41">
                  <c:v>14.195115008955501</c:v>
                </c:pt>
                <c:pt idx="42">
                  <c:v>14.1945200003158</c:v>
                </c:pt>
                <c:pt idx="43">
                  <c:v>14.193913593647199</c:v>
                </c:pt>
                <c:pt idx="44">
                  <c:v>14.193293982090401</c:v>
                </c:pt>
                <c:pt idx="45">
                  <c:v>14.1926618750958</c:v>
                </c:pt>
                <c:pt idx="46">
                  <c:v>14.1920174884149</c:v>
                </c:pt>
                <c:pt idx="47">
                  <c:v>14.191360216843901</c:v>
                </c:pt>
                <c:pt idx="48">
                  <c:v>14.1906903681123</c:v>
                </c:pt>
                <c:pt idx="49">
                  <c:v>14.1900080438682</c:v>
                </c:pt>
                <c:pt idx="50">
                  <c:v>14.1893139199567</c:v>
                </c:pt>
                <c:pt idx="51">
                  <c:v>14.188593742063301</c:v>
                </c:pt>
                <c:pt idx="52">
                  <c:v>14.1878720510588</c:v>
                </c:pt>
                <c:pt idx="53">
                  <c:v>14.187134553572699</c:v>
                </c:pt>
                <c:pt idx="54">
                  <c:v>14.1863852824553</c:v>
                </c:pt>
                <c:pt idx="55">
                  <c:v>14.185625321828701</c:v>
                </c:pt>
                <c:pt idx="56">
                  <c:v>14.184850878507399</c:v>
                </c:pt>
                <c:pt idx="57">
                  <c:v>14.1840654621612</c:v>
                </c:pt>
                <c:pt idx="58">
                  <c:v>14.1832669089339</c:v>
                </c:pt>
                <c:pt idx="59">
                  <c:v>14.182454650581899</c:v>
                </c:pt>
                <c:pt idx="60">
                  <c:v>14.1082895035512</c:v>
                </c:pt>
                <c:pt idx="61">
                  <c:v>14.107185299682699</c:v>
                </c:pt>
                <c:pt idx="62">
                  <c:v>14.106068018358</c:v>
                </c:pt>
                <c:pt idx="63">
                  <c:v>14.104939530751301</c:v>
                </c:pt>
                <c:pt idx="64">
                  <c:v>14.1038004238354</c:v>
                </c:pt>
                <c:pt idx="65">
                  <c:v>14.102650156260299</c:v>
                </c:pt>
                <c:pt idx="66">
                  <c:v>14.101488093319199</c:v>
                </c:pt>
                <c:pt idx="67">
                  <c:v>14.1003125167226</c:v>
                </c:pt>
                <c:pt idx="68">
                  <c:v>14.0991216165264</c:v>
                </c:pt>
                <c:pt idx="69">
                  <c:v>14.097928340089499</c:v>
                </c:pt>
                <c:pt idx="70">
                  <c:v>14.096725288373101</c:v>
                </c:pt>
                <c:pt idx="71">
                  <c:v>14.0955114846009</c:v>
                </c:pt>
                <c:pt idx="72">
                  <c:v>14.094287703795899</c:v>
                </c:pt>
                <c:pt idx="73">
                  <c:v>14.093054399402099</c:v>
                </c:pt>
                <c:pt idx="74">
                  <c:v>14.091813548647499</c:v>
                </c:pt>
                <c:pt idx="75">
                  <c:v>14.0905618499652</c:v>
                </c:pt>
                <c:pt idx="76">
                  <c:v>14.0893020779642</c:v>
                </c:pt>
                <c:pt idx="77">
                  <c:v>14.088028554250799</c:v>
                </c:pt>
                <c:pt idx="78">
                  <c:v>14.0867508534641</c:v>
                </c:pt>
                <c:pt idx="79">
                  <c:v>14.0854681759239</c:v>
                </c:pt>
                <c:pt idx="80">
                  <c:v>13.986451125342001</c:v>
                </c:pt>
                <c:pt idx="81">
                  <c:v>13.985379888574901</c:v>
                </c:pt>
                <c:pt idx="82">
                  <c:v>13.9842964120608</c:v>
                </c:pt>
                <c:pt idx="83">
                  <c:v>13.9832040996793</c:v>
                </c:pt>
                <c:pt idx="84">
                  <c:v>13.982098581700001</c:v>
                </c:pt>
                <c:pt idx="85">
                  <c:v>13.980985644157601</c:v>
                </c:pt>
                <c:pt idx="86">
                  <c:v>13.9798555602828</c:v>
                </c:pt>
                <c:pt idx="87">
                  <c:v>13.978712541763899</c:v>
                </c:pt>
                <c:pt idx="88">
                  <c:v>13.977555672901801</c:v>
                </c:pt>
                <c:pt idx="89">
                  <c:v>13.976385820279599</c:v>
                </c:pt>
                <c:pt idx="90">
                  <c:v>13.9752073199243</c:v>
                </c:pt>
                <c:pt idx="91">
                  <c:v>13.974011101882599</c:v>
                </c:pt>
                <c:pt idx="92">
                  <c:v>13.9728019690154</c:v>
                </c:pt>
                <c:pt idx="93">
                  <c:v>13.9715717652895</c:v>
                </c:pt>
                <c:pt idx="94">
                  <c:v>13.9703350556392</c:v>
                </c:pt>
                <c:pt idx="95">
                  <c:v>13.969086476685501</c:v>
                </c:pt>
                <c:pt idx="96">
                  <c:v>13.967819418719801</c:v>
                </c:pt>
                <c:pt idx="97">
                  <c:v>13.966535979562799</c:v>
                </c:pt>
                <c:pt idx="98">
                  <c:v>13.965233203726999</c:v>
                </c:pt>
                <c:pt idx="99">
                  <c:v>13.963923692485499</c:v>
                </c:pt>
                <c:pt idx="100">
                  <c:v>13.8402052522639</c:v>
                </c:pt>
                <c:pt idx="101">
                  <c:v>13.8385616048544</c:v>
                </c:pt>
                <c:pt idx="102">
                  <c:v>13.8369049082859</c:v>
                </c:pt>
                <c:pt idx="103">
                  <c:v>13.835240934981201</c:v>
                </c:pt>
                <c:pt idx="104">
                  <c:v>13.833562398822201</c:v>
                </c:pt>
                <c:pt idx="105">
                  <c:v>13.8318671030343</c:v>
                </c:pt>
                <c:pt idx="106">
                  <c:v>13.8301618511711</c:v>
                </c:pt>
                <c:pt idx="107">
                  <c:v>13.8284436766476</c:v>
                </c:pt>
                <c:pt idx="108">
                  <c:v>13.826715773760499</c:v>
                </c:pt>
                <c:pt idx="109">
                  <c:v>13.824984450308399</c:v>
                </c:pt>
                <c:pt idx="110">
                  <c:v>13.8232464810672</c:v>
                </c:pt>
                <c:pt idx="111">
                  <c:v>13.8214911505295</c:v>
                </c:pt>
                <c:pt idx="112">
                  <c:v>13.8197349372217</c:v>
                </c:pt>
                <c:pt idx="113">
                  <c:v>13.817964743439299</c:v>
                </c:pt>
                <c:pt idx="114">
                  <c:v>13.8161857307738</c:v>
                </c:pt>
                <c:pt idx="115">
                  <c:v>13.8144007442143</c:v>
                </c:pt>
                <c:pt idx="116">
                  <c:v>13.812611586569099</c:v>
                </c:pt>
                <c:pt idx="117">
                  <c:v>13.8108199578302</c:v>
                </c:pt>
                <c:pt idx="118">
                  <c:v>13.809025437694199</c:v>
                </c:pt>
                <c:pt idx="119">
                  <c:v>13.807222407501399</c:v>
                </c:pt>
                <c:pt idx="120">
                  <c:v>13.6588115821282</c:v>
                </c:pt>
                <c:pt idx="121">
                  <c:v>13.6573632973031</c:v>
                </c:pt>
                <c:pt idx="122">
                  <c:v>13.655892142926501</c:v>
                </c:pt>
                <c:pt idx="123">
                  <c:v>13.6544121761669</c:v>
                </c:pt>
                <c:pt idx="124">
                  <c:v>13.652914570424</c:v>
                </c:pt>
                <c:pt idx="125">
                  <c:v>13.651392056807</c:v>
                </c:pt>
                <c:pt idx="126">
                  <c:v>13.6498436543017</c:v>
                </c:pt>
                <c:pt idx="127">
                  <c:v>13.6482733014487</c:v>
                </c:pt>
                <c:pt idx="128">
                  <c:v>13.6466848942959</c:v>
                </c:pt>
                <c:pt idx="129">
                  <c:v>13.6450707065608</c:v>
                </c:pt>
                <c:pt idx="130">
                  <c:v>13.6434327563195</c:v>
                </c:pt>
                <c:pt idx="131">
                  <c:v>13.6417768102959</c:v>
                </c:pt>
                <c:pt idx="132">
                  <c:v>13.6400870873731</c:v>
                </c:pt>
                <c:pt idx="133">
                  <c:v>13.6383727332272</c:v>
                </c:pt>
                <c:pt idx="134">
                  <c:v>13.6366308179625</c:v>
                </c:pt>
                <c:pt idx="135">
                  <c:v>13.634863918292901</c:v>
                </c:pt>
                <c:pt idx="136">
                  <c:v>13.633070680999101</c:v>
                </c:pt>
                <c:pt idx="137">
                  <c:v>13.6312624175871</c:v>
                </c:pt>
                <c:pt idx="138">
                  <c:v>13.629433445698</c:v>
                </c:pt>
                <c:pt idx="139">
                  <c:v>13.627551521666501</c:v>
                </c:pt>
                <c:pt idx="140">
                  <c:v>13.4543722447675</c:v>
                </c:pt>
                <c:pt idx="141">
                  <c:v>13.4522747623627</c:v>
                </c:pt>
                <c:pt idx="142">
                  <c:v>13.450156096491799</c:v>
                </c:pt>
                <c:pt idx="143">
                  <c:v>13.448024948327699</c:v>
                </c:pt>
                <c:pt idx="144">
                  <c:v>13.4458827486662</c:v>
                </c:pt>
                <c:pt idx="145">
                  <c:v>13.4437136082161</c:v>
                </c:pt>
                <c:pt idx="146">
                  <c:v>13.441540479134501</c:v>
                </c:pt>
                <c:pt idx="147">
                  <c:v>13.439338053448701</c:v>
                </c:pt>
                <c:pt idx="148">
                  <c:v>13.437127482097599</c:v>
                </c:pt>
                <c:pt idx="149">
                  <c:v>13.434908202835</c:v>
                </c:pt>
                <c:pt idx="150">
                  <c:v>13.432675311732201</c:v>
                </c:pt>
                <c:pt idx="151">
                  <c:v>13.4304339592193</c:v>
                </c:pt>
                <c:pt idx="152">
                  <c:v>13.428202709681999</c:v>
                </c:pt>
                <c:pt idx="153">
                  <c:v>13.425969078781099</c:v>
                </c:pt>
                <c:pt idx="154">
                  <c:v>13.423726834601201</c:v>
                </c:pt>
                <c:pt idx="155">
                  <c:v>13.4214896281135</c:v>
                </c:pt>
                <c:pt idx="156">
                  <c:v>13.419258072892299</c:v>
                </c:pt>
                <c:pt idx="157">
                  <c:v>13.417022553958899</c:v>
                </c:pt>
                <c:pt idx="158">
                  <c:v>13.4147895513218</c:v>
                </c:pt>
                <c:pt idx="159">
                  <c:v>13.4125864092351</c:v>
                </c:pt>
                <c:pt idx="160">
                  <c:v>13.2143696897919</c:v>
                </c:pt>
                <c:pt idx="161">
                  <c:v>13.2122397755587</c:v>
                </c:pt>
                <c:pt idx="162">
                  <c:v>13.210073708249199</c:v>
                </c:pt>
                <c:pt idx="163">
                  <c:v>13.207867564698301</c:v>
                </c:pt>
                <c:pt idx="164">
                  <c:v>13.2056282263984</c:v>
                </c:pt>
                <c:pt idx="165">
                  <c:v>13.2033357854678</c:v>
                </c:pt>
                <c:pt idx="166">
                  <c:v>13.2010060758486</c:v>
                </c:pt>
                <c:pt idx="167">
                  <c:v>13.198618226304401</c:v>
                </c:pt>
                <c:pt idx="168">
                  <c:v>13.1961764711928</c:v>
                </c:pt>
                <c:pt idx="169">
                  <c:v>13.193685809440799</c:v>
                </c:pt>
                <c:pt idx="170">
                  <c:v>13.191132972370401</c:v>
                </c:pt>
                <c:pt idx="171">
                  <c:v>13.1885163817281</c:v>
                </c:pt>
                <c:pt idx="172">
                  <c:v>13.1858495016794</c:v>
                </c:pt>
                <c:pt idx="173">
                  <c:v>13.1831209701663</c:v>
                </c:pt>
                <c:pt idx="174">
                  <c:v>13.180329676211599</c:v>
                </c:pt>
                <c:pt idx="175">
                  <c:v>13.1774793425122</c:v>
                </c:pt>
                <c:pt idx="176">
                  <c:v>13.174552193575201</c:v>
                </c:pt>
                <c:pt idx="177">
                  <c:v>13.1715600775808</c:v>
                </c:pt>
                <c:pt idx="178">
                  <c:v>13.1685030770163</c:v>
                </c:pt>
                <c:pt idx="179">
                  <c:v>13.1654017138399</c:v>
                </c:pt>
                <c:pt idx="180">
                  <c:v>12.9431237564576</c:v>
                </c:pt>
                <c:pt idx="181">
                  <c:v>12.9406877169683</c:v>
                </c:pt>
                <c:pt idx="182">
                  <c:v>12.93819941854</c:v>
                </c:pt>
                <c:pt idx="183">
                  <c:v>12.935665401245799</c:v>
                </c:pt>
                <c:pt idx="184">
                  <c:v>12.93307927871</c:v>
                </c:pt>
                <c:pt idx="185">
                  <c:v>12.930459903755199</c:v>
                </c:pt>
                <c:pt idx="186">
                  <c:v>12.9277793451114</c:v>
                </c:pt>
                <c:pt idx="187">
                  <c:v>12.9250780842174</c:v>
                </c:pt>
                <c:pt idx="188">
                  <c:v>12.9223302429236</c:v>
                </c:pt>
                <c:pt idx="189">
                  <c:v>12.919555219197299</c:v>
                </c:pt>
                <c:pt idx="190">
                  <c:v>12.916749991770301</c:v>
                </c:pt>
                <c:pt idx="191">
                  <c:v>12.9139134860095</c:v>
                </c:pt>
                <c:pt idx="192">
                  <c:v>12.9110500222155</c:v>
                </c:pt>
                <c:pt idx="193">
                  <c:v>12.9081880129281</c:v>
                </c:pt>
                <c:pt idx="194">
                  <c:v>12.905329724305201</c:v>
                </c:pt>
                <c:pt idx="195">
                  <c:v>12.9024879436401</c:v>
                </c:pt>
                <c:pt idx="196">
                  <c:v>12.8996858872675</c:v>
                </c:pt>
                <c:pt idx="197">
                  <c:v>12.8969038887025</c:v>
                </c:pt>
                <c:pt idx="198">
                  <c:v>12.8941547329958</c:v>
                </c:pt>
                <c:pt idx="199">
                  <c:v>12.891482452177801</c:v>
                </c:pt>
                <c:pt idx="200">
                  <c:v>12.6421373885665</c:v>
                </c:pt>
                <c:pt idx="201">
                  <c:v>12.6370679509824</c:v>
                </c:pt>
                <c:pt idx="202">
                  <c:v>12.6319350965588</c:v>
                </c:pt>
                <c:pt idx="203">
                  <c:v>12.6267261930525</c:v>
                </c:pt>
                <c:pt idx="204">
                  <c:v>12.6214274521771</c:v>
                </c:pt>
                <c:pt idx="205">
                  <c:v>12.616016047542001</c:v>
                </c:pt>
                <c:pt idx="206">
                  <c:v>12.6104995115588</c:v>
                </c:pt>
                <c:pt idx="207">
                  <c:v>12.604854844937799</c:v>
                </c:pt>
                <c:pt idx="208">
                  <c:v>12.599105472977699</c:v>
                </c:pt>
                <c:pt idx="209">
                  <c:v>12.5932046565042</c:v>
                </c:pt>
                <c:pt idx="210">
                  <c:v>12.587165244726901</c:v>
                </c:pt>
                <c:pt idx="211">
                  <c:v>12.580994230118201</c:v>
                </c:pt>
                <c:pt idx="212">
                  <c:v>12.5746716185915</c:v>
                </c:pt>
                <c:pt idx="213">
                  <c:v>12.5682236675265</c:v>
                </c:pt>
                <c:pt idx="214">
                  <c:v>12.561635422638901</c:v>
                </c:pt>
                <c:pt idx="215">
                  <c:v>12.5549210948218</c:v>
                </c:pt>
                <c:pt idx="216">
                  <c:v>12.5480723269143</c:v>
                </c:pt>
                <c:pt idx="217">
                  <c:v>12.5411088487456</c:v>
                </c:pt>
                <c:pt idx="218">
                  <c:v>12.5340478981709</c:v>
                </c:pt>
                <c:pt idx="219">
                  <c:v>12.5269300611705</c:v>
                </c:pt>
                <c:pt idx="220">
                  <c:v>12.259059509025599</c:v>
                </c:pt>
                <c:pt idx="221">
                  <c:v>12.256578697884599</c:v>
                </c:pt>
                <c:pt idx="222">
                  <c:v>12.253801288018799</c:v>
                </c:pt>
                <c:pt idx="223">
                  <c:v>12.2507747715494</c:v>
                </c:pt>
                <c:pt idx="224">
                  <c:v>12.247435713379801</c:v>
                </c:pt>
                <c:pt idx="225">
                  <c:v>12.2438163384532</c:v>
                </c:pt>
                <c:pt idx="226">
                  <c:v>12.2398989127762</c:v>
                </c:pt>
                <c:pt idx="227">
                  <c:v>12.235741900129399</c:v>
                </c:pt>
                <c:pt idx="228">
                  <c:v>12.231292282917099</c:v>
                </c:pt>
                <c:pt idx="229">
                  <c:v>12.226618990859899</c:v>
                </c:pt>
                <c:pt idx="230">
                  <c:v>12.221744775409</c:v>
                </c:pt>
                <c:pt idx="231">
                  <c:v>12.2167499052645</c:v>
                </c:pt>
                <c:pt idx="232">
                  <c:v>12.2115969018854</c:v>
                </c:pt>
                <c:pt idx="233">
                  <c:v>12.206340556149501</c:v>
                </c:pt>
                <c:pt idx="234">
                  <c:v>12.201050666394501</c:v>
                </c:pt>
                <c:pt idx="235">
                  <c:v>12.1957463659182</c:v>
                </c:pt>
                <c:pt idx="236">
                  <c:v>12.1905053169637</c:v>
                </c:pt>
                <c:pt idx="237">
                  <c:v>12.1853637256841</c:v>
                </c:pt>
                <c:pt idx="238">
                  <c:v>12.1803755142999</c:v>
                </c:pt>
                <c:pt idx="239">
                  <c:v>12.1756415208449</c:v>
                </c:pt>
                <c:pt idx="240">
                  <c:v>11.871133095468901</c:v>
                </c:pt>
                <c:pt idx="241">
                  <c:v>11.8532525942896</c:v>
                </c:pt>
                <c:pt idx="242">
                  <c:v>11.8351508355733</c:v>
                </c:pt>
                <c:pt idx="243">
                  <c:v>11.816782959405099</c:v>
                </c:pt>
                <c:pt idx="244">
                  <c:v>11.798105576506501</c:v>
                </c:pt>
                <c:pt idx="245">
                  <c:v>11.7790961152419</c:v>
                </c:pt>
                <c:pt idx="246">
                  <c:v>11.759674234847999</c:v>
                </c:pt>
                <c:pt idx="247">
                  <c:v>11.739840940573799</c:v>
                </c:pt>
                <c:pt idx="248">
                  <c:v>11.719576377334899</c:v>
                </c:pt>
                <c:pt idx="249">
                  <c:v>11.6988673206331</c:v>
                </c:pt>
                <c:pt idx="250">
                  <c:v>11.677687635798399</c:v>
                </c:pt>
                <c:pt idx="251">
                  <c:v>11.6560432596205</c:v>
                </c:pt>
                <c:pt idx="252">
                  <c:v>11.6339428318805</c:v>
                </c:pt>
                <c:pt idx="253">
                  <c:v>11.6114251512724</c:v>
                </c:pt>
                <c:pt idx="254">
                  <c:v>11.5885495806533</c:v>
                </c:pt>
                <c:pt idx="255">
                  <c:v>11.565326492720599</c:v>
                </c:pt>
                <c:pt idx="256">
                  <c:v>11.5418314976656</c:v>
                </c:pt>
                <c:pt idx="257">
                  <c:v>11.5181242564041</c:v>
                </c:pt>
                <c:pt idx="258">
                  <c:v>11.4943635350603</c:v>
                </c:pt>
                <c:pt idx="259">
                  <c:v>11.4706018512853</c:v>
                </c:pt>
                <c:pt idx="260">
                  <c:v>11.174336624761899</c:v>
                </c:pt>
                <c:pt idx="261">
                  <c:v>11.1689149663602</c:v>
                </c:pt>
                <c:pt idx="262">
                  <c:v>11.1622559871278</c:v>
                </c:pt>
                <c:pt idx="263">
                  <c:v>11.154328632771399</c:v>
                </c:pt>
                <c:pt idx="264">
                  <c:v>11.1452227472654</c:v>
                </c:pt>
                <c:pt idx="265">
                  <c:v>11.1349593268235</c:v>
                </c:pt>
                <c:pt idx="266">
                  <c:v>11.1236347687743</c:v>
                </c:pt>
                <c:pt idx="267">
                  <c:v>11.111376681705901</c:v>
                </c:pt>
                <c:pt idx="268">
                  <c:v>11.098288203840299</c:v>
                </c:pt>
                <c:pt idx="269">
                  <c:v>11.0846866917877</c:v>
                </c:pt>
                <c:pt idx="270">
                  <c:v>11.070703825031099</c:v>
                </c:pt>
                <c:pt idx="271">
                  <c:v>11.056711000308299</c:v>
                </c:pt>
                <c:pt idx="272">
                  <c:v>11.042991216789</c:v>
                </c:pt>
                <c:pt idx="273">
                  <c:v>11.0297870569645</c:v>
                </c:pt>
                <c:pt idx="274">
                  <c:v>11.0174147266116</c:v>
                </c:pt>
                <c:pt idx="275">
                  <c:v>11.006287642757901</c:v>
                </c:pt>
                <c:pt idx="276">
                  <c:v>10.9968031295071</c:v>
                </c:pt>
                <c:pt idx="277">
                  <c:v>10.989368092525099</c:v>
                </c:pt>
                <c:pt idx="278">
                  <c:v>10.984199034144</c:v>
                </c:pt>
                <c:pt idx="279">
                  <c:v>10.9817248438075</c:v>
                </c:pt>
                <c:pt idx="280">
                  <c:v>10.6175956676604</c:v>
                </c:pt>
                <c:pt idx="281">
                  <c:v>10.5294599212022</c:v>
                </c:pt>
                <c:pt idx="282">
                  <c:v>10.435399357275401</c:v>
                </c:pt>
                <c:pt idx="283">
                  <c:v>10.335184912693</c:v>
                </c:pt>
                <c:pt idx="284">
                  <c:v>10.2287700347462</c:v>
                </c:pt>
                <c:pt idx="285">
                  <c:v>10.115982262074599</c:v>
                </c:pt>
                <c:pt idx="286">
                  <c:v>9.9969240085647098</c:v>
                </c:pt>
                <c:pt idx="287">
                  <c:v>9.8716432751951899</c:v>
                </c:pt>
                <c:pt idx="288">
                  <c:v>9.7399624753565508</c:v>
                </c:pt>
                <c:pt idx="289">
                  <c:v>9.6020307682277402</c:v>
                </c:pt>
                <c:pt idx="290">
                  <c:v>9.4580671823463902</c:v>
                </c:pt>
                <c:pt idx="291">
                  <c:v>9.3086292676350304</c:v>
                </c:pt>
                <c:pt idx="292">
                  <c:v>9.1536366777030604</c:v>
                </c:pt>
                <c:pt idx="293">
                  <c:v>8.9934072039575295</c:v>
                </c:pt>
                <c:pt idx="294">
                  <c:v>8.8285651535961502</c:v>
                </c:pt>
                <c:pt idx="295">
                  <c:v>8.6600306749264107</c:v>
                </c:pt>
                <c:pt idx="296">
                  <c:v>8.4895234011073999</c:v>
                </c:pt>
                <c:pt idx="297">
                  <c:v>8.3172197247973099</c:v>
                </c:pt>
                <c:pt idx="298">
                  <c:v>8.1447587834928701</c:v>
                </c:pt>
                <c:pt idx="299">
                  <c:v>7.9756722904823301</c:v>
                </c:pt>
                <c:pt idx="300">
                  <c:v>7.8696314842158896</c:v>
                </c:pt>
                <c:pt idx="301">
                  <c:v>7.76033041430036</c:v>
                </c:pt>
                <c:pt idx="302">
                  <c:v>7.6743388859113102</c:v>
                </c:pt>
                <c:pt idx="303">
                  <c:v>7.6083492346858801</c:v>
                </c:pt>
                <c:pt idx="304">
                  <c:v>7.5595798920426702</c:v>
                </c:pt>
                <c:pt idx="305">
                  <c:v>7.5255451338031802</c:v>
                </c:pt>
                <c:pt idx="306">
                  <c:v>7.5022789905120897</c:v>
                </c:pt>
                <c:pt idx="307">
                  <c:v>7.4857738435318497</c:v>
                </c:pt>
                <c:pt idx="308">
                  <c:v>7.46831546424899</c:v>
                </c:pt>
                <c:pt idx="309">
                  <c:v>7.4434352053170896</c:v>
                </c:pt>
                <c:pt idx="310">
                  <c:v>7.4016130533519799</c:v>
                </c:pt>
                <c:pt idx="311">
                  <c:v>7.3353014091366502</c:v>
                </c:pt>
                <c:pt idx="312">
                  <c:v>7.2313942658334396</c:v>
                </c:pt>
                <c:pt idx="313">
                  <c:v>7.1090236871870296</c:v>
                </c:pt>
                <c:pt idx="314">
                  <c:v>6.9522363810100103</c:v>
                </c:pt>
                <c:pt idx="315">
                  <c:v>6.7704174826343699</c:v>
                </c:pt>
                <c:pt idx="316">
                  <c:v>6.5650871820117596</c:v>
                </c:pt>
                <c:pt idx="317">
                  <c:v>6.2587465451946702</c:v>
                </c:pt>
                <c:pt idx="318">
                  <c:v>5.7897598296000901</c:v>
                </c:pt>
                <c:pt idx="319">
                  <c:v>5.3532297546807097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B6C-49F5-998F-953CD8E44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558671"/>
        <c:axId val="1579559151"/>
      </c:scatterChart>
      <c:valAx>
        <c:axId val="157955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559151"/>
        <c:crosses val="autoZero"/>
        <c:crossBetween val="midCat"/>
      </c:valAx>
      <c:valAx>
        <c:axId val="157955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55867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 w="38100">
              <a:noFill/>
            </a:ln>
          </c:spPr>
          <c:xVal>
            <c:numRef>
              <c:f>final3!$AM$13:$AM$61</c:f>
              <c:numCache>
                <c:formatCode>0.00E+00</c:formatCode>
                <c:ptCount val="49"/>
                <c:pt idx="0">
                  <c:v>0</c:v>
                </c:pt>
                <c:pt idx="1">
                  <c:v>2.0833399999999998E-2</c:v>
                </c:pt>
                <c:pt idx="2">
                  <c:v>4.1666599999999998E-2</c:v>
                </c:pt>
                <c:pt idx="3">
                  <c:v>6.25E-2</c:v>
                </c:pt>
                <c:pt idx="4">
                  <c:v>8.3333400000000002E-2</c:v>
                </c:pt>
                <c:pt idx="5">
                  <c:v>0.1041666</c:v>
                </c:pt>
                <c:pt idx="6">
                  <c:v>0.125</c:v>
                </c:pt>
                <c:pt idx="7">
                  <c:v>0.1458334</c:v>
                </c:pt>
                <c:pt idx="8">
                  <c:v>0.1666666</c:v>
                </c:pt>
                <c:pt idx="9">
                  <c:v>0.1875</c:v>
                </c:pt>
                <c:pt idx="10">
                  <c:v>0.20833399999999999</c:v>
                </c:pt>
                <c:pt idx="11">
                  <c:v>0.22916600000000001</c:v>
                </c:pt>
                <c:pt idx="12">
                  <c:v>0.25</c:v>
                </c:pt>
                <c:pt idx="13">
                  <c:v>0.27083400000000002</c:v>
                </c:pt>
                <c:pt idx="14">
                  <c:v>0.29166599999999998</c:v>
                </c:pt>
                <c:pt idx="15">
                  <c:v>0.3125</c:v>
                </c:pt>
                <c:pt idx="16">
                  <c:v>0.33333400000000002</c:v>
                </c:pt>
                <c:pt idx="17">
                  <c:v>0.35416599999999998</c:v>
                </c:pt>
                <c:pt idx="18">
                  <c:v>0.375</c:v>
                </c:pt>
                <c:pt idx="19">
                  <c:v>0.39583400000000002</c:v>
                </c:pt>
                <c:pt idx="20">
                  <c:v>0.41666599999999998</c:v>
                </c:pt>
                <c:pt idx="21">
                  <c:v>0.4375</c:v>
                </c:pt>
                <c:pt idx="22">
                  <c:v>0.45833400000000002</c:v>
                </c:pt>
                <c:pt idx="23">
                  <c:v>0.47916599999999998</c:v>
                </c:pt>
                <c:pt idx="24">
                  <c:v>0.5</c:v>
                </c:pt>
                <c:pt idx="25">
                  <c:v>0.52083400000000002</c:v>
                </c:pt>
                <c:pt idx="26">
                  <c:v>0.54166599999999998</c:v>
                </c:pt>
                <c:pt idx="27">
                  <c:v>0.5625</c:v>
                </c:pt>
                <c:pt idx="28">
                  <c:v>0.58333400000000002</c:v>
                </c:pt>
                <c:pt idx="29">
                  <c:v>0.60416599999999998</c:v>
                </c:pt>
                <c:pt idx="30">
                  <c:v>0.625</c:v>
                </c:pt>
                <c:pt idx="31">
                  <c:v>0.64583400000000002</c:v>
                </c:pt>
                <c:pt idx="32">
                  <c:v>0.66666599999999998</c:v>
                </c:pt>
                <c:pt idx="33">
                  <c:v>0.6875</c:v>
                </c:pt>
                <c:pt idx="34">
                  <c:v>0.70833400000000002</c:v>
                </c:pt>
                <c:pt idx="35">
                  <c:v>0.72916599999999998</c:v>
                </c:pt>
                <c:pt idx="36">
                  <c:v>0.75</c:v>
                </c:pt>
                <c:pt idx="37">
                  <c:v>0.77083400000000002</c:v>
                </c:pt>
                <c:pt idx="38">
                  <c:v>0.79166599999999998</c:v>
                </c:pt>
                <c:pt idx="39">
                  <c:v>0.8125</c:v>
                </c:pt>
                <c:pt idx="40">
                  <c:v>0.83333400000000002</c:v>
                </c:pt>
                <c:pt idx="41">
                  <c:v>0.85416599999999998</c:v>
                </c:pt>
                <c:pt idx="42">
                  <c:v>0.875</c:v>
                </c:pt>
                <c:pt idx="43">
                  <c:v>0.89583400000000002</c:v>
                </c:pt>
                <c:pt idx="44">
                  <c:v>0.91666599999999998</c:v>
                </c:pt>
                <c:pt idx="45">
                  <c:v>0.9375</c:v>
                </c:pt>
                <c:pt idx="46">
                  <c:v>0.95833400000000002</c:v>
                </c:pt>
                <c:pt idx="47">
                  <c:v>0.97916599999999998</c:v>
                </c:pt>
                <c:pt idx="48">
                  <c:v>1</c:v>
                </c:pt>
              </c:numCache>
            </c:numRef>
          </c:xVal>
          <c:yVal>
            <c:numRef>
              <c:f>final3!$AN$13:$AN$61</c:f>
              <c:numCache>
                <c:formatCode>0.00E+00</c:formatCode>
                <c:ptCount val="49"/>
                <c:pt idx="0">
                  <c:v>13.433400000000001</c:v>
                </c:pt>
                <c:pt idx="1">
                  <c:v>13.428599999999999</c:v>
                </c:pt>
                <c:pt idx="2">
                  <c:v>13.4238</c:v>
                </c:pt>
                <c:pt idx="3">
                  <c:v>13.4094</c:v>
                </c:pt>
                <c:pt idx="4">
                  <c:v>13.3949</c:v>
                </c:pt>
                <c:pt idx="5">
                  <c:v>13.370900000000001</c:v>
                </c:pt>
                <c:pt idx="6">
                  <c:v>13.3468</c:v>
                </c:pt>
                <c:pt idx="7">
                  <c:v>13.3131</c:v>
                </c:pt>
                <c:pt idx="8">
                  <c:v>13.279500000000001</c:v>
                </c:pt>
                <c:pt idx="9">
                  <c:v>13.2361</c:v>
                </c:pt>
                <c:pt idx="10">
                  <c:v>13.1928</c:v>
                </c:pt>
                <c:pt idx="11">
                  <c:v>13.139799999999999</c:v>
                </c:pt>
                <c:pt idx="12">
                  <c:v>13.0869</c:v>
                </c:pt>
                <c:pt idx="13">
                  <c:v>13.0242</c:v>
                </c:pt>
                <c:pt idx="14">
                  <c:v>12.961499999999999</c:v>
                </c:pt>
                <c:pt idx="15">
                  <c:v>12.889099999999999</c:v>
                </c:pt>
                <c:pt idx="16">
                  <c:v>12.816800000000001</c:v>
                </c:pt>
                <c:pt idx="17">
                  <c:v>12.7346</c:v>
                </c:pt>
                <c:pt idx="18">
                  <c:v>12.6524</c:v>
                </c:pt>
                <c:pt idx="19">
                  <c:v>12.5604</c:v>
                </c:pt>
                <c:pt idx="20">
                  <c:v>12.468299999999999</c:v>
                </c:pt>
                <c:pt idx="21">
                  <c:v>12.366099999999999</c:v>
                </c:pt>
                <c:pt idx="22">
                  <c:v>12.2639</c:v>
                </c:pt>
                <c:pt idx="23">
                  <c:v>12.151300000000001</c:v>
                </c:pt>
                <c:pt idx="24">
                  <c:v>12.0387</c:v>
                </c:pt>
                <c:pt idx="25">
                  <c:v>11.915100000000001</c:v>
                </c:pt>
                <c:pt idx="26">
                  <c:v>11.791499999999999</c:v>
                </c:pt>
                <c:pt idx="27">
                  <c:v>11.656000000000001</c:v>
                </c:pt>
                <c:pt idx="28">
                  <c:v>11.5205</c:v>
                </c:pt>
                <c:pt idx="29">
                  <c:v>11.3714</c:v>
                </c:pt>
                <c:pt idx="30">
                  <c:v>11.222300000000001</c:v>
                </c:pt>
                <c:pt idx="31">
                  <c:v>11.0572</c:v>
                </c:pt>
                <c:pt idx="32">
                  <c:v>10.891999999999999</c:v>
                </c:pt>
                <c:pt idx="33">
                  <c:v>10.707599999999999</c:v>
                </c:pt>
                <c:pt idx="34">
                  <c:v>10.523099999999999</c:v>
                </c:pt>
                <c:pt idx="35">
                  <c:v>10.3154</c:v>
                </c:pt>
                <c:pt idx="36">
                  <c:v>10.1076</c:v>
                </c:pt>
                <c:pt idx="37">
                  <c:v>9.8723100000000006</c:v>
                </c:pt>
                <c:pt idx="38">
                  <c:v>9.6369900000000008</c:v>
                </c:pt>
                <c:pt idx="39">
                  <c:v>9.3722799999999999</c:v>
                </c:pt>
                <c:pt idx="40">
                  <c:v>9.1075700000000008</c:v>
                </c:pt>
                <c:pt idx="41">
                  <c:v>8.8015799999999995</c:v>
                </c:pt>
                <c:pt idx="42">
                  <c:v>8.4955999999999996</c:v>
                </c:pt>
                <c:pt idx="43">
                  <c:v>8.2087299999999992</c:v>
                </c:pt>
                <c:pt idx="44">
                  <c:v>7.9218599999999997</c:v>
                </c:pt>
                <c:pt idx="45">
                  <c:v>6.7829300000000003</c:v>
                </c:pt>
                <c:pt idx="46">
                  <c:v>5.6440000000000001</c:v>
                </c:pt>
                <c:pt idx="47">
                  <c:v>5.7351599999999996</c:v>
                </c:pt>
                <c:pt idx="48">
                  <c:v>5.8263100000000003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34-451E-867A-2181DFB0BDFC}"/>
            </c:ext>
          </c:extLst>
        </c:ser>
        <c:ser>
          <c:idx val="2"/>
          <c:order val="1"/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xVal>
            <c:numRef>
              <c:f>final3!$L$19:$L$34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final3!$M$19:$M$34</c:f>
              <c:numCache>
                <c:formatCode>0.00E+00</c:formatCode>
                <c:ptCount val="16"/>
                <c:pt idx="0">
                  <c:v>14.30174308305665</c:v>
                </c:pt>
                <c:pt idx="1">
                  <c:v>14.260808799000401</c:v>
                </c:pt>
                <c:pt idx="2">
                  <c:v>14.1549328641548</c:v>
                </c:pt>
                <c:pt idx="3">
                  <c:v>14.2219783910822</c:v>
                </c:pt>
                <c:pt idx="4">
                  <c:v>13.8279349423353</c:v>
                </c:pt>
                <c:pt idx="5">
                  <c:v>13.57069714619605</c:v>
                </c:pt>
                <c:pt idx="6">
                  <c:v>13.5537890030336</c:v>
                </c:pt>
                <c:pt idx="7">
                  <c:v>12.96523103464475</c:v>
                </c:pt>
                <c:pt idx="8">
                  <c:v>12.5485241564412</c:v>
                </c:pt>
                <c:pt idx="9">
                  <c:v>12.2552726926801</c:v>
                </c:pt>
                <c:pt idx="10">
                  <c:v>11.7645954220866</c:v>
                </c:pt>
                <c:pt idx="11">
                  <c:v>11.096257404845501</c:v>
                </c:pt>
                <c:pt idx="12">
                  <c:v>10.54134429602575</c:v>
                </c:pt>
                <c:pt idx="13">
                  <c:v>8.9924716634169997</c:v>
                </c:pt>
                <c:pt idx="14">
                  <c:v>9.1911470412146006</c:v>
                </c:pt>
                <c:pt idx="15">
                  <c:v>5.1914766427063004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S-IGA no blending</c:v>
                </c15:tx>
              </c15:filteredSeriesTitle>
            </c:ext>
            <c:ext xmlns:c16="http://schemas.microsoft.com/office/drawing/2014/chart" uri="{C3380CC4-5D6E-409C-BE32-E72D297353CC}">
              <c16:uniqueId val="{00000001-9E34-451E-867A-2181DFB0BDFC}"/>
            </c:ext>
          </c:extLst>
        </c:ser>
        <c:ser>
          <c:idx val="0"/>
          <c:order val="2"/>
          <c:spPr>
            <a:ln w="15875">
              <a:solidFill>
                <a:srgbClr val="00B0F0"/>
              </a:solidFill>
            </a:ln>
          </c:spPr>
          <c:xVal>
            <c:numRef>
              <c:f>final3!$L$36:$L$51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final3!$M$36:$M$51</c:f>
              <c:numCache>
                <c:formatCode>0.00E+00</c:formatCode>
                <c:ptCount val="16"/>
                <c:pt idx="0">
                  <c:v>14.120291127694349</c:v>
                </c:pt>
                <c:pt idx="1">
                  <c:v>14.087871536766199</c:v>
                </c:pt>
                <c:pt idx="2">
                  <c:v>13.981753919954301</c:v>
                </c:pt>
                <c:pt idx="3">
                  <c:v>14.045536266658999</c:v>
                </c:pt>
                <c:pt idx="4">
                  <c:v>13.654673014672451</c:v>
                </c:pt>
                <c:pt idx="5">
                  <c:v>13.387462400913099</c:v>
                </c:pt>
                <c:pt idx="6">
                  <c:v>13.36344807206725</c:v>
                </c:pt>
                <c:pt idx="7">
                  <c:v>12.776515448340851</c:v>
                </c:pt>
                <c:pt idx="8">
                  <c:v>12.375214643057051</c:v>
                </c:pt>
                <c:pt idx="9">
                  <c:v>12.0776891249236</c:v>
                </c:pt>
                <c:pt idx="10">
                  <c:v>11.5754231795836</c:v>
                </c:pt>
                <c:pt idx="11">
                  <c:v>10.831947036372799</c:v>
                </c:pt>
                <c:pt idx="12">
                  <c:v>10.559764927306849</c:v>
                </c:pt>
                <c:pt idx="13">
                  <c:v>8.8080260515622495</c:v>
                </c:pt>
                <c:pt idx="14">
                  <c:v>9.43483329356825</c:v>
                </c:pt>
                <c:pt idx="15">
                  <c:v>5.1556309467387003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S-IGA cubic</c:v>
                </c15:tx>
              </c15:filteredSeriesTitle>
            </c:ext>
            <c:ext xmlns:c16="http://schemas.microsoft.com/office/drawing/2014/chart" uri="{C3380CC4-5D6E-409C-BE32-E72D297353CC}">
              <c16:uniqueId val="{00000002-9E34-451E-867A-2181DFB0BDFC}"/>
            </c:ext>
          </c:extLst>
        </c:ser>
        <c:ser>
          <c:idx val="1"/>
          <c:order val="3"/>
          <c:spPr>
            <a:ln w="15875">
              <a:solidFill>
                <a:srgbClr val="FF0000"/>
              </a:solidFill>
            </a:ln>
          </c:spPr>
          <c:xVal>
            <c:numRef>
              <c:f>final3!$L$2:$L$17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final3!$M$2:$M$17</c:f>
              <c:numCache>
                <c:formatCode>0.00E+00</c:formatCode>
                <c:ptCount val="16"/>
                <c:pt idx="0">
                  <c:v>14.270226518757051</c:v>
                </c:pt>
                <c:pt idx="1">
                  <c:v>14.2542223687953</c:v>
                </c:pt>
                <c:pt idx="2">
                  <c:v>14.135999308887699</c:v>
                </c:pt>
                <c:pt idx="3">
                  <c:v>13.973408881421101</c:v>
                </c:pt>
                <c:pt idx="4">
                  <c:v>13.804562085466349</c:v>
                </c:pt>
                <c:pt idx="5">
                  <c:v>13.554800893772651</c:v>
                </c:pt>
                <c:pt idx="6">
                  <c:v>13.238430396108351</c:v>
                </c:pt>
                <c:pt idx="7">
                  <c:v>12.954641968701001</c:v>
                </c:pt>
                <c:pt idx="8">
                  <c:v>12.575798060589101</c:v>
                </c:pt>
                <c:pt idx="9">
                  <c:v>12.015117646948401</c:v>
                </c:pt>
                <c:pt idx="10">
                  <c:v>11.6527436932168</c:v>
                </c:pt>
                <c:pt idx="11">
                  <c:v>11.132892759581949</c:v>
                </c:pt>
                <c:pt idx="12">
                  <c:v>10.164068990584351</c:v>
                </c:pt>
                <c:pt idx="13">
                  <c:v>9.5330249647971499</c:v>
                </c:pt>
                <c:pt idx="14">
                  <c:v>8.7683332707775499</c:v>
                </c:pt>
                <c:pt idx="15">
                  <c:v>6.0103968057830999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IGA</c:v>
                </c15:tx>
              </c15:filteredSeriesTitle>
            </c:ext>
            <c:ext xmlns:c16="http://schemas.microsoft.com/office/drawing/2014/chart" uri="{C3380CC4-5D6E-409C-BE32-E72D297353CC}">
              <c16:uniqueId val="{00000003-9E34-451E-867A-2181DFB0BDFC}"/>
            </c:ext>
          </c:extLst>
        </c:ser>
        <c:ser>
          <c:idx val="3"/>
          <c:order val="4"/>
          <c:spPr>
            <a:ln w="15875">
              <a:solidFill>
                <a:schemeClr val="tx1"/>
              </a:solidFill>
            </a:ln>
          </c:spPr>
          <c:xVal>
            <c:numRef>
              <c:f>final3!$AF$13:$AF$45</c:f>
              <c:numCache>
                <c:formatCode>0.00E+00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final3!$AG$13:$AG$45</c:f>
              <c:numCache>
                <c:formatCode>0.00E+00</c:formatCode>
                <c:ptCount val="33"/>
                <c:pt idx="0">
                  <c:v>13.5907</c:v>
                </c:pt>
                <c:pt idx="1">
                  <c:v>13.579800000000001</c:v>
                </c:pt>
                <c:pt idx="2">
                  <c:v>13.5688</c:v>
                </c:pt>
                <c:pt idx="3">
                  <c:v>13.5359</c:v>
                </c:pt>
                <c:pt idx="4">
                  <c:v>13.5031</c:v>
                </c:pt>
                <c:pt idx="5">
                  <c:v>13.4482</c:v>
                </c:pt>
                <c:pt idx="6">
                  <c:v>13.3934</c:v>
                </c:pt>
                <c:pt idx="7">
                  <c:v>13.316599999999999</c:v>
                </c:pt>
                <c:pt idx="8">
                  <c:v>13.239699999999999</c:v>
                </c:pt>
                <c:pt idx="9">
                  <c:v>13.140700000000001</c:v>
                </c:pt>
                <c:pt idx="10">
                  <c:v>13.041700000000001</c:v>
                </c:pt>
                <c:pt idx="11">
                  <c:v>12.920199999999999</c:v>
                </c:pt>
                <c:pt idx="12">
                  <c:v>12.7987</c:v>
                </c:pt>
                <c:pt idx="13">
                  <c:v>12.6541</c:v>
                </c:pt>
                <c:pt idx="14">
                  <c:v>12.509499999999999</c:v>
                </c:pt>
                <c:pt idx="15">
                  <c:v>12.3408</c:v>
                </c:pt>
                <c:pt idx="16">
                  <c:v>12.1722</c:v>
                </c:pt>
                <c:pt idx="17">
                  <c:v>11.978400000000001</c:v>
                </c:pt>
                <c:pt idx="18">
                  <c:v>11.784599999999999</c:v>
                </c:pt>
                <c:pt idx="19">
                  <c:v>11.5633</c:v>
                </c:pt>
                <c:pt idx="20">
                  <c:v>11.342000000000001</c:v>
                </c:pt>
                <c:pt idx="21">
                  <c:v>11.0878</c:v>
                </c:pt>
                <c:pt idx="22">
                  <c:v>10.833600000000001</c:v>
                </c:pt>
                <c:pt idx="23">
                  <c:v>10.535399999999999</c:v>
                </c:pt>
                <c:pt idx="24">
                  <c:v>10.2372</c:v>
                </c:pt>
                <c:pt idx="25">
                  <c:v>9.8813800000000001</c:v>
                </c:pt>
                <c:pt idx="26">
                  <c:v>9.5255299999999998</c:v>
                </c:pt>
                <c:pt idx="27">
                  <c:v>9.1795799999999996</c:v>
                </c:pt>
                <c:pt idx="28">
                  <c:v>8.8336199999999998</c:v>
                </c:pt>
                <c:pt idx="29">
                  <c:v>7.9292999999999996</c:v>
                </c:pt>
                <c:pt idx="30">
                  <c:v>7.0249800000000002</c:v>
                </c:pt>
                <c:pt idx="31">
                  <c:v>6.2415000000000003</c:v>
                </c:pt>
                <c:pt idx="32">
                  <c:v>5.4580200000000003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FEM</c:v>
                </c15:tx>
              </c15:filteredSeriesTitle>
            </c:ext>
            <c:ext xmlns:c16="http://schemas.microsoft.com/office/drawing/2014/chart" uri="{C3380CC4-5D6E-409C-BE32-E72D297353CC}">
              <c16:uniqueId val="{00000004-9E34-451E-867A-2181DFB0B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68576245595"/>
          <c:y val="0.4055893426403932"/>
          <c:w val="0.38326658891201126"/>
          <c:h val="0.3851994905351166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[1]Sheet1!$W$1:$W$320</c:f>
              <c:numCache>
                <c:formatCode>General</c:formatCode>
                <c:ptCount val="320"/>
                <c:pt idx="0">
                  <c:v>1.5625000000000001E-3</c:v>
                </c:pt>
                <c:pt idx="1">
                  <c:v>4.6874999999999998E-3</c:v>
                </c:pt>
                <c:pt idx="2">
                  <c:v>7.8125E-3</c:v>
                </c:pt>
                <c:pt idx="3">
                  <c:v>1.0937499999999999E-2</c:v>
                </c:pt>
                <c:pt idx="4">
                  <c:v>1.40625E-2</c:v>
                </c:pt>
                <c:pt idx="5">
                  <c:v>1.7187500000000001E-2</c:v>
                </c:pt>
                <c:pt idx="6">
                  <c:v>2.0312500000000001E-2</c:v>
                </c:pt>
                <c:pt idx="7">
                  <c:v>2.34375E-2</c:v>
                </c:pt>
                <c:pt idx="8">
                  <c:v>2.6562499999999999E-2</c:v>
                </c:pt>
                <c:pt idx="9">
                  <c:v>2.9687499999999999E-2</c:v>
                </c:pt>
                <c:pt idx="10">
                  <c:v>3.2812500000000001E-2</c:v>
                </c:pt>
                <c:pt idx="11">
                  <c:v>3.5937499999999997E-2</c:v>
                </c:pt>
                <c:pt idx="12">
                  <c:v>3.90625E-2</c:v>
                </c:pt>
                <c:pt idx="13">
                  <c:v>4.2187500000000003E-2</c:v>
                </c:pt>
                <c:pt idx="14">
                  <c:v>4.5312499999999999E-2</c:v>
                </c:pt>
                <c:pt idx="15">
                  <c:v>4.8437500000000001E-2</c:v>
                </c:pt>
                <c:pt idx="16">
                  <c:v>5.1562499999999997E-2</c:v>
                </c:pt>
                <c:pt idx="17">
                  <c:v>5.46875E-2</c:v>
                </c:pt>
                <c:pt idx="18">
                  <c:v>5.7812500000000003E-2</c:v>
                </c:pt>
                <c:pt idx="19">
                  <c:v>6.0937499999999999E-2</c:v>
                </c:pt>
                <c:pt idx="20">
                  <c:v>6.4062499999999994E-2</c:v>
                </c:pt>
                <c:pt idx="21">
                  <c:v>6.7187499999999997E-2</c:v>
                </c:pt>
                <c:pt idx="22">
                  <c:v>7.03125E-2</c:v>
                </c:pt>
                <c:pt idx="23">
                  <c:v>7.3437500000000003E-2</c:v>
                </c:pt>
                <c:pt idx="24">
                  <c:v>7.6562500000000006E-2</c:v>
                </c:pt>
                <c:pt idx="25">
                  <c:v>7.9687499999999994E-2</c:v>
                </c:pt>
                <c:pt idx="26">
                  <c:v>8.2812499999999997E-2</c:v>
                </c:pt>
                <c:pt idx="27">
                  <c:v>8.59375E-2</c:v>
                </c:pt>
                <c:pt idx="28">
                  <c:v>8.9062500000000003E-2</c:v>
                </c:pt>
                <c:pt idx="29">
                  <c:v>9.2187500000000006E-2</c:v>
                </c:pt>
                <c:pt idx="30">
                  <c:v>9.5312499999999994E-2</c:v>
                </c:pt>
                <c:pt idx="31">
                  <c:v>9.8437499999999997E-2</c:v>
                </c:pt>
                <c:pt idx="32">
                  <c:v>0.1015625</c:v>
                </c:pt>
                <c:pt idx="33">
                  <c:v>0.1046875</c:v>
                </c:pt>
                <c:pt idx="34">
                  <c:v>0.10781250000000001</c:v>
                </c:pt>
                <c:pt idx="35">
                  <c:v>0.11093749999999999</c:v>
                </c:pt>
                <c:pt idx="36">
                  <c:v>0.1140625</c:v>
                </c:pt>
                <c:pt idx="37">
                  <c:v>0.1171875</c:v>
                </c:pt>
                <c:pt idx="38">
                  <c:v>0.1203125</c:v>
                </c:pt>
                <c:pt idx="39">
                  <c:v>0.12343750000000001</c:v>
                </c:pt>
                <c:pt idx="40">
                  <c:v>0.12656249999999999</c:v>
                </c:pt>
                <c:pt idx="41">
                  <c:v>0.12968750000000001</c:v>
                </c:pt>
                <c:pt idx="42">
                  <c:v>0.1328125</c:v>
                </c:pt>
                <c:pt idx="43">
                  <c:v>0.13593749999999999</c:v>
                </c:pt>
                <c:pt idx="44">
                  <c:v>0.13906250000000001</c:v>
                </c:pt>
                <c:pt idx="45">
                  <c:v>0.14218749999999999</c:v>
                </c:pt>
                <c:pt idx="46">
                  <c:v>0.14531250000000001</c:v>
                </c:pt>
                <c:pt idx="47">
                  <c:v>0.1484375</c:v>
                </c:pt>
                <c:pt idx="48">
                  <c:v>0.15156249999999999</c:v>
                </c:pt>
                <c:pt idx="49">
                  <c:v>0.15468750000000001</c:v>
                </c:pt>
                <c:pt idx="50">
                  <c:v>0.15781249999999999</c:v>
                </c:pt>
                <c:pt idx="51">
                  <c:v>0.16093750000000001</c:v>
                </c:pt>
                <c:pt idx="52">
                  <c:v>0.1640625</c:v>
                </c:pt>
                <c:pt idx="53">
                  <c:v>0.16718749999999999</c:v>
                </c:pt>
                <c:pt idx="54">
                  <c:v>0.17031250000000001</c:v>
                </c:pt>
                <c:pt idx="55">
                  <c:v>0.17343749999999999</c:v>
                </c:pt>
                <c:pt idx="56">
                  <c:v>0.17656250000000001</c:v>
                </c:pt>
                <c:pt idx="57">
                  <c:v>0.1796875</c:v>
                </c:pt>
                <c:pt idx="58">
                  <c:v>0.18281249999999999</c:v>
                </c:pt>
                <c:pt idx="59">
                  <c:v>0.18593750000000001</c:v>
                </c:pt>
                <c:pt idx="60">
                  <c:v>0.18906249999999999</c:v>
                </c:pt>
                <c:pt idx="61">
                  <c:v>0.19218750000000001</c:v>
                </c:pt>
                <c:pt idx="62">
                  <c:v>0.1953125</c:v>
                </c:pt>
                <c:pt idx="63">
                  <c:v>0.19843749999999999</c:v>
                </c:pt>
                <c:pt idx="64">
                  <c:v>0.20156260000000001</c:v>
                </c:pt>
                <c:pt idx="65">
                  <c:v>0.2046876</c:v>
                </c:pt>
                <c:pt idx="66">
                  <c:v>0.20781259999999999</c:v>
                </c:pt>
                <c:pt idx="67">
                  <c:v>0.2109376</c:v>
                </c:pt>
                <c:pt idx="68">
                  <c:v>0.21406259999999999</c:v>
                </c:pt>
                <c:pt idx="69">
                  <c:v>0.21718760000000001</c:v>
                </c:pt>
                <c:pt idx="70">
                  <c:v>0.2203126</c:v>
                </c:pt>
                <c:pt idx="71">
                  <c:v>0.22343759999999999</c:v>
                </c:pt>
                <c:pt idx="72">
                  <c:v>0.2265626</c:v>
                </c:pt>
                <c:pt idx="73">
                  <c:v>0.22968740000000001</c:v>
                </c:pt>
                <c:pt idx="74">
                  <c:v>0.23281260000000001</c:v>
                </c:pt>
                <c:pt idx="75">
                  <c:v>0.23593739999999999</c:v>
                </c:pt>
                <c:pt idx="76">
                  <c:v>0.23906259999999999</c:v>
                </c:pt>
                <c:pt idx="77">
                  <c:v>0.2421876</c:v>
                </c:pt>
                <c:pt idx="78">
                  <c:v>0.24531240000000001</c:v>
                </c:pt>
                <c:pt idx="79">
                  <c:v>0.24843760000000001</c:v>
                </c:pt>
                <c:pt idx="80">
                  <c:v>0.25156260000000003</c:v>
                </c:pt>
                <c:pt idx="81">
                  <c:v>0.25468760000000001</c:v>
                </c:pt>
                <c:pt idx="82">
                  <c:v>0.2578124</c:v>
                </c:pt>
                <c:pt idx="83">
                  <c:v>0.26093739999999999</c:v>
                </c:pt>
                <c:pt idx="84">
                  <c:v>0.26406239999999997</c:v>
                </c:pt>
                <c:pt idx="85">
                  <c:v>0.26718760000000003</c:v>
                </c:pt>
                <c:pt idx="86">
                  <c:v>0.27031260000000001</c:v>
                </c:pt>
                <c:pt idx="87">
                  <c:v>0.2734376</c:v>
                </c:pt>
                <c:pt idx="88">
                  <c:v>0.27656239999999999</c:v>
                </c:pt>
                <c:pt idx="89">
                  <c:v>0.27968739999999997</c:v>
                </c:pt>
                <c:pt idx="90">
                  <c:v>0.28281260000000003</c:v>
                </c:pt>
                <c:pt idx="91">
                  <c:v>0.28593760000000001</c:v>
                </c:pt>
                <c:pt idx="92">
                  <c:v>0.2890624</c:v>
                </c:pt>
                <c:pt idx="93">
                  <c:v>0.29218739999999999</c:v>
                </c:pt>
                <c:pt idx="94">
                  <c:v>0.29531239999999997</c:v>
                </c:pt>
                <c:pt idx="95">
                  <c:v>0.29843760000000003</c:v>
                </c:pt>
                <c:pt idx="96">
                  <c:v>0.30156260000000001</c:v>
                </c:pt>
                <c:pt idx="97">
                  <c:v>0.3046876</c:v>
                </c:pt>
                <c:pt idx="98">
                  <c:v>0.30781259999999999</c:v>
                </c:pt>
                <c:pt idx="99">
                  <c:v>0.31093739999999997</c:v>
                </c:pt>
                <c:pt idx="100">
                  <c:v>0.31406260000000003</c:v>
                </c:pt>
                <c:pt idx="101">
                  <c:v>0.31718760000000001</c:v>
                </c:pt>
                <c:pt idx="102">
                  <c:v>0.3203124</c:v>
                </c:pt>
                <c:pt idx="103">
                  <c:v>0.32343739999999999</c:v>
                </c:pt>
                <c:pt idx="104">
                  <c:v>0.32656239999999997</c:v>
                </c:pt>
                <c:pt idx="105">
                  <c:v>0.32968760000000003</c:v>
                </c:pt>
                <c:pt idx="106">
                  <c:v>0.33281260000000001</c:v>
                </c:pt>
                <c:pt idx="107">
                  <c:v>0.3359376</c:v>
                </c:pt>
                <c:pt idx="108">
                  <c:v>0.33906239999999999</c:v>
                </c:pt>
                <c:pt idx="109">
                  <c:v>0.34218739999999997</c:v>
                </c:pt>
                <c:pt idx="110">
                  <c:v>0.34531260000000003</c:v>
                </c:pt>
                <c:pt idx="111">
                  <c:v>0.34843760000000001</c:v>
                </c:pt>
                <c:pt idx="112">
                  <c:v>0.3515624</c:v>
                </c:pt>
                <c:pt idx="113">
                  <c:v>0.35468739999999999</c:v>
                </c:pt>
                <c:pt idx="114">
                  <c:v>0.35781239999999997</c:v>
                </c:pt>
                <c:pt idx="115">
                  <c:v>0.36093760000000003</c:v>
                </c:pt>
                <c:pt idx="116">
                  <c:v>0.36406260000000001</c:v>
                </c:pt>
                <c:pt idx="117">
                  <c:v>0.3671876</c:v>
                </c:pt>
                <c:pt idx="118">
                  <c:v>0.37031239999999999</c:v>
                </c:pt>
                <c:pt idx="119">
                  <c:v>0.37343739999999997</c:v>
                </c:pt>
                <c:pt idx="120">
                  <c:v>0.37656260000000003</c:v>
                </c:pt>
                <c:pt idx="121">
                  <c:v>0.37968760000000001</c:v>
                </c:pt>
                <c:pt idx="122">
                  <c:v>0.3828126</c:v>
                </c:pt>
                <c:pt idx="123">
                  <c:v>0.38593739999999999</c:v>
                </c:pt>
                <c:pt idx="124">
                  <c:v>0.38906259999999998</c:v>
                </c:pt>
                <c:pt idx="125">
                  <c:v>0.39218760000000003</c:v>
                </c:pt>
                <c:pt idx="126">
                  <c:v>0.39531260000000001</c:v>
                </c:pt>
                <c:pt idx="127">
                  <c:v>0.3984376</c:v>
                </c:pt>
                <c:pt idx="128">
                  <c:v>0.40156239999999999</c:v>
                </c:pt>
                <c:pt idx="129">
                  <c:v>0.40468739999999997</c:v>
                </c:pt>
                <c:pt idx="130">
                  <c:v>0.40781260000000003</c:v>
                </c:pt>
                <c:pt idx="131">
                  <c:v>0.41093760000000001</c:v>
                </c:pt>
                <c:pt idx="132">
                  <c:v>0.4140624</c:v>
                </c:pt>
                <c:pt idx="133">
                  <c:v>0.41718739999999999</c:v>
                </c:pt>
                <c:pt idx="134">
                  <c:v>0.42031259999999998</c:v>
                </c:pt>
                <c:pt idx="135">
                  <c:v>0.42343760000000003</c:v>
                </c:pt>
                <c:pt idx="136">
                  <c:v>0.42656260000000001</c:v>
                </c:pt>
                <c:pt idx="137">
                  <c:v>0.4296876</c:v>
                </c:pt>
                <c:pt idx="138">
                  <c:v>0.43281259999999999</c:v>
                </c:pt>
                <c:pt idx="139">
                  <c:v>0.43593739999999997</c:v>
                </c:pt>
                <c:pt idx="140">
                  <c:v>0.43906260000000003</c:v>
                </c:pt>
                <c:pt idx="141">
                  <c:v>0.44218760000000001</c:v>
                </c:pt>
                <c:pt idx="142">
                  <c:v>0.4453126</c:v>
                </c:pt>
                <c:pt idx="143">
                  <c:v>0.44843739999999999</c:v>
                </c:pt>
                <c:pt idx="144">
                  <c:v>0.45156259999999998</c:v>
                </c:pt>
                <c:pt idx="145">
                  <c:v>0.45468760000000003</c:v>
                </c:pt>
                <c:pt idx="146">
                  <c:v>0.45781260000000001</c:v>
                </c:pt>
                <c:pt idx="147">
                  <c:v>0.4609376</c:v>
                </c:pt>
                <c:pt idx="148">
                  <c:v>0.46406259999999999</c:v>
                </c:pt>
                <c:pt idx="149">
                  <c:v>0.46718739999999997</c:v>
                </c:pt>
                <c:pt idx="150">
                  <c:v>0.47031260000000003</c:v>
                </c:pt>
                <c:pt idx="151">
                  <c:v>0.47343760000000001</c:v>
                </c:pt>
                <c:pt idx="152">
                  <c:v>0.4765624</c:v>
                </c:pt>
                <c:pt idx="153">
                  <c:v>0.47968739999999999</c:v>
                </c:pt>
                <c:pt idx="154">
                  <c:v>0.48281259999999998</c:v>
                </c:pt>
                <c:pt idx="155">
                  <c:v>0.48593760000000003</c:v>
                </c:pt>
                <c:pt idx="156">
                  <c:v>0.48906260000000001</c:v>
                </c:pt>
                <c:pt idx="157">
                  <c:v>0.4921876</c:v>
                </c:pt>
                <c:pt idx="158">
                  <c:v>0.49531239999999999</c:v>
                </c:pt>
                <c:pt idx="159">
                  <c:v>0.49843739999999997</c:v>
                </c:pt>
                <c:pt idx="160">
                  <c:v>0.50156259999999997</c:v>
                </c:pt>
                <c:pt idx="161">
                  <c:v>0.50468740000000001</c:v>
                </c:pt>
                <c:pt idx="162">
                  <c:v>0.50781240000000005</c:v>
                </c:pt>
                <c:pt idx="163">
                  <c:v>0.51093759999999999</c:v>
                </c:pt>
                <c:pt idx="164">
                  <c:v>0.51406240000000003</c:v>
                </c:pt>
                <c:pt idx="165">
                  <c:v>0.51718759999999997</c:v>
                </c:pt>
                <c:pt idx="166">
                  <c:v>0.52031240000000001</c:v>
                </c:pt>
                <c:pt idx="167">
                  <c:v>0.52343759999999995</c:v>
                </c:pt>
                <c:pt idx="168">
                  <c:v>0.52656259999999999</c:v>
                </c:pt>
                <c:pt idx="169">
                  <c:v>0.52968740000000003</c:v>
                </c:pt>
                <c:pt idx="170">
                  <c:v>0.53281259999999997</c:v>
                </c:pt>
                <c:pt idx="171">
                  <c:v>0.53593740000000001</c:v>
                </c:pt>
                <c:pt idx="172">
                  <c:v>0.53906240000000005</c:v>
                </c:pt>
                <c:pt idx="173">
                  <c:v>0.54218759999999999</c:v>
                </c:pt>
                <c:pt idx="174">
                  <c:v>0.54531240000000003</c:v>
                </c:pt>
                <c:pt idx="175">
                  <c:v>0.54843759999999997</c:v>
                </c:pt>
                <c:pt idx="176">
                  <c:v>0.55156240000000001</c:v>
                </c:pt>
                <c:pt idx="177">
                  <c:v>0.55468759999999995</c:v>
                </c:pt>
                <c:pt idx="178">
                  <c:v>0.55781259999999999</c:v>
                </c:pt>
                <c:pt idx="179">
                  <c:v>0.56093740000000003</c:v>
                </c:pt>
                <c:pt idx="180">
                  <c:v>0.56406259999999997</c:v>
                </c:pt>
                <c:pt idx="181">
                  <c:v>0.56718740000000001</c:v>
                </c:pt>
                <c:pt idx="182">
                  <c:v>0.57031240000000005</c:v>
                </c:pt>
                <c:pt idx="183">
                  <c:v>0.57343739999999999</c:v>
                </c:pt>
                <c:pt idx="184">
                  <c:v>0.57656240000000003</c:v>
                </c:pt>
                <c:pt idx="185">
                  <c:v>0.57968759999999997</c:v>
                </c:pt>
                <c:pt idx="186">
                  <c:v>0.58281240000000001</c:v>
                </c:pt>
                <c:pt idx="187">
                  <c:v>0.58593759999999995</c:v>
                </c:pt>
                <c:pt idx="188">
                  <c:v>0.58906259999999999</c:v>
                </c:pt>
                <c:pt idx="189">
                  <c:v>0.59218740000000003</c:v>
                </c:pt>
                <c:pt idx="190">
                  <c:v>0.59531259999999997</c:v>
                </c:pt>
                <c:pt idx="191">
                  <c:v>0.59843740000000001</c:v>
                </c:pt>
                <c:pt idx="192">
                  <c:v>0.60156240000000005</c:v>
                </c:pt>
                <c:pt idx="193">
                  <c:v>0.60468739999999999</c:v>
                </c:pt>
                <c:pt idx="194">
                  <c:v>0.60781240000000003</c:v>
                </c:pt>
                <c:pt idx="195">
                  <c:v>0.61093759999999997</c:v>
                </c:pt>
                <c:pt idx="196">
                  <c:v>0.61406260000000001</c:v>
                </c:pt>
                <c:pt idx="197">
                  <c:v>0.61718759999999995</c:v>
                </c:pt>
                <c:pt idx="198">
                  <c:v>0.62031239999999999</c:v>
                </c:pt>
                <c:pt idx="199">
                  <c:v>0.62343740000000003</c:v>
                </c:pt>
                <c:pt idx="200">
                  <c:v>0.62656259999999997</c:v>
                </c:pt>
                <c:pt idx="201">
                  <c:v>0.62968740000000001</c:v>
                </c:pt>
                <c:pt idx="202">
                  <c:v>0.63281240000000005</c:v>
                </c:pt>
                <c:pt idx="203">
                  <c:v>0.63593759999999999</c:v>
                </c:pt>
                <c:pt idx="204">
                  <c:v>0.63906240000000003</c:v>
                </c:pt>
                <c:pt idx="205">
                  <c:v>0.64218759999999997</c:v>
                </c:pt>
                <c:pt idx="206">
                  <c:v>0.64531240000000001</c:v>
                </c:pt>
                <c:pt idx="207">
                  <c:v>0.64843759999999995</c:v>
                </c:pt>
                <c:pt idx="208">
                  <c:v>0.65156259999999999</c:v>
                </c:pt>
                <c:pt idx="209">
                  <c:v>0.65468740000000003</c:v>
                </c:pt>
                <c:pt idx="210">
                  <c:v>0.65781259999999997</c:v>
                </c:pt>
                <c:pt idx="211">
                  <c:v>0.66093740000000001</c:v>
                </c:pt>
                <c:pt idx="212">
                  <c:v>0.66406240000000005</c:v>
                </c:pt>
                <c:pt idx="213">
                  <c:v>0.66718759999999999</c:v>
                </c:pt>
                <c:pt idx="214">
                  <c:v>0.67031240000000003</c:v>
                </c:pt>
                <c:pt idx="215">
                  <c:v>0.67343759999999997</c:v>
                </c:pt>
                <c:pt idx="216">
                  <c:v>0.67656240000000001</c:v>
                </c:pt>
                <c:pt idx="217">
                  <c:v>0.67968759999999995</c:v>
                </c:pt>
                <c:pt idx="218">
                  <c:v>0.68281239999999999</c:v>
                </c:pt>
                <c:pt idx="219">
                  <c:v>0.68593740000000003</c:v>
                </c:pt>
                <c:pt idx="220">
                  <c:v>0.68906259999999997</c:v>
                </c:pt>
                <c:pt idx="221">
                  <c:v>0.69218740000000001</c:v>
                </c:pt>
                <c:pt idx="222">
                  <c:v>0.69531259999999995</c:v>
                </c:pt>
                <c:pt idx="223">
                  <c:v>0.69843759999999999</c:v>
                </c:pt>
                <c:pt idx="224">
                  <c:v>0.70156240000000003</c:v>
                </c:pt>
                <c:pt idx="225">
                  <c:v>0.70468759999999997</c:v>
                </c:pt>
                <c:pt idx="226">
                  <c:v>0.70781240000000001</c:v>
                </c:pt>
                <c:pt idx="227">
                  <c:v>0.71093759999999995</c:v>
                </c:pt>
                <c:pt idx="228">
                  <c:v>0.71406259999999999</c:v>
                </c:pt>
                <c:pt idx="229">
                  <c:v>0.71718740000000003</c:v>
                </c:pt>
                <c:pt idx="230">
                  <c:v>0.72031259999999997</c:v>
                </c:pt>
                <c:pt idx="231">
                  <c:v>0.72343740000000001</c:v>
                </c:pt>
                <c:pt idx="232">
                  <c:v>0.72656240000000005</c:v>
                </c:pt>
                <c:pt idx="233">
                  <c:v>0.72968759999999999</c:v>
                </c:pt>
                <c:pt idx="234">
                  <c:v>0.73281240000000003</c:v>
                </c:pt>
                <c:pt idx="235">
                  <c:v>0.73593759999999997</c:v>
                </c:pt>
                <c:pt idx="236">
                  <c:v>0.73906240000000001</c:v>
                </c:pt>
                <c:pt idx="237">
                  <c:v>0.74218759999999995</c:v>
                </c:pt>
                <c:pt idx="238">
                  <c:v>0.74531239999999999</c:v>
                </c:pt>
                <c:pt idx="239">
                  <c:v>0.74843740000000003</c:v>
                </c:pt>
                <c:pt idx="240">
                  <c:v>0.75156259999999997</c:v>
                </c:pt>
                <c:pt idx="241">
                  <c:v>0.75468740000000001</c:v>
                </c:pt>
                <c:pt idx="242">
                  <c:v>0.75781240000000005</c:v>
                </c:pt>
                <c:pt idx="243">
                  <c:v>0.76093739999999999</c:v>
                </c:pt>
                <c:pt idx="244">
                  <c:v>0.76406240000000003</c:v>
                </c:pt>
                <c:pt idx="245">
                  <c:v>0.76718759999999997</c:v>
                </c:pt>
                <c:pt idx="246">
                  <c:v>0.77031240000000001</c:v>
                </c:pt>
                <c:pt idx="247">
                  <c:v>0.77343759999999995</c:v>
                </c:pt>
                <c:pt idx="248">
                  <c:v>0.77656259999999999</c:v>
                </c:pt>
                <c:pt idx="249">
                  <c:v>0.77968740000000003</c:v>
                </c:pt>
                <c:pt idx="250">
                  <c:v>0.78281259999999997</c:v>
                </c:pt>
                <c:pt idx="251">
                  <c:v>0.78593740000000001</c:v>
                </c:pt>
                <c:pt idx="252">
                  <c:v>0.78906240000000005</c:v>
                </c:pt>
                <c:pt idx="253">
                  <c:v>0.79218759999999999</c:v>
                </c:pt>
                <c:pt idx="254">
                  <c:v>0.79531240000000003</c:v>
                </c:pt>
                <c:pt idx="255">
                  <c:v>0.79843759999999997</c:v>
                </c:pt>
                <c:pt idx="256">
                  <c:v>0.80156240000000001</c:v>
                </c:pt>
                <c:pt idx="257">
                  <c:v>0.80468759999999995</c:v>
                </c:pt>
                <c:pt idx="258">
                  <c:v>0.80781239999999999</c:v>
                </c:pt>
                <c:pt idx="259">
                  <c:v>0.81093740000000003</c:v>
                </c:pt>
                <c:pt idx="260">
                  <c:v>0.81406259999999997</c:v>
                </c:pt>
                <c:pt idx="261">
                  <c:v>0.81718740000000001</c:v>
                </c:pt>
                <c:pt idx="262">
                  <c:v>0.82031240000000005</c:v>
                </c:pt>
                <c:pt idx="263">
                  <c:v>0.82343759999999999</c:v>
                </c:pt>
                <c:pt idx="264">
                  <c:v>0.82656260000000004</c:v>
                </c:pt>
                <c:pt idx="265">
                  <c:v>0.82968759999999997</c:v>
                </c:pt>
                <c:pt idx="266">
                  <c:v>0.83281240000000001</c:v>
                </c:pt>
                <c:pt idx="267">
                  <c:v>0.83593759999999995</c:v>
                </c:pt>
                <c:pt idx="268">
                  <c:v>0.83906259999999999</c:v>
                </c:pt>
                <c:pt idx="269">
                  <c:v>0.84218740000000003</c:v>
                </c:pt>
                <c:pt idx="270">
                  <c:v>0.84531259999999997</c:v>
                </c:pt>
                <c:pt idx="271">
                  <c:v>0.84843740000000001</c:v>
                </c:pt>
                <c:pt idx="272">
                  <c:v>0.85156240000000005</c:v>
                </c:pt>
                <c:pt idx="273">
                  <c:v>0.85468759999999999</c:v>
                </c:pt>
                <c:pt idx="274">
                  <c:v>0.85781260000000004</c:v>
                </c:pt>
                <c:pt idx="275">
                  <c:v>0.86093759999999997</c:v>
                </c:pt>
                <c:pt idx="276">
                  <c:v>0.86406240000000001</c:v>
                </c:pt>
                <c:pt idx="277">
                  <c:v>0.86718759999999995</c:v>
                </c:pt>
                <c:pt idx="278">
                  <c:v>0.87031259999999999</c:v>
                </c:pt>
                <c:pt idx="279">
                  <c:v>0.87343740000000003</c:v>
                </c:pt>
                <c:pt idx="280">
                  <c:v>0.87656259999999997</c:v>
                </c:pt>
                <c:pt idx="281">
                  <c:v>0.87968740000000001</c:v>
                </c:pt>
                <c:pt idx="282">
                  <c:v>0.88281259999999995</c:v>
                </c:pt>
                <c:pt idx="283">
                  <c:v>0.88593759999999999</c:v>
                </c:pt>
                <c:pt idx="284">
                  <c:v>0.88906240000000003</c:v>
                </c:pt>
                <c:pt idx="285">
                  <c:v>0.89218759999999997</c:v>
                </c:pt>
                <c:pt idx="286">
                  <c:v>0.89531240000000001</c:v>
                </c:pt>
                <c:pt idx="287">
                  <c:v>0.89843759999999995</c:v>
                </c:pt>
                <c:pt idx="288">
                  <c:v>0.90156259999999999</c:v>
                </c:pt>
                <c:pt idx="289">
                  <c:v>0.90468740000000003</c:v>
                </c:pt>
                <c:pt idx="290">
                  <c:v>0.90781259999999997</c:v>
                </c:pt>
                <c:pt idx="291">
                  <c:v>0.91093760000000001</c:v>
                </c:pt>
                <c:pt idx="292">
                  <c:v>0.91406240000000005</c:v>
                </c:pt>
                <c:pt idx="293">
                  <c:v>0.91718759999999999</c:v>
                </c:pt>
                <c:pt idx="294">
                  <c:v>0.92031240000000003</c:v>
                </c:pt>
                <c:pt idx="295">
                  <c:v>0.92343759999999997</c:v>
                </c:pt>
                <c:pt idx="296">
                  <c:v>0.92656240000000001</c:v>
                </c:pt>
                <c:pt idx="297">
                  <c:v>0.92968759999999995</c:v>
                </c:pt>
                <c:pt idx="298">
                  <c:v>0.93281239999999999</c:v>
                </c:pt>
                <c:pt idx="299">
                  <c:v>0.93593740000000003</c:v>
                </c:pt>
                <c:pt idx="300">
                  <c:v>0.93906259999999997</c:v>
                </c:pt>
                <c:pt idx="301">
                  <c:v>0.94218760000000001</c:v>
                </c:pt>
                <c:pt idx="302">
                  <c:v>0.94531240000000005</c:v>
                </c:pt>
                <c:pt idx="303">
                  <c:v>0.94843759999999999</c:v>
                </c:pt>
                <c:pt idx="304">
                  <c:v>0.95156240000000003</c:v>
                </c:pt>
                <c:pt idx="305">
                  <c:v>0.95468759999999997</c:v>
                </c:pt>
                <c:pt idx="306">
                  <c:v>0.95781240000000001</c:v>
                </c:pt>
                <c:pt idx="307">
                  <c:v>0.96093759999999995</c:v>
                </c:pt>
                <c:pt idx="308">
                  <c:v>0.96406259999999999</c:v>
                </c:pt>
                <c:pt idx="309">
                  <c:v>0.96718740000000003</c:v>
                </c:pt>
                <c:pt idx="310">
                  <c:v>0.97031259999999997</c:v>
                </c:pt>
                <c:pt idx="311">
                  <c:v>0.97343760000000001</c:v>
                </c:pt>
                <c:pt idx="312">
                  <c:v>0.97656240000000005</c:v>
                </c:pt>
                <c:pt idx="313">
                  <c:v>0.97968759999999999</c:v>
                </c:pt>
                <c:pt idx="314">
                  <c:v>0.98281240000000003</c:v>
                </c:pt>
                <c:pt idx="315">
                  <c:v>0.98593759999999997</c:v>
                </c:pt>
                <c:pt idx="316">
                  <c:v>0.98906240000000001</c:v>
                </c:pt>
                <c:pt idx="317">
                  <c:v>0.99218759999999995</c:v>
                </c:pt>
                <c:pt idx="318">
                  <c:v>0.99531259999999999</c:v>
                </c:pt>
                <c:pt idx="319">
                  <c:v>0.99843760000000004</c:v>
                </c:pt>
              </c:numCache>
            </c:numRef>
          </c:xVal>
          <c:yVal>
            <c:numRef>
              <c:f>[1]Sheet1!$X$1:$X$320</c:f>
              <c:numCache>
                <c:formatCode>General</c:formatCode>
                <c:ptCount val="320"/>
                <c:pt idx="0">
                  <c:v>13.696377937543399</c:v>
                </c:pt>
                <c:pt idx="1">
                  <c:v>13.6962199441761</c:v>
                </c:pt>
                <c:pt idx="2">
                  <c:v>13.6959514989742</c:v>
                </c:pt>
                <c:pt idx="3">
                  <c:v>13.6955735809623</c:v>
                </c:pt>
                <c:pt idx="4">
                  <c:v>13.695087172509</c:v>
                </c:pt>
                <c:pt idx="5">
                  <c:v>13.6944930203694</c:v>
                </c:pt>
                <c:pt idx="6">
                  <c:v>13.693792256737201</c:v>
                </c:pt>
                <c:pt idx="7">
                  <c:v>13.6929859598667</c:v>
                </c:pt>
                <c:pt idx="8">
                  <c:v>13.6920750896029</c:v>
                </c:pt>
                <c:pt idx="9">
                  <c:v>13.6910606509144</c:v>
                </c:pt>
                <c:pt idx="10">
                  <c:v>13.689943650014699</c:v>
                </c:pt>
                <c:pt idx="11">
                  <c:v>13.6887251003304</c:v>
                </c:pt>
                <c:pt idx="12">
                  <c:v>13.687406051516</c:v>
                </c:pt>
                <c:pt idx="13">
                  <c:v>13.685987454556701</c:v>
                </c:pt>
                <c:pt idx="14">
                  <c:v>13.684470374058799</c:v>
                </c:pt>
                <c:pt idx="15">
                  <c:v>13.682855837749999</c:v>
                </c:pt>
                <c:pt idx="16">
                  <c:v>13.681144880003</c:v>
                </c:pt>
                <c:pt idx="17">
                  <c:v>13.679338532660299</c:v>
                </c:pt>
                <c:pt idx="18">
                  <c:v>13.677437861820501</c:v>
                </c:pt>
                <c:pt idx="19">
                  <c:v>13.6754439127656</c:v>
                </c:pt>
                <c:pt idx="20">
                  <c:v>13.6732309379474</c:v>
                </c:pt>
                <c:pt idx="21">
                  <c:v>13.6707863832988</c:v>
                </c:pt>
                <c:pt idx="22">
                  <c:v>13.668234175909999</c:v>
                </c:pt>
                <c:pt idx="23">
                  <c:v>13.665577037797</c:v>
                </c:pt>
                <c:pt idx="24">
                  <c:v>13.6628178589327</c:v>
                </c:pt>
                <c:pt idx="25">
                  <c:v>13.6599596315698</c:v>
                </c:pt>
                <c:pt idx="26">
                  <c:v>13.6570050351381</c:v>
                </c:pt>
                <c:pt idx="27">
                  <c:v>13.6539570647471</c:v>
                </c:pt>
                <c:pt idx="28">
                  <c:v>13.6508185437572</c:v>
                </c:pt>
                <c:pt idx="29">
                  <c:v>13.647592420778199</c:v>
                </c:pt>
                <c:pt idx="30">
                  <c:v>13.6442814775729</c:v>
                </c:pt>
                <c:pt idx="31">
                  <c:v>13.6408887341248</c:v>
                </c:pt>
                <c:pt idx="32">
                  <c:v>13.6374171959988</c:v>
                </c:pt>
                <c:pt idx="33">
                  <c:v>13.6338696958612</c:v>
                </c:pt>
                <c:pt idx="34">
                  <c:v>13.630249816716301</c:v>
                </c:pt>
                <c:pt idx="35">
                  <c:v>13.626559475658301</c:v>
                </c:pt>
                <c:pt idx="36">
                  <c:v>13.6228022780658</c:v>
                </c:pt>
                <c:pt idx="37">
                  <c:v>13.6189807396922</c:v>
                </c:pt>
                <c:pt idx="38">
                  <c:v>13.615098126457401</c:v>
                </c:pt>
                <c:pt idx="39">
                  <c:v>13.611157545201801</c:v>
                </c:pt>
                <c:pt idx="40">
                  <c:v>13.606776832530601</c:v>
                </c:pt>
                <c:pt idx="41">
                  <c:v>13.6019262999499</c:v>
                </c:pt>
                <c:pt idx="42">
                  <c:v>13.5969826919765</c:v>
                </c:pt>
                <c:pt idx="43">
                  <c:v>13.5919504169745</c:v>
                </c:pt>
                <c:pt idx="44">
                  <c:v>13.586834570627699</c:v>
                </c:pt>
                <c:pt idx="45">
                  <c:v>13.581639817137001</c:v>
                </c:pt>
                <c:pt idx="46">
                  <c:v>13.576371029163701</c:v>
                </c:pt>
                <c:pt idx="47">
                  <c:v>13.571033504495</c:v>
                </c:pt>
                <c:pt idx="48">
                  <c:v>13.565631877785201</c:v>
                </c:pt>
                <c:pt idx="49">
                  <c:v>13.5601713673954</c:v>
                </c:pt>
                <c:pt idx="50">
                  <c:v>13.5546569321838</c:v>
                </c:pt>
                <c:pt idx="51">
                  <c:v>13.5490936477688</c:v>
                </c:pt>
                <c:pt idx="52">
                  <c:v>13.5434867295234</c:v>
                </c:pt>
                <c:pt idx="53">
                  <c:v>13.5378402386362</c:v>
                </c:pt>
                <c:pt idx="54">
                  <c:v>13.5321611186466</c:v>
                </c:pt>
                <c:pt idx="55">
                  <c:v>13.5264532552153</c:v>
                </c:pt>
                <c:pt idx="56">
                  <c:v>13.5207230836739</c:v>
                </c:pt>
                <c:pt idx="57">
                  <c:v>13.5149750715862</c:v>
                </c:pt>
                <c:pt idx="58">
                  <c:v>13.5092130512458</c:v>
                </c:pt>
                <c:pt idx="59">
                  <c:v>13.503440807539</c:v>
                </c:pt>
                <c:pt idx="60">
                  <c:v>13.4969804803817</c:v>
                </c:pt>
                <c:pt idx="61">
                  <c:v>13.4897884958901</c:v>
                </c:pt>
                <c:pt idx="62">
                  <c:v>13.482520605655001</c:v>
                </c:pt>
                <c:pt idx="63">
                  <c:v>13.4751815705035</c:v>
                </c:pt>
                <c:pt idx="64">
                  <c:v>13.467775741632</c:v>
                </c:pt>
                <c:pt idx="65">
                  <c:v>13.4602971306751</c:v>
                </c:pt>
                <c:pt idx="66">
                  <c:v>13.4527676223227</c:v>
                </c:pt>
                <c:pt idx="67">
                  <c:v>13.4451844973894</c:v>
                </c:pt>
                <c:pt idx="68">
                  <c:v>13.437553778855699</c:v>
                </c:pt>
                <c:pt idx="69">
                  <c:v>13.429879049398499</c:v>
                </c:pt>
                <c:pt idx="70">
                  <c:v>13.422167070259601</c:v>
                </c:pt>
                <c:pt idx="71">
                  <c:v>13.414418488301401</c:v>
                </c:pt>
                <c:pt idx="72">
                  <c:v>13.4066378942991</c:v>
                </c:pt>
                <c:pt idx="73">
                  <c:v>13.398833647243301</c:v>
                </c:pt>
                <c:pt idx="74">
                  <c:v>13.3910126024559</c:v>
                </c:pt>
                <c:pt idx="75">
                  <c:v>13.383175116492801</c:v>
                </c:pt>
                <c:pt idx="76">
                  <c:v>13.3753271179755</c:v>
                </c:pt>
                <c:pt idx="77">
                  <c:v>13.367475158050899</c:v>
                </c:pt>
                <c:pt idx="78">
                  <c:v>13.359624801774601</c:v>
                </c:pt>
                <c:pt idx="79">
                  <c:v>13.351780177260499</c:v>
                </c:pt>
                <c:pt idx="80">
                  <c:v>13.3430492651822</c:v>
                </c:pt>
                <c:pt idx="81">
                  <c:v>13.3333919940331</c:v>
                </c:pt>
                <c:pt idx="82">
                  <c:v>13.3237048248742</c:v>
                </c:pt>
                <c:pt idx="83">
                  <c:v>13.313995431583001</c:v>
                </c:pt>
                <c:pt idx="84">
                  <c:v>13.304273338201901</c:v>
                </c:pt>
                <c:pt idx="85">
                  <c:v>13.2945256852604</c:v>
                </c:pt>
                <c:pt idx="86">
                  <c:v>13.2847901424241</c:v>
                </c:pt>
                <c:pt idx="87">
                  <c:v>13.2750605781834</c:v>
                </c:pt>
                <c:pt idx="88">
                  <c:v>13.2653400996254</c:v>
                </c:pt>
                <c:pt idx="89">
                  <c:v>13.2556340507185</c:v>
                </c:pt>
                <c:pt idx="90">
                  <c:v>13.2459519421897</c:v>
                </c:pt>
                <c:pt idx="91">
                  <c:v>13.236301787418499</c:v>
                </c:pt>
                <c:pt idx="92">
                  <c:v>13.2266893432319</c:v>
                </c:pt>
                <c:pt idx="93">
                  <c:v>13.217122327912</c:v>
                </c:pt>
                <c:pt idx="94">
                  <c:v>13.2076056060603</c:v>
                </c:pt>
                <c:pt idx="95">
                  <c:v>13.1981482484743</c:v>
                </c:pt>
                <c:pt idx="96">
                  <c:v>13.188759353968701</c:v>
                </c:pt>
                <c:pt idx="97">
                  <c:v>13.179444415469501</c:v>
                </c:pt>
                <c:pt idx="98">
                  <c:v>13.1702108524668</c:v>
                </c:pt>
                <c:pt idx="99">
                  <c:v>13.161066594102699</c:v>
                </c:pt>
                <c:pt idx="100">
                  <c:v>13.149762975155401</c:v>
                </c:pt>
                <c:pt idx="101">
                  <c:v>13.136304830377901</c:v>
                </c:pt>
                <c:pt idx="102">
                  <c:v>13.122958164976399</c:v>
                </c:pt>
                <c:pt idx="103">
                  <c:v>13.109744534395499</c:v>
                </c:pt>
                <c:pt idx="104">
                  <c:v>13.0966780242876</c:v>
                </c:pt>
                <c:pt idx="105">
                  <c:v>13.0837726809347</c:v>
                </c:pt>
                <c:pt idx="106">
                  <c:v>13.071044775138599</c:v>
                </c:pt>
                <c:pt idx="107">
                  <c:v>13.058510620695399</c:v>
                </c:pt>
                <c:pt idx="108">
                  <c:v>13.0461924766972</c:v>
                </c:pt>
                <c:pt idx="109">
                  <c:v>13.0341075135621</c:v>
                </c:pt>
                <c:pt idx="110">
                  <c:v>13.022294281699599</c:v>
                </c:pt>
                <c:pt idx="111">
                  <c:v>13.0107327855394</c:v>
                </c:pt>
                <c:pt idx="112">
                  <c:v>12.9994452317632</c:v>
                </c:pt>
                <c:pt idx="113">
                  <c:v>12.988464104553699</c:v>
                </c:pt>
                <c:pt idx="114">
                  <c:v>12.9778026113714</c:v>
                </c:pt>
                <c:pt idx="115">
                  <c:v>12.9674791367485</c:v>
                </c:pt>
                <c:pt idx="116">
                  <c:v>12.957512908256801</c:v>
                </c:pt>
                <c:pt idx="117">
                  <c:v>12.947923155468599</c:v>
                </c:pt>
                <c:pt idx="118">
                  <c:v>12.938742226069399</c:v>
                </c:pt>
                <c:pt idx="119">
                  <c:v>12.9299643930486</c:v>
                </c:pt>
                <c:pt idx="120">
                  <c:v>12.9177706401058</c:v>
                </c:pt>
                <c:pt idx="121">
                  <c:v>12.9018493547714</c:v>
                </c:pt>
                <c:pt idx="122">
                  <c:v>12.8859322693088</c:v>
                </c:pt>
                <c:pt idx="123">
                  <c:v>12.870020426558799</c:v>
                </c:pt>
                <c:pt idx="124">
                  <c:v>12.854130165041299</c:v>
                </c:pt>
                <c:pt idx="125">
                  <c:v>12.838273407045</c:v>
                </c:pt>
                <c:pt idx="126">
                  <c:v>12.822461977906601</c:v>
                </c:pt>
                <c:pt idx="127">
                  <c:v>12.806710347853</c:v>
                </c:pt>
                <c:pt idx="128">
                  <c:v>12.791020563369599</c:v>
                </c:pt>
                <c:pt idx="129">
                  <c:v>12.7754076134046</c:v>
                </c:pt>
                <c:pt idx="130">
                  <c:v>12.759888684877399</c:v>
                </c:pt>
                <c:pt idx="131">
                  <c:v>12.744465997620599</c:v>
                </c:pt>
                <c:pt idx="132">
                  <c:v>12.7291538804671</c:v>
                </c:pt>
                <c:pt idx="133">
                  <c:v>12.713967647655499</c:v>
                </c:pt>
                <c:pt idx="134">
                  <c:v>12.6989200466602</c:v>
                </c:pt>
                <c:pt idx="135">
                  <c:v>12.684026188683999</c:v>
                </c:pt>
                <c:pt idx="136">
                  <c:v>12.669303167366399</c:v>
                </c:pt>
                <c:pt idx="137">
                  <c:v>12.6547588577382</c:v>
                </c:pt>
                <c:pt idx="138">
                  <c:v>12.6404156470286</c:v>
                </c:pt>
                <c:pt idx="139">
                  <c:v>12.626279439801101</c:v>
                </c:pt>
                <c:pt idx="140">
                  <c:v>12.6133315616202</c:v>
                </c:pt>
                <c:pt idx="141">
                  <c:v>12.601127508005201</c:v>
                </c:pt>
                <c:pt idx="142">
                  <c:v>12.588498392211401</c:v>
                </c:pt>
                <c:pt idx="143">
                  <c:v>12.575416610656101</c:v>
                </c:pt>
                <c:pt idx="144">
                  <c:v>12.561884613670999</c:v>
                </c:pt>
                <c:pt idx="145">
                  <c:v>12.547884502665299</c:v>
                </c:pt>
                <c:pt idx="146">
                  <c:v>12.533403573705399</c:v>
                </c:pt>
                <c:pt idx="147">
                  <c:v>12.518433012877299</c:v>
                </c:pt>
                <c:pt idx="148">
                  <c:v>12.5029724802381</c:v>
                </c:pt>
                <c:pt idx="149">
                  <c:v>12.486997332172701</c:v>
                </c:pt>
                <c:pt idx="150">
                  <c:v>12.470519032096099</c:v>
                </c:pt>
                <c:pt idx="151">
                  <c:v>12.453504673913701</c:v>
                </c:pt>
                <c:pt idx="152">
                  <c:v>12.4359632370247</c:v>
                </c:pt>
                <c:pt idx="153">
                  <c:v>12.417884906932301</c:v>
                </c:pt>
                <c:pt idx="154">
                  <c:v>12.399259409842401</c:v>
                </c:pt>
                <c:pt idx="155">
                  <c:v>12.380078150381401</c:v>
                </c:pt>
                <c:pt idx="156">
                  <c:v>12.360338112436599</c:v>
                </c:pt>
                <c:pt idx="157">
                  <c:v>12.340047342398201</c:v>
                </c:pt>
                <c:pt idx="158">
                  <c:v>12.319191723070899</c:v>
                </c:pt>
                <c:pt idx="159">
                  <c:v>12.2977737034448</c:v>
                </c:pt>
                <c:pt idx="160">
                  <c:v>12.274856342715101</c:v>
                </c:pt>
                <c:pt idx="161">
                  <c:v>12.2513806876646</c:v>
                </c:pt>
                <c:pt idx="162">
                  <c:v>12.2286783181363</c:v>
                </c:pt>
                <c:pt idx="163">
                  <c:v>12.2068066036676</c:v>
                </c:pt>
                <c:pt idx="164">
                  <c:v>12.1857985752016</c:v>
                </c:pt>
                <c:pt idx="165">
                  <c:v>12.165706257533101</c:v>
                </c:pt>
                <c:pt idx="166">
                  <c:v>12.1465886848952</c:v>
                </c:pt>
                <c:pt idx="167">
                  <c:v>12.128496502643699</c:v>
                </c:pt>
                <c:pt idx="168">
                  <c:v>12.1114989074419</c:v>
                </c:pt>
                <c:pt idx="169">
                  <c:v>12.0956030423432</c:v>
                </c:pt>
                <c:pt idx="170">
                  <c:v>12.0808824735514</c:v>
                </c:pt>
                <c:pt idx="171">
                  <c:v>12.0674001072883</c:v>
                </c:pt>
                <c:pt idx="172">
                  <c:v>12.055214020248901</c:v>
                </c:pt>
                <c:pt idx="173">
                  <c:v>12.044383575065201</c:v>
                </c:pt>
                <c:pt idx="174">
                  <c:v>12.034985756919401</c:v>
                </c:pt>
                <c:pt idx="175">
                  <c:v>12.0270593820762</c:v>
                </c:pt>
                <c:pt idx="176">
                  <c:v>12.020687550208701</c:v>
                </c:pt>
                <c:pt idx="177">
                  <c:v>12.015924235374399</c:v>
                </c:pt>
                <c:pt idx="178">
                  <c:v>12.0128401493411</c:v>
                </c:pt>
                <c:pt idx="179">
                  <c:v>12.0115254478414</c:v>
                </c:pt>
                <c:pt idx="180">
                  <c:v>11.9910140335063</c:v>
                </c:pt>
                <c:pt idx="181">
                  <c:v>11.9505613751965</c:v>
                </c:pt>
                <c:pt idx="182">
                  <c:v>11.9108844939507</c:v>
                </c:pt>
                <c:pt idx="183">
                  <c:v>11.872057624473999</c:v>
                </c:pt>
                <c:pt idx="184">
                  <c:v>11.834140948884</c:v>
                </c:pt>
                <c:pt idx="185">
                  <c:v>11.7971848323511</c:v>
                </c:pt>
                <c:pt idx="186">
                  <c:v>11.7612478127309</c:v>
                </c:pt>
                <c:pt idx="187">
                  <c:v>11.7264152396029</c:v>
                </c:pt>
                <c:pt idx="188">
                  <c:v>11.692757380419801</c:v>
                </c:pt>
                <c:pt idx="189">
                  <c:v>11.660321521815201</c:v>
                </c:pt>
                <c:pt idx="190">
                  <c:v>11.629169800762</c:v>
                </c:pt>
                <c:pt idx="191">
                  <c:v>11.5993791079845</c:v>
                </c:pt>
                <c:pt idx="192">
                  <c:v>11.5710092164303</c:v>
                </c:pt>
                <c:pt idx="193">
                  <c:v>11.5441260391984</c:v>
                </c:pt>
                <c:pt idx="194">
                  <c:v>11.5188090847972</c:v>
                </c:pt>
                <c:pt idx="195">
                  <c:v>11.495117873364601</c:v>
                </c:pt>
                <c:pt idx="196">
                  <c:v>11.4731338735796</c:v>
                </c:pt>
                <c:pt idx="197">
                  <c:v>11.452919747711301</c:v>
                </c:pt>
                <c:pt idx="198">
                  <c:v>11.4345489909959</c:v>
                </c:pt>
                <c:pt idx="199">
                  <c:v>11.4181072921654</c:v>
                </c:pt>
                <c:pt idx="200">
                  <c:v>11.4309026242599</c:v>
                </c:pt>
                <c:pt idx="201">
                  <c:v>11.465856288068199</c:v>
                </c:pt>
                <c:pt idx="202">
                  <c:v>11.492628794426601</c:v>
                </c:pt>
                <c:pt idx="203">
                  <c:v>11.511072447733</c:v>
                </c:pt>
                <c:pt idx="204">
                  <c:v>11.5208757304892</c:v>
                </c:pt>
                <c:pt idx="205">
                  <c:v>11.521892520803201</c:v>
                </c:pt>
                <c:pt idx="206">
                  <c:v>11.513903808796</c:v>
                </c:pt>
                <c:pt idx="207">
                  <c:v>11.4967457196531</c:v>
                </c:pt>
                <c:pt idx="208">
                  <c:v>11.4702326596804</c:v>
                </c:pt>
                <c:pt idx="209">
                  <c:v>11.434172497881001</c:v>
                </c:pt>
                <c:pt idx="210">
                  <c:v>11.3883533914357</c:v>
                </c:pt>
                <c:pt idx="211">
                  <c:v>11.3326145691435</c:v>
                </c:pt>
                <c:pt idx="212">
                  <c:v>11.266793214956699</c:v>
                </c:pt>
                <c:pt idx="213">
                  <c:v>11.1906726328102</c:v>
                </c:pt>
                <c:pt idx="214">
                  <c:v>11.104101226025501</c:v>
                </c:pt>
                <c:pt idx="215">
                  <c:v>11.006895315820801</c:v>
                </c:pt>
                <c:pt idx="216">
                  <c:v>10.8988908294039</c:v>
                </c:pt>
                <c:pt idx="217">
                  <c:v>10.7799116234417</c:v>
                </c:pt>
                <c:pt idx="218">
                  <c:v>10.649791331630601</c:v>
                </c:pt>
                <c:pt idx="219">
                  <c:v>10.5083578732884</c:v>
                </c:pt>
                <c:pt idx="220">
                  <c:v>10.477736469055801</c:v>
                </c:pt>
                <c:pt idx="221">
                  <c:v>10.5600272163318</c:v>
                </c:pt>
                <c:pt idx="222">
                  <c:v>10.6337944972556</c:v>
                </c:pt>
                <c:pt idx="223">
                  <c:v>10.6989771553244</c:v>
                </c:pt>
                <c:pt idx="224">
                  <c:v>10.7555272550994</c:v>
                </c:pt>
                <c:pt idx="225">
                  <c:v>10.8033711988765</c:v>
                </c:pt>
                <c:pt idx="226">
                  <c:v>10.842493603751</c:v>
                </c:pt>
                <c:pt idx="227">
                  <c:v>10.872916753209999</c:v>
                </c:pt>
                <c:pt idx="228">
                  <c:v>10.894638103436099</c:v>
                </c:pt>
                <c:pt idx="229">
                  <c:v>10.9076674355093</c:v>
                </c:pt>
                <c:pt idx="230">
                  <c:v>10.9120851213133</c:v>
                </c:pt>
                <c:pt idx="231">
                  <c:v>10.9079618365058</c:v>
                </c:pt>
                <c:pt idx="232">
                  <c:v>10.895361866606899</c:v>
                </c:pt>
                <c:pt idx="233">
                  <c:v>10.874376958027799</c:v>
                </c:pt>
                <c:pt idx="234">
                  <c:v>10.8451603117479</c:v>
                </c:pt>
                <c:pt idx="235">
                  <c:v>10.8078371503791</c:v>
                </c:pt>
                <c:pt idx="236">
                  <c:v>10.7625386965454</c:v>
                </c:pt>
                <c:pt idx="237">
                  <c:v>10.709432375736201</c:v>
                </c:pt>
                <c:pt idx="238">
                  <c:v>10.6487441615721</c:v>
                </c:pt>
                <c:pt idx="239">
                  <c:v>10.5806518544578</c:v>
                </c:pt>
                <c:pt idx="240">
                  <c:v>10.490574473524299</c:v>
                </c:pt>
                <c:pt idx="241">
                  <c:v>10.3853083395434</c:v>
                </c:pt>
                <c:pt idx="242">
                  <c:v>10.282604196738999</c:v>
                </c:pt>
                <c:pt idx="243">
                  <c:v>10.182704926202501</c:v>
                </c:pt>
                <c:pt idx="244">
                  <c:v>10.0858772693361</c:v>
                </c:pt>
                <c:pt idx="245">
                  <c:v>9.9923416092598298</c:v>
                </c:pt>
                <c:pt idx="246">
                  <c:v>9.9024031448176508</c:v>
                </c:pt>
                <c:pt idx="247">
                  <c:v>9.8163563636356201</c:v>
                </c:pt>
                <c:pt idx="248">
                  <c:v>9.7345450504604205</c:v>
                </c:pt>
                <c:pt idx="249">
                  <c:v>9.6571890134151097</c:v>
                </c:pt>
                <c:pt idx="250">
                  <c:v>9.5847122680824892</c:v>
                </c:pt>
                <c:pt idx="251">
                  <c:v>9.5173226599346403</c:v>
                </c:pt>
                <c:pt idx="252">
                  <c:v>9.4553726238557907</c:v>
                </c:pt>
                <c:pt idx="253">
                  <c:v>9.3991622530316903</c:v>
                </c:pt>
                <c:pt idx="254">
                  <c:v>9.3490018306378708</c:v>
                </c:pt>
                <c:pt idx="255">
                  <c:v>9.3052165835453593</c:v>
                </c:pt>
                <c:pt idx="256">
                  <c:v>9.2680418091812307</c:v>
                </c:pt>
                <c:pt idx="257">
                  <c:v>9.2377981709255206</c:v>
                </c:pt>
                <c:pt idx="258">
                  <c:v>9.2148056595328907</c:v>
                </c:pt>
                <c:pt idx="259">
                  <c:v>9.1991795721460807</c:v>
                </c:pt>
                <c:pt idx="260">
                  <c:v>9.5497281317336107</c:v>
                </c:pt>
                <c:pt idx="261">
                  <c:v>10.184095452738701</c:v>
                </c:pt>
                <c:pt idx="262">
                  <c:v>10.7082104192359</c:v>
                </c:pt>
                <c:pt idx="263">
                  <c:v>11.1196177100603</c:v>
                </c:pt>
                <c:pt idx="264">
                  <c:v>11.4160475201371</c:v>
                </c:pt>
                <c:pt idx="265">
                  <c:v>11.5953174033625</c:v>
                </c:pt>
                <c:pt idx="266">
                  <c:v>11.6550654147121</c:v>
                </c:pt>
                <c:pt idx="267">
                  <c:v>11.5930979190899</c:v>
                </c:pt>
                <c:pt idx="268">
                  <c:v>11.4071480319906</c:v>
                </c:pt>
                <c:pt idx="269">
                  <c:v>11.094965863757899</c:v>
                </c:pt>
                <c:pt idx="270">
                  <c:v>10.654218842942401</c:v>
                </c:pt>
                <c:pt idx="271">
                  <c:v>10.0826730292078</c:v>
                </c:pt>
                <c:pt idx="272">
                  <c:v>9.3779374493658594</c:v>
                </c:pt>
                <c:pt idx="273">
                  <c:v>8.5375904261311408</c:v>
                </c:pt>
                <c:pt idx="274">
                  <c:v>7.5591700581752104</c:v>
                </c:pt>
                <c:pt idx="275">
                  <c:v>6.4402609574548597</c:v>
                </c:pt>
                <c:pt idx="276">
                  <c:v>5.1782028436446703</c:v>
                </c:pt>
                <c:pt idx="277">
                  <c:v>3.7705543546619</c:v>
                </c:pt>
                <c:pt idx="278">
                  <c:v>2.2143838461599401</c:v>
                </c:pt>
                <c:pt idx="279">
                  <c:v>0.50680817270954504</c:v>
                </c:pt>
                <c:pt idx="280">
                  <c:v>1.5060929684018001</c:v>
                </c:pt>
                <c:pt idx="281">
                  <c:v>5.0031737686790203</c:v>
                </c:pt>
                <c:pt idx="282">
                  <c:v>8.0469906227784698</c:v>
                </c:pt>
                <c:pt idx="283">
                  <c:v>10.6323352222189</c:v>
                </c:pt>
                <c:pt idx="284">
                  <c:v>12.754546069974801</c:v>
                </c:pt>
                <c:pt idx="285">
                  <c:v>14.4094126726576</c:v>
                </c:pt>
                <c:pt idx="286">
                  <c:v>15.5932062075874</c:v>
                </c:pt>
                <c:pt idx="287">
                  <c:v>16.3026348604247</c:v>
                </c:pt>
                <c:pt idx="288">
                  <c:v>16.534722919764299</c:v>
                </c:pt>
                <c:pt idx="289">
                  <c:v>16.286938367280101</c:v>
                </c:pt>
                <c:pt idx="290">
                  <c:v>15.557481512651</c:v>
                </c:pt>
                <c:pt idx="291">
                  <c:v>14.3449037500089</c:v>
                </c:pt>
                <c:pt idx="292">
                  <c:v>12.647695306785</c:v>
                </c:pt>
                <c:pt idx="293">
                  <c:v>10.4654582498196</c:v>
                </c:pt>
                <c:pt idx="294">
                  <c:v>7.7977590994818602</c:v>
                </c:pt>
                <c:pt idx="295">
                  <c:v>4.6448689836522901</c:v>
                </c:pt>
                <c:pt idx="296">
                  <c:v>1.0080022499980901</c:v>
                </c:pt>
                <c:pt idx="297">
                  <c:v>-3.1124546414286698</c:v>
                </c:pt>
                <c:pt idx="298">
                  <c:v>-7.7148876104311404</c:v>
                </c:pt>
                <c:pt idx="299">
                  <c:v>-12.797763663025099</c:v>
                </c:pt>
                <c:pt idx="300">
                  <c:v>-11.2486543254222</c:v>
                </c:pt>
                <c:pt idx="301">
                  <c:v>-3.5000695964838702</c:v>
                </c:pt>
                <c:pt idx="302">
                  <c:v>3.1614025854348902</c:v>
                </c:pt>
                <c:pt idx="303">
                  <c:v>8.7365378812205101</c:v>
                </c:pt>
                <c:pt idx="304">
                  <c:v>13.2301104618815</c:v>
                </c:pt>
                <c:pt idx="305">
                  <c:v>16.646962548707901</c:v>
                </c:pt>
                <c:pt idx="306">
                  <c:v>18.993477461753301</c:v>
                </c:pt>
                <c:pt idx="307">
                  <c:v>20.278206922886</c:v>
                </c:pt>
                <c:pt idx="308">
                  <c:v>20.508901160333899</c:v>
                </c:pt>
                <c:pt idx="309">
                  <c:v>19.6957342761267</c:v>
                </c:pt>
                <c:pt idx="310">
                  <c:v>17.8496433211976</c:v>
                </c:pt>
                <c:pt idx="311">
                  <c:v>14.98845130386</c:v>
                </c:pt>
                <c:pt idx="312">
                  <c:v>11.1151836276743</c:v>
                </c:pt>
                <c:pt idx="313">
                  <c:v>6.2572783933278302</c:v>
                </c:pt>
                <c:pt idx="314">
                  <c:v>0.399605454491542</c:v>
                </c:pt>
                <c:pt idx="315">
                  <c:v>-6.4247124070033097</c:v>
                </c:pt>
                <c:pt idx="316">
                  <c:v>-14.1671585551797</c:v>
                </c:pt>
                <c:pt idx="317">
                  <c:v>-22.850765490286001</c:v>
                </c:pt>
                <c:pt idx="318">
                  <c:v>-32.2977723302782</c:v>
                </c:pt>
                <c:pt idx="319">
                  <c:v>-43.338106780593399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4D-4CE6-B242-5AA0786F0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556208"/>
        <c:axId val="1801559568"/>
      </c:scatterChart>
      <c:valAx>
        <c:axId val="180155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1559568"/>
        <c:crosses val="autoZero"/>
        <c:crossBetween val="midCat"/>
      </c:valAx>
      <c:valAx>
        <c:axId val="180155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155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38100">
              <a:noFill/>
            </a:ln>
          </c:spPr>
          <c:xVal>
            <c:numRef>
              <c:f>final3!$AM$13:$AM$61</c:f>
              <c:numCache>
                <c:formatCode>0.00E+00</c:formatCode>
                <c:ptCount val="49"/>
                <c:pt idx="0">
                  <c:v>0</c:v>
                </c:pt>
                <c:pt idx="1">
                  <c:v>2.0833399999999998E-2</c:v>
                </c:pt>
                <c:pt idx="2">
                  <c:v>4.1666599999999998E-2</c:v>
                </c:pt>
                <c:pt idx="3">
                  <c:v>6.25E-2</c:v>
                </c:pt>
                <c:pt idx="4">
                  <c:v>8.3333400000000002E-2</c:v>
                </c:pt>
                <c:pt idx="5">
                  <c:v>0.1041666</c:v>
                </c:pt>
                <c:pt idx="6">
                  <c:v>0.125</c:v>
                </c:pt>
                <c:pt idx="7">
                  <c:v>0.1458334</c:v>
                </c:pt>
                <c:pt idx="8">
                  <c:v>0.1666666</c:v>
                </c:pt>
                <c:pt idx="9">
                  <c:v>0.1875</c:v>
                </c:pt>
                <c:pt idx="10">
                  <c:v>0.20833399999999999</c:v>
                </c:pt>
                <c:pt idx="11">
                  <c:v>0.22916600000000001</c:v>
                </c:pt>
                <c:pt idx="12">
                  <c:v>0.25</c:v>
                </c:pt>
                <c:pt idx="13">
                  <c:v>0.27083400000000002</c:v>
                </c:pt>
                <c:pt idx="14">
                  <c:v>0.29166599999999998</c:v>
                </c:pt>
                <c:pt idx="15">
                  <c:v>0.3125</c:v>
                </c:pt>
                <c:pt idx="16">
                  <c:v>0.33333400000000002</c:v>
                </c:pt>
                <c:pt idx="17">
                  <c:v>0.35416599999999998</c:v>
                </c:pt>
                <c:pt idx="18">
                  <c:v>0.375</c:v>
                </c:pt>
                <c:pt idx="19">
                  <c:v>0.39583400000000002</c:v>
                </c:pt>
                <c:pt idx="20">
                  <c:v>0.41666599999999998</c:v>
                </c:pt>
                <c:pt idx="21">
                  <c:v>0.4375</c:v>
                </c:pt>
                <c:pt idx="22">
                  <c:v>0.45833400000000002</c:v>
                </c:pt>
                <c:pt idx="23">
                  <c:v>0.47916599999999998</c:v>
                </c:pt>
                <c:pt idx="24">
                  <c:v>0.5</c:v>
                </c:pt>
                <c:pt idx="25">
                  <c:v>0.52083400000000002</c:v>
                </c:pt>
                <c:pt idx="26">
                  <c:v>0.54166599999999998</c:v>
                </c:pt>
                <c:pt idx="27">
                  <c:v>0.5625</c:v>
                </c:pt>
                <c:pt idx="28">
                  <c:v>0.58333400000000002</c:v>
                </c:pt>
                <c:pt idx="29">
                  <c:v>0.60416599999999998</c:v>
                </c:pt>
                <c:pt idx="30">
                  <c:v>0.625</c:v>
                </c:pt>
                <c:pt idx="31">
                  <c:v>0.64583400000000002</c:v>
                </c:pt>
                <c:pt idx="32">
                  <c:v>0.66666599999999998</c:v>
                </c:pt>
                <c:pt idx="33">
                  <c:v>0.6875</c:v>
                </c:pt>
                <c:pt idx="34">
                  <c:v>0.70833400000000002</c:v>
                </c:pt>
                <c:pt idx="35">
                  <c:v>0.72916599999999998</c:v>
                </c:pt>
                <c:pt idx="36">
                  <c:v>0.75</c:v>
                </c:pt>
                <c:pt idx="37">
                  <c:v>0.77083400000000002</c:v>
                </c:pt>
                <c:pt idx="38">
                  <c:v>0.79166599999999998</c:v>
                </c:pt>
                <c:pt idx="39">
                  <c:v>0.8125</c:v>
                </c:pt>
                <c:pt idx="40">
                  <c:v>0.83333400000000002</c:v>
                </c:pt>
                <c:pt idx="41">
                  <c:v>0.85416599999999998</c:v>
                </c:pt>
                <c:pt idx="42">
                  <c:v>0.875</c:v>
                </c:pt>
                <c:pt idx="43">
                  <c:v>0.89583400000000002</c:v>
                </c:pt>
                <c:pt idx="44">
                  <c:v>0.91666599999999998</c:v>
                </c:pt>
                <c:pt idx="45">
                  <c:v>0.9375</c:v>
                </c:pt>
                <c:pt idx="46">
                  <c:v>0.95833400000000002</c:v>
                </c:pt>
                <c:pt idx="47">
                  <c:v>0.97916599999999998</c:v>
                </c:pt>
                <c:pt idx="48">
                  <c:v>1</c:v>
                </c:pt>
              </c:numCache>
            </c:numRef>
          </c:xVal>
          <c:yVal>
            <c:numRef>
              <c:f>final3!$AN$13:$AN$61</c:f>
              <c:numCache>
                <c:formatCode>0.00E+00</c:formatCode>
                <c:ptCount val="49"/>
                <c:pt idx="0">
                  <c:v>13.433400000000001</c:v>
                </c:pt>
                <c:pt idx="1">
                  <c:v>13.428599999999999</c:v>
                </c:pt>
                <c:pt idx="2">
                  <c:v>13.4238</c:v>
                </c:pt>
                <c:pt idx="3">
                  <c:v>13.4094</c:v>
                </c:pt>
                <c:pt idx="4">
                  <c:v>13.3949</c:v>
                </c:pt>
                <c:pt idx="5">
                  <c:v>13.370900000000001</c:v>
                </c:pt>
                <c:pt idx="6">
                  <c:v>13.3468</c:v>
                </c:pt>
                <c:pt idx="7">
                  <c:v>13.3131</c:v>
                </c:pt>
                <c:pt idx="8">
                  <c:v>13.279500000000001</c:v>
                </c:pt>
                <c:pt idx="9">
                  <c:v>13.2361</c:v>
                </c:pt>
                <c:pt idx="10">
                  <c:v>13.1928</c:v>
                </c:pt>
                <c:pt idx="11">
                  <c:v>13.139799999999999</c:v>
                </c:pt>
                <c:pt idx="12">
                  <c:v>13.0869</c:v>
                </c:pt>
                <c:pt idx="13">
                  <c:v>13.0242</c:v>
                </c:pt>
                <c:pt idx="14">
                  <c:v>12.961499999999999</c:v>
                </c:pt>
                <c:pt idx="15">
                  <c:v>12.889099999999999</c:v>
                </c:pt>
                <c:pt idx="16">
                  <c:v>12.816800000000001</c:v>
                </c:pt>
                <c:pt idx="17">
                  <c:v>12.7346</c:v>
                </c:pt>
                <c:pt idx="18">
                  <c:v>12.6524</c:v>
                </c:pt>
                <c:pt idx="19">
                  <c:v>12.5604</c:v>
                </c:pt>
                <c:pt idx="20">
                  <c:v>12.468299999999999</c:v>
                </c:pt>
                <c:pt idx="21">
                  <c:v>12.366099999999999</c:v>
                </c:pt>
                <c:pt idx="22">
                  <c:v>12.2639</c:v>
                </c:pt>
                <c:pt idx="23">
                  <c:v>12.151300000000001</c:v>
                </c:pt>
                <c:pt idx="24">
                  <c:v>12.0387</c:v>
                </c:pt>
                <c:pt idx="25">
                  <c:v>11.915100000000001</c:v>
                </c:pt>
                <c:pt idx="26">
                  <c:v>11.791499999999999</c:v>
                </c:pt>
                <c:pt idx="27">
                  <c:v>11.656000000000001</c:v>
                </c:pt>
                <c:pt idx="28">
                  <c:v>11.5205</c:v>
                </c:pt>
                <c:pt idx="29">
                  <c:v>11.3714</c:v>
                </c:pt>
                <c:pt idx="30">
                  <c:v>11.222300000000001</c:v>
                </c:pt>
                <c:pt idx="31">
                  <c:v>11.0572</c:v>
                </c:pt>
                <c:pt idx="32">
                  <c:v>10.891999999999999</c:v>
                </c:pt>
                <c:pt idx="33">
                  <c:v>10.707599999999999</c:v>
                </c:pt>
                <c:pt idx="34">
                  <c:v>10.523099999999999</c:v>
                </c:pt>
                <c:pt idx="35">
                  <c:v>10.3154</c:v>
                </c:pt>
                <c:pt idx="36">
                  <c:v>10.1076</c:v>
                </c:pt>
                <c:pt idx="37">
                  <c:v>9.8723100000000006</c:v>
                </c:pt>
                <c:pt idx="38">
                  <c:v>9.6369900000000008</c:v>
                </c:pt>
                <c:pt idx="39">
                  <c:v>9.3722799999999999</c:v>
                </c:pt>
                <c:pt idx="40">
                  <c:v>9.1075700000000008</c:v>
                </c:pt>
                <c:pt idx="41">
                  <c:v>8.8015799999999995</c:v>
                </c:pt>
                <c:pt idx="42">
                  <c:v>8.4955999999999996</c:v>
                </c:pt>
                <c:pt idx="43">
                  <c:v>8.2087299999999992</c:v>
                </c:pt>
                <c:pt idx="44">
                  <c:v>7.9218599999999997</c:v>
                </c:pt>
                <c:pt idx="45">
                  <c:v>6.7829300000000003</c:v>
                </c:pt>
                <c:pt idx="46">
                  <c:v>5.6440000000000001</c:v>
                </c:pt>
                <c:pt idx="47">
                  <c:v>5.7351599999999996</c:v>
                </c:pt>
                <c:pt idx="48">
                  <c:v>5.8263100000000003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84A-40B7-A055-EE33FEB2352B}"/>
            </c:ext>
          </c:extLst>
        </c:ser>
        <c:ser>
          <c:idx val="2"/>
          <c:order val="1"/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xVal>
            <c:numRef>
              <c:f>final3!$L$19:$L$34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final3!$M$19:$M$34</c:f>
              <c:numCache>
                <c:formatCode>0.00E+00</c:formatCode>
                <c:ptCount val="16"/>
                <c:pt idx="0">
                  <c:v>14.30174308305665</c:v>
                </c:pt>
                <c:pt idx="1">
                  <c:v>14.260808799000401</c:v>
                </c:pt>
                <c:pt idx="2">
                  <c:v>14.1549328641548</c:v>
                </c:pt>
                <c:pt idx="3">
                  <c:v>14.2219783910822</c:v>
                </c:pt>
                <c:pt idx="4">
                  <c:v>13.8279349423353</c:v>
                </c:pt>
                <c:pt idx="5">
                  <c:v>13.57069714619605</c:v>
                </c:pt>
                <c:pt idx="6">
                  <c:v>13.5537890030336</c:v>
                </c:pt>
                <c:pt idx="7">
                  <c:v>12.96523103464475</c:v>
                </c:pt>
                <c:pt idx="8">
                  <c:v>12.5485241564412</c:v>
                </c:pt>
                <c:pt idx="9">
                  <c:v>12.2552726926801</c:v>
                </c:pt>
                <c:pt idx="10">
                  <c:v>11.7645954220866</c:v>
                </c:pt>
                <c:pt idx="11">
                  <c:v>11.096257404845501</c:v>
                </c:pt>
                <c:pt idx="12">
                  <c:v>10.54134429602575</c:v>
                </c:pt>
                <c:pt idx="13">
                  <c:v>8.9924716634169997</c:v>
                </c:pt>
                <c:pt idx="14">
                  <c:v>9.1911470412146006</c:v>
                </c:pt>
                <c:pt idx="15">
                  <c:v>5.1914766427063004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S-IGA no blending</c:v>
                </c15:tx>
              </c15:filteredSeriesTitle>
            </c:ext>
            <c:ext xmlns:c16="http://schemas.microsoft.com/office/drawing/2014/chart" uri="{C3380CC4-5D6E-409C-BE32-E72D297353CC}">
              <c16:uniqueId val="{00000010-E84A-40B7-A055-EE33FEB2352B}"/>
            </c:ext>
          </c:extLst>
        </c:ser>
        <c:ser>
          <c:idx val="3"/>
          <c:order val="2"/>
          <c:spPr>
            <a:ln w="15875">
              <a:solidFill>
                <a:srgbClr val="00B0F0"/>
              </a:solidFill>
            </a:ln>
          </c:spPr>
          <c:xVal>
            <c:numRef>
              <c:f>final3!$L$36:$L$51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final3!$M$36:$M$51</c:f>
              <c:numCache>
                <c:formatCode>0.00E+00</c:formatCode>
                <c:ptCount val="16"/>
                <c:pt idx="0">
                  <c:v>14.120291127694349</c:v>
                </c:pt>
                <c:pt idx="1">
                  <c:v>14.087871536766199</c:v>
                </c:pt>
                <c:pt idx="2">
                  <c:v>13.981753919954301</c:v>
                </c:pt>
                <c:pt idx="3">
                  <c:v>14.045536266658999</c:v>
                </c:pt>
                <c:pt idx="4">
                  <c:v>13.654673014672451</c:v>
                </c:pt>
                <c:pt idx="5">
                  <c:v>13.387462400913099</c:v>
                </c:pt>
                <c:pt idx="6">
                  <c:v>13.36344807206725</c:v>
                </c:pt>
                <c:pt idx="7">
                  <c:v>12.776515448340851</c:v>
                </c:pt>
                <c:pt idx="8">
                  <c:v>12.375214643057051</c:v>
                </c:pt>
                <c:pt idx="9">
                  <c:v>12.0776891249236</c:v>
                </c:pt>
                <c:pt idx="10">
                  <c:v>11.5754231795836</c:v>
                </c:pt>
                <c:pt idx="11">
                  <c:v>10.831947036372799</c:v>
                </c:pt>
                <c:pt idx="12">
                  <c:v>10.559764927306849</c:v>
                </c:pt>
                <c:pt idx="13">
                  <c:v>8.8080260515622495</c:v>
                </c:pt>
                <c:pt idx="14">
                  <c:v>9.43483329356825</c:v>
                </c:pt>
                <c:pt idx="15">
                  <c:v>5.1556309467387003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S-IGA cubic</c:v>
                </c15:tx>
              </c15:filteredSeriesTitle>
            </c:ext>
            <c:ext xmlns:c16="http://schemas.microsoft.com/office/drawing/2014/chart" uri="{C3380CC4-5D6E-409C-BE32-E72D297353CC}">
              <c16:uniqueId val="{00000011-E84A-40B7-A055-EE33FEB2352B}"/>
            </c:ext>
          </c:extLst>
        </c:ser>
        <c:ser>
          <c:idx val="4"/>
          <c:order val="3"/>
          <c:spPr>
            <a:ln w="15875">
              <a:solidFill>
                <a:srgbClr val="FF0000"/>
              </a:solidFill>
            </a:ln>
          </c:spPr>
          <c:xVal>
            <c:numRef>
              <c:f>final3!$L$2:$L$17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final3!$M$2:$M$17</c:f>
              <c:numCache>
                <c:formatCode>0.00E+00</c:formatCode>
                <c:ptCount val="16"/>
                <c:pt idx="0">
                  <c:v>14.270226518757051</c:v>
                </c:pt>
                <c:pt idx="1">
                  <c:v>14.2542223687953</c:v>
                </c:pt>
                <c:pt idx="2">
                  <c:v>14.135999308887699</c:v>
                </c:pt>
                <c:pt idx="3">
                  <c:v>13.973408881421101</c:v>
                </c:pt>
                <c:pt idx="4">
                  <c:v>13.804562085466349</c:v>
                </c:pt>
                <c:pt idx="5">
                  <c:v>13.554800893772651</c:v>
                </c:pt>
                <c:pt idx="6">
                  <c:v>13.238430396108351</c:v>
                </c:pt>
                <c:pt idx="7">
                  <c:v>12.954641968701001</c:v>
                </c:pt>
                <c:pt idx="8">
                  <c:v>12.575798060589101</c:v>
                </c:pt>
                <c:pt idx="9">
                  <c:v>12.015117646948401</c:v>
                </c:pt>
                <c:pt idx="10">
                  <c:v>11.6527436932168</c:v>
                </c:pt>
                <c:pt idx="11">
                  <c:v>11.132892759581949</c:v>
                </c:pt>
                <c:pt idx="12">
                  <c:v>10.164068990584351</c:v>
                </c:pt>
                <c:pt idx="13">
                  <c:v>9.5330249647971499</c:v>
                </c:pt>
                <c:pt idx="14">
                  <c:v>8.7683332707775499</c:v>
                </c:pt>
                <c:pt idx="15">
                  <c:v>6.0103968057830999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IGA</c:v>
                </c15:tx>
              </c15:filteredSeriesTitle>
            </c:ext>
            <c:ext xmlns:c16="http://schemas.microsoft.com/office/drawing/2014/chart" uri="{C3380CC4-5D6E-409C-BE32-E72D297353CC}">
              <c16:uniqueId val="{00000012-E84A-40B7-A055-EE33FEB2352B}"/>
            </c:ext>
          </c:extLst>
        </c:ser>
        <c:ser>
          <c:idx val="5"/>
          <c:order val="4"/>
          <c:spPr>
            <a:ln w="15875">
              <a:solidFill>
                <a:schemeClr val="tx1"/>
              </a:solidFill>
            </a:ln>
          </c:spPr>
          <c:xVal>
            <c:numRef>
              <c:f>final3!$AF$13:$AF$45</c:f>
              <c:numCache>
                <c:formatCode>0.00E+00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final3!$AG$13:$AG$45</c:f>
              <c:numCache>
                <c:formatCode>0.00E+00</c:formatCode>
                <c:ptCount val="33"/>
                <c:pt idx="0">
                  <c:v>13.5907</c:v>
                </c:pt>
                <c:pt idx="1">
                  <c:v>13.579800000000001</c:v>
                </c:pt>
                <c:pt idx="2">
                  <c:v>13.5688</c:v>
                </c:pt>
                <c:pt idx="3">
                  <c:v>13.5359</c:v>
                </c:pt>
                <c:pt idx="4">
                  <c:v>13.5031</c:v>
                </c:pt>
                <c:pt idx="5">
                  <c:v>13.4482</c:v>
                </c:pt>
                <c:pt idx="6">
                  <c:v>13.3934</c:v>
                </c:pt>
                <c:pt idx="7">
                  <c:v>13.316599999999999</c:v>
                </c:pt>
                <c:pt idx="8">
                  <c:v>13.239699999999999</c:v>
                </c:pt>
                <c:pt idx="9">
                  <c:v>13.140700000000001</c:v>
                </c:pt>
                <c:pt idx="10">
                  <c:v>13.041700000000001</c:v>
                </c:pt>
                <c:pt idx="11">
                  <c:v>12.920199999999999</c:v>
                </c:pt>
                <c:pt idx="12">
                  <c:v>12.7987</c:v>
                </c:pt>
                <c:pt idx="13">
                  <c:v>12.6541</c:v>
                </c:pt>
                <c:pt idx="14">
                  <c:v>12.509499999999999</c:v>
                </c:pt>
                <c:pt idx="15">
                  <c:v>12.3408</c:v>
                </c:pt>
                <c:pt idx="16">
                  <c:v>12.1722</c:v>
                </c:pt>
                <c:pt idx="17">
                  <c:v>11.978400000000001</c:v>
                </c:pt>
                <c:pt idx="18">
                  <c:v>11.784599999999999</c:v>
                </c:pt>
                <c:pt idx="19">
                  <c:v>11.5633</c:v>
                </c:pt>
                <c:pt idx="20">
                  <c:v>11.342000000000001</c:v>
                </c:pt>
                <c:pt idx="21">
                  <c:v>11.0878</c:v>
                </c:pt>
                <c:pt idx="22">
                  <c:v>10.833600000000001</c:v>
                </c:pt>
                <c:pt idx="23">
                  <c:v>10.535399999999999</c:v>
                </c:pt>
                <c:pt idx="24">
                  <c:v>10.2372</c:v>
                </c:pt>
                <c:pt idx="25">
                  <c:v>9.8813800000000001</c:v>
                </c:pt>
                <c:pt idx="26">
                  <c:v>9.5255299999999998</c:v>
                </c:pt>
                <c:pt idx="27">
                  <c:v>9.1795799999999996</c:v>
                </c:pt>
                <c:pt idx="28">
                  <c:v>8.8336199999999998</c:v>
                </c:pt>
                <c:pt idx="29">
                  <c:v>7.9292999999999996</c:v>
                </c:pt>
                <c:pt idx="30">
                  <c:v>7.0249800000000002</c:v>
                </c:pt>
                <c:pt idx="31">
                  <c:v>6.2415000000000003</c:v>
                </c:pt>
                <c:pt idx="32">
                  <c:v>5.4580200000000003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FEM</c:v>
                </c15:tx>
              </c15:filteredSeriesTitle>
            </c:ext>
            <c:ext xmlns:c16="http://schemas.microsoft.com/office/drawing/2014/chart" uri="{C3380CC4-5D6E-409C-BE32-E72D297353CC}">
              <c16:uniqueId val="{00000013-E84A-40B7-A055-EE33FEB2352B}"/>
            </c:ext>
          </c:extLst>
        </c:ser>
        <c:ser>
          <c:idx val="0"/>
          <c:order val="5"/>
          <c:spPr>
            <a:ln w="381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0"/>
            <c:dispRSqr val="0"/>
            <c:dispEq val="0"/>
          </c:trendline>
          <c:xVal>
            <c:numRef>
              <c:f>[1]Sheet1!$W$1:$W$320</c:f>
              <c:numCache>
                <c:formatCode>General</c:formatCode>
                <c:ptCount val="320"/>
                <c:pt idx="0">
                  <c:v>1.5625000000000001E-3</c:v>
                </c:pt>
                <c:pt idx="1">
                  <c:v>4.6874999999999998E-3</c:v>
                </c:pt>
                <c:pt idx="2">
                  <c:v>7.8125E-3</c:v>
                </c:pt>
                <c:pt idx="3">
                  <c:v>1.0937499999999999E-2</c:v>
                </c:pt>
                <c:pt idx="4">
                  <c:v>1.40625E-2</c:v>
                </c:pt>
                <c:pt idx="5">
                  <c:v>1.7187500000000001E-2</c:v>
                </c:pt>
                <c:pt idx="6">
                  <c:v>2.0312500000000001E-2</c:v>
                </c:pt>
                <c:pt idx="7">
                  <c:v>2.34375E-2</c:v>
                </c:pt>
                <c:pt idx="8">
                  <c:v>2.6562499999999999E-2</c:v>
                </c:pt>
                <c:pt idx="9">
                  <c:v>2.9687499999999999E-2</c:v>
                </c:pt>
                <c:pt idx="10">
                  <c:v>3.2812500000000001E-2</c:v>
                </c:pt>
                <c:pt idx="11">
                  <c:v>3.5937499999999997E-2</c:v>
                </c:pt>
                <c:pt idx="12">
                  <c:v>3.90625E-2</c:v>
                </c:pt>
                <c:pt idx="13">
                  <c:v>4.2187500000000003E-2</c:v>
                </c:pt>
                <c:pt idx="14">
                  <c:v>4.5312499999999999E-2</c:v>
                </c:pt>
                <c:pt idx="15">
                  <c:v>4.8437500000000001E-2</c:v>
                </c:pt>
                <c:pt idx="16">
                  <c:v>5.1562499999999997E-2</c:v>
                </c:pt>
                <c:pt idx="17">
                  <c:v>5.46875E-2</c:v>
                </c:pt>
                <c:pt idx="18">
                  <c:v>5.7812500000000003E-2</c:v>
                </c:pt>
                <c:pt idx="19">
                  <c:v>6.0937499999999999E-2</c:v>
                </c:pt>
                <c:pt idx="20">
                  <c:v>6.4062499999999994E-2</c:v>
                </c:pt>
                <c:pt idx="21">
                  <c:v>6.7187499999999997E-2</c:v>
                </c:pt>
                <c:pt idx="22">
                  <c:v>7.03125E-2</c:v>
                </c:pt>
                <c:pt idx="23">
                  <c:v>7.3437500000000003E-2</c:v>
                </c:pt>
                <c:pt idx="24">
                  <c:v>7.6562500000000006E-2</c:v>
                </c:pt>
                <c:pt idx="25">
                  <c:v>7.9687499999999994E-2</c:v>
                </c:pt>
                <c:pt idx="26">
                  <c:v>8.2812499999999997E-2</c:v>
                </c:pt>
                <c:pt idx="27">
                  <c:v>8.59375E-2</c:v>
                </c:pt>
                <c:pt idx="28">
                  <c:v>8.9062500000000003E-2</c:v>
                </c:pt>
                <c:pt idx="29">
                  <c:v>9.2187500000000006E-2</c:v>
                </c:pt>
                <c:pt idx="30">
                  <c:v>9.5312499999999994E-2</c:v>
                </c:pt>
                <c:pt idx="31">
                  <c:v>9.8437499999999997E-2</c:v>
                </c:pt>
                <c:pt idx="32">
                  <c:v>0.1015625</c:v>
                </c:pt>
                <c:pt idx="33">
                  <c:v>0.1046875</c:v>
                </c:pt>
                <c:pt idx="34">
                  <c:v>0.10781250000000001</c:v>
                </c:pt>
                <c:pt idx="35">
                  <c:v>0.11093749999999999</c:v>
                </c:pt>
                <c:pt idx="36">
                  <c:v>0.1140625</c:v>
                </c:pt>
                <c:pt idx="37">
                  <c:v>0.1171875</c:v>
                </c:pt>
                <c:pt idx="38">
                  <c:v>0.1203125</c:v>
                </c:pt>
                <c:pt idx="39">
                  <c:v>0.12343750000000001</c:v>
                </c:pt>
                <c:pt idx="40">
                  <c:v>0.12656249999999999</c:v>
                </c:pt>
                <c:pt idx="41">
                  <c:v>0.12968750000000001</c:v>
                </c:pt>
                <c:pt idx="42">
                  <c:v>0.1328125</c:v>
                </c:pt>
                <c:pt idx="43">
                  <c:v>0.13593749999999999</c:v>
                </c:pt>
                <c:pt idx="44">
                  <c:v>0.13906250000000001</c:v>
                </c:pt>
                <c:pt idx="45">
                  <c:v>0.14218749999999999</c:v>
                </c:pt>
                <c:pt idx="46">
                  <c:v>0.14531250000000001</c:v>
                </c:pt>
                <c:pt idx="47">
                  <c:v>0.1484375</c:v>
                </c:pt>
                <c:pt idx="48">
                  <c:v>0.15156249999999999</c:v>
                </c:pt>
                <c:pt idx="49">
                  <c:v>0.15468750000000001</c:v>
                </c:pt>
                <c:pt idx="50">
                  <c:v>0.15781249999999999</c:v>
                </c:pt>
                <c:pt idx="51">
                  <c:v>0.16093750000000001</c:v>
                </c:pt>
                <c:pt idx="52">
                  <c:v>0.1640625</c:v>
                </c:pt>
                <c:pt idx="53">
                  <c:v>0.16718749999999999</c:v>
                </c:pt>
                <c:pt idx="54">
                  <c:v>0.17031250000000001</c:v>
                </c:pt>
                <c:pt idx="55">
                  <c:v>0.17343749999999999</c:v>
                </c:pt>
                <c:pt idx="56">
                  <c:v>0.17656250000000001</c:v>
                </c:pt>
                <c:pt idx="57">
                  <c:v>0.1796875</c:v>
                </c:pt>
                <c:pt idx="58">
                  <c:v>0.18281249999999999</c:v>
                </c:pt>
                <c:pt idx="59">
                  <c:v>0.18593750000000001</c:v>
                </c:pt>
                <c:pt idx="60">
                  <c:v>0.18906249999999999</c:v>
                </c:pt>
                <c:pt idx="61">
                  <c:v>0.19218750000000001</c:v>
                </c:pt>
                <c:pt idx="62">
                  <c:v>0.1953125</c:v>
                </c:pt>
                <c:pt idx="63">
                  <c:v>0.19843749999999999</c:v>
                </c:pt>
                <c:pt idx="64">
                  <c:v>0.20156260000000001</c:v>
                </c:pt>
                <c:pt idx="65">
                  <c:v>0.2046876</c:v>
                </c:pt>
                <c:pt idx="66">
                  <c:v>0.20781259999999999</c:v>
                </c:pt>
                <c:pt idx="67">
                  <c:v>0.2109376</c:v>
                </c:pt>
                <c:pt idx="68">
                  <c:v>0.21406259999999999</c:v>
                </c:pt>
                <c:pt idx="69">
                  <c:v>0.21718760000000001</c:v>
                </c:pt>
                <c:pt idx="70">
                  <c:v>0.2203126</c:v>
                </c:pt>
                <c:pt idx="71">
                  <c:v>0.22343759999999999</c:v>
                </c:pt>
                <c:pt idx="72">
                  <c:v>0.2265626</c:v>
                </c:pt>
                <c:pt idx="73">
                  <c:v>0.22968740000000001</c:v>
                </c:pt>
                <c:pt idx="74">
                  <c:v>0.23281260000000001</c:v>
                </c:pt>
                <c:pt idx="75">
                  <c:v>0.23593739999999999</c:v>
                </c:pt>
                <c:pt idx="76">
                  <c:v>0.23906259999999999</c:v>
                </c:pt>
                <c:pt idx="77">
                  <c:v>0.2421876</c:v>
                </c:pt>
                <c:pt idx="78">
                  <c:v>0.24531240000000001</c:v>
                </c:pt>
                <c:pt idx="79">
                  <c:v>0.24843760000000001</c:v>
                </c:pt>
                <c:pt idx="80">
                  <c:v>0.25156260000000003</c:v>
                </c:pt>
                <c:pt idx="81">
                  <c:v>0.25468760000000001</c:v>
                </c:pt>
                <c:pt idx="82">
                  <c:v>0.2578124</c:v>
                </c:pt>
                <c:pt idx="83">
                  <c:v>0.26093739999999999</c:v>
                </c:pt>
                <c:pt idx="84">
                  <c:v>0.26406239999999997</c:v>
                </c:pt>
                <c:pt idx="85">
                  <c:v>0.26718760000000003</c:v>
                </c:pt>
                <c:pt idx="86">
                  <c:v>0.27031260000000001</c:v>
                </c:pt>
                <c:pt idx="87">
                  <c:v>0.2734376</c:v>
                </c:pt>
                <c:pt idx="88">
                  <c:v>0.27656239999999999</c:v>
                </c:pt>
                <c:pt idx="89">
                  <c:v>0.27968739999999997</c:v>
                </c:pt>
                <c:pt idx="90">
                  <c:v>0.28281260000000003</c:v>
                </c:pt>
                <c:pt idx="91">
                  <c:v>0.28593760000000001</c:v>
                </c:pt>
                <c:pt idx="92">
                  <c:v>0.2890624</c:v>
                </c:pt>
                <c:pt idx="93">
                  <c:v>0.29218739999999999</c:v>
                </c:pt>
                <c:pt idx="94">
                  <c:v>0.29531239999999997</c:v>
                </c:pt>
                <c:pt idx="95">
                  <c:v>0.29843760000000003</c:v>
                </c:pt>
                <c:pt idx="96">
                  <c:v>0.30156260000000001</c:v>
                </c:pt>
                <c:pt idx="97">
                  <c:v>0.3046876</c:v>
                </c:pt>
                <c:pt idx="98">
                  <c:v>0.30781259999999999</c:v>
                </c:pt>
                <c:pt idx="99">
                  <c:v>0.31093739999999997</c:v>
                </c:pt>
                <c:pt idx="100">
                  <c:v>0.31406260000000003</c:v>
                </c:pt>
                <c:pt idx="101">
                  <c:v>0.31718760000000001</c:v>
                </c:pt>
                <c:pt idx="102">
                  <c:v>0.3203124</c:v>
                </c:pt>
                <c:pt idx="103">
                  <c:v>0.32343739999999999</c:v>
                </c:pt>
                <c:pt idx="104">
                  <c:v>0.32656239999999997</c:v>
                </c:pt>
                <c:pt idx="105">
                  <c:v>0.32968760000000003</c:v>
                </c:pt>
                <c:pt idx="106">
                  <c:v>0.33281260000000001</c:v>
                </c:pt>
                <c:pt idx="107">
                  <c:v>0.3359376</c:v>
                </c:pt>
                <c:pt idx="108">
                  <c:v>0.33906239999999999</c:v>
                </c:pt>
                <c:pt idx="109">
                  <c:v>0.34218739999999997</c:v>
                </c:pt>
                <c:pt idx="110">
                  <c:v>0.34531260000000003</c:v>
                </c:pt>
                <c:pt idx="111">
                  <c:v>0.34843760000000001</c:v>
                </c:pt>
                <c:pt idx="112">
                  <c:v>0.3515624</c:v>
                </c:pt>
                <c:pt idx="113">
                  <c:v>0.35468739999999999</c:v>
                </c:pt>
                <c:pt idx="114">
                  <c:v>0.35781239999999997</c:v>
                </c:pt>
                <c:pt idx="115">
                  <c:v>0.36093760000000003</c:v>
                </c:pt>
                <c:pt idx="116">
                  <c:v>0.36406260000000001</c:v>
                </c:pt>
                <c:pt idx="117">
                  <c:v>0.3671876</c:v>
                </c:pt>
                <c:pt idx="118">
                  <c:v>0.37031239999999999</c:v>
                </c:pt>
                <c:pt idx="119">
                  <c:v>0.37343739999999997</c:v>
                </c:pt>
                <c:pt idx="120">
                  <c:v>0.37656260000000003</c:v>
                </c:pt>
                <c:pt idx="121">
                  <c:v>0.37968760000000001</c:v>
                </c:pt>
                <c:pt idx="122">
                  <c:v>0.3828126</c:v>
                </c:pt>
                <c:pt idx="123">
                  <c:v>0.38593739999999999</c:v>
                </c:pt>
                <c:pt idx="124">
                  <c:v>0.38906259999999998</c:v>
                </c:pt>
                <c:pt idx="125">
                  <c:v>0.39218760000000003</c:v>
                </c:pt>
                <c:pt idx="126">
                  <c:v>0.39531260000000001</c:v>
                </c:pt>
                <c:pt idx="127">
                  <c:v>0.3984376</c:v>
                </c:pt>
                <c:pt idx="128">
                  <c:v>0.40156239999999999</c:v>
                </c:pt>
                <c:pt idx="129">
                  <c:v>0.40468739999999997</c:v>
                </c:pt>
                <c:pt idx="130">
                  <c:v>0.40781260000000003</c:v>
                </c:pt>
                <c:pt idx="131">
                  <c:v>0.41093760000000001</c:v>
                </c:pt>
                <c:pt idx="132">
                  <c:v>0.4140624</c:v>
                </c:pt>
                <c:pt idx="133">
                  <c:v>0.41718739999999999</c:v>
                </c:pt>
                <c:pt idx="134">
                  <c:v>0.42031259999999998</c:v>
                </c:pt>
                <c:pt idx="135">
                  <c:v>0.42343760000000003</c:v>
                </c:pt>
                <c:pt idx="136">
                  <c:v>0.42656260000000001</c:v>
                </c:pt>
                <c:pt idx="137">
                  <c:v>0.4296876</c:v>
                </c:pt>
                <c:pt idx="138">
                  <c:v>0.43281259999999999</c:v>
                </c:pt>
                <c:pt idx="139">
                  <c:v>0.43593739999999997</c:v>
                </c:pt>
                <c:pt idx="140">
                  <c:v>0.43906260000000003</c:v>
                </c:pt>
                <c:pt idx="141">
                  <c:v>0.44218760000000001</c:v>
                </c:pt>
                <c:pt idx="142">
                  <c:v>0.4453126</c:v>
                </c:pt>
                <c:pt idx="143">
                  <c:v>0.44843739999999999</c:v>
                </c:pt>
                <c:pt idx="144">
                  <c:v>0.45156259999999998</c:v>
                </c:pt>
                <c:pt idx="145">
                  <c:v>0.45468760000000003</c:v>
                </c:pt>
                <c:pt idx="146">
                  <c:v>0.45781260000000001</c:v>
                </c:pt>
                <c:pt idx="147">
                  <c:v>0.4609376</c:v>
                </c:pt>
                <c:pt idx="148">
                  <c:v>0.46406259999999999</c:v>
                </c:pt>
                <c:pt idx="149">
                  <c:v>0.46718739999999997</c:v>
                </c:pt>
                <c:pt idx="150">
                  <c:v>0.47031260000000003</c:v>
                </c:pt>
                <c:pt idx="151">
                  <c:v>0.47343760000000001</c:v>
                </c:pt>
                <c:pt idx="152">
                  <c:v>0.4765624</c:v>
                </c:pt>
                <c:pt idx="153">
                  <c:v>0.47968739999999999</c:v>
                </c:pt>
                <c:pt idx="154">
                  <c:v>0.48281259999999998</c:v>
                </c:pt>
                <c:pt idx="155">
                  <c:v>0.48593760000000003</c:v>
                </c:pt>
                <c:pt idx="156">
                  <c:v>0.48906260000000001</c:v>
                </c:pt>
                <c:pt idx="157">
                  <c:v>0.4921876</c:v>
                </c:pt>
                <c:pt idx="158">
                  <c:v>0.49531239999999999</c:v>
                </c:pt>
                <c:pt idx="159">
                  <c:v>0.49843739999999997</c:v>
                </c:pt>
                <c:pt idx="160">
                  <c:v>0.50156259999999997</c:v>
                </c:pt>
                <c:pt idx="161">
                  <c:v>0.50468740000000001</c:v>
                </c:pt>
                <c:pt idx="162">
                  <c:v>0.50781240000000005</c:v>
                </c:pt>
                <c:pt idx="163">
                  <c:v>0.51093759999999999</c:v>
                </c:pt>
                <c:pt idx="164">
                  <c:v>0.51406240000000003</c:v>
                </c:pt>
                <c:pt idx="165">
                  <c:v>0.51718759999999997</c:v>
                </c:pt>
                <c:pt idx="166">
                  <c:v>0.52031240000000001</c:v>
                </c:pt>
                <c:pt idx="167">
                  <c:v>0.52343759999999995</c:v>
                </c:pt>
                <c:pt idx="168">
                  <c:v>0.52656259999999999</c:v>
                </c:pt>
                <c:pt idx="169">
                  <c:v>0.52968740000000003</c:v>
                </c:pt>
                <c:pt idx="170">
                  <c:v>0.53281259999999997</c:v>
                </c:pt>
                <c:pt idx="171">
                  <c:v>0.53593740000000001</c:v>
                </c:pt>
                <c:pt idx="172">
                  <c:v>0.53906240000000005</c:v>
                </c:pt>
                <c:pt idx="173">
                  <c:v>0.54218759999999999</c:v>
                </c:pt>
                <c:pt idx="174">
                  <c:v>0.54531240000000003</c:v>
                </c:pt>
                <c:pt idx="175">
                  <c:v>0.54843759999999997</c:v>
                </c:pt>
                <c:pt idx="176">
                  <c:v>0.55156240000000001</c:v>
                </c:pt>
                <c:pt idx="177">
                  <c:v>0.55468759999999995</c:v>
                </c:pt>
                <c:pt idx="178">
                  <c:v>0.55781259999999999</c:v>
                </c:pt>
                <c:pt idx="179">
                  <c:v>0.56093740000000003</c:v>
                </c:pt>
                <c:pt idx="180">
                  <c:v>0.56406259999999997</c:v>
                </c:pt>
                <c:pt idx="181">
                  <c:v>0.56718740000000001</c:v>
                </c:pt>
                <c:pt idx="182">
                  <c:v>0.57031240000000005</c:v>
                </c:pt>
                <c:pt idx="183">
                  <c:v>0.57343739999999999</c:v>
                </c:pt>
                <c:pt idx="184">
                  <c:v>0.57656240000000003</c:v>
                </c:pt>
                <c:pt idx="185">
                  <c:v>0.57968759999999997</c:v>
                </c:pt>
                <c:pt idx="186">
                  <c:v>0.58281240000000001</c:v>
                </c:pt>
                <c:pt idx="187">
                  <c:v>0.58593759999999995</c:v>
                </c:pt>
                <c:pt idx="188">
                  <c:v>0.58906259999999999</c:v>
                </c:pt>
                <c:pt idx="189">
                  <c:v>0.59218740000000003</c:v>
                </c:pt>
                <c:pt idx="190">
                  <c:v>0.59531259999999997</c:v>
                </c:pt>
                <c:pt idx="191">
                  <c:v>0.59843740000000001</c:v>
                </c:pt>
                <c:pt idx="192">
                  <c:v>0.60156240000000005</c:v>
                </c:pt>
                <c:pt idx="193">
                  <c:v>0.60468739999999999</c:v>
                </c:pt>
                <c:pt idx="194">
                  <c:v>0.60781240000000003</c:v>
                </c:pt>
                <c:pt idx="195">
                  <c:v>0.61093759999999997</c:v>
                </c:pt>
                <c:pt idx="196">
                  <c:v>0.61406260000000001</c:v>
                </c:pt>
                <c:pt idx="197">
                  <c:v>0.61718759999999995</c:v>
                </c:pt>
                <c:pt idx="198">
                  <c:v>0.62031239999999999</c:v>
                </c:pt>
                <c:pt idx="199">
                  <c:v>0.62343740000000003</c:v>
                </c:pt>
                <c:pt idx="200">
                  <c:v>0.62656259999999997</c:v>
                </c:pt>
                <c:pt idx="201">
                  <c:v>0.62968740000000001</c:v>
                </c:pt>
                <c:pt idx="202">
                  <c:v>0.63281240000000005</c:v>
                </c:pt>
                <c:pt idx="203">
                  <c:v>0.63593759999999999</c:v>
                </c:pt>
                <c:pt idx="204">
                  <c:v>0.63906240000000003</c:v>
                </c:pt>
                <c:pt idx="205">
                  <c:v>0.64218759999999997</c:v>
                </c:pt>
                <c:pt idx="206">
                  <c:v>0.64531240000000001</c:v>
                </c:pt>
                <c:pt idx="207">
                  <c:v>0.64843759999999995</c:v>
                </c:pt>
                <c:pt idx="208">
                  <c:v>0.65156259999999999</c:v>
                </c:pt>
                <c:pt idx="209">
                  <c:v>0.65468740000000003</c:v>
                </c:pt>
                <c:pt idx="210">
                  <c:v>0.65781259999999997</c:v>
                </c:pt>
                <c:pt idx="211">
                  <c:v>0.66093740000000001</c:v>
                </c:pt>
                <c:pt idx="212">
                  <c:v>0.66406240000000005</c:v>
                </c:pt>
                <c:pt idx="213">
                  <c:v>0.66718759999999999</c:v>
                </c:pt>
                <c:pt idx="214">
                  <c:v>0.67031240000000003</c:v>
                </c:pt>
                <c:pt idx="215">
                  <c:v>0.67343759999999997</c:v>
                </c:pt>
                <c:pt idx="216">
                  <c:v>0.67656240000000001</c:v>
                </c:pt>
                <c:pt idx="217">
                  <c:v>0.67968759999999995</c:v>
                </c:pt>
                <c:pt idx="218">
                  <c:v>0.68281239999999999</c:v>
                </c:pt>
                <c:pt idx="219">
                  <c:v>0.68593740000000003</c:v>
                </c:pt>
                <c:pt idx="220">
                  <c:v>0.68906259999999997</c:v>
                </c:pt>
                <c:pt idx="221">
                  <c:v>0.69218740000000001</c:v>
                </c:pt>
                <c:pt idx="222">
                  <c:v>0.69531259999999995</c:v>
                </c:pt>
                <c:pt idx="223">
                  <c:v>0.69843759999999999</c:v>
                </c:pt>
                <c:pt idx="224">
                  <c:v>0.70156240000000003</c:v>
                </c:pt>
                <c:pt idx="225">
                  <c:v>0.70468759999999997</c:v>
                </c:pt>
                <c:pt idx="226">
                  <c:v>0.70781240000000001</c:v>
                </c:pt>
                <c:pt idx="227">
                  <c:v>0.71093759999999995</c:v>
                </c:pt>
                <c:pt idx="228">
                  <c:v>0.71406259999999999</c:v>
                </c:pt>
                <c:pt idx="229">
                  <c:v>0.71718740000000003</c:v>
                </c:pt>
                <c:pt idx="230">
                  <c:v>0.72031259999999997</c:v>
                </c:pt>
                <c:pt idx="231">
                  <c:v>0.72343740000000001</c:v>
                </c:pt>
                <c:pt idx="232">
                  <c:v>0.72656240000000005</c:v>
                </c:pt>
                <c:pt idx="233">
                  <c:v>0.72968759999999999</c:v>
                </c:pt>
                <c:pt idx="234">
                  <c:v>0.73281240000000003</c:v>
                </c:pt>
                <c:pt idx="235">
                  <c:v>0.73593759999999997</c:v>
                </c:pt>
                <c:pt idx="236">
                  <c:v>0.73906240000000001</c:v>
                </c:pt>
                <c:pt idx="237">
                  <c:v>0.74218759999999995</c:v>
                </c:pt>
                <c:pt idx="238">
                  <c:v>0.74531239999999999</c:v>
                </c:pt>
                <c:pt idx="239">
                  <c:v>0.74843740000000003</c:v>
                </c:pt>
                <c:pt idx="240">
                  <c:v>0.75156259999999997</c:v>
                </c:pt>
                <c:pt idx="241">
                  <c:v>0.75468740000000001</c:v>
                </c:pt>
                <c:pt idx="242">
                  <c:v>0.75781240000000005</c:v>
                </c:pt>
                <c:pt idx="243">
                  <c:v>0.76093739999999999</c:v>
                </c:pt>
                <c:pt idx="244">
                  <c:v>0.76406240000000003</c:v>
                </c:pt>
                <c:pt idx="245">
                  <c:v>0.76718759999999997</c:v>
                </c:pt>
                <c:pt idx="246">
                  <c:v>0.77031240000000001</c:v>
                </c:pt>
                <c:pt idx="247">
                  <c:v>0.77343759999999995</c:v>
                </c:pt>
                <c:pt idx="248">
                  <c:v>0.77656259999999999</c:v>
                </c:pt>
                <c:pt idx="249">
                  <c:v>0.77968740000000003</c:v>
                </c:pt>
                <c:pt idx="250">
                  <c:v>0.78281259999999997</c:v>
                </c:pt>
                <c:pt idx="251">
                  <c:v>0.78593740000000001</c:v>
                </c:pt>
                <c:pt idx="252">
                  <c:v>0.78906240000000005</c:v>
                </c:pt>
                <c:pt idx="253">
                  <c:v>0.79218759999999999</c:v>
                </c:pt>
                <c:pt idx="254">
                  <c:v>0.79531240000000003</c:v>
                </c:pt>
                <c:pt idx="255">
                  <c:v>0.79843759999999997</c:v>
                </c:pt>
                <c:pt idx="256">
                  <c:v>0.80156240000000001</c:v>
                </c:pt>
                <c:pt idx="257">
                  <c:v>0.80468759999999995</c:v>
                </c:pt>
                <c:pt idx="258">
                  <c:v>0.80781239999999999</c:v>
                </c:pt>
                <c:pt idx="259">
                  <c:v>0.81093740000000003</c:v>
                </c:pt>
                <c:pt idx="260">
                  <c:v>0.81406259999999997</c:v>
                </c:pt>
                <c:pt idx="261">
                  <c:v>0.81718740000000001</c:v>
                </c:pt>
                <c:pt idx="262">
                  <c:v>0.82031240000000005</c:v>
                </c:pt>
                <c:pt idx="263">
                  <c:v>0.82343759999999999</c:v>
                </c:pt>
                <c:pt idx="264">
                  <c:v>0.82656260000000004</c:v>
                </c:pt>
                <c:pt idx="265">
                  <c:v>0.82968759999999997</c:v>
                </c:pt>
                <c:pt idx="266">
                  <c:v>0.83281240000000001</c:v>
                </c:pt>
                <c:pt idx="267">
                  <c:v>0.83593759999999995</c:v>
                </c:pt>
                <c:pt idx="268">
                  <c:v>0.83906259999999999</c:v>
                </c:pt>
                <c:pt idx="269">
                  <c:v>0.84218740000000003</c:v>
                </c:pt>
                <c:pt idx="270">
                  <c:v>0.84531259999999997</c:v>
                </c:pt>
                <c:pt idx="271">
                  <c:v>0.84843740000000001</c:v>
                </c:pt>
                <c:pt idx="272">
                  <c:v>0.85156240000000005</c:v>
                </c:pt>
                <c:pt idx="273">
                  <c:v>0.85468759999999999</c:v>
                </c:pt>
                <c:pt idx="274">
                  <c:v>0.85781260000000004</c:v>
                </c:pt>
                <c:pt idx="275">
                  <c:v>0.86093759999999997</c:v>
                </c:pt>
                <c:pt idx="276">
                  <c:v>0.86406240000000001</c:v>
                </c:pt>
                <c:pt idx="277">
                  <c:v>0.86718759999999995</c:v>
                </c:pt>
                <c:pt idx="278">
                  <c:v>0.87031259999999999</c:v>
                </c:pt>
                <c:pt idx="279">
                  <c:v>0.87343740000000003</c:v>
                </c:pt>
                <c:pt idx="280">
                  <c:v>0.87656259999999997</c:v>
                </c:pt>
                <c:pt idx="281">
                  <c:v>0.87968740000000001</c:v>
                </c:pt>
                <c:pt idx="282">
                  <c:v>0.88281259999999995</c:v>
                </c:pt>
                <c:pt idx="283">
                  <c:v>0.88593759999999999</c:v>
                </c:pt>
                <c:pt idx="284">
                  <c:v>0.88906240000000003</c:v>
                </c:pt>
                <c:pt idx="285">
                  <c:v>0.89218759999999997</c:v>
                </c:pt>
                <c:pt idx="286">
                  <c:v>0.89531240000000001</c:v>
                </c:pt>
                <c:pt idx="287">
                  <c:v>0.89843759999999995</c:v>
                </c:pt>
                <c:pt idx="288">
                  <c:v>0.90156259999999999</c:v>
                </c:pt>
                <c:pt idx="289">
                  <c:v>0.90468740000000003</c:v>
                </c:pt>
                <c:pt idx="290">
                  <c:v>0.90781259999999997</c:v>
                </c:pt>
                <c:pt idx="291">
                  <c:v>0.91093760000000001</c:v>
                </c:pt>
                <c:pt idx="292">
                  <c:v>0.91406240000000005</c:v>
                </c:pt>
                <c:pt idx="293">
                  <c:v>0.91718759999999999</c:v>
                </c:pt>
                <c:pt idx="294">
                  <c:v>0.92031240000000003</c:v>
                </c:pt>
                <c:pt idx="295">
                  <c:v>0.92343759999999997</c:v>
                </c:pt>
                <c:pt idx="296">
                  <c:v>0.92656240000000001</c:v>
                </c:pt>
                <c:pt idx="297">
                  <c:v>0.92968759999999995</c:v>
                </c:pt>
                <c:pt idx="298">
                  <c:v>0.93281239999999999</c:v>
                </c:pt>
                <c:pt idx="299">
                  <c:v>0.93593740000000003</c:v>
                </c:pt>
                <c:pt idx="300">
                  <c:v>0.93906259999999997</c:v>
                </c:pt>
                <c:pt idx="301">
                  <c:v>0.94218760000000001</c:v>
                </c:pt>
                <c:pt idx="302">
                  <c:v>0.94531240000000005</c:v>
                </c:pt>
                <c:pt idx="303">
                  <c:v>0.94843759999999999</c:v>
                </c:pt>
                <c:pt idx="304">
                  <c:v>0.95156240000000003</c:v>
                </c:pt>
                <c:pt idx="305">
                  <c:v>0.95468759999999997</c:v>
                </c:pt>
                <c:pt idx="306">
                  <c:v>0.95781240000000001</c:v>
                </c:pt>
                <c:pt idx="307">
                  <c:v>0.96093759999999995</c:v>
                </c:pt>
                <c:pt idx="308">
                  <c:v>0.96406259999999999</c:v>
                </c:pt>
                <c:pt idx="309">
                  <c:v>0.96718740000000003</c:v>
                </c:pt>
                <c:pt idx="310">
                  <c:v>0.97031259999999997</c:v>
                </c:pt>
                <c:pt idx="311">
                  <c:v>0.97343760000000001</c:v>
                </c:pt>
                <c:pt idx="312">
                  <c:v>0.97656240000000005</c:v>
                </c:pt>
                <c:pt idx="313">
                  <c:v>0.97968759999999999</c:v>
                </c:pt>
                <c:pt idx="314">
                  <c:v>0.98281240000000003</c:v>
                </c:pt>
                <c:pt idx="315">
                  <c:v>0.98593759999999997</c:v>
                </c:pt>
                <c:pt idx="316">
                  <c:v>0.98906240000000001</c:v>
                </c:pt>
                <c:pt idx="317">
                  <c:v>0.99218759999999995</c:v>
                </c:pt>
                <c:pt idx="318">
                  <c:v>0.99531259999999999</c:v>
                </c:pt>
                <c:pt idx="319">
                  <c:v>0.99843760000000004</c:v>
                </c:pt>
              </c:numCache>
            </c:numRef>
          </c:xVal>
          <c:yVal>
            <c:numRef>
              <c:f>[1]Sheet1!$X$1:$X$320</c:f>
              <c:numCache>
                <c:formatCode>General</c:formatCode>
                <c:ptCount val="320"/>
                <c:pt idx="0">
                  <c:v>13.696377937543399</c:v>
                </c:pt>
                <c:pt idx="1">
                  <c:v>13.6962199441761</c:v>
                </c:pt>
                <c:pt idx="2">
                  <c:v>13.6959514989742</c:v>
                </c:pt>
                <c:pt idx="3">
                  <c:v>13.6955735809623</c:v>
                </c:pt>
                <c:pt idx="4">
                  <c:v>13.695087172509</c:v>
                </c:pt>
                <c:pt idx="5">
                  <c:v>13.6944930203694</c:v>
                </c:pt>
                <c:pt idx="6">
                  <c:v>13.693792256737201</c:v>
                </c:pt>
                <c:pt idx="7">
                  <c:v>13.6929859598667</c:v>
                </c:pt>
                <c:pt idx="8">
                  <c:v>13.6920750896029</c:v>
                </c:pt>
                <c:pt idx="9">
                  <c:v>13.6910606509144</c:v>
                </c:pt>
                <c:pt idx="10">
                  <c:v>13.689943650014699</c:v>
                </c:pt>
                <c:pt idx="11">
                  <c:v>13.6887251003304</c:v>
                </c:pt>
                <c:pt idx="12">
                  <c:v>13.687406051516</c:v>
                </c:pt>
                <c:pt idx="13">
                  <c:v>13.685987454556701</c:v>
                </c:pt>
                <c:pt idx="14">
                  <c:v>13.684470374058799</c:v>
                </c:pt>
                <c:pt idx="15">
                  <c:v>13.682855837749999</c:v>
                </c:pt>
                <c:pt idx="16">
                  <c:v>13.681144880003</c:v>
                </c:pt>
                <c:pt idx="17">
                  <c:v>13.679338532660299</c:v>
                </c:pt>
                <c:pt idx="18">
                  <c:v>13.677437861820501</c:v>
                </c:pt>
                <c:pt idx="19">
                  <c:v>13.6754439127656</c:v>
                </c:pt>
                <c:pt idx="20">
                  <c:v>13.6732309379474</c:v>
                </c:pt>
                <c:pt idx="21">
                  <c:v>13.6707863832988</c:v>
                </c:pt>
                <c:pt idx="22">
                  <c:v>13.668234175909999</c:v>
                </c:pt>
                <c:pt idx="23">
                  <c:v>13.665577037797</c:v>
                </c:pt>
                <c:pt idx="24">
                  <c:v>13.6628178589327</c:v>
                </c:pt>
                <c:pt idx="25">
                  <c:v>13.6599596315698</c:v>
                </c:pt>
                <c:pt idx="26">
                  <c:v>13.6570050351381</c:v>
                </c:pt>
                <c:pt idx="27">
                  <c:v>13.6539570647471</c:v>
                </c:pt>
                <c:pt idx="28">
                  <c:v>13.6508185437572</c:v>
                </c:pt>
                <c:pt idx="29">
                  <c:v>13.647592420778199</c:v>
                </c:pt>
                <c:pt idx="30">
                  <c:v>13.6442814775729</c:v>
                </c:pt>
                <c:pt idx="31">
                  <c:v>13.6408887341248</c:v>
                </c:pt>
                <c:pt idx="32">
                  <c:v>13.6374171959988</c:v>
                </c:pt>
                <c:pt idx="33">
                  <c:v>13.6338696958612</c:v>
                </c:pt>
                <c:pt idx="34">
                  <c:v>13.630249816716301</c:v>
                </c:pt>
                <c:pt idx="35">
                  <c:v>13.626559475658301</c:v>
                </c:pt>
                <c:pt idx="36">
                  <c:v>13.6228022780658</c:v>
                </c:pt>
                <c:pt idx="37">
                  <c:v>13.6189807396922</c:v>
                </c:pt>
                <c:pt idx="38">
                  <c:v>13.615098126457401</c:v>
                </c:pt>
                <c:pt idx="39">
                  <c:v>13.611157545201801</c:v>
                </c:pt>
                <c:pt idx="40">
                  <c:v>13.606776832530601</c:v>
                </c:pt>
                <c:pt idx="41">
                  <c:v>13.6019262999499</c:v>
                </c:pt>
                <c:pt idx="42">
                  <c:v>13.5969826919765</c:v>
                </c:pt>
                <c:pt idx="43">
                  <c:v>13.5919504169745</c:v>
                </c:pt>
                <c:pt idx="44">
                  <c:v>13.586834570627699</c:v>
                </c:pt>
                <c:pt idx="45">
                  <c:v>13.581639817137001</c:v>
                </c:pt>
                <c:pt idx="46">
                  <c:v>13.576371029163701</c:v>
                </c:pt>
                <c:pt idx="47">
                  <c:v>13.571033504495</c:v>
                </c:pt>
                <c:pt idx="48">
                  <c:v>13.565631877785201</c:v>
                </c:pt>
                <c:pt idx="49">
                  <c:v>13.5601713673954</c:v>
                </c:pt>
                <c:pt idx="50">
                  <c:v>13.5546569321838</c:v>
                </c:pt>
                <c:pt idx="51">
                  <c:v>13.5490936477688</c:v>
                </c:pt>
                <c:pt idx="52">
                  <c:v>13.5434867295234</c:v>
                </c:pt>
                <c:pt idx="53">
                  <c:v>13.5378402386362</c:v>
                </c:pt>
                <c:pt idx="54">
                  <c:v>13.5321611186466</c:v>
                </c:pt>
                <c:pt idx="55">
                  <c:v>13.5264532552153</c:v>
                </c:pt>
                <c:pt idx="56">
                  <c:v>13.5207230836739</c:v>
                </c:pt>
                <c:pt idx="57">
                  <c:v>13.5149750715862</c:v>
                </c:pt>
                <c:pt idx="58">
                  <c:v>13.5092130512458</c:v>
                </c:pt>
                <c:pt idx="59">
                  <c:v>13.503440807539</c:v>
                </c:pt>
                <c:pt idx="60">
                  <c:v>13.4969804803817</c:v>
                </c:pt>
                <c:pt idx="61">
                  <c:v>13.4897884958901</c:v>
                </c:pt>
                <c:pt idx="62">
                  <c:v>13.482520605655001</c:v>
                </c:pt>
                <c:pt idx="63">
                  <c:v>13.4751815705035</c:v>
                </c:pt>
                <c:pt idx="64">
                  <c:v>13.467775741632</c:v>
                </c:pt>
                <c:pt idx="65">
                  <c:v>13.4602971306751</c:v>
                </c:pt>
                <c:pt idx="66">
                  <c:v>13.4527676223227</c:v>
                </c:pt>
                <c:pt idx="67">
                  <c:v>13.4451844973894</c:v>
                </c:pt>
                <c:pt idx="68">
                  <c:v>13.437553778855699</c:v>
                </c:pt>
                <c:pt idx="69">
                  <c:v>13.429879049398499</c:v>
                </c:pt>
                <c:pt idx="70">
                  <c:v>13.422167070259601</c:v>
                </c:pt>
                <c:pt idx="71">
                  <c:v>13.414418488301401</c:v>
                </c:pt>
                <c:pt idx="72">
                  <c:v>13.4066378942991</c:v>
                </c:pt>
                <c:pt idx="73">
                  <c:v>13.398833647243301</c:v>
                </c:pt>
                <c:pt idx="74">
                  <c:v>13.3910126024559</c:v>
                </c:pt>
                <c:pt idx="75">
                  <c:v>13.383175116492801</c:v>
                </c:pt>
                <c:pt idx="76">
                  <c:v>13.3753271179755</c:v>
                </c:pt>
                <c:pt idx="77">
                  <c:v>13.367475158050899</c:v>
                </c:pt>
                <c:pt idx="78">
                  <c:v>13.359624801774601</c:v>
                </c:pt>
                <c:pt idx="79">
                  <c:v>13.351780177260499</c:v>
                </c:pt>
                <c:pt idx="80">
                  <c:v>13.3430492651822</c:v>
                </c:pt>
                <c:pt idx="81">
                  <c:v>13.3333919940331</c:v>
                </c:pt>
                <c:pt idx="82">
                  <c:v>13.3237048248742</c:v>
                </c:pt>
                <c:pt idx="83">
                  <c:v>13.313995431583001</c:v>
                </c:pt>
                <c:pt idx="84">
                  <c:v>13.304273338201901</c:v>
                </c:pt>
                <c:pt idx="85">
                  <c:v>13.2945256852604</c:v>
                </c:pt>
                <c:pt idx="86">
                  <c:v>13.2847901424241</c:v>
                </c:pt>
                <c:pt idx="87">
                  <c:v>13.2750605781834</c:v>
                </c:pt>
                <c:pt idx="88">
                  <c:v>13.2653400996254</c:v>
                </c:pt>
                <c:pt idx="89">
                  <c:v>13.2556340507185</c:v>
                </c:pt>
                <c:pt idx="90">
                  <c:v>13.2459519421897</c:v>
                </c:pt>
                <c:pt idx="91">
                  <c:v>13.236301787418499</c:v>
                </c:pt>
                <c:pt idx="92">
                  <c:v>13.2266893432319</c:v>
                </c:pt>
                <c:pt idx="93">
                  <c:v>13.217122327912</c:v>
                </c:pt>
                <c:pt idx="94">
                  <c:v>13.2076056060603</c:v>
                </c:pt>
                <c:pt idx="95">
                  <c:v>13.1981482484743</c:v>
                </c:pt>
                <c:pt idx="96">
                  <c:v>13.188759353968701</c:v>
                </c:pt>
                <c:pt idx="97">
                  <c:v>13.179444415469501</c:v>
                </c:pt>
                <c:pt idx="98">
                  <c:v>13.1702108524668</c:v>
                </c:pt>
                <c:pt idx="99">
                  <c:v>13.161066594102699</c:v>
                </c:pt>
                <c:pt idx="100">
                  <c:v>13.149762975155401</c:v>
                </c:pt>
                <c:pt idx="101">
                  <c:v>13.136304830377901</c:v>
                </c:pt>
                <c:pt idx="102">
                  <c:v>13.122958164976399</c:v>
                </c:pt>
                <c:pt idx="103">
                  <c:v>13.109744534395499</c:v>
                </c:pt>
                <c:pt idx="104">
                  <c:v>13.0966780242876</c:v>
                </c:pt>
                <c:pt idx="105">
                  <c:v>13.0837726809347</c:v>
                </c:pt>
                <c:pt idx="106">
                  <c:v>13.071044775138599</c:v>
                </c:pt>
                <c:pt idx="107">
                  <c:v>13.058510620695399</c:v>
                </c:pt>
                <c:pt idx="108">
                  <c:v>13.0461924766972</c:v>
                </c:pt>
                <c:pt idx="109">
                  <c:v>13.0341075135621</c:v>
                </c:pt>
                <c:pt idx="110">
                  <c:v>13.022294281699599</c:v>
                </c:pt>
                <c:pt idx="111">
                  <c:v>13.0107327855394</c:v>
                </c:pt>
                <c:pt idx="112">
                  <c:v>12.9994452317632</c:v>
                </c:pt>
                <c:pt idx="113">
                  <c:v>12.988464104553699</c:v>
                </c:pt>
                <c:pt idx="114">
                  <c:v>12.9778026113714</c:v>
                </c:pt>
                <c:pt idx="115">
                  <c:v>12.9674791367485</c:v>
                </c:pt>
                <c:pt idx="116">
                  <c:v>12.957512908256801</c:v>
                </c:pt>
                <c:pt idx="117">
                  <c:v>12.947923155468599</c:v>
                </c:pt>
                <c:pt idx="118">
                  <c:v>12.938742226069399</c:v>
                </c:pt>
                <c:pt idx="119">
                  <c:v>12.9299643930486</c:v>
                </c:pt>
                <c:pt idx="120">
                  <c:v>12.9177706401058</c:v>
                </c:pt>
                <c:pt idx="121">
                  <c:v>12.9018493547714</c:v>
                </c:pt>
                <c:pt idx="122">
                  <c:v>12.8859322693088</c:v>
                </c:pt>
                <c:pt idx="123">
                  <c:v>12.870020426558799</c:v>
                </c:pt>
                <c:pt idx="124">
                  <c:v>12.854130165041299</c:v>
                </c:pt>
                <c:pt idx="125">
                  <c:v>12.838273407045</c:v>
                </c:pt>
                <c:pt idx="126">
                  <c:v>12.822461977906601</c:v>
                </c:pt>
                <c:pt idx="127">
                  <c:v>12.806710347853</c:v>
                </c:pt>
                <c:pt idx="128">
                  <c:v>12.791020563369599</c:v>
                </c:pt>
                <c:pt idx="129">
                  <c:v>12.7754076134046</c:v>
                </c:pt>
                <c:pt idx="130">
                  <c:v>12.759888684877399</c:v>
                </c:pt>
                <c:pt idx="131">
                  <c:v>12.744465997620599</c:v>
                </c:pt>
                <c:pt idx="132">
                  <c:v>12.7291538804671</c:v>
                </c:pt>
                <c:pt idx="133">
                  <c:v>12.713967647655499</c:v>
                </c:pt>
                <c:pt idx="134">
                  <c:v>12.6989200466602</c:v>
                </c:pt>
                <c:pt idx="135">
                  <c:v>12.684026188683999</c:v>
                </c:pt>
                <c:pt idx="136">
                  <c:v>12.669303167366399</c:v>
                </c:pt>
                <c:pt idx="137">
                  <c:v>12.6547588577382</c:v>
                </c:pt>
                <c:pt idx="138">
                  <c:v>12.6404156470286</c:v>
                </c:pt>
                <c:pt idx="139">
                  <c:v>12.626279439801101</c:v>
                </c:pt>
                <c:pt idx="140">
                  <c:v>12.6133315616202</c:v>
                </c:pt>
                <c:pt idx="141">
                  <c:v>12.601127508005201</c:v>
                </c:pt>
                <c:pt idx="142">
                  <c:v>12.588498392211401</c:v>
                </c:pt>
                <c:pt idx="143">
                  <c:v>12.575416610656101</c:v>
                </c:pt>
                <c:pt idx="144">
                  <c:v>12.561884613670999</c:v>
                </c:pt>
                <c:pt idx="145">
                  <c:v>12.547884502665299</c:v>
                </c:pt>
                <c:pt idx="146">
                  <c:v>12.533403573705399</c:v>
                </c:pt>
                <c:pt idx="147">
                  <c:v>12.518433012877299</c:v>
                </c:pt>
                <c:pt idx="148">
                  <c:v>12.5029724802381</c:v>
                </c:pt>
                <c:pt idx="149">
                  <c:v>12.486997332172701</c:v>
                </c:pt>
                <c:pt idx="150">
                  <c:v>12.470519032096099</c:v>
                </c:pt>
                <c:pt idx="151">
                  <c:v>12.453504673913701</c:v>
                </c:pt>
                <c:pt idx="152">
                  <c:v>12.4359632370247</c:v>
                </c:pt>
                <c:pt idx="153">
                  <c:v>12.417884906932301</c:v>
                </c:pt>
                <c:pt idx="154">
                  <c:v>12.399259409842401</c:v>
                </c:pt>
                <c:pt idx="155">
                  <c:v>12.380078150381401</c:v>
                </c:pt>
                <c:pt idx="156">
                  <c:v>12.360338112436599</c:v>
                </c:pt>
                <c:pt idx="157">
                  <c:v>12.340047342398201</c:v>
                </c:pt>
                <c:pt idx="158">
                  <c:v>12.319191723070899</c:v>
                </c:pt>
                <c:pt idx="159">
                  <c:v>12.2977737034448</c:v>
                </c:pt>
                <c:pt idx="160">
                  <c:v>12.274856342715101</c:v>
                </c:pt>
                <c:pt idx="161">
                  <c:v>12.2513806876646</c:v>
                </c:pt>
                <c:pt idx="162">
                  <c:v>12.2286783181363</c:v>
                </c:pt>
                <c:pt idx="163">
                  <c:v>12.2068066036676</c:v>
                </c:pt>
                <c:pt idx="164">
                  <c:v>12.1857985752016</c:v>
                </c:pt>
                <c:pt idx="165">
                  <c:v>12.165706257533101</c:v>
                </c:pt>
                <c:pt idx="166">
                  <c:v>12.1465886848952</c:v>
                </c:pt>
                <c:pt idx="167">
                  <c:v>12.128496502643699</c:v>
                </c:pt>
                <c:pt idx="168">
                  <c:v>12.1114989074419</c:v>
                </c:pt>
                <c:pt idx="169">
                  <c:v>12.0956030423432</c:v>
                </c:pt>
                <c:pt idx="170">
                  <c:v>12.0808824735514</c:v>
                </c:pt>
                <c:pt idx="171">
                  <c:v>12.0674001072883</c:v>
                </c:pt>
                <c:pt idx="172">
                  <c:v>12.055214020248901</c:v>
                </c:pt>
                <c:pt idx="173">
                  <c:v>12.044383575065201</c:v>
                </c:pt>
                <c:pt idx="174">
                  <c:v>12.034985756919401</c:v>
                </c:pt>
                <c:pt idx="175">
                  <c:v>12.0270593820762</c:v>
                </c:pt>
                <c:pt idx="176">
                  <c:v>12.020687550208701</c:v>
                </c:pt>
                <c:pt idx="177">
                  <c:v>12.015924235374399</c:v>
                </c:pt>
                <c:pt idx="178">
                  <c:v>12.0128401493411</c:v>
                </c:pt>
                <c:pt idx="179">
                  <c:v>12.0115254478414</c:v>
                </c:pt>
                <c:pt idx="180">
                  <c:v>11.9910140335063</c:v>
                </c:pt>
                <c:pt idx="181">
                  <c:v>11.9505613751965</c:v>
                </c:pt>
                <c:pt idx="182">
                  <c:v>11.9108844939507</c:v>
                </c:pt>
                <c:pt idx="183">
                  <c:v>11.872057624473999</c:v>
                </c:pt>
                <c:pt idx="184">
                  <c:v>11.834140948884</c:v>
                </c:pt>
                <c:pt idx="185">
                  <c:v>11.7971848323511</c:v>
                </c:pt>
                <c:pt idx="186">
                  <c:v>11.7612478127309</c:v>
                </c:pt>
                <c:pt idx="187">
                  <c:v>11.7264152396029</c:v>
                </c:pt>
                <c:pt idx="188">
                  <c:v>11.692757380419801</c:v>
                </c:pt>
                <c:pt idx="189">
                  <c:v>11.660321521815201</c:v>
                </c:pt>
                <c:pt idx="190">
                  <c:v>11.629169800762</c:v>
                </c:pt>
                <c:pt idx="191">
                  <c:v>11.5993791079845</c:v>
                </c:pt>
                <c:pt idx="192">
                  <c:v>11.5710092164303</c:v>
                </c:pt>
                <c:pt idx="193">
                  <c:v>11.5441260391984</c:v>
                </c:pt>
                <c:pt idx="194">
                  <c:v>11.5188090847972</c:v>
                </c:pt>
                <c:pt idx="195">
                  <c:v>11.495117873364601</c:v>
                </c:pt>
                <c:pt idx="196">
                  <c:v>11.4731338735796</c:v>
                </c:pt>
                <c:pt idx="197">
                  <c:v>11.452919747711301</c:v>
                </c:pt>
                <c:pt idx="198">
                  <c:v>11.4345489909959</c:v>
                </c:pt>
                <c:pt idx="199">
                  <c:v>11.4181072921654</c:v>
                </c:pt>
                <c:pt idx="200">
                  <c:v>11.4309026242599</c:v>
                </c:pt>
                <c:pt idx="201">
                  <c:v>11.465856288068199</c:v>
                </c:pt>
                <c:pt idx="202">
                  <c:v>11.492628794426601</c:v>
                </c:pt>
                <c:pt idx="203">
                  <c:v>11.511072447733</c:v>
                </c:pt>
                <c:pt idx="204">
                  <c:v>11.5208757304892</c:v>
                </c:pt>
                <c:pt idx="205">
                  <c:v>11.521892520803201</c:v>
                </c:pt>
                <c:pt idx="206">
                  <c:v>11.513903808796</c:v>
                </c:pt>
                <c:pt idx="207">
                  <c:v>11.4967457196531</c:v>
                </c:pt>
                <c:pt idx="208">
                  <c:v>11.4702326596804</c:v>
                </c:pt>
                <c:pt idx="209">
                  <c:v>11.434172497881001</c:v>
                </c:pt>
                <c:pt idx="210">
                  <c:v>11.3883533914357</c:v>
                </c:pt>
                <c:pt idx="211">
                  <c:v>11.3326145691435</c:v>
                </c:pt>
                <c:pt idx="212">
                  <c:v>11.266793214956699</c:v>
                </c:pt>
                <c:pt idx="213">
                  <c:v>11.1906726328102</c:v>
                </c:pt>
                <c:pt idx="214">
                  <c:v>11.104101226025501</c:v>
                </c:pt>
                <c:pt idx="215">
                  <c:v>11.006895315820801</c:v>
                </c:pt>
                <c:pt idx="216">
                  <c:v>10.8988908294039</c:v>
                </c:pt>
                <c:pt idx="217">
                  <c:v>10.7799116234417</c:v>
                </c:pt>
                <c:pt idx="218">
                  <c:v>10.649791331630601</c:v>
                </c:pt>
                <c:pt idx="219">
                  <c:v>10.5083578732884</c:v>
                </c:pt>
                <c:pt idx="220">
                  <c:v>10.477736469055801</c:v>
                </c:pt>
                <c:pt idx="221">
                  <c:v>10.5600272163318</c:v>
                </c:pt>
                <c:pt idx="222">
                  <c:v>10.6337944972556</c:v>
                </c:pt>
                <c:pt idx="223">
                  <c:v>10.6989771553244</c:v>
                </c:pt>
                <c:pt idx="224">
                  <c:v>10.7555272550994</c:v>
                </c:pt>
                <c:pt idx="225">
                  <c:v>10.8033711988765</c:v>
                </c:pt>
                <c:pt idx="226">
                  <c:v>10.842493603751</c:v>
                </c:pt>
                <c:pt idx="227">
                  <c:v>10.872916753209999</c:v>
                </c:pt>
                <c:pt idx="228">
                  <c:v>10.894638103436099</c:v>
                </c:pt>
                <c:pt idx="229">
                  <c:v>10.9076674355093</c:v>
                </c:pt>
                <c:pt idx="230">
                  <c:v>10.9120851213133</c:v>
                </c:pt>
                <c:pt idx="231">
                  <c:v>10.9079618365058</c:v>
                </c:pt>
                <c:pt idx="232">
                  <c:v>10.895361866606899</c:v>
                </c:pt>
                <c:pt idx="233">
                  <c:v>10.874376958027799</c:v>
                </c:pt>
                <c:pt idx="234">
                  <c:v>10.8451603117479</c:v>
                </c:pt>
                <c:pt idx="235">
                  <c:v>10.8078371503791</c:v>
                </c:pt>
                <c:pt idx="236">
                  <c:v>10.7625386965454</c:v>
                </c:pt>
                <c:pt idx="237">
                  <c:v>10.709432375736201</c:v>
                </c:pt>
                <c:pt idx="238">
                  <c:v>10.6487441615721</c:v>
                </c:pt>
                <c:pt idx="239">
                  <c:v>10.5806518544578</c:v>
                </c:pt>
                <c:pt idx="240">
                  <c:v>10.490574473524299</c:v>
                </c:pt>
                <c:pt idx="241">
                  <c:v>10.3853083395434</c:v>
                </c:pt>
                <c:pt idx="242">
                  <c:v>10.282604196738999</c:v>
                </c:pt>
                <c:pt idx="243">
                  <c:v>10.182704926202501</c:v>
                </c:pt>
                <c:pt idx="244">
                  <c:v>10.0858772693361</c:v>
                </c:pt>
                <c:pt idx="245">
                  <c:v>9.9923416092598298</c:v>
                </c:pt>
                <c:pt idx="246">
                  <c:v>9.9024031448176508</c:v>
                </c:pt>
                <c:pt idx="247">
                  <c:v>9.8163563636356201</c:v>
                </c:pt>
                <c:pt idx="248">
                  <c:v>9.7345450504604205</c:v>
                </c:pt>
                <c:pt idx="249">
                  <c:v>9.6571890134151097</c:v>
                </c:pt>
                <c:pt idx="250">
                  <c:v>9.5847122680824892</c:v>
                </c:pt>
                <c:pt idx="251">
                  <c:v>9.5173226599346403</c:v>
                </c:pt>
                <c:pt idx="252">
                  <c:v>9.4553726238557907</c:v>
                </c:pt>
                <c:pt idx="253">
                  <c:v>9.3991622530316903</c:v>
                </c:pt>
                <c:pt idx="254">
                  <c:v>9.3490018306378708</c:v>
                </c:pt>
                <c:pt idx="255">
                  <c:v>9.3052165835453593</c:v>
                </c:pt>
                <c:pt idx="256">
                  <c:v>9.2680418091812307</c:v>
                </c:pt>
                <c:pt idx="257">
                  <c:v>9.2377981709255206</c:v>
                </c:pt>
                <c:pt idx="258">
                  <c:v>9.2148056595328907</c:v>
                </c:pt>
                <c:pt idx="259">
                  <c:v>9.1991795721460807</c:v>
                </c:pt>
                <c:pt idx="260">
                  <c:v>9.5497281317336107</c:v>
                </c:pt>
                <c:pt idx="261">
                  <c:v>10.184095452738701</c:v>
                </c:pt>
                <c:pt idx="262">
                  <c:v>10.7082104192359</c:v>
                </c:pt>
                <c:pt idx="263">
                  <c:v>11.1196177100603</c:v>
                </c:pt>
                <c:pt idx="264">
                  <c:v>11.4160475201371</c:v>
                </c:pt>
                <c:pt idx="265">
                  <c:v>11.5953174033625</c:v>
                </c:pt>
                <c:pt idx="266">
                  <c:v>11.6550654147121</c:v>
                </c:pt>
                <c:pt idx="267">
                  <c:v>11.5930979190899</c:v>
                </c:pt>
                <c:pt idx="268">
                  <c:v>11.4071480319906</c:v>
                </c:pt>
                <c:pt idx="269">
                  <c:v>11.094965863757899</c:v>
                </c:pt>
                <c:pt idx="270">
                  <c:v>10.654218842942401</c:v>
                </c:pt>
                <c:pt idx="271">
                  <c:v>10.0826730292078</c:v>
                </c:pt>
                <c:pt idx="272">
                  <c:v>9.3779374493658594</c:v>
                </c:pt>
                <c:pt idx="273">
                  <c:v>8.5375904261311408</c:v>
                </c:pt>
                <c:pt idx="274">
                  <c:v>7.5591700581752104</c:v>
                </c:pt>
                <c:pt idx="275">
                  <c:v>6.4402609574548597</c:v>
                </c:pt>
                <c:pt idx="276">
                  <c:v>5.1782028436446703</c:v>
                </c:pt>
                <c:pt idx="277">
                  <c:v>3.7705543546619</c:v>
                </c:pt>
                <c:pt idx="278">
                  <c:v>2.2143838461599401</c:v>
                </c:pt>
                <c:pt idx="279">
                  <c:v>0.50680817270954504</c:v>
                </c:pt>
                <c:pt idx="280">
                  <c:v>1.5060929684018001</c:v>
                </c:pt>
                <c:pt idx="281">
                  <c:v>5.0031737686790203</c:v>
                </c:pt>
                <c:pt idx="282">
                  <c:v>8.0469906227784698</c:v>
                </c:pt>
                <c:pt idx="283">
                  <c:v>10.6323352222189</c:v>
                </c:pt>
                <c:pt idx="284">
                  <c:v>12.754546069974801</c:v>
                </c:pt>
                <c:pt idx="285">
                  <c:v>14.4094126726576</c:v>
                </c:pt>
                <c:pt idx="286">
                  <c:v>15.5932062075874</c:v>
                </c:pt>
                <c:pt idx="287">
                  <c:v>16.3026348604247</c:v>
                </c:pt>
                <c:pt idx="288">
                  <c:v>16.534722919764299</c:v>
                </c:pt>
                <c:pt idx="289">
                  <c:v>16.286938367280101</c:v>
                </c:pt>
                <c:pt idx="290">
                  <c:v>15.557481512651</c:v>
                </c:pt>
                <c:pt idx="291">
                  <c:v>14.3449037500089</c:v>
                </c:pt>
                <c:pt idx="292">
                  <c:v>12.647695306785</c:v>
                </c:pt>
                <c:pt idx="293">
                  <c:v>10.4654582498196</c:v>
                </c:pt>
                <c:pt idx="294">
                  <c:v>7.7977590994818602</c:v>
                </c:pt>
                <c:pt idx="295">
                  <c:v>4.6448689836522901</c:v>
                </c:pt>
                <c:pt idx="296">
                  <c:v>1.0080022499980901</c:v>
                </c:pt>
                <c:pt idx="297">
                  <c:v>-3.1124546414286698</c:v>
                </c:pt>
                <c:pt idx="298">
                  <c:v>-7.7148876104311404</c:v>
                </c:pt>
                <c:pt idx="299">
                  <c:v>-12.797763663025099</c:v>
                </c:pt>
                <c:pt idx="300">
                  <c:v>-11.2486543254222</c:v>
                </c:pt>
                <c:pt idx="301">
                  <c:v>-3.5000695964838702</c:v>
                </c:pt>
                <c:pt idx="302">
                  <c:v>3.1614025854348902</c:v>
                </c:pt>
                <c:pt idx="303">
                  <c:v>8.7365378812205101</c:v>
                </c:pt>
                <c:pt idx="304">
                  <c:v>13.2301104618815</c:v>
                </c:pt>
                <c:pt idx="305">
                  <c:v>16.646962548707901</c:v>
                </c:pt>
                <c:pt idx="306">
                  <c:v>18.993477461753301</c:v>
                </c:pt>
                <c:pt idx="307">
                  <c:v>20.278206922886</c:v>
                </c:pt>
                <c:pt idx="308">
                  <c:v>20.508901160333899</c:v>
                </c:pt>
                <c:pt idx="309">
                  <c:v>19.6957342761267</c:v>
                </c:pt>
                <c:pt idx="310">
                  <c:v>17.8496433211976</c:v>
                </c:pt>
                <c:pt idx="311">
                  <c:v>14.98845130386</c:v>
                </c:pt>
                <c:pt idx="312">
                  <c:v>11.1151836276743</c:v>
                </c:pt>
                <c:pt idx="313">
                  <c:v>6.2572783933278302</c:v>
                </c:pt>
                <c:pt idx="314">
                  <c:v>0.399605454491542</c:v>
                </c:pt>
                <c:pt idx="315">
                  <c:v>-6.4247124070033097</c:v>
                </c:pt>
                <c:pt idx="316">
                  <c:v>-14.1671585551797</c:v>
                </c:pt>
                <c:pt idx="317">
                  <c:v>-22.850765490286001</c:v>
                </c:pt>
                <c:pt idx="318">
                  <c:v>-32.2977723302782</c:v>
                </c:pt>
                <c:pt idx="319">
                  <c:v>-43.338106780593399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84A-40B7-A055-EE33FEB23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556208"/>
        <c:axId val="1801559568"/>
      </c:scatterChart>
      <c:valAx>
        <c:axId val="180155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1559568"/>
        <c:crosses val="autoZero"/>
        <c:crossBetween val="midCat"/>
      </c:valAx>
      <c:valAx>
        <c:axId val="1801559568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155620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FEMx1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新・線形全比較!$C$14:$C$46</c:f>
              <c:numCache>
                <c:formatCode>0.00E+00</c:formatCode>
                <c:ptCount val="33"/>
                <c:pt idx="0">
                  <c:v>0</c:v>
                </c:pt>
                <c:pt idx="1">
                  <c:v>1.5625E-2</c:v>
                </c:pt>
                <c:pt idx="2">
                  <c:v>3.125E-2</c:v>
                </c:pt>
                <c:pt idx="3">
                  <c:v>4.6875E-2</c:v>
                </c:pt>
                <c:pt idx="4">
                  <c:v>6.25E-2</c:v>
                </c:pt>
                <c:pt idx="5">
                  <c:v>7.8125E-2</c:v>
                </c:pt>
                <c:pt idx="6">
                  <c:v>9.375E-2</c:v>
                </c:pt>
                <c:pt idx="7">
                  <c:v>0.109375</c:v>
                </c:pt>
                <c:pt idx="8">
                  <c:v>0.125</c:v>
                </c:pt>
                <c:pt idx="9">
                  <c:v>0.140625</c:v>
                </c:pt>
                <c:pt idx="10">
                  <c:v>0.15625</c:v>
                </c:pt>
                <c:pt idx="11">
                  <c:v>0.171875</c:v>
                </c:pt>
                <c:pt idx="12">
                  <c:v>0.1875</c:v>
                </c:pt>
                <c:pt idx="13">
                  <c:v>0.203125</c:v>
                </c:pt>
                <c:pt idx="14">
                  <c:v>0.21875</c:v>
                </c:pt>
                <c:pt idx="15">
                  <c:v>0.234375</c:v>
                </c:pt>
                <c:pt idx="16">
                  <c:v>0.25</c:v>
                </c:pt>
                <c:pt idx="17">
                  <c:v>0.265625</c:v>
                </c:pt>
                <c:pt idx="18">
                  <c:v>0.28125</c:v>
                </c:pt>
                <c:pt idx="19">
                  <c:v>0.296875</c:v>
                </c:pt>
                <c:pt idx="20">
                  <c:v>0.3125</c:v>
                </c:pt>
                <c:pt idx="21">
                  <c:v>0.328125</c:v>
                </c:pt>
                <c:pt idx="22">
                  <c:v>0.34375</c:v>
                </c:pt>
                <c:pt idx="23">
                  <c:v>0.359375</c:v>
                </c:pt>
                <c:pt idx="24">
                  <c:v>0.375</c:v>
                </c:pt>
                <c:pt idx="25">
                  <c:v>0.390625</c:v>
                </c:pt>
                <c:pt idx="26">
                  <c:v>0.40625</c:v>
                </c:pt>
                <c:pt idx="27">
                  <c:v>0.421875</c:v>
                </c:pt>
                <c:pt idx="28">
                  <c:v>0.4375</c:v>
                </c:pt>
                <c:pt idx="29">
                  <c:v>0.453125</c:v>
                </c:pt>
                <c:pt idx="30">
                  <c:v>0.46875</c:v>
                </c:pt>
                <c:pt idx="31">
                  <c:v>0.484375</c:v>
                </c:pt>
                <c:pt idx="32">
                  <c:v>0.5</c:v>
                </c:pt>
              </c:numCache>
            </c:numRef>
          </c:xVal>
          <c:yVal>
            <c:numRef>
              <c:f>新・線形全比較!$D$14:$D$46</c:f>
              <c:numCache>
                <c:formatCode>0.00E+00</c:formatCode>
                <c:ptCount val="33"/>
                <c:pt idx="0">
                  <c:v>0.398005</c:v>
                </c:pt>
                <c:pt idx="1">
                  <c:v>0.39805299999999999</c:v>
                </c:pt>
                <c:pt idx="2">
                  <c:v>0.39810099999999998</c:v>
                </c:pt>
                <c:pt idx="3">
                  <c:v>0.39824500000000002</c:v>
                </c:pt>
                <c:pt idx="4">
                  <c:v>0.39839000000000002</c:v>
                </c:pt>
                <c:pt idx="5">
                  <c:v>0.39862999999999998</c:v>
                </c:pt>
                <c:pt idx="6">
                  <c:v>0.39887</c:v>
                </c:pt>
                <c:pt idx="7">
                  <c:v>0.399204</c:v>
                </c:pt>
                <c:pt idx="8">
                  <c:v>0.39953899999999998</c:v>
                </c:pt>
                <c:pt idx="9">
                  <c:v>0.39996599999999999</c:v>
                </c:pt>
                <c:pt idx="10">
                  <c:v>0.400393</c:v>
                </c:pt>
                <c:pt idx="11">
                  <c:v>0.40090900000000002</c:v>
                </c:pt>
                <c:pt idx="12">
                  <c:v>0.401424</c:v>
                </c:pt>
                <c:pt idx="13">
                  <c:v>0.40202100000000002</c:v>
                </c:pt>
                <c:pt idx="14">
                  <c:v>0.40261799999999998</c:v>
                </c:pt>
                <c:pt idx="15">
                  <c:v>0.403283</c:v>
                </c:pt>
                <c:pt idx="16">
                  <c:v>0.403949</c:v>
                </c:pt>
                <c:pt idx="17">
                  <c:v>0.40465899999999999</c:v>
                </c:pt>
                <c:pt idx="18">
                  <c:v>0.40537000000000001</c:v>
                </c:pt>
                <c:pt idx="19">
                  <c:v>0.406086</c:v>
                </c:pt>
                <c:pt idx="20">
                  <c:v>0.406802</c:v>
                </c:pt>
                <c:pt idx="21">
                  <c:v>0.407447</c:v>
                </c:pt>
                <c:pt idx="22">
                  <c:v>0.40809200000000001</c:v>
                </c:pt>
                <c:pt idx="23">
                  <c:v>0.40852899999999998</c:v>
                </c:pt>
                <c:pt idx="24">
                  <c:v>0.40896700000000002</c:v>
                </c:pt>
                <c:pt idx="25">
                  <c:v>0.40883399999999998</c:v>
                </c:pt>
                <c:pt idx="26">
                  <c:v>0.40870000000000001</c:v>
                </c:pt>
                <c:pt idx="27">
                  <c:v>0.40736499999999998</c:v>
                </c:pt>
                <c:pt idx="28">
                  <c:v>0.40603</c:v>
                </c:pt>
                <c:pt idx="29">
                  <c:v>0.39985700000000002</c:v>
                </c:pt>
                <c:pt idx="30">
                  <c:v>0.39368500000000001</c:v>
                </c:pt>
                <c:pt idx="31">
                  <c:v>0.376971</c:v>
                </c:pt>
                <c:pt idx="32">
                  <c:v>0.36025699999999999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E8-4A13-987B-C9DBB7744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097152"/>
        <c:axId val="1426096192"/>
      </c:scatterChart>
      <c:valAx>
        <c:axId val="142609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6096192"/>
        <c:crosses val="autoZero"/>
        <c:crossBetween val="midCat"/>
      </c:valAx>
      <c:valAx>
        <c:axId val="142609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609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IGAx2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新・線形全比較!$O$2:$O$321</c:f>
              <c:numCache>
                <c:formatCode>0.00E+00</c:formatCode>
                <c:ptCount val="320"/>
                <c:pt idx="0">
                  <c:v>7.8125000000000004E-4</c:v>
                </c:pt>
                <c:pt idx="1">
                  <c:v>2.3437499999999999E-3</c:v>
                </c:pt>
                <c:pt idx="2">
                  <c:v>3.90625E-3</c:v>
                </c:pt>
                <c:pt idx="3">
                  <c:v>5.4687499999999997E-3</c:v>
                </c:pt>
                <c:pt idx="4">
                  <c:v>7.0312500000000002E-3</c:v>
                </c:pt>
                <c:pt idx="5">
                  <c:v>8.5937500000000007E-3</c:v>
                </c:pt>
                <c:pt idx="6">
                  <c:v>1.015625E-2</c:v>
                </c:pt>
                <c:pt idx="7">
                  <c:v>1.171875E-2</c:v>
                </c:pt>
                <c:pt idx="8">
                  <c:v>1.328125E-2</c:v>
                </c:pt>
                <c:pt idx="9">
                  <c:v>1.4843749999999999E-2</c:v>
                </c:pt>
                <c:pt idx="10">
                  <c:v>1.6406250000000001E-2</c:v>
                </c:pt>
                <c:pt idx="11">
                  <c:v>1.7968749999999999E-2</c:v>
                </c:pt>
                <c:pt idx="12">
                  <c:v>1.953125E-2</c:v>
                </c:pt>
                <c:pt idx="13">
                  <c:v>2.1093750000000001E-2</c:v>
                </c:pt>
                <c:pt idx="14">
                  <c:v>2.2656249999999999E-2</c:v>
                </c:pt>
                <c:pt idx="15">
                  <c:v>2.4218750000000001E-2</c:v>
                </c:pt>
                <c:pt idx="16">
                  <c:v>2.5781249999999999E-2</c:v>
                </c:pt>
                <c:pt idx="17">
                  <c:v>2.734375E-2</c:v>
                </c:pt>
                <c:pt idx="18">
                  <c:v>2.8906250000000001E-2</c:v>
                </c:pt>
                <c:pt idx="19">
                  <c:v>3.0468749999999999E-2</c:v>
                </c:pt>
                <c:pt idx="20">
                  <c:v>3.2031249999999997E-2</c:v>
                </c:pt>
                <c:pt idx="21">
                  <c:v>3.3593749999999999E-2</c:v>
                </c:pt>
                <c:pt idx="22">
                  <c:v>3.515625E-2</c:v>
                </c:pt>
                <c:pt idx="23">
                  <c:v>3.6718750000000001E-2</c:v>
                </c:pt>
                <c:pt idx="24">
                  <c:v>3.8281250000000003E-2</c:v>
                </c:pt>
                <c:pt idx="25">
                  <c:v>3.9843749999999997E-2</c:v>
                </c:pt>
                <c:pt idx="26">
                  <c:v>4.1406249999999999E-2</c:v>
                </c:pt>
                <c:pt idx="27">
                  <c:v>4.296875E-2</c:v>
                </c:pt>
                <c:pt idx="28">
                  <c:v>4.4531250000000001E-2</c:v>
                </c:pt>
                <c:pt idx="29">
                  <c:v>4.6093750000000003E-2</c:v>
                </c:pt>
                <c:pt idx="30">
                  <c:v>4.7656249999999997E-2</c:v>
                </c:pt>
                <c:pt idx="31">
                  <c:v>4.9218749999999999E-2</c:v>
                </c:pt>
                <c:pt idx="32">
                  <c:v>5.078125E-2</c:v>
                </c:pt>
                <c:pt idx="33">
                  <c:v>5.2343750000000001E-2</c:v>
                </c:pt>
                <c:pt idx="34">
                  <c:v>5.3906250000000003E-2</c:v>
                </c:pt>
                <c:pt idx="35">
                  <c:v>5.5468749999999997E-2</c:v>
                </c:pt>
                <c:pt idx="36">
                  <c:v>5.7031249999999999E-2</c:v>
                </c:pt>
                <c:pt idx="37">
                  <c:v>5.859375E-2</c:v>
                </c:pt>
                <c:pt idx="38">
                  <c:v>6.0156250000000001E-2</c:v>
                </c:pt>
                <c:pt idx="39">
                  <c:v>6.1718750000000003E-2</c:v>
                </c:pt>
                <c:pt idx="40">
                  <c:v>6.3281249999999997E-2</c:v>
                </c:pt>
                <c:pt idx="41">
                  <c:v>6.4843750000000006E-2</c:v>
                </c:pt>
                <c:pt idx="42">
                  <c:v>6.640625E-2</c:v>
                </c:pt>
                <c:pt idx="43">
                  <c:v>6.7968749999999994E-2</c:v>
                </c:pt>
                <c:pt idx="44">
                  <c:v>6.9531250000000003E-2</c:v>
                </c:pt>
                <c:pt idx="45">
                  <c:v>7.1093749999999997E-2</c:v>
                </c:pt>
                <c:pt idx="46">
                  <c:v>7.2656250000000006E-2</c:v>
                </c:pt>
                <c:pt idx="47">
                  <c:v>7.421875E-2</c:v>
                </c:pt>
                <c:pt idx="48">
                  <c:v>7.5781249999999994E-2</c:v>
                </c:pt>
                <c:pt idx="49">
                  <c:v>7.7343750000000003E-2</c:v>
                </c:pt>
                <c:pt idx="50">
                  <c:v>7.8906249999999997E-2</c:v>
                </c:pt>
                <c:pt idx="51">
                  <c:v>8.0468750000000006E-2</c:v>
                </c:pt>
                <c:pt idx="52">
                  <c:v>8.203125E-2</c:v>
                </c:pt>
                <c:pt idx="53">
                  <c:v>8.3593749999999994E-2</c:v>
                </c:pt>
                <c:pt idx="54">
                  <c:v>8.5156250000000003E-2</c:v>
                </c:pt>
                <c:pt idx="55">
                  <c:v>8.6718749999999997E-2</c:v>
                </c:pt>
                <c:pt idx="56">
                  <c:v>8.8281250000000006E-2</c:v>
                </c:pt>
                <c:pt idx="57">
                  <c:v>8.984375E-2</c:v>
                </c:pt>
                <c:pt idx="58">
                  <c:v>9.1406249999999994E-2</c:v>
                </c:pt>
                <c:pt idx="59">
                  <c:v>9.2968750000000003E-2</c:v>
                </c:pt>
                <c:pt idx="60">
                  <c:v>9.4531249999999997E-2</c:v>
                </c:pt>
                <c:pt idx="61">
                  <c:v>9.6093750000000006E-2</c:v>
                </c:pt>
                <c:pt idx="62">
                  <c:v>9.765625E-2</c:v>
                </c:pt>
                <c:pt idx="63">
                  <c:v>9.9218749999999994E-2</c:v>
                </c:pt>
                <c:pt idx="64">
                  <c:v>0.1007813</c:v>
                </c:pt>
                <c:pt idx="65">
                  <c:v>0.1023438</c:v>
                </c:pt>
                <c:pt idx="66">
                  <c:v>0.10390629999999999</c:v>
                </c:pt>
                <c:pt idx="67">
                  <c:v>0.1054688</c:v>
                </c:pt>
                <c:pt idx="68">
                  <c:v>0.1070313</c:v>
                </c:pt>
                <c:pt idx="69">
                  <c:v>0.1085938</c:v>
                </c:pt>
                <c:pt idx="70">
                  <c:v>0.1101563</c:v>
                </c:pt>
                <c:pt idx="71">
                  <c:v>0.11171879999999999</c:v>
                </c:pt>
                <c:pt idx="72">
                  <c:v>0.1132813</c:v>
                </c:pt>
                <c:pt idx="73">
                  <c:v>0.11484370000000001</c:v>
                </c:pt>
                <c:pt idx="74">
                  <c:v>0.1164063</c:v>
                </c:pt>
                <c:pt idx="75">
                  <c:v>0.1179687</c:v>
                </c:pt>
                <c:pt idx="76">
                  <c:v>0.11953129999999999</c:v>
                </c:pt>
                <c:pt idx="77">
                  <c:v>0.1210938</c:v>
                </c:pt>
                <c:pt idx="78">
                  <c:v>0.12265620000000001</c:v>
                </c:pt>
                <c:pt idx="79">
                  <c:v>0.1242188</c:v>
                </c:pt>
                <c:pt idx="80">
                  <c:v>0.12578130000000001</c:v>
                </c:pt>
                <c:pt idx="81">
                  <c:v>0.12734380000000001</c:v>
                </c:pt>
                <c:pt idx="82">
                  <c:v>0.1289062</c:v>
                </c:pt>
                <c:pt idx="83">
                  <c:v>0.13046869999999999</c:v>
                </c:pt>
                <c:pt idx="84">
                  <c:v>0.13203119999999999</c:v>
                </c:pt>
                <c:pt idx="85">
                  <c:v>0.13359380000000001</c:v>
                </c:pt>
                <c:pt idx="86">
                  <c:v>0.13515630000000001</c:v>
                </c:pt>
                <c:pt idx="87">
                  <c:v>0.1367188</c:v>
                </c:pt>
                <c:pt idx="88">
                  <c:v>0.13828119999999999</c:v>
                </c:pt>
                <c:pt idx="89">
                  <c:v>0.13984369999999999</c:v>
                </c:pt>
                <c:pt idx="90">
                  <c:v>0.14140630000000001</c:v>
                </c:pt>
                <c:pt idx="91">
                  <c:v>0.14296880000000001</c:v>
                </c:pt>
                <c:pt idx="92">
                  <c:v>0.1445312</c:v>
                </c:pt>
                <c:pt idx="93">
                  <c:v>0.14609369999999999</c:v>
                </c:pt>
                <c:pt idx="94">
                  <c:v>0.14765619999999999</c:v>
                </c:pt>
                <c:pt idx="95">
                  <c:v>0.14921880000000001</c:v>
                </c:pt>
                <c:pt idx="96">
                  <c:v>0.15078130000000001</c:v>
                </c:pt>
                <c:pt idx="97">
                  <c:v>0.1523438</c:v>
                </c:pt>
                <c:pt idx="98">
                  <c:v>0.1539063</c:v>
                </c:pt>
                <c:pt idx="99">
                  <c:v>0.15546869999999999</c:v>
                </c:pt>
                <c:pt idx="100">
                  <c:v>0.15703130000000001</c:v>
                </c:pt>
                <c:pt idx="101">
                  <c:v>0.15859380000000001</c:v>
                </c:pt>
                <c:pt idx="102">
                  <c:v>0.1601562</c:v>
                </c:pt>
                <c:pt idx="103">
                  <c:v>0.16171869999999999</c:v>
                </c:pt>
                <c:pt idx="104">
                  <c:v>0.16328119999999999</c:v>
                </c:pt>
                <c:pt idx="105">
                  <c:v>0.16484380000000001</c:v>
                </c:pt>
                <c:pt idx="106">
                  <c:v>0.16640630000000001</c:v>
                </c:pt>
                <c:pt idx="107">
                  <c:v>0.1679688</c:v>
                </c:pt>
                <c:pt idx="108">
                  <c:v>0.16953119999999999</c:v>
                </c:pt>
                <c:pt idx="109">
                  <c:v>0.17109369999999999</c:v>
                </c:pt>
                <c:pt idx="110">
                  <c:v>0.17265630000000001</c:v>
                </c:pt>
                <c:pt idx="111">
                  <c:v>0.17421880000000001</c:v>
                </c:pt>
                <c:pt idx="112">
                  <c:v>0.1757812</c:v>
                </c:pt>
                <c:pt idx="113">
                  <c:v>0.17734369999999999</c:v>
                </c:pt>
                <c:pt idx="114">
                  <c:v>0.17890619999999999</c:v>
                </c:pt>
                <c:pt idx="115">
                  <c:v>0.18046880000000001</c:v>
                </c:pt>
                <c:pt idx="116">
                  <c:v>0.18203130000000001</c:v>
                </c:pt>
                <c:pt idx="117">
                  <c:v>0.1835938</c:v>
                </c:pt>
                <c:pt idx="118">
                  <c:v>0.18515619999999999</c:v>
                </c:pt>
                <c:pt idx="119">
                  <c:v>0.18671869999999999</c:v>
                </c:pt>
                <c:pt idx="120">
                  <c:v>0.18828130000000001</c:v>
                </c:pt>
                <c:pt idx="121">
                  <c:v>0.18984380000000001</c:v>
                </c:pt>
                <c:pt idx="122">
                  <c:v>0.1914063</c:v>
                </c:pt>
                <c:pt idx="123">
                  <c:v>0.19296869999999999</c:v>
                </c:pt>
                <c:pt idx="124">
                  <c:v>0.19453129999999999</c:v>
                </c:pt>
                <c:pt idx="125">
                  <c:v>0.19609380000000001</c:v>
                </c:pt>
                <c:pt idx="126">
                  <c:v>0.19765630000000001</c:v>
                </c:pt>
                <c:pt idx="127">
                  <c:v>0.1992188</c:v>
                </c:pt>
                <c:pt idx="128">
                  <c:v>0.20078119999999999</c:v>
                </c:pt>
                <c:pt idx="129">
                  <c:v>0.20234369999999999</c:v>
                </c:pt>
                <c:pt idx="130">
                  <c:v>0.20390630000000001</c:v>
                </c:pt>
                <c:pt idx="131">
                  <c:v>0.20546880000000001</c:v>
                </c:pt>
                <c:pt idx="132">
                  <c:v>0.2070312</c:v>
                </c:pt>
                <c:pt idx="133">
                  <c:v>0.20859369999999999</c:v>
                </c:pt>
                <c:pt idx="134">
                  <c:v>0.21015629999999999</c:v>
                </c:pt>
                <c:pt idx="135">
                  <c:v>0.21171880000000001</c:v>
                </c:pt>
                <c:pt idx="136">
                  <c:v>0.21328130000000001</c:v>
                </c:pt>
                <c:pt idx="137">
                  <c:v>0.2148438</c:v>
                </c:pt>
                <c:pt idx="138">
                  <c:v>0.2164063</c:v>
                </c:pt>
                <c:pt idx="139">
                  <c:v>0.21796869999999999</c:v>
                </c:pt>
                <c:pt idx="140">
                  <c:v>0.21953130000000001</c:v>
                </c:pt>
                <c:pt idx="141">
                  <c:v>0.22109380000000001</c:v>
                </c:pt>
                <c:pt idx="142">
                  <c:v>0.2226563</c:v>
                </c:pt>
                <c:pt idx="143">
                  <c:v>0.22421869999999999</c:v>
                </c:pt>
                <c:pt idx="144">
                  <c:v>0.22578129999999999</c:v>
                </c:pt>
                <c:pt idx="145">
                  <c:v>0.22734380000000001</c:v>
                </c:pt>
                <c:pt idx="146">
                  <c:v>0.22890630000000001</c:v>
                </c:pt>
                <c:pt idx="147">
                  <c:v>0.2304688</c:v>
                </c:pt>
                <c:pt idx="148">
                  <c:v>0.2320313</c:v>
                </c:pt>
                <c:pt idx="149">
                  <c:v>0.23359369999999999</c:v>
                </c:pt>
                <c:pt idx="150">
                  <c:v>0.23515630000000001</c:v>
                </c:pt>
                <c:pt idx="151">
                  <c:v>0.23671880000000001</c:v>
                </c:pt>
                <c:pt idx="152">
                  <c:v>0.2382812</c:v>
                </c:pt>
                <c:pt idx="153">
                  <c:v>0.23984369999999999</c:v>
                </c:pt>
                <c:pt idx="154">
                  <c:v>0.24140629999999999</c:v>
                </c:pt>
                <c:pt idx="155">
                  <c:v>0.24296880000000001</c:v>
                </c:pt>
                <c:pt idx="156">
                  <c:v>0.24453130000000001</c:v>
                </c:pt>
                <c:pt idx="157">
                  <c:v>0.2460938</c:v>
                </c:pt>
                <c:pt idx="158">
                  <c:v>0.24765619999999999</c:v>
                </c:pt>
                <c:pt idx="159">
                  <c:v>0.24921869999999999</c:v>
                </c:pt>
                <c:pt idx="160">
                  <c:v>0.25078129999999998</c:v>
                </c:pt>
                <c:pt idx="161">
                  <c:v>0.2523437</c:v>
                </c:pt>
                <c:pt idx="162">
                  <c:v>0.25390620000000003</c:v>
                </c:pt>
                <c:pt idx="163">
                  <c:v>0.2554688</c:v>
                </c:pt>
                <c:pt idx="164">
                  <c:v>0.25703120000000002</c:v>
                </c:pt>
                <c:pt idx="165">
                  <c:v>0.25859379999999998</c:v>
                </c:pt>
                <c:pt idx="166">
                  <c:v>0.2601562</c:v>
                </c:pt>
                <c:pt idx="167">
                  <c:v>0.26171879999999997</c:v>
                </c:pt>
                <c:pt idx="168">
                  <c:v>0.2632813</c:v>
                </c:pt>
                <c:pt idx="169">
                  <c:v>0.26484370000000002</c:v>
                </c:pt>
                <c:pt idx="170">
                  <c:v>0.26640629999999998</c:v>
                </c:pt>
                <c:pt idx="171">
                  <c:v>0.2679687</c:v>
                </c:pt>
                <c:pt idx="172">
                  <c:v>0.26953120000000003</c:v>
                </c:pt>
                <c:pt idx="173">
                  <c:v>0.2710938</c:v>
                </c:pt>
                <c:pt idx="174">
                  <c:v>0.27265620000000002</c:v>
                </c:pt>
                <c:pt idx="175">
                  <c:v>0.27421879999999998</c:v>
                </c:pt>
                <c:pt idx="176">
                  <c:v>0.2757812</c:v>
                </c:pt>
                <c:pt idx="177">
                  <c:v>0.27734379999999997</c:v>
                </c:pt>
                <c:pt idx="178">
                  <c:v>0.2789063</c:v>
                </c:pt>
                <c:pt idx="179">
                  <c:v>0.28046870000000002</c:v>
                </c:pt>
                <c:pt idx="180">
                  <c:v>0.28203129999999998</c:v>
                </c:pt>
                <c:pt idx="181">
                  <c:v>0.2835937</c:v>
                </c:pt>
                <c:pt idx="182">
                  <c:v>0.28515620000000003</c:v>
                </c:pt>
                <c:pt idx="183">
                  <c:v>0.28671869999999999</c:v>
                </c:pt>
                <c:pt idx="184">
                  <c:v>0.28828120000000002</c:v>
                </c:pt>
                <c:pt idx="185">
                  <c:v>0.28984379999999998</c:v>
                </c:pt>
                <c:pt idx="186">
                  <c:v>0.2914062</c:v>
                </c:pt>
                <c:pt idx="187">
                  <c:v>0.29296879999999997</c:v>
                </c:pt>
                <c:pt idx="188">
                  <c:v>0.2945313</c:v>
                </c:pt>
                <c:pt idx="189">
                  <c:v>0.29609370000000002</c:v>
                </c:pt>
                <c:pt idx="190">
                  <c:v>0.29765629999999998</c:v>
                </c:pt>
                <c:pt idx="191">
                  <c:v>0.2992187</c:v>
                </c:pt>
                <c:pt idx="192">
                  <c:v>0.30078120000000003</c:v>
                </c:pt>
                <c:pt idx="193">
                  <c:v>0.30234369999999999</c:v>
                </c:pt>
                <c:pt idx="194">
                  <c:v>0.30390620000000002</c:v>
                </c:pt>
                <c:pt idx="195">
                  <c:v>0.30546879999999998</c:v>
                </c:pt>
                <c:pt idx="196">
                  <c:v>0.30703130000000001</c:v>
                </c:pt>
                <c:pt idx="197">
                  <c:v>0.30859379999999997</c:v>
                </c:pt>
                <c:pt idx="198">
                  <c:v>0.31015619999999999</c:v>
                </c:pt>
                <c:pt idx="199">
                  <c:v>0.31171870000000002</c:v>
                </c:pt>
                <c:pt idx="200">
                  <c:v>0.31328129999999998</c:v>
                </c:pt>
                <c:pt idx="201">
                  <c:v>0.3148437</c:v>
                </c:pt>
                <c:pt idx="202">
                  <c:v>0.31640620000000003</c:v>
                </c:pt>
                <c:pt idx="203">
                  <c:v>0.3179688</c:v>
                </c:pt>
                <c:pt idx="204">
                  <c:v>0.31953120000000002</c:v>
                </c:pt>
                <c:pt idx="205">
                  <c:v>0.32109379999999998</c:v>
                </c:pt>
                <c:pt idx="206">
                  <c:v>0.3226562</c:v>
                </c:pt>
                <c:pt idx="207">
                  <c:v>0.32421879999999997</c:v>
                </c:pt>
                <c:pt idx="208">
                  <c:v>0.3257813</c:v>
                </c:pt>
                <c:pt idx="209">
                  <c:v>0.32734370000000002</c:v>
                </c:pt>
                <c:pt idx="210">
                  <c:v>0.32890629999999998</c:v>
                </c:pt>
                <c:pt idx="211">
                  <c:v>0.3304687</c:v>
                </c:pt>
                <c:pt idx="212">
                  <c:v>0.33203120000000003</c:v>
                </c:pt>
                <c:pt idx="213">
                  <c:v>0.3335938</c:v>
                </c:pt>
                <c:pt idx="214">
                  <c:v>0.33515620000000002</c:v>
                </c:pt>
                <c:pt idx="215">
                  <c:v>0.33671879999999998</c:v>
                </c:pt>
                <c:pt idx="216">
                  <c:v>0.3382812</c:v>
                </c:pt>
                <c:pt idx="217">
                  <c:v>0.33984379999999997</c:v>
                </c:pt>
                <c:pt idx="218">
                  <c:v>0.34140619999999999</c:v>
                </c:pt>
                <c:pt idx="219">
                  <c:v>0.34296870000000002</c:v>
                </c:pt>
                <c:pt idx="220">
                  <c:v>0.34453129999999998</c:v>
                </c:pt>
                <c:pt idx="221">
                  <c:v>0.3460937</c:v>
                </c:pt>
                <c:pt idx="222">
                  <c:v>0.34765629999999997</c:v>
                </c:pt>
                <c:pt idx="223">
                  <c:v>0.3492188</c:v>
                </c:pt>
                <c:pt idx="224">
                  <c:v>0.35078120000000002</c:v>
                </c:pt>
                <c:pt idx="225">
                  <c:v>0.35234379999999998</c:v>
                </c:pt>
                <c:pt idx="226">
                  <c:v>0.3539062</c:v>
                </c:pt>
                <c:pt idx="227">
                  <c:v>0.35546879999999997</c:v>
                </c:pt>
                <c:pt idx="228">
                  <c:v>0.3570313</c:v>
                </c:pt>
                <c:pt idx="229">
                  <c:v>0.35859370000000002</c:v>
                </c:pt>
                <c:pt idx="230">
                  <c:v>0.36015629999999998</c:v>
                </c:pt>
                <c:pt idx="231">
                  <c:v>0.3617187</c:v>
                </c:pt>
                <c:pt idx="232">
                  <c:v>0.36328120000000003</c:v>
                </c:pt>
                <c:pt idx="233">
                  <c:v>0.3648438</c:v>
                </c:pt>
                <c:pt idx="234">
                  <c:v>0.36640620000000002</c:v>
                </c:pt>
                <c:pt idx="235">
                  <c:v>0.36796879999999998</c:v>
                </c:pt>
                <c:pt idx="236">
                  <c:v>0.3695312</c:v>
                </c:pt>
                <c:pt idx="237">
                  <c:v>0.37109379999999997</c:v>
                </c:pt>
                <c:pt idx="238">
                  <c:v>0.37265619999999999</c:v>
                </c:pt>
                <c:pt idx="239">
                  <c:v>0.37421870000000002</c:v>
                </c:pt>
                <c:pt idx="240">
                  <c:v>0.37578129999999998</c:v>
                </c:pt>
                <c:pt idx="241">
                  <c:v>0.3773437</c:v>
                </c:pt>
                <c:pt idx="242">
                  <c:v>0.37890620000000003</c:v>
                </c:pt>
                <c:pt idx="243">
                  <c:v>0.38046869999999999</c:v>
                </c:pt>
                <c:pt idx="244">
                  <c:v>0.38203120000000002</c:v>
                </c:pt>
                <c:pt idx="245">
                  <c:v>0.38359379999999998</c:v>
                </c:pt>
                <c:pt idx="246">
                  <c:v>0.3851562</c:v>
                </c:pt>
                <c:pt idx="247">
                  <c:v>0.38671879999999997</c:v>
                </c:pt>
                <c:pt idx="248">
                  <c:v>0.3882813</c:v>
                </c:pt>
                <c:pt idx="249">
                  <c:v>0.38984370000000002</c:v>
                </c:pt>
                <c:pt idx="250">
                  <c:v>0.39140629999999998</c:v>
                </c:pt>
                <c:pt idx="251">
                  <c:v>0.3929687</c:v>
                </c:pt>
                <c:pt idx="252">
                  <c:v>0.39453120000000003</c:v>
                </c:pt>
                <c:pt idx="253">
                  <c:v>0.3960938</c:v>
                </c:pt>
                <c:pt idx="254">
                  <c:v>0.39765620000000002</c:v>
                </c:pt>
                <c:pt idx="255">
                  <c:v>0.39921879999999998</c:v>
                </c:pt>
                <c:pt idx="256">
                  <c:v>0.4007812</c:v>
                </c:pt>
                <c:pt idx="257">
                  <c:v>0.40234379999999997</c:v>
                </c:pt>
                <c:pt idx="258">
                  <c:v>0.40390619999999999</c:v>
                </c:pt>
                <c:pt idx="259">
                  <c:v>0.40546870000000002</c:v>
                </c:pt>
                <c:pt idx="260">
                  <c:v>0.40703129999999998</c:v>
                </c:pt>
                <c:pt idx="261">
                  <c:v>0.4085937</c:v>
                </c:pt>
                <c:pt idx="262">
                  <c:v>0.41015620000000003</c:v>
                </c:pt>
                <c:pt idx="263">
                  <c:v>0.4117188</c:v>
                </c:pt>
                <c:pt idx="264">
                  <c:v>0.41328130000000002</c:v>
                </c:pt>
                <c:pt idx="265">
                  <c:v>0.41484379999999998</c:v>
                </c:pt>
                <c:pt idx="266">
                  <c:v>0.4164062</c:v>
                </c:pt>
                <c:pt idx="267">
                  <c:v>0.41796879999999997</c:v>
                </c:pt>
                <c:pt idx="268">
                  <c:v>0.4195313</c:v>
                </c:pt>
                <c:pt idx="269">
                  <c:v>0.42109370000000002</c:v>
                </c:pt>
                <c:pt idx="270">
                  <c:v>0.42265629999999998</c:v>
                </c:pt>
                <c:pt idx="271">
                  <c:v>0.4242187</c:v>
                </c:pt>
                <c:pt idx="272">
                  <c:v>0.42578120000000003</c:v>
                </c:pt>
                <c:pt idx="273">
                  <c:v>0.4273438</c:v>
                </c:pt>
                <c:pt idx="274">
                  <c:v>0.42890630000000002</c:v>
                </c:pt>
                <c:pt idx="275">
                  <c:v>0.43046879999999998</c:v>
                </c:pt>
                <c:pt idx="276">
                  <c:v>0.4320312</c:v>
                </c:pt>
                <c:pt idx="277">
                  <c:v>0.43359379999999997</c:v>
                </c:pt>
                <c:pt idx="278">
                  <c:v>0.4351563</c:v>
                </c:pt>
                <c:pt idx="279">
                  <c:v>0.43671870000000002</c:v>
                </c:pt>
                <c:pt idx="280">
                  <c:v>0.43828129999999998</c:v>
                </c:pt>
                <c:pt idx="281">
                  <c:v>0.4398437</c:v>
                </c:pt>
                <c:pt idx="282">
                  <c:v>0.44140629999999997</c:v>
                </c:pt>
                <c:pt idx="283">
                  <c:v>0.4429688</c:v>
                </c:pt>
                <c:pt idx="284">
                  <c:v>0.44453120000000002</c:v>
                </c:pt>
                <c:pt idx="285">
                  <c:v>0.44609379999999998</c:v>
                </c:pt>
                <c:pt idx="286">
                  <c:v>0.4476562</c:v>
                </c:pt>
                <c:pt idx="287">
                  <c:v>0.44921879999999997</c:v>
                </c:pt>
                <c:pt idx="288">
                  <c:v>0.4507813</c:v>
                </c:pt>
                <c:pt idx="289">
                  <c:v>0.45234370000000002</c:v>
                </c:pt>
                <c:pt idx="290">
                  <c:v>0.45390629999999998</c:v>
                </c:pt>
                <c:pt idx="291">
                  <c:v>0.45546880000000001</c:v>
                </c:pt>
                <c:pt idx="292">
                  <c:v>0.45703120000000003</c:v>
                </c:pt>
                <c:pt idx="293">
                  <c:v>0.4585938</c:v>
                </c:pt>
                <c:pt idx="294">
                  <c:v>0.46015620000000002</c:v>
                </c:pt>
                <c:pt idx="295">
                  <c:v>0.46171879999999998</c:v>
                </c:pt>
                <c:pt idx="296">
                  <c:v>0.4632812</c:v>
                </c:pt>
                <c:pt idx="297">
                  <c:v>0.46484379999999997</c:v>
                </c:pt>
                <c:pt idx="298">
                  <c:v>0.46640619999999999</c:v>
                </c:pt>
                <c:pt idx="299">
                  <c:v>0.46796870000000002</c:v>
                </c:pt>
                <c:pt idx="300">
                  <c:v>0.46953129999999998</c:v>
                </c:pt>
                <c:pt idx="301">
                  <c:v>0.47109380000000001</c:v>
                </c:pt>
                <c:pt idx="302">
                  <c:v>0.47265620000000003</c:v>
                </c:pt>
                <c:pt idx="303">
                  <c:v>0.4742188</c:v>
                </c:pt>
                <c:pt idx="304">
                  <c:v>0.47578120000000002</c:v>
                </c:pt>
                <c:pt idx="305">
                  <c:v>0.47734379999999998</c:v>
                </c:pt>
                <c:pt idx="306">
                  <c:v>0.4789062</c:v>
                </c:pt>
                <c:pt idx="307">
                  <c:v>0.48046879999999997</c:v>
                </c:pt>
                <c:pt idx="308">
                  <c:v>0.4820313</c:v>
                </c:pt>
                <c:pt idx="309">
                  <c:v>0.48359370000000002</c:v>
                </c:pt>
                <c:pt idx="310">
                  <c:v>0.48515629999999998</c:v>
                </c:pt>
                <c:pt idx="311">
                  <c:v>0.48671880000000001</c:v>
                </c:pt>
                <c:pt idx="312">
                  <c:v>0.48828120000000003</c:v>
                </c:pt>
                <c:pt idx="313">
                  <c:v>0.4898438</c:v>
                </c:pt>
                <c:pt idx="314">
                  <c:v>0.49140620000000002</c:v>
                </c:pt>
                <c:pt idx="315">
                  <c:v>0.49296879999999998</c:v>
                </c:pt>
                <c:pt idx="316">
                  <c:v>0.4945312</c:v>
                </c:pt>
                <c:pt idx="317">
                  <c:v>0.49609379999999997</c:v>
                </c:pt>
                <c:pt idx="318">
                  <c:v>0.4976563</c:v>
                </c:pt>
                <c:pt idx="319">
                  <c:v>0.49921880000000002</c:v>
                </c:pt>
              </c:numCache>
            </c:numRef>
          </c:xVal>
          <c:yVal>
            <c:numRef>
              <c:f>新・線形全比較!$U$2:$U$321</c:f>
              <c:numCache>
                <c:formatCode>0.00E+00</c:formatCode>
                <c:ptCount val="320"/>
                <c:pt idx="0">
                  <c:v>0.39919689859606</c:v>
                </c:pt>
                <c:pt idx="1">
                  <c:v>0.39920085431065999</c:v>
                </c:pt>
                <c:pt idx="2">
                  <c:v>0.39920493176682198</c:v>
                </c:pt>
                <c:pt idx="3">
                  <c:v>0.39920913061608398</c:v>
                </c:pt>
                <c:pt idx="4">
                  <c:v>0.39921345052498802</c:v>
                </c:pt>
                <c:pt idx="5">
                  <c:v>0.39921789117490197</c:v>
                </c:pt>
                <c:pt idx="6">
                  <c:v>0.39922245226178599</c:v>
                </c:pt>
                <c:pt idx="7">
                  <c:v>0.39922713349665001</c:v>
                </c:pt>
                <c:pt idx="8">
                  <c:v>0.39923193460558598</c:v>
                </c:pt>
                <c:pt idx="9">
                  <c:v>0.39923685532928799</c:v>
                </c:pt>
                <c:pt idx="10">
                  <c:v>0.39924189542343202</c:v>
                </c:pt>
                <c:pt idx="11">
                  <c:v>0.39924705465876797</c:v>
                </c:pt>
                <c:pt idx="12">
                  <c:v>0.399252332820972</c:v>
                </c:pt>
                <c:pt idx="13">
                  <c:v>0.39925772971068402</c:v>
                </c:pt>
                <c:pt idx="14">
                  <c:v>0.39926324514356198</c:v>
                </c:pt>
                <c:pt idx="15">
                  <c:v>0.399268878950294</c:v>
                </c:pt>
                <c:pt idx="16">
                  <c:v>0.39927463097684601</c:v>
                </c:pt>
                <c:pt idx="17">
                  <c:v>0.39928050108383001</c:v>
                </c:pt>
                <c:pt idx="18">
                  <c:v>0.39928648914744003</c:v>
                </c:pt>
                <c:pt idx="19">
                  <c:v>0.39929259505863202</c:v>
                </c:pt>
                <c:pt idx="20">
                  <c:v>0.39930229781779197</c:v>
                </c:pt>
                <c:pt idx="21">
                  <c:v>0.39931560059552601</c:v>
                </c:pt>
                <c:pt idx="22">
                  <c:v>0.39932902499334799</c:v>
                </c:pt>
                <c:pt idx="23">
                  <c:v>0.399342570234268</c:v>
                </c:pt>
                <c:pt idx="24">
                  <c:v>0.39935623555701</c:v>
                </c:pt>
                <c:pt idx="25">
                  <c:v>0.399370020216054</c:v>
                </c:pt>
                <c:pt idx="26">
                  <c:v>0.399383923481826</c:v>
                </c:pt>
                <c:pt idx="27">
                  <c:v>0.39939794464049</c:v>
                </c:pt>
                <c:pt idx="28">
                  <c:v>0.39941208299434</c:v>
                </c:pt>
                <c:pt idx="29">
                  <c:v>0.39942633786158199</c:v>
                </c:pt>
                <c:pt idx="30">
                  <c:v>0.39944070857651998</c:v>
                </c:pt>
                <c:pt idx="31">
                  <c:v>0.399455194489648</c:v>
                </c:pt>
                <c:pt idx="32">
                  <c:v>0.39946979496771401</c:v>
                </c:pt>
                <c:pt idx="33">
                  <c:v>0.39948450939355001</c:v>
                </c:pt>
                <c:pt idx="34">
                  <c:v>0.39949933716662001</c:v>
                </c:pt>
                <c:pt idx="35">
                  <c:v>0.39951427770256798</c:v>
                </c:pt>
                <c:pt idx="36">
                  <c:v>0.39952933043357203</c:v>
                </c:pt>
                <c:pt idx="37">
                  <c:v>0.39954449480840798</c:v>
                </c:pt>
                <c:pt idx="38">
                  <c:v>0.39955977029231798</c:v>
                </c:pt>
                <c:pt idx="39">
                  <c:v>0.39957515636727198</c:v>
                </c:pt>
                <c:pt idx="40">
                  <c:v>0.39959432129516798</c:v>
                </c:pt>
                <c:pt idx="41">
                  <c:v>0.39961727334008801</c:v>
                </c:pt>
                <c:pt idx="42">
                  <c:v>0.39964034618491201</c:v>
                </c:pt>
                <c:pt idx="43">
                  <c:v>0.399663538512464</c:v>
                </c:pt>
                <c:pt idx="44">
                  <c:v>0.39968684902344398</c:v>
                </c:pt>
                <c:pt idx="45">
                  <c:v>0.39971027643658802</c:v>
                </c:pt>
                <c:pt idx="46">
                  <c:v>0.399733819488928</c:v>
                </c:pt>
                <c:pt idx="47">
                  <c:v>0.399757476935652</c:v>
                </c:pt>
                <c:pt idx="48">
                  <c:v>0.399781247550338</c:v>
                </c:pt>
                <c:pt idx="49">
                  <c:v>0.39980513012511998</c:v>
                </c:pt>
                <c:pt idx="50">
                  <c:v>0.39982912347062399</c:v>
                </c:pt>
                <c:pt idx="51">
                  <c:v>0.39985322641644999</c:v>
                </c:pt>
                <c:pt idx="52">
                  <c:v>0.39987743781074597</c:v>
                </c:pt>
                <c:pt idx="53">
                  <c:v>0.39990175652075199</c:v>
                </c:pt>
                <c:pt idx="54">
                  <c:v>0.39992618143271802</c:v>
                </c:pt>
                <c:pt idx="55">
                  <c:v>0.39995071145219202</c:v>
                </c:pt>
                <c:pt idx="56">
                  <c:v>0.39997534550386799</c:v>
                </c:pt>
                <c:pt idx="57">
                  <c:v>0.40000008253191399</c:v>
                </c:pt>
                <c:pt idx="58">
                  <c:v>0.40002492150003999</c:v>
                </c:pt>
                <c:pt idx="59">
                  <c:v>0.40004986139142801</c:v>
                </c:pt>
                <c:pt idx="60">
                  <c:v>0.40007859113920002</c:v>
                </c:pt>
                <c:pt idx="61">
                  <c:v>0.40011112098769802</c:v>
                </c:pt>
                <c:pt idx="62">
                  <c:v>0.40014376383113398</c:v>
                </c:pt>
                <c:pt idx="63">
                  <c:v>0.400176517676824</c:v>
                </c:pt>
                <c:pt idx="64">
                  <c:v>0.40020938055368799</c:v>
                </c:pt>
                <c:pt idx="65">
                  <c:v>0.40024235051255402</c:v>
                </c:pt>
                <c:pt idx="66">
                  <c:v>0.40027542562639801</c:v>
                </c:pt>
                <c:pt idx="67">
                  <c:v>0.400308603990292</c:v>
                </c:pt>
                <c:pt idx="68">
                  <c:v>0.400341883721756</c:v>
                </c:pt>
                <c:pt idx="69">
                  <c:v>0.40037526296085002</c:v>
                </c:pt>
                <c:pt idx="70">
                  <c:v>0.40040873987034997</c:v>
                </c:pt>
                <c:pt idx="71">
                  <c:v>0.40044231263612601</c:v>
                </c:pt>
                <c:pt idx="72">
                  <c:v>0.40047597946688002</c:v>
                </c:pt>
                <c:pt idx="73">
                  <c:v>0.40050973859470601</c:v>
                </c:pt>
                <c:pt idx="74">
                  <c:v>0.40054358827511399</c:v>
                </c:pt>
                <c:pt idx="75">
                  <c:v>0.40057752678733199</c:v>
                </c:pt>
                <c:pt idx="76">
                  <c:v>0.40061155243421598</c:v>
                </c:pt>
                <c:pt idx="77">
                  <c:v>0.40064566354271802</c:v>
                </c:pt>
                <c:pt idx="78">
                  <c:v>0.40067985846384202</c:v>
                </c:pt>
                <c:pt idx="79">
                  <c:v>0.40071413557294</c:v>
                </c:pt>
                <c:pt idx="80">
                  <c:v>0.40075216645696399</c:v>
                </c:pt>
                <c:pt idx="81">
                  <c:v>0.40079396844599402</c:v>
                </c:pt>
                <c:pt idx="82">
                  <c:v>0.40083587351419597</c:v>
                </c:pt>
                <c:pt idx="83">
                  <c:v>0.40087787878729197</c:v>
                </c:pt>
                <c:pt idx="84">
                  <c:v>0.40091998141861401</c:v>
                </c:pt>
                <c:pt idx="85">
                  <c:v>0.40096217858926803</c:v>
                </c:pt>
                <c:pt idx="86">
                  <c:v>0.401004467508632</c:v>
                </c:pt>
                <c:pt idx="87">
                  <c:v>0.40104684541458402</c:v>
                </c:pt>
                <c:pt idx="88">
                  <c:v>0.401089309573468</c:v>
                </c:pt>
                <c:pt idx="89">
                  <c:v>0.40113185728079997</c:v>
                </c:pt>
                <c:pt idx="90">
                  <c:v>0.401174485861026</c:v>
                </c:pt>
                <c:pt idx="91">
                  <c:v>0.40121719266843398</c:v>
                </c:pt>
                <c:pt idx="92">
                  <c:v>0.40125997508670802</c:v>
                </c:pt>
                <c:pt idx="93">
                  <c:v>0.401302830529636</c:v>
                </c:pt>
                <c:pt idx="94">
                  <c:v>0.40134575644141202</c:v>
                </c:pt>
                <c:pt idx="95">
                  <c:v>0.40138875029656801</c:v>
                </c:pt>
                <c:pt idx="96">
                  <c:v>0.401431809600512</c:v>
                </c:pt>
                <c:pt idx="97">
                  <c:v>0.40147493188975802</c:v>
                </c:pt>
                <c:pt idx="98">
                  <c:v>0.401518114732072</c:v>
                </c:pt>
                <c:pt idx="99">
                  <c:v>0.40156135572680002</c:v>
                </c:pt>
                <c:pt idx="100">
                  <c:v>0.40160860744094001</c:v>
                </c:pt>
                <c:pt idx="101">
                  <c:v>0.40165988156415999</c:v>
                </c:pt>
                <c:pt idx="102">
                  <c:v>0.40171122520493402</c:v>
                </c:pt>
                <c:pt idx="103">
                  <c:v>0.40176263429715198</c:v>
                </c:pt>
                <c:pt idx="104">
                  <c:v>0.40181410481072</c:v>
                </c:pt>
                <c:pt idx="105">
                  <c:v>0.40186563275183401</c:v>
                </c:pt>
                <c:pt idx="106">
                  <c:v>0.40191721416360998</c:v>
                </c:pt>
                <c:pt idx="107">
                  <c:v>0.40196884512643</c:v>
                </c:pt>
                <c:pt idx="108">
                  <c:v>0.40202052175811998</c:v>
                </c:pt>
                <c:pt idx="109">
                  <c:v>0.40207224021462401</c:v>
                </c:pt>
                <c:pt idx="110">
                  <c:v>0.40212399669008198</c:v>
                </c:pt>
                <c:pt idx="111">
                  <c:v>0.402175787417826</c:v>
                </c:pt>
                <c:pt idx="112">
                  <c:v>0.40222760866987001</c:v>
                </c:pt>
                <c:pt idx="113">
                  <c:v>0.40227945675813398</c:v>
                </c:pt>
                <c:pt idx="114">
                  <c:v>0.40233132803448601</c:v>
                </c:pt>
                <c:pt idx="115">
                  <c:v>0.40238321889114997</c:v>
                </c:pt>
                <c:pt idx="116">
                  <c:v>0.40243512576106599</c:v>
                </c:pt>
                <c:pt idx="117">
                  <c:v>0.402487045118536</c:v>
                </c:pt>
                <c:pt idx="118">
                  <c:v>0.40253897347928402</c:v>
                </c:pt>
                <c:pt idx="119">
                  <c:v>0.40259090740113801</c:v>
                </c:pt>
                <c:pt idx="120">
                  <c:v>0.40264642917793803</c:v>
                </c:pt>
                <c:pt idx="121">
                  <c:v>0.40270557278705998</c:v>
                </c:pt>
                <c:pt idx="122">
                  <c:v>0.40276476267519001</c:v>
                </c:pt>
                <c:pt idx="123">
                  <c:v>0.40282399316050599</c:v>
                </c:pt>
                <c:pt idx="124">
                  <c:v>0.40288325861112201</c:v>
                </c:pt>
                <c:pt idx="125">
                  <c:v>0.402942553445506</c:v>
                </c:pt>
                <c:pt idx="126">
                  <c:v>0.40300187213333999</c:v>
                </c:pt>
                <c:pt idx="127">
                  <c:v>0.40306120919633798</c:v>
                </c:pt>
                <c:pt idx="128">
                  <c:v>0.403120559208346</c:v>
                </c:pt>
                <c:pt idx="129">
                  <c:v>0.40317991679669801</c:v>
                </c:pt>
                <c:pt idx="130">
                  <c:v>0.40323927664214199</c:v>
                </c:pt>
                <c:pt idx="131">
                  <c:v>0.403298633480488</c:v>
                </c:pt>
                <c:pt idx="132">
                  <c:v>0.40335798210213802</c:v>
                </c:pt>
                <c:pt idx="133">
                  <c:v>0.40341731735357</c:v>
                </c:pt>
                <c:pt idx="134">
                  <c:v>0.40347663413778401</c:v>
                </c:pt>
                <c:pt idx="135">
                  <c:v>0.40353592741488598</c:v>
                </c:pt>
                <c:pt idx="136">
                  <c:v>0.40359519220282403</c:v>
                </c:pt>
                <c:pt idx="137">
                  <c:v>0.40365442357811199</c:v>
                </c:pt>
                <c:pt idx="138">
                  <c:v>0.40371361667641198</c:v>
                </c:pt>
                <c:pt idx="139">
                  <c:v>0.40377276669322198</c:v>
                </c:pt>
                <c:pt idx="140">
                  <c:v>0.40383656346489599</c:v>
                </c:pt>
                <c:pt idx="141">
                  <c:v>0.40390498666512398</c:v>
                </c:pt>
                <c:pt idx="142">
                  <c:v>0.40397332801719599</c:v>
                </c:pt>
                <c:pt idx="143">
                  <c:v>0.40404157964791798</c:v>
                </c:pt>
                <c:pt idx="144">
                  <c:v>0.40410973375026599</c:v>
                </c:pt>
                <c:pt idx="145">
                  <c:v>0.40417778258459203</c:v>
                </c:pt>
                <c:pt idx="146">
                  <c:v>0.40424571847979601</c:v>
                </c:pt>
                <c:pt idx="147">
                  <c:v>0.40431353383485402</c:v>
                </c:pt>
                <c:pt idx="148">
                  <c:v>0.40438122111924601</c:v>
                </c:pt>
                <c:pt idx="149">
                  <c:v>0.40444877287495801</c:v>
                </c:pt>
                <c:pt idx="150">
                  <c:v>0.40451618171701997</c:v>
                </c:pt>
                <c:pt idx="151">
                  <c:v>0.40458344033528199</c:v>
                </c:pt>
                <c:pt idx="152">
                  <c:v>0.40465054149506202</c:v>
                </c:pt>
                <c:pt idx="153">
                  <c:v>0.40471747803853803</c:v>
                </c:pt>
                <c:pt idx="154">
                  <c:v>0.40478424288625803</c:v>
                </c:pt>
                <c:pt idx="155">
                  <c:v>0.404850829037876</c:v>
                </c:pt>
                <c:pt idx="156">
                  <c:v>0.40491722957347398</c:v>
                </c:pt>
                <c:pt idx="157">
                  <c:v>0.40498343765497802</c:v>
                </c:pt>
                <c:pt idx="158">
                  <c:v>0.405049446527182</c:v>
                </c:pt>
                <c:pt idx="159">
                  <c:v>0.40511524951883399</c:v>
                </c:pt>
                <c:pt idx="160">
                  <c:v>0.40518362371479</c:v>
                </c:pt>
                <c:pt idx="161">
                  <c:v>0.40525466725147202</c:v>
                </c:pt>
                <c:pt idx="162">
                  <c:v>0.40532562925086202</c:v>
                </c:pt>
                <c:pt idx="163">
                  <c:v>0.405396498511572</c:v>
                </c:pt>
                <c:pt idx="164">
                  <c:v>0.40546726393381999</c:v>
                </c:pt>
                <c:pt idx="165">
                  <c:v>0.40553791452239002</c:v>
                </c:pt>
                <c:pt idx="166">
                  <c:v>0.40560843938938201</c:v>
                </c:pt>
                <c:pt idx="167">
                  <c:v>0.40567882775733599</c:v>
                </c:pt>
                <c:pt idx="168">
                  <c:v>0.40574906896120599</c:v>
                </c:pt>
                <c:pt idx="169">
                  <c:v>0.40581915245252598</c:v>
                </c:pt>
                <c:pt idx="170">
                  <c:v>0.40588906780095202</c:v>
                </c:pt>
                <c:pt idx="171">
                  <c:v>0.405958804697792</c:v>
                </c:pt>
                <c:pt idx="172">
                  <c:v>0.40602835295900802</c:v>
                </c:pt>
                <c:pt idx="173">
                  <c:v>0.40609770252736599</c:v>
                </c:pt>
                <c:pt idx="174">
                  <c:v>0.40616684347605803</c:v>
                </c:pt>
                <c:pt idx="175">
                  <c:v>0.406235766011106</c:v>
                </c:pt>
                <c:pt idx="176">
                  <c:v>0.40630446047433399</c:v>
                </c:pt>
                <c:pt idx="177">
                  <c:v>0.40637291734662001</c:v>
                </c:pt>
                <c:pt idx="178">
                  <c:v>0.40644112724993398</c:v>
                </c:pt>
                <c:pt idx="179">
                  <c:v>0.40650908095108401</c:v>
                </c:pt>
                <c:pt idx="180">
                  <c:v>0.406583498858474</c:v>
                </c:pt>
                <c:pt idx="181">
                  <c:v>0.40666415737478001</c:v>
                </c:pt>
                <c:pt idx="182">
                  <c:v>0.40674422463403997</c:v>
                </c:pt>
                <c:pt idx="183">
                  <c:v>0.4068236854267</c:v>
                </c:pt>
                <c:pt idx="184">
                  <c:v>0.40690252466334798</c:v>
                </c:pt>
                <c:pt idx="185">
                  <c:v>0.40698072738254998</c:v>
                </c:pt>
                <c:pt idx="186">
                  <c:v>0.40705827875796802</c:v>
                </c:pt>
                <c:pt idx="187">
                  <c:v>0.40713516410634998</c:v>
                </c:pt>
                <c:pt idx="188">
                  <c:v>0.40721136889426202</c:v>
                </c:pt>
                <c:pt idx="189">
                  <c:v>0.40728687874653002</c:v>
                </c:pt>
                <c:pt idx="190">
                  <c:v>0.407361679452928</c:v>
                </c:pt>
                <c:pt idx="191">
                  <c:v>0.40743575697617002</c:v>
                </c:pt>
                <c:pt idx="192">
                  <c:v>0.40750909745953401</c:v>
                </c:pt>
                <c:pt idx="193">
                  <c:v>0.40758168723385602</c:v>
                </c:pt>
                <c:pt idx="194">
                  <c:v>0.40765351282558798</c:v>
                </c:pt>
                <c:pt idx="195">
                  <c:v>0.407724560964284</c:v>
                </c:pt>
                <c:pt idx="196">
                  <c:v>0.407794818589724</c:v>
                </c:pt>
                <c:pt idx="197">
                  <c:v>0.407864272860402</c:v>
                </c:pt>
                <c:pt idx="198">
                  <c:v>0.407932911159814</c:v>
                </c:pt>
                <c:pt idx="199">
                  <c:v>0.40800072110518398</c:v>
                </c:pt>
                <c:pt idx="200">
                  <c:v>0.40806700615239999</c:v>
                </c:pt>
                <c:pt idx="201">
                  <c:v>0.40813215837956202</c:v>
                </c:pt>
                <c:pt idx="202">
                  <c:v>0.408197006796652</c:v>
                </c:pt>
                <c:pt idx="203">
                  <c:v>0.40826152725005399</c:v>
                </c:pt>
                <c:pt idx="204">
                  <c:v>0.40832569579465799</c:v>
                </c:pt>
                <c:pt idx="205">
                  <c:v>0.40838948872113601</c:v>
                </c:pt>
                <c:pt idx="206">
                  <c:v>0.40845288258262202</c:v>
                </c:pt>
                <c:pt idx="207">
                  <c:v>0.40851585422213599</c:v>
                </c:pt>
                <c:pt idx="208">
                  <c:v>0.408578380798722</c:v>
                </c:pt>
                <c:pt idx="209">
                  <c:v>0.40864043981561399</c:v>
                </c:pt>
                <c:pt idx="210">
                  <c:v>0.408702009146654</c:v>
                </c:pt>
                <c:pt idx="211">
                  <c:v>0.40876306706384402</c:v>
                </c:pt>
                <c:pt idx="212">
                  <c:v>0.40882359226486797</c:v>
                </c:pt>
                <c:pt idx="213">
                  <c:v>0.40888356389970598</c:v>
                </c:pt>
                <c:pt idx="214">
                  <c:v>0.40894296159892601</c:v>
                </c:pt>
                <c:pt idx="215">
                  <c:v>0.40900176550058598</c:v>
                </c:pt>
                <c:pt idx="216">
                  <c:v>0.40905995627789199</c:v>
                </c:pt>
                <c:pt idx="217">
                  <c:v>0.40911751516740003</c:v>
                </c:pt>
                <c:pt idx="218">
                  <c:v>0.40917442399533399</c:v>
                </c:pt>
                <c:pt idx="219">
                  <c:v>0.40923066520680401</c:v>
                </c:pt>
                <c:pt idx="220">
                  <c:v>0.40929702687049002</c:v>
                </c:pt>
                <c:pt idx="221">
                  <c:v>0.40937233924021599</c:v>
                </c:pt>
                <c:pt idx="222">
                  <c:v>0.409445294020512</c:v>
                </c:pt>
                <c:pt idx="223">
                  <c:v>0.40951585959285802</c:v>
                </c:pt>
                <c:pt idx="224">
                  <c:v>0.40958400434256398</c:v>
                </c:pt>
                <c:pt idx="225">
                  <c:v>0.40964969675681201</c:v>
                </c:pt>
                <c:pt idx="226">
                  <c:v>0.40971290552220002</c:v>
                </c:pt>
                <c:pt idx="227">
                  <c:v>0.40977359962321802</c:v>
                </c:pt>
                <c:pt idx="228">
                  <c:v>0.40983174843906001</c:v>
                </c:pt>
                <c:pt idx="229">
                  <c:v>0.40988732184332199</c:v>
                </c:pt>
                <c:pt idx="230">
                  <c:v>0.40994029030114798</c:v>
                </c:pt>
                <c:pt idx="231">
                  <c:v>0.40999062496787803</c:v>
                </c:pt>
                <c:pt idx="232">
                  <c:v>0.41003829778795797</c:v>
                </c:pt>
                <c:pt idx="233">
                  <c:v>0.41008328159236002</c:v>
                </c:pt>
                <c:pt idx="234">
                  <c:v>0.41012555019833402</c:v>
                </c:pt>
                <c:pt idx="235">
                  <c:v>0.41016507850762601</c:v>
                </c:pt>
                <c:pt idx="236">
                  <c:v>0.41020184260519799</c:v>
                </c:pt>
                <c:pt idx="237">
                  <c:v>0.41023581985895202</c:v>
                </c:pt>
                <c:pt idx="238">
                  <c:v>0.41026698901721598</c:v>
                </c:pt>
                <c:pt idx="239">
                  <c:v>0.41029533030930598</c:v>
                </c:pt>
                <c:pt idx="240">
                  <c:v>0.41030874652900201</c:v>
                </c:pt>
                <c:pt idx="241">
                  <c:v>0.41030865690269602</c:v>
                </c:pt>
                <c:pt idx="242">
                  <c:v>0.41030767435548599</c:v>
                </c:pt>
                <c:pt idx="243">
                  <c:v>0.41030573045305602</c:v>
                </c:pt>
                <c:pt idx="244">
                  <c:v>0.41030275663980198</c:v>
                </c:pt>
                <c:pt idx="245">
                  <c:v>0.41029868466979402</c:v>
                </c:pt>
                <c:pt idx="246">
                  <c:v>0.41029344703842602</c:v>
                </c:pt>
                <c:pt idx="247">
                  <c:v>0.41028697741592002</c:v>
                </c:pt>
                <c:pt idx="248">
                  <c:v>0.41027921108006599</c:v>
                </c:pt>
                <c:pt idx="249">
                  <c:v>0.41027008535264597</c:v>
                </c:pt>
                <c:pt idx="250">
                  <c:v>0.410259540034762</c:v>
                </c:pt>
                <c:pt idx="251">
                  <c:v>0.41024751784396202</c:v>
                </c:pt>
                <c:pt idx="252">
                  <c:v>0.41023396485319602</c:v>
                </c:pt>
                <c:pt idx="253">
                  <c:v>0.41021883092870798</c:v>
                </c:pt>
                <c:pt idx="254">
                  <c:v>0.41020207017155802</c:v>
                </c:pt>
                <c:pt idx="255">
                  <c:v>0.41018364135851598</c:v>
                </c:pt>
                <c:pt idx="256">
                  <c:v>0.41016350838418603</c:v>
                </c:pt>
                <c:pt idx="257">
                  <c:v>0.41014164070553999</c:v>
                </c:pt>
                <c:pt idx="258">
                  <c:v>0.41011801378464402</c:v>
                </c:pt>
                <c:pt idx="259">
                  <c:v>0.41009260953559801</c:v>
                </c:pt>
                <c:pt idx="260">
                  <c:v>0.410070584475972</c:v>
                </c:pt>
                <c:pt idx="261">
                  <c:v>0.410046808938062</c:v>
                </c:pt>
                <c:pt idx="262">
                  <c:v>0.41001392892586602</c:v>
                </c:pt>
                <c:pt idx="263">
                  <c:v>0.40997184383083202</c:v>
                </c:pt>
                <c:pt idx="264">
                  <c:v>0.409920447847886</c:v>
                </c:pt>
                <c:pt idx="265">
                  <c:v>0.40985963163363598</c:v>
                </c:pt>
                <c:pt idx="266">
                  <c:v>0.409789283963228</c:v>
                </c:pt>
                <c:pt idx="267">
                  <c:v>0.40970929338966999</c:v>
                </c:pt>
                <c:pt idx="268">
                  <c:v>0.40961954990085198</c:v>
                </c:pt>
                <c:pt idx="269">
                  <c:v>0.40951994658035001</c:v>
                </c:pt>
                <c:pt idx="270">
                  <c:v>0.40941038126598001</c:v>
                </c:pt>
                <c:pt idx="271">
                  <c:v>0.40929075820990002</c:v>
                </c:pt>
                <c:pt idx="272">
                  <c:v>0.40916098973971199</c:v>
                </c:pt>
                <c:pt idx="273">
                  <c:v>0.40902099791797403</c:v>
                </c:pt>
                <c:pt idx="274">
                  <c:v>0.40887071620454402</c:v>
                </c:pt>
                <c:pt idx="275">
                  <c:v>0.40871009111817203</c:v>
                </c:pt>
                <c:pt idx="276">
                  <c:v>0.40853908389814197</c:v>
                </c:pt>
                <c:pt idx="277">
                  <c:v>0.40835767216788199</c:v>
                </c:pt>
                <c:pt idx="278">
                  <c:v>0.40816585159642199</c:v>
                </c:pt>
                <c:pt idx="279">
                  <c:v>0.40796363756301401</c:v>
                </c:pt>
                <c:pt idx="280">
                  <c:v>0.40768348834650597</c:v>
                </c:pt>
                <c:pt idx="281">
                  <c:v>0.407325474425064</c:v>
                </c:pt>
                <c:pt idx="282">
                  <c:v>0.40695681075393803</c:v>
                </c:pt>
                <c:pt idx="283">
                  <c:v>0.40657699716840601</c:v>
                </c:pt>
                <c:pt idx="284">
                  <c:v>0.40618553122560203</c:v>
                </c:pt>
                <c:pt idx="285">
                  <c:v>0.40578193159204201</c:v>
                </c:pt>
                <c:pt idx="286">
                  <c:v>0.40536576147299203</c:v>
                </c:pt>
                <c:pt idx="287">
                  <c:v>0.4049366520862</c:v>
                </c:pt>
                <c:pt idx="288">
                  <c:v>0.40449432617532799</c:v>
                </c:pt>
                <c:pt idx="289">
                  <c:v>0.404038621569832</c:v>
                </c:pt>
                <c:pt idx="290">
                  <c:v>0.40356951478409397</c:v>
                </c:pt>
                <c:pt idx="291">
                  <c:v>0.403087144661124</c:v>
                </c:pt>
                <c:pt idx="292">
                  <c:v>0.40259183605877602</c:v>
                </c:pt>
                <c:pt idx="293">
                  <c:v>0.40208412357728002</c:v>
                </c:pt>
                <c:pt idx="294">
                  <c:v>0.40156477533092999</c:v>
                </c:pt>
                <c:pt idx="295">
                  <c:v>0.40103481676196201</c:v>
                </c:pt>
                <c:pt idx="296">
                  <c:v>0.40049555449660201</c:v>
                </c:pt>
                <c:pt idx="297">
                  <c:v>0.39994860024435003</c:v>
                </c:pt>
                <c:pt idx="298">
                  <c:v>0.39939589473917603</c:v>
                </c:pt>
                <c:pt idx="299">
                  <c:v>0.39883973172424803</c:v>
                </c:pt>
                <c:pt idx="300">
                  <c:v>0.39802501062610801</c:v>
                </c:pt>
                <c:pt idx="301">
                  <c:v>0.39688934688546801</c:v>
                </c:pt>
                <c:pt idx="302">
                  <c:v>0.39565761909758201</c:v>
                </c:pt>
                <c:pt idx="303">
                  <c:v>0.394320951281806</c:v>
                </c:pt>
                <c:pt idx="304">
                  <c:v>0.39287024958262001</c:v>
                </c:pt>
                <c:pt idx="305">
                  <c:v>0.39129671578316</c:v>
                </c:pt>
                <c:pt idx="306">
                  <c:v>0.38959236095952798</c:v>
                </c:pt>
                <c:pt idx="307">
                  <c:v>0.38775051927770798</c:v>
                </c:pt>
                <c:pt idx="308">
                  <c:v>0.38576636193206398</c:v>
                </c:pt>
                <c:pt idx="309">
                  <c:v>0.383637411225216</c:v>
                </c:pt>
                <c:pt idx="310">
                  <c:v>0.38136405479022201</c:v>
                </c:pt>
                <c:pt idx="311">
                  <c:v>0.37895005995418801</c:v>
                </c:pt>
                <c:pt idx="312">
                  <c:v>0.37640308824356</c:v>
                </c:pt>
                <c:pt idx="313">
                  <c:v>0.37373521003147397</c:v>
                </c:pt>
                <c:pt idx="314">
                  <c:v>0.37096341932615201</c:v>
                </c:pt>
                <c:pt idx="315">
                  <c:v>0.36811014870229603</c:v>
                </c:pt>
                <c:pt idx="316">
                  <c:v>0.36520378437291801</c:v>
                </c:pt>
                <c:pt idx="317">
                  <c:v>0.36227918140418203</c:v>
                </c:pt>
                <c:pt idx="318">
                  <c:v>0.35937817906979402</c:v>
                </c:pt>
                <c:pt idx="319">
                  <c:v>0.35655011635115802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88-4934-B134-CA71E5835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5518240"/>
        <c:axId val="1415518720"/>
      </c:scatterChart>
      <c:valAx>
        <c:axId val="141551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5518720"/>
        <c:crosses val="autoZero"/>
        <c:crossBetween val="midCat"/>
      </c:valAx>
      <c:valAx>
        <c:axId val="141551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551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marker>
            <c:symbol val="none"/>
          </c:marker>
          <c:xVal>
            <c:numRef>
              <c:f>新・線形全比較!$O$2:$O$321</c:f>
              <c:numCache>
                <c:formatCode>0.00E+00</c:formatCode>
                <c:ptCount val="320"/>
                <c:pt idx="0">
                  <c:v>7.8125000000000004E-4</c:v>
                </c:pt>
                <c:pt idx="1">
                  <c:v>2.3437499999999999E-3</c:v>
                </c:pt>
                <c:pt idx="2">
                  <c:v>3.90625E-3</c:v>
                </c:pt>
                <c:pt idx="3">
                  <c:v>5.4687499999999997E-3</c:v>
                </c:pt>
                <c:pt idx="4">
                  <c:v>7.0312500000000002E-3</c:v>
                </c:pt>
                <c:pt idx="5">
                  <c:v>8.5937500000000007E-3</c:v>
                </c:pt>
                <c:pt idx="6">
                  <c:v>1.015625E-2</c:v>
                </c:pt>
                <c:pt idx="7">
                  <c:v>1.171875E-2</c:v>
                </c:pt>
                <c:pt idx="8">
                  <c:v>1.328125E-2</c:v>
                </c:pt>
                <c:pt idx="9">
                  <c:v>1.4843749999999999E-2</c:v>
                </c:pt>
                <c:pt idx="10">
                  <c:v>1.6406250000000001E-2</c:v>
                </c:pt>
                <c:pt idx="11">
                  <c:v>1.7968749999999999E-2</c:v>
                </c:pt>
                <c:pt idx="12">
                  <c:v>1.953125E-2</c:v>
                </c:pt>
                <c:pt idx="13">
                  <c:v>2.1093750000000001E-2</c:v>
                </c:pt>
                <c:pt idx="14">
                  <c:v>2.2656249999999999E-2</c:v>
                </c:pt>
                <c:pt idx="15">
                  <c:v>2.4218750000000001E-2</c:v>
                </c:pt>
                <c:pt idx="16">
                  <c:v>2.5781249999999999E-2</c:v>
                </c:pt>
                <c:pt idx="17">
                  <c:v>2.734375E-2</c:v>
                </c:pt>
                <c:pt idx="18">
                  <c:v>2.8906250000000001E-2</c:v>
                </c:pt>
                <c:pt idx="19">
                  <c:v>3.0468749999999999E-2</c:v>
                </c:pt>
                <c:pt idx="20">
                  <c:v>3.2031249999999997E-2</c:v>
                </c:pt>
                <c:pt idx="21">
                  <c:v>3.3593749999999999E-2</c:v>
                </c:pt>
                <c:pt idx="22">
                  <c:v>3.515625E-2</c:v>
                </c:pt>
                <c:pt idx="23">
                  <c:v>3.6718750000000001E-2</c:v>
                </c:pt>
                <c:pt idx="24">
                  <c:v>3.8281250000000003E-2</c:v>
                </c:pt>
                <c:pt idx="25">
                  <c:v>3.9843749999999997E-2</c:v>
                </c:pt>
                <c:pt idx="26">
                  <c:v>4.1406249999999999E-2</c:v>
                </c:pt>
                <c:pt idx="27">
                  <c:v>4.296875E-2</c:v>
                </c:pt>
                <c:pt idx="28">
                  <c:v>4.4531250000000001E-2</c:v>
                </c:pt>
                <c:pt idx="29">
                  <c:v>4.6093750000000003E-2</c:v>
                </c:pt>
                <c:pt idx="30">
                  <c:v>4.7656249999999997E-2</c:v>
                </c:pt>
                <c:pt idx="31">
                  <c:v>4.9218749999999999E-2</c:v>
                </c:pt>
                <c:pt idx="32">
                  <c:v>5.078125E-2</c:v>
                </c:pt>
                <c:pt idx="33">
                  <c:v>5.2343750000000001E-2</c:v>
                </c:pt>
                <c:pt idx="34">
                  <c:v>5.3906250000000003E-2</c:v>
                </c:pt>
                <c:pt idx="35">
                  <c:v>5.5468749999999997E-2</c:v>
                </c:pt>
                <c:pt idx="36">
                  <c:v>5.7031249999999999E-2</c:v>
                </c:pt>
                <c:pt idx="37">
                  <c:v>5.859375E-2</c:v>
                </c:pt>
                <c:pt idx="38">
                  <c:v>6.0156250000000001E-2</c:v>
                </c:pt>
                <c:pt idx="39">
                  <c:v>6.1718750000000003E-2</c:v>
                </c:pt>
                <c:pt idx="40">
                  <c:v>6.3281249999999997E-2</c:v>
                </c:pt>
                <c:pt idx="41">
                  <c:v>6.4843750000000006E-2</c:v>
                </c:pt>
                <c:pt idx="42">
                  <c:v>6.640625E-2</c:v>
                </c:pt>
                <c:pt idx="43">
                  <c:v>6.7968749999999994E-2</c:v>
                </c:pt>
                <c:pt idx="44">
                  <c:v>6.9531250000000003E-2</c:v>
                </c:pt>
                <c:pt idx="45">
                  <c:v>7.1093749999999997E-2</c:v>
                </c:pt>
                <c:pt idx="46">
                  <c:v>7.2656250000000006E-2</c:v>
                </c:pt>
                <c:pt idx="47">
                  <c:v>7.421875E-2</c:v>
                </c:pt>
                <c:pt idx="48">
                  <c:v>7.5781249999999994E-2</c:v>
                </c:pt>
                <c:pt idx="49">
                  <c:v>7.7343750000000003E-2</c:v>
                </c:pt>
                <c:pt idx="50">
                  <c:v>7.8906249999999997E-2</c:v>
                </c:pt>
                <c:pt idx="51">
                  <c:v>8.0468750000000006E-2</c:v>
                </c:pt>
                <c:pt idx="52">
                  <c:v>8.203125E-2</c:v>
                </c:pt>
                <c:pt idx="53">
                  <c:v>8.3593749999999994E-2</c:v>
                </c:pt>
                <c:pt idx="54">
                  <c:v>8.5156250000000003E-2</c:v>
                </c:pt>
                <c:pt idx="55">
                  <c:v>8.6718749999999997E-2</c:v>
                </c:pt>
                <c:pt idx="56">
                  <c:v>8.8281250000000006E-2</c:v>
                </c:pt>
                <c:pt idx="57">
                  <c:v>8.984375E-2</c:v>
                </c:pt>
                <c:pt idx="58">
                  <c:v>9.1406249999999994E-2</c:v>
                </c:pt>
                <c:pt idx="59">
                  <c:v>9.2968750000000003E-2</c:v>
                </c:pt>
                <c:pt idx="60">
                  <c:v>9.4531249999999997E-2</c:v>
                </c:pt>
                <c:pt idx="61">
                  <c:v>9.6093750000000006E-2</c:v>
                </c:pt>
                <c:pt idx="62">
                  <c:v>9.765625E-2</c:v>
                </c:pt>
                <c:pt idx="63">
                  <c:v>9.9218749999999994E-2</c:v>
                </c:pt>
                <c:pt idx="64">
                  <c:v>0.1007813</c:v>
                </c:pt>
                <c:pt idx="65">
                  <c:v>0.1023438</c:v>
                </c:pt>
                <c:pt idx="66">
                  <c:v>0.10390629999999999</c:v>
                </c:pt>
                <c:pt idx="67">
                  <c:v>0.1054688</c:v>
                </c:pt>
                <c:pt idx="68">
                  <c:v>0.1070313</c:v>
                </c:pt>
                <c:pt idx="69">
                  <c:v>0.1085938</c:v>
                </c:pt>
                <c:pt idx="70">
                  <c:v>0.1101563</c:v>
                </c:pt>
                <c:pt idx="71">
                  <c:v>0.11171879999999999</c:v>
                </c:pt>
                <c:pt idx="72">
                  <c:v>0.1132813</c:v>
                </c:pt>
                <c:pt idx="73">
                  <c:v>0.11484370000000001</c:v>
                </c:pt>
                <c:pt idx="74">
                  <c:v>0.1164063</c:v>
                </c:pt>
                <c:pt idx="75">
                  <c:v>0.1179687</c:v>
                </c:pt>
                <c:pt idx="76">
                  <c:v>0.11953129999999999</c:v>
                </c:pt>
                <c:pt idx="77">
                  <c:v>0.1210938</c:v>
                </c:pt>
                <c:pt idx="78">
                  <c:v>0.12265620000000001</c:v>
                </c:pt>
                <c:pt idx="79">
                  <c:v>0.1242188</c:v>
                </c:pt>
                <c:pt idx="80">
                  <c:v>0.12578130000000001</c:v>
                </c:pt>
                <c:pt idx="81">
                  <c:v>0.12734380000000001</c:v>
                </c:pt>
                <c:pt idx="82">
                  <c:v>0.1289062</c:v>
                </c:pt>
                <c:pt idx="83">
                  <c:v>0.13046869999999999</c:v>
                </c:pt>
                <c:pt idx="84">
                  <c:v>0.13203119999999999</c:v>
                </c:pt>
                <c:pt idx="85">
                  <c:v>0.13359380000000001</c:v>
                </c:pt>
                <c:pt idx="86">
                  <c:v>0.13515630000000001</c:v>
                </c:pt>
                <c:pt idx="87">
                  <c:v>0.1367188</c:v>
                </c:pt>
                <c:pt idx="88">
                  <c:v>0.13828119999999999</c:v>
                </c:pt>
                <c:pt idx="89">
                  <c:v>0.13984369999999999</c:v>
                </c:pt>
                <c:pt idx="90">
                  <c:v>0.14140630000000001</c:v>
                </c:pt>
                <c:pt idx="91">
                  <c:v>0.14296880000000001</c:v>
                </c:pt>
                <c:pt idx="92">
                  <c:v>0.1445312</c:v>
                </c:pt>
                <c:pt idx="93">
                  <c:v>0.14609369999999999</c:v>
                </c:pt>
                <c:pt idx="94">
                  <c:v>0.14765619999999999</c:v>
                </c:pt>
                <c:pt idx="95">
                  <c:v>0.14921880000000001</c:v>
                </c:pt>
                <c:pt idx="96">
                  <c:v>0.15078130000000001</c:v>
                </c:pt>
                <c:pt idx="97">
                  <c:v>0.1523438</c:v>
                </c:pt>
                <c:pt idx="98">
                  <c:v>0.1539063</c:v>
                </c:pt>
                <c:pt idx="99">
                  <c:v>0.15546869999999999</c:v>
                </c:pt>
                <c:pt idx="100">
                  <c:v>0.15703130000000001</c:v>
                </c:pt>
                <c:pt idx="101">
                  <c:v>0.15859380000000001</c:v>
                </c:pt>
                <c:pt idx="102">
                  <c:v>0.1601562</c:v>
                </c:pt>
                <c:pt idx="103">
                  <c:v>0.16171869999999999</c:v>
                </c:pt>
                <c:pt idx="104">
                  <c:v>0.16328119999999999</c:v>
                </c:pt>
                <c:pt idx="105">
                  <c:v>0.16484380000000001</c:v>
                </c:pt>
                <c:pt idx="106">
                  <c:v>0.16640630000000001</c:v>
                </c:pt>
                <c:pt idx="107">
                  <c:v>0.1679688</c:v>
                </c:pt>
                <c:pt idx="108">
                  <c:v>0.16953119999999999</c:v>
                </c:pt>
                <c:pt idx="109">
                  <c:v>0.17109369999999999</c:v>
                </c:pt>
                <c:pt idx="110">
                  <c:v>0.17265630000000001</c:v>
                </c:pt>
                <c:pt idx="111">
                  <c:v>0.17421880000000001</c:v>
                </c:pt>
                <c:pt idx="112">
                  <c:v>0.1757812</c:v>
                </c:pt>
                <c:pt idx="113">
                  <c:v>0.17734369999999999</c:v>
                </c:pt>
                <c:pt idx="114">
                  <c:v>0.17890619999999999</c:v>
                </c:pt>
                <c:pt idx="115">
                  <c:v>0.18046880000000001</c:v>
                </c:pt>
                <c:pt idx="116">
                  <c:v>0.18203130000000001</c:v>
                </c:pt>
                <c:pt idx="117">
                  <c:v>0.1835938</c:v>
                </c:pt>
                <c:pt idx="118">
                  <c:v>0.18515619999999999</c:v>
                </c:pt>
                <c:pt idx="119">
                  <c:v>0.18671869999999999</c:v>
                </c:pt>
                <c:pt idx="120">
                  <c:v>0.18828130000000001</c:v>
                </c:pt>
                <c:pt idx="121">
                  <c:v>0.18984380000000001</c:v>
                </c:pt>
                <c:pt idx="122">
                  <c:v>0.1914063</c:v>
                </c:pt>
                <c:pt idx="123">
                  <c:v>0.19296869999999999</c:v>
                </c:pt>
                <c:pt idx="124">
                  <c:v>0.19453129999999999</c:v>
                </c:pt>
                <c:pt idx="125">
                  <c:v>0.19609380000000001</c:v>
                </c:pt>
                <c:pt idx="126">
                  <c:v>0.19765630000000001</c:v>
                </c:pt>
                <c:pt idx="127">
                  <c:v>0.1992188</c:v>
                </c:pt>
                <c:pt idx="128">
                  <c:v>0.20078119999999999</c:v>
                </c:pt>
                <c:pt idx="129">
                  <c:v>0.20234369999999999</c:v>
                </c:pt>
                <c:pt idx="130">
                  <c:v>0.20390630000000001</c:v>
                </c:pt>
                <c:pt idx="131">
                  <c:v>0.20546880000000001</c:v>
                </c:pt>
                <c:pt idx="132">
                  <c:v>0.2070312</c:v>
                </c:pt>
                <c:pt idx="133">
                  <c:v>0.20859369999999999</c:v>
                </c:pt>
                <c:pt idx="134">
                  <c:v>0.21015629999999999</c:v>
                </c:pt>
                <c:pt idx="135">
                  <c:v>0.21171880000000001</c:v>
                </c:pt>
                <c:pt idx="136">
                  <c:v>0.21328130000000001</c:v>
                </c:pt>
                <c:pt idx="137">
                  <c:v>0.2148438</c:v>
                </c:pt>
                <c:pt idx="138">
                  <c:v>0.2164063</c:v>
                </c:pt>
                <c:pt idx="139">
                  <c:v>0.21796869999999999</c:v>
                </c:pt>
                <c:pt idx="140">
                  <c:v>0.21953130000000001</c:v>
                </c:pt>
                <c:pt idx="141">
                  <c:v>0.22109380000000001</c:v>
                </c:pt>
                <c:pt idx="142">
                  <c:v>0.2226563</c:v>
                </c:pt>
                <c:pt idx="143">
                  <c:v>0.22421869999999999</c:v>
                </c:pt>
                <c:pt idx="144">
                  <c:v>0.22578129999999999</c:v>
                </c:pt>
                <c:pt idx="145">
                  <c:v>0.22734380000000001</c:v>
                </c:pt>
                <c:pt idx="146">
                  <c:v>0.22890630000000001</c:v>
                </c:pt>
                <c:pt idx="147">
                  <c:v>0.2304688</c:v>
                </c:pt>
                <c:pt idx="148">
                  <c:v>0.2320313</c:v>
                </c:pt>
                <c:pt idx="149">
                  <c:v>0.23359369999999999</c:v>
                </c:pt>
                <c:pt idx="150">
                  <c:v>0.23515630000000001</c:v>
                </c:pt>
                <c:pt idx="151">
                  <c:v>0.23671880000000001</c:v>
                </c:pt>
                <c:pt idx="152">
                  <c:v>0.2382812</c:v>
                </c:pt>
                <c:pt idx="153">
                  <c:v>0.23984369999999999</c:v>
                </c:pt>
                <c:pt idx="154">
                  <c:v>0.24140629999999999</c:v>
                </c:pt>
                <c:pt idx="155">
                  <c:v>0.24296880000000001</c:v>
                </c:pt>
                <c:pt idx="156">
                  <c:v>0.24453130000000001</c:v>
                </c:pt>
                <c:pt idx="157">
                  <c:v>0.2460938</c:v>
                </c:pt>
                <c:pt idx="158">
                  <c:v>0.24765619999999999</c:v>
                </c:pt>
                <c:pt idx="159">
                  <c:v>0.24921869999999999</c:v>
                </c:pt>
                <c:pt idx="160">
                  <c:v>0.25078129999999998</c:v>
                </c:pt>
                <c:pt idx="161">
                  <c:v>0.2523437</c:v>
                </c:pt>
                <c:pt idx="162">
                  <c:v>0.25390620000000003</c:v>
                </c:pt>
                <c:pt idx="163">
                  <c:v>0.2554688</c:v>
                </c:pt>
                <c:pt idx="164">
                  <c:v>0.25703120000000002</c:v>
                </c:pt>
                <c:pt idx="165">
                  <c:v>0.25859379999999998</c:v>
                </c:pt>
                <c:pt idx="166">
                  <c:v>0.2601562</c:v>
                </c:pt>
                <c:pt idx="167">
                  <c:v>0.26171879999999997</c:v>
                </c:pt>
                <c:pt idx="168">
                  <c:v>0.2632813</c:v>
                </c:pt>
                <c:pt idx="169">
                  <c:v>0.26484370000000002</c:v>
                </c:pt>
                <c:pt idx="170">
                  <c:v>0.26640629999999998</c:v>
                </c:pt>
                <c:pt idx="171">
                  <c:v>0.2679687</c:v>
                </c:pt>
                <c:pt idx="172">
                  <c:v>0.26953120000000003</c:v>
                </c:pt>
                <c:pt idx="173">
                  <c:v>0.2710938</c:v>
                </c:pt>
                <c:pt idx="174">
                  <c:v>0.27265620000000002</c:v>
                </c:pt>
                <c:pt idx="175">
                  <c:v>0.27421879999999998</c:v>
                </c:pt>
                <c:pt idx="176">
                  <c:v>0.2757812</c:v>
                </c:pt>
                <c:pt idx="177">
                  <c:v>0.27734379999999997</c:v>
                </c:pt>
                <c:pt idx="178">
                  <c:v>0.2789063</c:v>
                </c:pt>
                <c:pt idx="179">
                  <c:v>0.28046870000000002</c:v>
                </c:pt>
                <c:pt idx="180">
                  <c:v>0.28203129999999998</c:v>
                </c:pt>
                <c:pt idx="181">
                  <c:v>0.2835937</c:v>
                </c:pt>
                <c:pt idx="182">
                  <c:v>0.28515620000000003</c:v>
                </c:pt>
                <c:pt idx="183">
                  <c:v>0.28671869999999999</c:v>
                </c:pt>
                <c:pt idx="184">
                  <c:v>0.28828120000000002</c:v>
                </c:pt>
                <c:pt idx="185">
                  <c:v>0.28984379999999998</c:v>
                </c:pt>
                <c:pt idx="186">
                  <c:v>0.2914062</c:v>
                </c:pt>
                <c:pt idx="187">
                  <c:v>0.29296879999999997</c:v>
                </c:pt>
                <c:pt idx="188">
                  <c:v>0.2945313</c:v>
                </c:pt>
                <c:pt idx="189">
                  <c:v>0.29609370000000002</c:v>
                </c:pt>
                <c:pt idx="190">
                  <c:v>0.29765629999999998</c:v>
                </c:pt>
                <c:pt idx="191">
                  <c:v>0.2992187</c:v>
                </c:pt>
                <c:pt idx="192">
                  <c:v>0.30078120000000003</c:v>
                </c:pt>
                <c:pt idx="193">
                  <c:v>0.30234369999999999</c:v>
                </c:pt>
                <c:pt idx="194">
                  <c:v>0.30390620000000002</c:v>
                </c:pt>
                <c:pt idx="195">
                  <c:v>0.30546879999999998</c:v>
                </c:pt>
                <c:pt idx="196">
                  <c:v>0.30703130000000001</c:v>
                </c:pt>
                <c:pt idx="197">
                  <c:v>0.30859379999999997</c:v>
                </c:pt>
                <c:pt idx="198">
                  <c:v>0.31015619999999999</c:v>
                </c:pt>
                <c:pt idx="199">
                  <c:v>0.31171870000000002</c:v>
                </c:pt>
                <c:pt idx="200">
                  <c:v>0.31328129999999998</c:v>
                </c:pt>
                <c:pt idx="201">
                  <c:v>0.3148437</c:v>
                </c:pt>
                <c:pt idx="202">
                  <c:v>0.31640620000000003</c:v>
                </c:pt>
                <c:pt idx="203">
                  <c:v>0.3179688</c:v>
                </c:pt>
                <c:pt idx="204">
                  <c:v>0.31953120000000002</c:v>
                </c:pt>
                <c:pt idx="205">
                  <c:v>0.32109379999999998</c:v>
                </c:pt>
                <c:pt idx="206">
                  <c:v>0.3226562</c:v>
                </c:pt>
                <c:pt idx="207">
                  <c:v>0.32421879999999997</c:v>
                </c:pt>
                <c:pt idx="208">
                  <c:v>0.3257813</c:v>
                </c:pt>
                <c:pt idx="209">
                  <c:v>0.32734370000000002</c:v>
                </c:pt>
                <c:pt idx="210">
                  <c:v>0.32890629999999998</c:v>
                </c:pt>
                <c:pt idx="211">
                  <c:v>0.3304687</c:v>
                </c:pt>
                <c:pt idx="212">
                  <c:v>0.33203120000000003</c:v>
                </c:pt>
                <c:pt idx="213">
                  <c:v>0.3335938</c:v>
                </c:pt>
                <c:pt idx="214">
                  <c:v>0.33515620000000002</c:v>
                </c:pt>
                <c:pt idx="215">
                  <c:v>0.33671879999999998</c:v>
                </c:pt>
                <c:pt idx="216">
                  <c:v>0.3382812</c:v>
                </c:pt>
                <c:pt idx="217">
                  <c:v>0.33984379999999997</c:v>
                </c:pt>
                <c:pt idx="218">
                  <c:v>0.34140619999999999</c:v>
                </c:pt>
                <c:pt idx="219">
                  <c:v>0.34296870000000002</c:v>
                </c:pt>
                <c:pt idx="220">
                  <c:v>0.34453129999999998</c:v>
                </c:pt>
                <c:pt idx="221">
                  <c:v>0.3460937</c:v>
                </c:pt>
                <c:pt idx="222">
                  <c:v>0.34765629999999997</c:v>
                </c:pt>
                <c:pt idx="223">
                  <c:v>0.3492188</c:v>
                </c:pt>
                <c:pt idx="224">
                  <c:v>0.35078120000000002</c:v>
                </c:pt>
                <c:pt idx="225">
                  <c:v>0.35234379999999998</c:v>
                </c:pt>
                <c:pt idx="226">
                  <c:v>0.3539062</c:v>
                </c:pt>
                <c:pt idx="227">
                  <c:v>0.35546879999999997</c:v>
                </c:pt>
                <c:pt idx="228">
                  <c:v>0.3570313</c:v>
                </c:pt>
                <c:pt idx="229">
                  <c:v>0.35859370000000002</c:v>
                </c:pt>
                <c:pt idx="230">
                  <c:v>0.36015629999999998</c:v>
                </c:pt>
                <c:pt idx="231">
                  <c:v>0.3617187</c:v>
                </c:pt>
                <c:pt idx="232">
                  <c:v>0.36328120000000003</c:v>
                </c:pt>
                <c:pt idx="233">
                  <c:v>0.3648438</c:v>
                </c:pt>
                <c:pt idx="234">
                  <c:v>0.36640620000000002</c:v>
                </c:pt>
                <c:pt idx="235">
                  <c:v>0.36796879999999998</c:v>
                </c:pt>
                <c:pt idx="236">
                  <c:v>0.3695312</c:v>
                </c:pt>
                <c:pt idx="237">
                  <c:v>0.37109379999999997</c:v>
                </c:pt>
                <c:pt idx="238">
                  <c:v>0.37265619999999999</c:v>
                </c:pt>
                <c:pt idx="239">
                  <c:v>0.37421870000000002</c:v>
                </c:pt>
                <c:pt idx="240">
                  <c:v>0.37578129999999998</c:v>
                </c:pt>
                <c:pt idx="241">
                  <c:v>0.3773437</c:v>
                </c:pt>
                <c:pt idx="242">
                  <c:v>0.37890620000000003</c:v>
                </c:pt>
                <c:pt idx="243">
                  <c:v>0.38046869999999999</c:v>
                </c:pt>
                <c:pt idx="244">
                  <c:v>0.38203120000000002</c:v>
                </c:pt>
                <c:pt idx="245">
                  <c:v>0.38359379999999998</c:v>
                </c:pt>
                <c:pt idx="246">
                  <c:v>0.3851562</c:v>
                </c:pt>
                <c:pt idx="247">
                  <c:v>0.38671879999999997</c:v>
                </c:pt>
                <c:pt idx="248">
                  <c:v>0.3882813</c:v>
                </c:pt>
                <c:pt idx="249">
                  <c:v>0.38984370000000002</c:v>
                </c:pt>
                <c:pt idx="250">
                  <c:v>0.39140629999999998</c:v>
                </c:pt>
                <c:pt idx="251">
                  <c:v>0.3929687</c:v>
                </c:pt>
                <c:pt idx="252">
                  <c:v>0.39453120000000003</c:v>
                </c:pt>
                <c:pt idx="253">
                  <c:v>0.3960938</c:v>
                </c:pt>
                <c:pt idx="254">
                  <c:v>0.39765620000000002</c:v>
                </c:pt>
                <c:pt idx="255">
                  <c:v>0.39921879999999998</c:v>
                </c:pt>
                <c:pt idx="256">
                  <c:v>0.4007812</c:v>
                </c:pt>
                <c:pt idx="257">
                  <c:v>0.40234379999999997</c:v>
                </c:pt>
                <c:pt idx="258">
                  <c:v>0.40390619999999999</c:v>
                </c:pt>
                <c:pt idx="259">
                  <c:v>0.40546870000000002</c:v>
                </c:pt>
                <c:pt idx="260">
                  <c:v>0.40703129999999998</c:v>
                </c:pt>
                <c:pt idx="261">
                  <c:v>0.4085937</c:v>
                </c:pt>
                <c:pt idx="262">
                  <c:v>0.41015620000000003</c:v>
                </c:pt>
                <c:pt idx="263">
                  <c:v>0.4117188</c:v>
                </c:pt>
                <c:pt idx="264">
                  <c:v>0.41328130000000002</c:v>
                </c:pt>
                <c:pt idx="265">
                  <c:v>0.41484379999999998</c:v>
                </c:pt>
                <c:pt idx="266">
                  <c:v>0.4164062</c:v>
                </c:pt>
                <c:pt idx="267">
                  <c:v>0.41796879999999997</c:v>
                </c:pt>
                <c:pt idx="268">
                  <c:v>0.4195313</c:v>
                </c:pt>
                <c:pt idx="269">
                  <c:v>0.42109370000000002</c:v>
                </c:pt>
                <c:pt idx="270">
                  <c:v>0.42265629999999998</c:v>
                </c:pt>
                <c:pt idx="271">
                  <c:v>0.4242187</c:v>
                </c:pt>
                <c:pt idx="272">
                  <c:v>0.42578120000000003</c:v>
                </c:pt>
                <c:pt idx="273">
                  <c:v>0.4273438</c:v>
                </c:pt>
                <c:pt idx="274">
                  <c:v>0.42890630000000002</c:v>
                </c:pt>
                <c:pt idx="275">
                  <c:v>0.43046879999999998</c:v>
                </c:pt>
                <c:pt idx="276">
                  <c:v>0.4320312</c:v>
                </c:pt>
                <c:pt idx="277">
                  <c:v>0.43359379999999997</c:v>
                </c:pt>
                <c:pt idx="278">
                  <c:v>0.4351563</c:v>
                </c:pt>
                <c:pt idx="279">
                  <c:v>0.43671870000000002</c:v>
                </c:pt>
                <c:pt idx="280">
                  <c:v>0.43828129999999998</c:v>
                </c:pt>
                <c:pt idx="281">
                  <c:v>0.4398437</c:v>
                </c:pt>
                <c:pt idx="282">
                  <c:v>0.44140629999999997</c:v>
                </c:pt>
                <c:pt idx="283">
                  <c:v>0.4429688</c:v>
                </c:pt>
                <c:pt idx="284">
                  <c:v>0.44453120000000002</c:v>
                </c:pt>
                <c:pt idx="285">
                  <c:v>0.44609379999999998</c:v>
                </c:pt>
                <c:pt idx="286">
                  <c:v>0.4476562</c:v>
                </c:pt>
                <c:pt idx="287">
                  <c:v>0.44921879999999997</c:v>
                </c:pt>
                <c:pt idx="288">
                  <c:v>0.4507813</c:v>
                </c:pt>
                <c:pt idx="289">
                  <c:v>0.45234370000000002</c:v>
                </c:pt>
                <c:pt idx="290">
                  <c:v>0.45390629999999998</c:v>
                </c:pt>
                <c:pt idx="291">
                  <c:v>0.45546880000000001</c:v>
                </c:pt>
                <c:pt idx="292">
                  <c:v>0.45703120000000003</c:v>
                </c:pt>
                <c:pt idx="293">
                  <c:v>0.4585938</c:v>
                </c:pt>
                <c:pt idx="294">
                  <c:v>0.46015620000000002</c:v>
                </c:pt>
                <c:pt idx="295">
                  <c:v>0.46171879999999998</c:v>
                </c:pt>
                <c:pt idx="296">
                  <c:v>0.4632812</c:v>
                </c:pt>
                <c:pt idx="297">
                  <c:v>0.46484379999999997</c:v>
                </c:pt>
                <c:pt idx="298">
                  <c:v>0.46640619999999999</c:v>
                </c:pt>
                <c:pt idx="299">
                  <c:v>0.46796870000000002</c:v>
                </c:pt>
                <c:pt idx="300">
                  <c:v>0.46953129999999998</c:v>
                </c:pt>
                <c:pt idx="301">
                  <c:v>0.47109380000000001</c:v>
                </c:pt>
                <c:pt idx="302">
                  <c:v>0.47265620000000003</c:v>
                </c:pt>
                <c:pt idx="303">
                  <c:v>0.4742188</c:v>
                </c:pt>
                <c:pt idx="304">
                  <c:v>0.47578120000000002</c:v>
                </c:pt>
                <c:pt idx="305">
                  <c:v>0.47734379999999998</c:v>
                </c:pt>
                <c:pt idx="306">
                  <c:v>0.4789062</c:v>
                </c:pt>
                <c:pt idx="307">
                  <c:v>0.48046879999999997</c:v>
                </c:pt>
                <c:pt idx="308">
                  <c:v>0.4820313</c:v>
                </c:pt>
                <c:pt idx="309">
                  <c:v>0.48359370000000002</c:v>
                </c:pt>
                <c:pt idx="310">
                  <c:v>0.48515629999999998</c:v>
                </c:pt>
                <c:pt idx="311">
                  <c:v>0.48671880000000001</c:v>
                </c:pt>
                <c:pt idx="312">
                  <c:v>0.48828120000000003</c:v>
                </c:pt>
                <c:pt idx="313">
                  <c:v>0.4898438</c:v>
                </c:pt>
                <c:pt idx="314">
                  <c:v>0.49140620000000002</c:v>
                </c:pt>
                <c:pt idx="315">
                  <c:v>0.49296879999999998</c:v>
                </c:pt>
                <c:pt idx="316">
                  <c:v>0.4945312</c:v>
                </c:pt>
                <c:pt idx="317">
                  <c:v>0.49609379999999997</c:v>
                </c:pt>
                <c:pt idx="318">
                  <c:v>0.4976563</c:v>
                </c:pt>
                <c:pt idx="319">
                  <c:v>0.49921880000000002</c:v>
                </c:pt>
              </c:numCache>
            </c:numRef>
          </c:xVal>
          <c:yVal>
            <c:numRef>
              <c:f>新・線形全比較!$U$2:$U$321</c:f>
              <c:numCache>
                <c:formatCode>0.00E+00</c:formatCode>
                <c:ptCount val="320"/>
                <c:pt idx="0">
                  <c:v>0.39919689859606</c:v>
                </c:pt>
                <c:pt idx="1">
                  <c:v>0.39920085431065999</c:v>
                </c:pt>
                <c:pt idx="2">
                  <c:v>0.39920493176682198</c:v>
                </c:pt>
                <c:pt idx="3">
                  <c:v>0.39920913061608398</c:v>
                </c:pt>
                <c:pt idx="4">
                  <c:v>0.39921345052498802</c:v>
                </c:pt>
                <c:pt idx="5">
                  <c:v>0.39921789117490197</c:v>
                </c:pt>
                <c:pt idx="6">
                  <c:v>0.39922245226178599</c:v>
                </c:pt>
                <c:pt idx="7">
                  <c:v>0.39922713349665001</c:v>
                </c:pt>
                <c:pt idx="8">
                  <c:v>0.39923193460558598</c:v>
                </c:pt>
                <c:pt idx="9">
                  <c:v>0.39923685532928799</c:v>
                </c:pt>
                <c:pt idx="10">
                  <c:v>0.39924189542343202</c:v>
                </c:pt>
                <c:pt idx="11">
                  <c:v>0.39924705465876797</c:v>
                </c:pt>
                <c:pt idx="12">
                  <c:v>0.399252332820972</c:v>
                </c:pt>
                <c:pt idx="13">
                  <c:v>0.39925772971068402</c:v>
                </c:pt>
                <c:pt idx="14">
                  <c:v>0.39926324514356198</c:v>
                </c:pt>
                <c:pt idx="15">
                  <c:v>0.399268878950294</c:v>
                </c:pt>
                <c:pt idx="16">
                  <c:v>0.39927463097684601</c:v>
                </c:pt>
                <c:pt idx="17">
                  <c:v>0.39928050108383001</c:v>
                </c:pt>
                <c:pt idx="18">
                  <c:v>0.39928648914744003</c:v>
                </c:pt>
                <c:pt idx="19">
                  <c:v>0.39929259505863202</c:v>
                </c:pt>
                <c:pt idx="20">
                  <c:v>0.39930229781779197</c:v>
                </c:pt>
                <c:pt idx="21">
                  <c:v>0.39931560059552601</c:v>
                </c:pt>
                <c:pt idx="22">
                  <c:v>0.39932902499334799</c:v>
                </c:pt>
                <c:pt idx="23">
                  <c:v>0.399342570234268</c:v>
                </c:pt>
                <c:pt idx="24">
                  <c:v>0.39935623555701</c:v>
                </c:pt>
                <c:pt idx="25">
                  <c:v>0.399370020216054</c:v>
                </c:pt>
                <c:pt idx="26">
                  <c:v>0.399383923481826</c:v>
                </c:pt>
                <c:pt idx="27">
                  <c:v>0.39939794464049</c:v>
                </c:pt>
                <c:pt idx="28">
                  <c:v>0.39941208299434</c:v>
                </c:pt>
                <c:pt idx="29">
                  <c:v>0.39942633786158199</c:v>
                </c:pt>
                <c:pt idx="30">
                  <c:v>0.39944070857651998</c:v>
                </c:pt>
                <c:pt idx="31">
                  <c:v>0.399455194489648</c:v>
                </c:pt>
                <c:pt idx="32">
                  <c:v>0.39946979496771401</c:v>
                </c:pt>
                <c:pt idx="33">
                  <c:v>0.39948450939355001</c:v>
                </c:pt>
                <c:pt idx="34">
                  <c:v>0.39949933716662001</c:v>
                </c:pt>
                <c:pt idx="35">
                  <c:v>0.39951427770256798</c:v>
                </c:pt>
                <c:pt idx="36">
                  <c:v>0.39952933043357203</c:v>
                </c:pt>
                <c:pt idx="37">
                  <c:v>0.39954449480840798</c:v>
                </c:pt>
                <c:pt idx="38">
                  <c:v>0.39955977029231798</c:v>
                </c:pt>
                <c:pt idx="39">
                  <c:v>0.39957515636727198</c:v>
                </c:pt>
                <c:pt idx="40">
                  <c:v>0.39959432129516798</c:v>
                </c:pt>
                <c:pt idx="41">
                  <c:v>0.39961727334008801</c:v>
                </c:pt>
                <c:pt idx="42">
                  <c:v>0.39964034618491201</c:v>
                </c:pt>
                <c:pt idx="43">
                  <c:v>0.399663538512464</c:v>
                </c:pt>
                <c:pt idx="44">
                  <c:v>0.39968684902344398</c:v>
                </c:pt>
                <c:pt idx="45">
                  <c:v>0.39971027643658802</c:v>
                </c:pt>
                <c:pt idx="46">
                  <c:v>0.399733819488928</c:v>
                </c:pt>
                <c:pt idx="47">
                  <c:v>0.399757476935652</c:v>
                </c:pt>
                <c:pt idx="48">
                  <c:v>0.399781247550338</c:v>
                </c:pt>
                <c:pt idx="49">
                  <c:v>0.39980513012511998</c:v>
                </c:pt>
                <c:pt idx="50">
                  <c:v>0.39982912347062399</c:v>
                </c:pt>
                <c:pt idx="51">
                  <c:v>0.39985322641644999</c:v>
                </c:pt>
                <c:pt idx="52">
                  <c:v>0.39987743781074597</c:v>
                </c:pt>
                <c:pt idx="53">
                  <c:v>0.39990175652075199</c:v>
                </c:pt>
                <c:pt idx="54">
                  <c:v>0.39992618143271802</c:v>
                </c:pt>
                <c:pt idx="55">
                  <c:v>0.39995071145219202</c:v>
                </c:pt>
                <c:pt idx="56">
                  <c:v>0.39997534550386799</c:v>
                </c:pt>
                <c:pt idx="57">
                  <c:v>0.40000008253191399</c:v>
                </c:pt>
                <c:pt idx="58">
                  <c:v>0.40002492150003999</c:v>
                </c:pt>
                <c:pt idx="59">
                  <c:v>0.40004986139142801</c:v>
                </c:pt>
                <c:pt idx="60">
                  <c:v>0.40007859113920002</c:v>
                </c:pt>
                <c:pt idx="61">
                  <c:v>0.40011112098769802</c:v>
                </c:pt>
                <c:pt idx="62">
                  <c:v>0.40014376383113398</c:v>
                </c:pt>
                <c:pt idx="63">
                  <c:v>0.400176517676824</c:v>
                </c:pt>
                <c:pt idx="64">
                  <c:v>0.40020938055368799</c:v>
                </c:pt>
                <c:pt idx="65">
                  <c:v>0.40024235051255402</c:v>
                </c:pt>
                <c:pt idx="66">
                  <c:v>0.40027542562639801</c:v>
                </c:pt>
                <c:pt idx="67">
                  <c:v>0.400308603990292</c:v>
                </c:pt>
                <c:pt idx="68">
                  <c:v>0.400341883721756</c:v>
                </c:pt>
                <c:pt idx="69">
                  <c:v>0.40037526296085002</c:v>
                </c:pt>
                <c:pt idx="70">
                  <c:v>0.40040873987034997</c:v>
                </c:pt>
                <c:pt idx="71">
                  <c:v>0.40044231263612601</c:v>
                </c:pt>
                <c:pt idx="72">
                  <c:v>0.40047597946688002</c:v>
                </c:pt>
                <c:pt idx="73">
                  <c:v>0.40050973859470601</c:v>
                </c:pt>
                <c:pt idx="74">
                  <c:v>0.40054358827511399</c:v>
                </c:pt>
                <c:pt idx="75">
                  <c:v>0.40057752678733199</c:v>
                </c:pt>
                <c:pt idx="76">
                  <c:v>0.40061155243421598</c:v>
                </c:pt>
                <c:pt idx="77">
                  <c:v>0.40064566354271802</c:v>
                </c:pt>
                <c:pt idx="78">
                  <c:v>0.40067985846384202</c:v>
                </c:pt>
                <c:pt idx="79">
                  <c:v>0.40071413557294</c:v>
                </c:pt>
                <c:pt idx="80">
                  <c:v>0.40075216645696399</c:v>
                </c:pt>
                <c:pt idx="81">
                  <c:v>0.40079396844599402</c:v>
                </c:pt>
                <c:pt idx="82">
                  <c:v>0.40083587351419597</c:v>
                </c:pt>
                <c:pt idx="83">
                  <c:v>0.40087787878729197</c:v>
                </c:pt>
                <c:pt idx="84">
                  <c:v>0.40091998141861401</c:v>
                </c:pt>
                <c:pt idx="85">
                  <c:v>0.40096217858926803</c:v>
                </c:pt>
                <c:pt idx="86">
                  <c:v>0.401004467508632</c:v>
                </c:pt>
                <c:pt idx="87">
                  <c:v>0.40104684541458402</c:v>
                </c:pt>
                <c:pt idx="88">
                  <c:v>0.401089309573468</c:v>
                </c:pt>
                <c:pt idx="89">
                  <c:v>0.40113185728079997</c:v>
                </c:pt>
                <c:pt idx="90">
                  <c:v>0.401174485861026</c:v>
                </c:pt>
                <c:pt idx="91">
                  <c:v>0.40121719266843398</c:v>
                </c:pt>
                <c:pt idx="92">
                  <c:v>0.40125997508670802</c:v>
                </c:pt>
                <c:pt idx="93">
                  <c:v>0.401302830529636</c:v>
                </c:pt>
                <c:pt idx="94">
                  <c:v>0.40134575644141202</c:v>
                </c:pt>
                <c:pt idx="95">
                  <c:v>0.40138875029656801</c:v>
                </c:pt>
                <c:pt idx="96">
                  <c:v>0.401431809600512</c:v>
                </c:pt>
                <c:pt idx="97">
                  <c:v>0.40147493188975802</c:v>
                </c:pt>
                <c:pt idx="98">
                  <c:v>0.401518114732072</c:v>
                </c:pt>
                <c:pt idx="99">
                  <c:v>0.40156135572680002</c:v>
                </c:pt>
                <c:pt idx="100">
                  <c:v>0.40160860744094001</c:v>
                </c:pt>
                <c:pt idx="101">
                  <c:v>0.40165988156415999</c:v>
                </c:pt>
                <c:pt idx="102">
                  <c:v>0.40171122520493402</c:v>
                </c:pt>
                <c:pt idx="103">
                  <c:v>0.40176263429715198</c:v>
                </c:pt>
                <c:pt idx="104">
                  <c:v>0.40181410481072</c:v>
                </c:pt>
                <c:pt idx="105">
                  <c:v>0.40186563275183401</c:v>
                </c:pt>
                <c:pt idx="106">
                  <c:v>0.40191721416360998</c:v>
                </c:pt>
                <c:pt idx="107">
                  <c:v>0.40196884512643</c:v>
                </c:pt>
                <c:pt idx="108">
                  <c:v>0.40202052175811998</c:v>
                </c:pt>
                <c:pt idx="109">
                  <c:v>0.40207224021462401</c:v>
                </c:pt>
                <c:pt idx="110">
                  <c:v>0.40212399669008198</c:v>
                </c:pt>
                <c:pt idx="111">
                  <c:v>0.402175787417826</c:v>
                </c:pt>
                <c:pt idx="112">
                  <c:v>0.40222760866987001</c:v>
                </c:pt>
                <c:pt idx="113">
                  <c:v>0.40227945675813398</c:v>
                </c:pt>
                <c:pt idx="114">
                  <c:v>0.40233132803448601</c:v>
                </c:pt>
                <c:pt idx="115">
                  <c:v>0.40238321889114997</c:v>
                </c:pt>
                <c:pt idx="116">
                  <c:v>0.40243512576106599</c:v>
                </c:pt>
                <c:pt idx="117">
                  <c:v>0.402487045118536</c:v>
                </c:pt>
                <c:pt idx="118">
                  <c:v>0.40253897347928402</c:v>
                </c:pt>
                <c:pt idx="119">
                  <c:v>0.40259090740113801</c:v>
                </c:pt>
                <c:pt idx="120">
                  <c:v>0.40264642917793803</c:v>
                </c:pt>
                <c:pt idx="121">
                  <c:v>0.40270557278705998</c:v>
                </c:pt>
                <c:pt idx="122">
                  <c:v>0.40276476267519001</c:v>
                </c:pt>
                <c:pt idx="123">
                  <c:v>0.40282399316050599</c:v>
                </c:pt>
                <c:pt idx="124">
                  <c:v>0.40288325861112201</c:v>
                </c:pt>
                <c:pt idx="125">
                  <c:v>0.402942553445506</c:v>
                </c:pt>
                <c:pt idx="126">
                  <c:v>0.40300187213333999</c:v>
                </c:pt>
                <c:pt idx="127">
                  <c:v>0.40306120919633798</c:v>
                </c:pt>
                <c:pt idx="128">
                  <c:v>0.403120559208346</c:v>
                </c:pt>
                <c:pt idx="129">
                  <c:v>0.40317991679669801</c:v>
                </c:pt>
                <c:pt idx="130">
                  <c:v>0.40323927664214199</c:v>
                </c:pt>
                <c:pt idx="131">
                  <c:v>0.403298633480488</c:v>
                </c:pt>
                <c:pt idx="132">
                  <c:v>0.40335798210213802</c:v>
                </c:pt>
                <c:pt idx="133">
                  <c:v>0.40341731735357</c:v>
                </c:pt>
                <c:pt idx="134">
                  <c:v>0.40347663413778401</c:v>
                </c:pt>
                <c:pt idx="135">
                  <c:v>0.40353592741488598</c:v>
                </c:pt>
                <c:pt idx="136">
                  <c:v>0.40359519220282403</c:v>
                </c:pt>
                <c:pt idx="137">
                  <c:v>0.40365442357811199</c:v>
                </c:pt>
                <c:pt idx="138">
                  <c:v>0.40371361667641198</c:v>
                </c:pt>
                <c:pt idx="139">
                  <c:v>0.40377276669322198</c:v>
                </c:pt>
                <c:pt idx="140">
                  <c:v>0.40383656346489599</c:v>
                </c:pt>
                <c:pt idx="141">
                  <c:v>0.40390498666512398</c:v>
                </c:pt>
                <c:pt idx="142">
                  <c:v>0.40397332801719599</c:v>
                </c:pt>
                <c:pt idx="143">
                  <c:v>0.40404157964791798</c:v>
                </c:pt>
                <c:pt idx="144">
                  <c:v>0.40410973375026599</c:v>
                </c:pt>
                <c:pt idx="145">
                  <c:v>0.40417778258459203</c:v>
                </c:pt>
                <c:pt idx="146">
                  <c:v>0.40424571847979601</c:v>
                </c:pt>
                <c:pt idx="147">
                  <c:v>0.40431353383485402</c:v>
                </c:pt>
                <c:pt idx="148">
                  <c:v>0.40438122111924601</c:v>
                </c:pt>
                <c:pt idx="149">
                  <c:v>0.40444877287495801</c:v>
                </c:pt>
                <c:pt idx="150">
                  <c:v>0.40451618171701997</c:v>
                </c:pt>
                <c:pt idx="151">
                  <c:v>0.40458344033528199</c:v>
                </c:pt>
                <c:pt idx="152">
                  <c:v>0.40465054149506202</c:v>
                </c:pt>
                <c:pt idx="153">
                  <c:v>0.40471747803853803</c:v>
                </c:pt>
                <c:pt idx="154">
                  <c:v>0.40478424288625803</c:v>
                </c:pt>
                <c:pt idx="155">
                  <c:v>0.404850829037876</c:v>
                </c:pt>
                <c:pt idx="156">
                  <c:v>0.40491722957347398</c:v>
                </c:pt>
                <c:pt idx="157">
                  <c:v>0.40498343765497802</c:v>
                </c:pt>
                <c:pt idx="158">
                  <c:v>0.405049446527182</c:v>
                </c:pt>
                <c:pt idx="159">
                  <c:v>0.40511524951883399</c:v>
                </c:pt>
                <c:pt idx="160">
                  <c:v>0.40518362371479</c:v>
                </c:pt>
                <c:pt idx="161">
                  <c:v>0.40525466725147202</c:v>
                </c:pt>
                <c:pt idx="162">
                  <c:v>0.40532562925086202</c:v>
                </c:pt>
                <c:pt idx="163">
                  <c:v>0.405396498511572</c:v>
                </c:pt>
                <c:pt idx="164">
                  <c:v>0.40546726393381999</c:v>
                </c:pt>
                <c:pt idx="165">
                  <c:v>0.40553791452239002</c:v>
                </c:pt>
                <c:pt idx="166">
                  <c:v>0.40560843938938201</c:v>
                </c:pt>
                <c:pt idx="167">
                  <c:v>0.40567882775733599</c:v>
                </c:pt>
                <c:pt idx="168">
                  <c:v>0.40574906896120599</c:v>
                </c:pt>
                <c:pt idx="169">
                  <c:v>0.40581915245252598</c:v>
                </c:pt>
                <c:pt idx="170">
                  <c:v>0.40588906780095202</c:v>
                </c:pt>
                <c:pt idx="171">
                  <c:v>0.405958804697792</c:v>
                </c:pt>
                <c:pt idx="172">
                  <c:v>0.40602835295900802</c:v>
                </c:pt>
                <c:pt idx="173">
                  <c:v>0.40609770252736599</c:v>
                </c:pt>
                <c:pt idx="174">
                  <c:v>0.40616684347605803</c:v>
                </c:pt>
                <c:pt idx="175">
                  <c:v>0.406235766011106</c:v>
                </c:pt>
                <c:pt idx="176">
                  <c:v>0.40630446047433399</c:v>
                </c:pt>
                <c:pt idx="177">
                  <c:v>0.40637291734662001</c:v>
                </c:pt>
                <c:pt idx="178">
                  <c:v>0.40644112724993398</c:v>
                </c:pt>
                <c:pt idx="179">
                  <c:v>0.40650908095108401</c:v>
                </c:pt>
                <c:pt idx="180">
                  <c:v>0.406583498858474</c:v>
                </c:pt>
                <c:pt idx="181">
                  <c:v>0.40666415737478001</c:v>
                </c:pt>
                <c:pt idx="182">
                  <c:v>0.40674422463403997</c:v>
                </c:pt>
                <c:pt idx="183">
                  <c:v>0.4068236854267</c:v>
                </c:pt>
                <c:pt idx="184">
                  <c:v>0.40690252466334798</c:v>
                </c:pt>
                <c:pt idx="185">
                  <c:v>0.40698072738254998</c:v>
                </c:pt>
                <c:pt idx="186">
                  <c:v>0.40705827875796802</c:v>
                </c:pt>
                <c:pt idx="187">
                  <c:v>0.40713516410634998</c:v>
                </c:pt>
                <c:pt idx="188">
                  <c:v>0.40721136889426202</c:v>
                </c:pt>
                <c:pt idx="189">
                  <c:v>0.40728687874653002</c:v>
                </c:pt>
                <c:pt idx="190">
                  <c:v>0.407361679452928</c:v>
                </c:pt>
                <c:pt idx="191">
                  <c:v>0.40743575697617002</c:v>
                </c:pt>
                <c:pt idx="192">
                  <c:v>0.40750909745953401</c:v>
                </c:pt>
                <c:pt idx="193">
                  <c:v>0.40758168723385602</c:v>
                </c:pt>
                <c:pt idx="194">
                  <c:v>0.40765351282558798</c:v>
                </c:pt>
                <c:pt idx="195">
                  <c:v>0.407724560964284</c:v>
                </c:pt>
                <c:pt idx="196">
                  <c:v>0.407794818589724</c:v>
                </c:pt>
                <c:pt idx="197">
                  <c:v>0.407864272860402</c:v>
                </c:pt>
                <c:pt idx="198">
                  <c:v>0.407932911159814</c:v>
                </c:pt>
                <c:pt idx="199">
                  <c:v>0.40800072110518398</c:v>
                </c:pt>
                <c:pt idx="200">
                  <c:v>0.40806700615239999</c:v>
                </c:pt>
                <c:pt idx="201">
                  <c:v>0.40813215837956202</c:v>
                </c:pt>
                <c:pt idx="202">
                  <c:v>0.408197006796652</c:v>
                </c:pt>
                <c:pt idx="203">
                  <c:v>0.40826152725005399</c:v>
                </c:pt>
                <c:pt idx="204">
                  <c:v>0.40832569579465799</c:v>
                </c:pt>
                <c:pt idx="205">
                  <c:v>0.40838948872113601</c:v>
                </c:pt>
                <c:pt idx="206">
                  <c:v>0.40845288258262202</c:v>
                </c:pt>
                <c:pt idx="207">
                  <c:v>0.40851585422213599</c:v>
                </c:pt>
                <c:pt idx="208">
                  <c:v>0.408578380798722</c:v>
                </c:pt>
                <c:pt idx="209">
                  <c:v>0.40864043981561399</c:v>
                </c:pt>
                <c:pt idx="210">
                  <c:v>0.408702009146654</c:v>
                </c:pt>
                <c:pt idx="211">
                  <c:v>0.40876306706384402</c:v>
                </c:pt>
                <c:pt idx="212">
                  <c:v>0.40882359226486797</c:v>
                </c:pt>
                <c:pt idx="213">
                  <c:v>0.40888356389970598</c:v>
                </c:pt>
                <c:pt idx="214">
                  <c:v>0.40894296159892601</c:v>
                </c:pt>
                <c:pt idx="215">
                  <c:v>0.40900176550058598</c:v>
                </c:pt>
                <c:pt idx="216">
                  <c:v>0.40905995627789199</c:v>
                </c:pt>
                <c:pt idx="217">
                  <c:v>0.40911751516740003</c:v>
                </c:pt>
                <c:pt idx="218">
                  <c:v>0.40917442399533399</c:v>
                </c:pt>
                <c:pt idx="219">
                  <c:v>0.40923066520680401</c:v>
                </c:pt>
                <c:pt idx="220">
                  <c:v>0.40929702687049002</c:v>
                </c:pt>
                <c:pt idx="221">
                  <c:v>0.40937233924021599</c:v>
                </c:pt>
                <c:pt idx="222">
                  <c:v>0.409445294020512</c:v>
                </c:pt>
                <c:pt idx="223">
                  <c:v>0.40951585959285802</c:v>
                </c:pt>
                <c:pt idx="224">
                  <c:v>0.40958400434256398</c:v>
                </c:pt>
                <c:pt idx="225">
                  <c:v>0.40964969675681201</c:v>
                </c:pt>
                <c:pt idx="226">
                  <c:v>0.40971290552220002</c:v>
                </c:pt>
                <c:pt idx="227">
                  <c:v>0.40977359962321802</c:v>
                </c:pt>
                <c:pt idx="228">
                  <c:v>0.40983174843906001</c:v>
                </c:pt>
                <c:pt idx="229">
                  <c:v>0.40988732184332199</c:v>
                </c:pt>
                <c:pt idx="230">
                  <c:v>0.40994029030114798</c:v>
                </c:pt>
                <c:pt idx="231">
                  <c:v>0.40999062496787803</c:v>
                </c:pt>
                <c:pt idx="232">
                  <c:v>0.41003829778795797</c:v>
                </c:pt>
                <c:pt idx="233">
                  <c:v>0.41008328159236002</c:v>
                </c:pt>
                <c:pt idx="234">
                  <c:v>0.41012555019833402</c:v>
                </c:pt>
                <c:pt idx="235">
                  <c:v>0.41016507850762601</c:v>
                </c:pt>
                <c:pt idx="236">
                  <c:v>0.41020184260519799</c:v>
                </c:pt>
                <c:pt idx="237">
                  <c:v>0.41023581985895202</c:v>
                </c:pt>
                <c:pt idx="238">
                  <c:v>0.41026698901721598</c:v>
                </c:pt>
                <c:pt idx="239">
                  <c:v>0.41029533030930598</c:v>
                </c:pt>
                <c:pt idx="240">
                  <c:v>0.41030874652900201</c:v>
                </c:pt>
                <c:pt idx="241">
                  <c:v>0.41030865690269602</c:v>
                </c:pt>
                <c:pt idx="242">
                  <c:v>0.41030767435548599</c:v>
                </c:pt>
                <c:pt idx="243">
                  <c:v>0.41030573045305602</c:v>
                </c:pt>
                <c:pt idx="244">
                  <c:v>0.41030275663980198</c:v>
                </c:pt>
                <c:pt idx="245">
                  <c:v>0.41029868466979402</c:v>
                </c:pt>
                <c:pt idx="246">
                  <c:v>0.41029344703842602</c:v>
                </c:pt>
                <c:pt idx="247">
                  <c:v>0.41028697741592002</c:v>
                </c:pt>
                <c:pt idx="248">
                  <c:v>0.41027921108006599</c:v>
                </c:pt>
                <c:pt idx="249">
                  <c:v>0.41027008535264597</c:v>
                </c:pt>
                <c:pt idx="250">
                  <c:v>0.410259540034762</c:v>
                </c:pt>
                <c:pt idx="251">
                  <c:v>0.41024751784396202</c:v>
                </c:pt>
                <c:pt idx="252">
                  <c:v>0.41023396485319602</c:v>
                </c:pt>
                <c:pt idx="253">
                  <c:v>0.41021883092870798</c:v>
                </c:pt>
                <c:pt idx="254">
                  <c:v>0.41020207017155802</c:v>
                </c:pt>
                <c:pt idx="255">
                  <c:v>0.41018364135851598</c:v>
                </c:pt>
                <c:pt idx="256">
                  <c:v>0.41016350838418603</c:v>
                </c:pt>
                <c:pt idx="257">
                  <c:v>0.41014164070553999</c:v>
                </c:pt>
                <c:pt idx="258">
                  <c:v>0.41011801378464402</c:v>
                </c:pt>
                <c:pt idx="259">
                  <c:v>0.41009260953559801</c:v>
                </c:pt>
                <c:pt idx="260">
                  <c:v>0.410070584475972</c:v>
                </c:pt>
                <c:pt idx="261">
                  <c:v>0.410046808938062</c:v>
                </c:pt>
                <c:pt idx="262">
                  <c:v>0.41001392892586602</c:v>
                </c:pt>
                <c:pt idx="263">
                  <c:v>0.40997184383083202</c:v>
                </c:pt>
                <c:pt idx="264">
                  <c:v>0.409920447847886</c:v>
                </c:pt>
                <c:pt idx="265">
                  <c:v>0.40985963163363598</c:v>
                </c:pt>
                <c:pt idx="266">
                  <c:v>0.409789283963228</c:v>
                </c:pt>
                <c:pt idx="267">
                  <c:v>0.40970929338966999</c:v>
                </c:pt>
                <c:pt idx="268">
                  <c:v>0.40961954990085198</c:v>
                </c:pt>
                <c:pt idx="269">
                  <c:v>0.40951994658035001</c:v>
                </c:pt>
                <c:pt idx="270">
                  <c:v>0.40941038126598001</c:v>
                </c:pt>
                <c:pt idx="271">
                  <c:v>0.40929075820990002</c:v>
                </c:pt>
                <c:pt idx="272">
                  <c:v>0.40916098973971199</c:v>
                </c:pt>
                <c:pt idx="273">
                  <c:v>0.40902099791797403</c:v>
                </c:pt>
                <c:pt idx="274">
                  <c:v>0.40887071620454402</c:v>
                </c:pt>
                <c:pt idx="275">
                  <c:v>0.40871009111817203</c:v>
                </c:pt>
                <c:pt idx="276">
                  <c:v>0.40853908389814197</c:v>
                </c:pt>
                <c:pt idx="277">
                  <c:v>0.40835767216788199</c:v>
                </c:pt>
                <c:pt idx="278">
                  <c:v>0.40816585159642199</c:v>
                </c:pt>
                <c:pt idx="279">
                  <c:v>0.40796363756301401</c:v>
                </c:pt>
                <c:pt idx="280">
                  <c:v>0.40768348834650597</c:v>
                </c:pt>
                <c:pt idx="281">
                  <c:v>0.407325474425064</c:v>
                </c:pt>
                <c:pt idx="282">
                  <c:v>0.40695681075393803</c:v>
                </c:pt>
                <c:pt idx="283">
                  <c:v>0.40657699716840601</c:v>
                </c:pt>
                <c:pt idx="284">
                  <c:v>0.40618553122560203</c:v>
                </c:pt>
                <c:pt idx="285">
                  <c:v>0.40578193159204201</c:v>
                </c:pt>
                <c:pt idx="286">
                  <c:v>0.40536576147299203</c:v>
                </c:pt>
                <c:pt idx="287">
                  <c:v>0.4049366520862</c:v>
                </c:pt>
                <c:pt idx="288">
                  <c:v>0.40449432617532799</c:v>
                </c:pt>
                <c:pt idx="289">
                  <c:v>0.404038621569832</c:v>
                </c:pt>
                <c:pt idx="290">
                  <c:v>0.40356951478409397</c:v>
                </c:pt>
                <c:pt idx="291">
                  <c:v>0.403087144661124</c:v>
                </c:pt>
                <c:pt idx="292">
                  <c:v>0.40259183605877602</c:v>
                </c:pt>
                <c:pt idx="293">
                  <c:v>0.40208412357728002</c:v>
                </c:pt>
                <c:pt idx="294">
                  <c:v>0.40156477533092999</c:v>
                </c:pt>
                <c:pt idx="295">
                  <c:v>0.40103481676196201</c:v>
                </c:pt>
                <c:pt idx="296">
                  <c:v>0.40049555449660201</c:v>
                </c:pt>
                <c:pt idx="297">
                  <c:v>0.39994860024435003</c:v>
                </c:pt>
                <c:pt idx="298">
                  <c:v>0.39939589473917603</c:v>
                </c:pt>
                <c:pt idx="299">
                  <c:v>0.39883973172424803</c:v>
                </c:pt>
                <c:pt idx="300">
                  <c:v>0.39802501062610801</c:v>
                </c:pt>
                <c:pt idx="301">
                  <c:v>0.39688934688546801</c:v>
                </c:pt>
                <c:pt idx="302">
                  <c:v>0.39565761909758201</c:v>
                </c:pt>
                <c:pt idx="303">
                  <c:v>0.394320951281806</c:v>
                </c:pt>
                <c:pt idx="304">
                  <c:v>0.39287024958262001</c:v>
                </c:pt>
                <c:pt idx="305">
                  <c:v>0.39129671578316</c:v>
                </c:pt>
                <c:pt idx="306">
                  <c:v>0.38959236095952798</c:v>
                </c:pt>
                <c:pt idx="307">
                  <c:v>0.38775051927770798</c:v>
                </c:pt>
                <c:pt idx="308">
                  <c:v>0.38576636193206398</c:v>
                </c:pt>
                <c:pt idx="309">
                  <c:v>0.383637411225216</c:v>
                </c:pt>
                <c:pt idx="310">
                  <c:v>0.38136405479022201</c:v>
                </c:pt>
                <c:pt idx="311">
                  <c:v>0.37895005995418801</c:v>
                </c:pt>
                <c:pt idx="312">
                  <c:v>0.37640308824356</c:v>
                </c:pt>
                <c:pt idx="313">
                  <c:v>0.37373521003147397</c:v>
                </c:pt>
                <c:pt idx="314">
                  <c:v>0.37096341932615201</c:v>
                </c:pt>
                <c:pt idx="315">
                  <c:v>0.36811014870229603</c:v>
                </c:pt>
                <c:pt idx="316">
                  <c:v>0.36520378437291801</c:v>
                </c:pt>
                <c:pt idx="317">
                  <c:v>0.36227918140418203</c:v>
                </c:pt>
                <c:pt idx="318">
                  <c:v>0.35937817906979402</c:v>
                </c:pt>
                <c:pt idx="319">
                  <c:v>0.35655011635115802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1A8-46D3-A33D-909E7D324B7A}"/>
            </c:ext>
          </c:extLst>
        </c:ser>
        <c:ser>
          <c:idx val="2"/>
          <c:order val="1"/>
          <c:spPr>
            <a:effectLst/>
          </c:spPr>
          <c:marker>
            <c:symbol val="none"/>
          </c:marker>
          <c:xVal>
            <c:numRef>
              <c:f>新・線形全比較!$C$14:$C$46</c:f>
              <c:numCache>
                <c:formatCode>0.00E+00</c:formatCode>
                <c:ptCount val="33"/>
                <c:pt idx="0">
                  <c:v>0</c:v>
                </c:pt>
                <c:pt idx="1">
                  <c:v>1.5625E-2</c:v>
                </c:pt>
                <c:pt idx="2">
                  <c:v>3.125E-2</c:v>
                </c:pt>
                <c:pt idx="3">
                  <c:v>4.6875E-2</c:v>
                </c:pt>
                <c:pt idx="4">
                  <c:v>6.25E-2</c:v>
                </c:pt>
                <c:pt idx="5">
                  <c:v>7.8125E-2</c:v>
                </c:pt>
                <c:pt idx="6">
                  <c:v>9.375E-2</c:v>
                </c:pt>
                <c:pt idx="7">
                  <c:v>0.109375</c:v>
                </c:pt>
                <c:pt idx="8">
                  <c:v>0.125</c:v>
                </c:pt>
                <c:pt idx="9">
                  <c:v>0.140625</c:v>
                </c:pt>
                <c:pt idx="10">
                  <c:v>0.15625</c:v>
                </c:pt>
                <c:pt idx="11">
                  <c:v>0.171875</c:v>
                </c:pt>
                <c:pt idx="12">
                  <c:v>0.1875</c:v>
                </c:pt>
                <c:pt idx="13">
                  <c:v>0.203125</c:v>
                </c:pt>
                <c:pt idx="14">
                  <c:v>0.21875</c:v>
                </c:pt>
                <c:pt idx="15">
                  <c:v>0.234375</c:v>
                </c:pt>
                <c:pt idx="16">
                  <c:v>0.25</c:v>
                </c:pt>
                <c:pt idx="17">
                  <c:v>0.265625</c:v>
                </c:pt>
                <c:pt idx="18">
                  <c:v>0.28125</c:v>
                </c:pt>
                <c:pt idx="19">
                  <c:v>0.296875</c:v>
                </c:pt>
                <c:pt idx="20">
                  <c:v>0.3125</c:v>
                </c:pt>
                <c:pt idx="21">
                  <c:v>0.328125</c:v>
                </c:pt>
                <c:pt idx="22">
                  <c:v>0.34375</c:v>
                </c:pt>
                <c:pt idx="23">
                  <c:v>0.359375</c:v>
                </c:pt>
                <c:pt idx="24">
                  <c:v>0.375</c:v>
                </c:pt>
                <c:pt idx="25">
                  <c:v>0.390625</c:v>
                </c:pt>
                <c:pt idx="26">
                  <c:v>0.40625</c:v>
                </c:pt>
                <c:pt idx="27">
                  <c:v>0.421875</c:v>
                </c:pt>
                <c:pt idx="28">
                  <c:v>0.4375</c:v>
                </c:pt>
                <c:pt idx="29">
                  <c:v>0.453125</c:v>
                </c:pt>
                <c:pt idx="30">
                  <c:v>0.46875</c:v>
                </c:pt>
                <c:pt idx="31">
                  <c:v>0.484375</c:v>
                </c:pt>
                <c:pt idx="32">
                  <c:v>0.5</c:v>
                </c:pt>
              </c:numCache>
            </c:numRef>
          </c:xVal>
          <c:yVal>
            <c:numRef>
              <c:f>新・線形全比較!$D$14:$D$46</c:f>
              <c:numCache>
                <c:formatCode>0.00E+00</c:formatCode>
                <c:ptCount val="33"/>
                <c:pt idx="0">
                  <c:v>0.398005</c:v>
                </c:pt>
                <c:pt idx="1">
                  <c:v>0.39805299999999999</c:v>
                </c:pt>
                <c:pt idx="2">
                  <c:v>0.39810099999999998</c:v>
                </c:pt>
                <c:pt idx="3">
                  <c:v>0.39824500000000002</c:v>
                </c:pt>
                <c:pt idx="4">
                  <c:v>0.39839000000000002</c:v>
                </c:pt>
                <c:pt idx="5">
                  <c:v>0.39862999999999998</c:v>
                </c:pt>
                <c:pt idx="6">
                  <c:v>0.39887</c:v>
                </c:pt>
                <c:pt idx="7">
                  <c:v>0.399204</c:v>
                </c:pt>
                <c:pt idx="8">
                  <c:v>0.39953899999999998</c:v>
                </c:pt>
                <c:pt idx="9">
                  <c:v>0.39996599999999999</c:v>
                </c:pt>
                <c:pt idx="10">
                  <c:v>0.400393</c:v>
                </c:pt>
                <c:pt idx="11">
                  <c:v>0.40090900000000002</c:v>
                </c:pt>
                <c:pt idx="12">
                  <c:v>0.401424</c:v>
                </c:pt>
                <c:pt idx="13">
                  <c:v>0.40202100000000002</c:v>
                </c:pt>
                <c:pt idx="14">
                  <c:v>0.40261799999999998</c:v>
                </c:pt>
                <c:pt idx="15">
                  <c:v>0.403283</c:v>
                </c:pt>
                <c:pt idx="16">
                  <c:v>0.403949</c:v>
                </c:pt>
                <c:pt idx="17">
                  <c:v>0.40465899999999999</c:v>
                </c:pt>
                <c:pt idx="18">
                  <c:v>0.40537000000000001</c:v>
                </c:pt>
                <c:pt idx="19">
                  <c:v>0.406086</c:v>
                </c:pt>
                <c:pt idx="20">
                  <c:v>0.406802</c:v>
                </c:pt>
                <c:pt idx="21">
                  <c:v>0.407447</c:v>
                </c:pt>
                <c:pt idx="22">
                  <c:v>0.40809200000000001</c:v>
                </c:pt>
                <c:pt idx="23">
                  <c:v>0.40852899999999998</c:v>
                </c:pt>
                <c:pt idx="24">
                  <c:v>0.40896700000000002</c:v>
                </c:pt>
                <c:pt idx="25">
                  <c:v>0.40883399999999998</c:v>
                </c:pt>
                <c:pt idx="26">
                  <c:v>0.40870000000000001</c:v>
                </c:pt>
                <c:pt idx="27">
                  <c:v>0.40736499999999998</c:v>
                </c:pt>
                <c:pt idx="28">
                  <c:v>0.40603</c:v>
                </c:pt>
                <c:pt idx="29">
                  <c:v>0.39985700000000002</c:v>
                </c:pt>
                <c:pt idx="30">
                  <c:v>0.39368500000000001</c:v>
                </c:pt>
                <c:pt idx="31">
                  <c:v>0.376971</c:v>
                </c:pt>
                <c:pt idx="32">
                  <c:v>0.36025699999999999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1A8-46D3-A33D-909E7D324B7A}"/>
            </c:ext>
          </c:extLst>
        </c:ser>
        <c:ser>
          <c:idx val="0"/>
          <c:order val="2"/>
          <c:spPr>
            <a:effectLst/>
          </c:spPr>
          <c:marker>
            <c:symbol val="none"/>
          </c:marker>
          <c:xVal>
            <c:numRef>
              <c:f>新・線形全比較!$AB$2:$AB$321</c:f>
              <c:numCache>
                <c:formatCode>0.00E+00</c:formatCode>
                <c:ptCount val="320"/>
                <c:pt idx="0">
                  <c:v>7.8125000000000004E-4</c:v>
                </c:pt>
                <c:pt idx="1">
                  <c:v>2.3437499999999999E-3</c:v>
                </c:pt>
                <c:pt idx="2">
                  <c:v>3.90625E-3</c:v>
                </c:pt>
                <c:pt idx="3">
                  <c:v>5.4687499999999997E-3</c:v>
                </c:pt>
                <c:pt idx="4">
                  <c:v>7.0312500000000002E-3</c:v>
                </c:pt>
                <c:pt idx="5">
                  <c:v>8.5937500000000007E-3</c:v>
                </c:pt>
                <c:pt idx="6">
                  <c:v>1.015625E-2</c:v>
                </c:pt>
                <c:pt idx="7">
                  <c:v>1.171875E-2</c:v>
                </c:pt>
                <c:pt idx="8">
                  <c:v>1.328125E-2</c:v>
                </c:pt>
                <c:pt idx="9">
                  <c:v>1.4843749999999999E-2</c:v>
                </c:pt>
                <c:pt idx="10">
                  <c:v>1.6406250000000001E-2</c:v>
                </c:pt>
                <c:pt idx="11">
                  <c:v>1.7968749999999999E-2</c:v>
                </c:pt>
                <c:pt idx="12">
                  <c:v>1.953125E-2</c:v>
                </c:pt>
                <c:pt idx="13">
                  <c:v>2.1093750000000001E-2</c:v>
                </c:pt>
                <c:pt idx="14">
                  <c:v>2.2656249999999999E-2</c:v>
                </c:pt>
                <c:pt idx="15">
                  <c:v>2.4218750000000001E-2</c:v>
                </c:pt>
                <c:pt idx="16">
                  <c:v>2.5781249999999999E-2</c:v>
                </c:pt>
                <c:pt idx="17">
                  <c:v>2.734375E-2</c:v>
                </c:pt>
                <c:pt idx="18">
                  <c:v>2.8906250000000001E-2</c:v>
                </c:pt>
                <c:pt idx="19">
                  <c:v>3.0468749999999999E-2</c:v>
                </c:pt>
                <c:pt idx="20">
                  <c:v>3.2031249999999997E-2</c:v>
                </c:pt>
                <c:pt idx="21">
                  <c:v>3.3593749999999999E-2</c:v>
                </c:pt>
                <c:pt idx="22">
                  <c:v>3.515625E-2</c:v>
                </c:pt>
                <c:pt idx="23">
                  <c:v>3.6718750000000001E-2</c:v>
                </c:pt>
                <c:pt idx="24">
                  <c:v>3.8281250000000003E-2</c:v>
                </c:pt>
                <c:pt idx="25">
                  <c:v>3.9843749999999997E-2</c:v>
                </c:pt>
                <c:pt idx="26">
                  <c:v>4.1406249999999999E-2</c:v>
                </c:pt>
                <c:pt idx="27">
                  <c:v>4.296875E-2</c:v>
                </c:pt>
                <c:pt idx="28">
                  <c:v>4.4531250000000001E-2</c:v>
                </c:pt>
                <c:pt idx="29">
                  <c:v>4.6093750000000003E-2</c:v>
                </c:pt>
                <c:pt idx="30">
                  <c:v>4.7656249999999997E-2</c:v>
                </c:pt>
                <c:pt idx="31">
                  <c:v>4.9218749999999999E-2</c:v>
                </c:pt>
                <c:pt idx="32">
                  <c:v>5.078125E-2</c:v>
                </c:pt>
                <c:pt idx="33">
                  <c:v>5.2343750000000001E-2</c:v>
                </c:pt>
                <c:pt idx="34">
                  <c:v>5.3906250000000003E-2</c:v>
                </c:pt>
                <c:pt idx="35">
                  <c:v>5.5468749999999997E-2</c:v>
                </c:pt>
                <c:pt idx="36">
                  <c:v>5.7031249999999999E-2</c:v>
                </c:pt>
                <c:pt idx="37">
                  <c:v>5.859375E-2</c:v>
                </c:pt>
                <c:pt idx="38">
                  <c:v>6.0156250000000001E-2</c:v>
                </c:pt>
                <c:pt idx="39">
                  <c:v>6.1718750000000003E-2</c:v>
                </c:pt>
                <c:pt idx="40">
                  <c:v>6.3281249999999997E-2</c:v>
                </c:pt>
                <c:pt idx="41">
                  <c:v>6.4843750000000006E-2</c:v>
                </c:pt>
                <c:pt idx="42">
                  <c:v>6.640625E-2</c:v>
                </c:pt>
                <c:pt idx="43">
                  <c:v>6.7968749999999994E-2</c:v>
                </c:pt>
                <c:pt idx="44">
                  <c:v>6.9531250000000003E-2</c:v>
                </c:pt>
                <c:pt idx="45">
                  <c:v>7.1093749999999997E-2</c:v>
                </c:pt>
                <c:pt idx="46">
                  <c:v>7.2656250000000006E-2</c:v>
                </c:pt>
                <c:pt idx="47">
                  <c:v>7.421875E-2</c:v>
                </c:pt>
                <c:pt idx="48">
                  <c:v>7.5781249999999994E-2</c:v>
                </c:pt>
                <c:pt idx="49">
                  <c:v>7.7343750000000003E-2</c:v>
                </c:pt>
                <c:pt idx="50">
                  <c:v>7.8906249999999997E-2</c:v>
                </c:pt>
                <c:pt idx="51">
                  <c:v>8.0468750000000006E-2</c:v>
                </c:pt>
                <c:pt idx="52">
                  <c:v>8.203125E-2</c:v>
                </c:pt>
                <c:pt idx="53">
                  <c:v>8.3593749999999994E-2</c:v>
                </c:pt>
                <c:pt idx="54">
                  <c:v>8.5156250000000003E-2</c:v>
                </c:pt>
                <c:pt idx="55">
                  <c:v>8.6718749999999997E-2</c:v>
                </c:pt>
                <c:pt idx="56">
                  <c:v>8.8281250000000006E-2</c:v>
                </c:pt>
                <c:pt idx="57">
                  <c:v>8.984375E-2</c:v>
                </c:pt>
                <c:pt idx="58">
                  <c:v>9.1406249999999994E-2</c:v>
                </c:pt>
                <c:pt idx="59">
                  <c:v>9.2968750000000003E-2</c:v>
                </c:pt>
                <c:pt idx="60">
                  <c:v>9.4531249999999997E-2</c:v>
                </c:pt>
                <c:pt idx="61">
                  <c:v>9.6093750000000006E-2</c:v>
                </c:pt>
                <c:pt idx="62">
                  <c:v>9.765625E-2</c:v>
                </c:pt>
                <c:pt idx="63">
                  <c:v>9.9218749999999994E-2</c:v>
                </c:pt>
                <c:pt idx="64">
                  <c:v>0.1007813</c:v>
                </c:pt>
                <c:pt idx="65">
                  <c:v>0.1023438</c:v>
                </c:pt>
                <c:pt idx="66">
                  <c:v>0.10390629999999999</c:v>
                </c:pt>
                <c:pt idx="67">
                  <c:v>0.1054688</c:v>
                </c:pt>
                <c:pt idx="68">
                  <c:v>0.1070313</c:v>
                </c:pt>
                <c:pt idx="69">
                  <c:v>0.1085938</c:v>
                </c:pt>
                <c:pt idx="70">
                  <c:v>0.1101563</c:v>
                </c:pt>
                <c:pt idx="71">
                  <c:v>0.11171879999999999</c:v>
                </c:pt>
                <c:pt idx="72">
                  <c:v>0.1132813</c:v>
                </c:pt>
                <c:pt idx="73">
                  <c:v>0.11484370000000001</c:v>
                </c:pt>
                <c:pt idx="74">
                  <c:v>0.1164063</c:v>
                </c:pt>
                <c:pt idx="75">
                  <c:v>0.1179687</c:v>
                </c:pt>
                <c:pt idx="76">
                  <c:v>0.11953129999999999</c:v>
                </c:pt>
                <c:pt idx="77">
                  <c:v>0.1210938</c:v>
                </c:pt>
                <c:pt idx="78">
                  <c:v>0.12265620000000001</c:v>
                </c:pt>
                <c:pt idx="79">
                  <c:v>0.1242188</c:v>
                </c:pt>
                <c:pt idx="80">
                  <c:v>0.12578130000000001</c:v>
                </c:pt>
                <c:pt idx="81">
                  <c:v>0.12734380000000001</c:v>
                </c:pt>
                <c:pt idx="82">
                  <c:v>0.1289062</c:v>
                </c:pt>
                <c:pt idx="83">
                  <c:v>0.13046869999999999</c:v>
                </c:pt>
                <c:pt idx="84">
                  <c:v>0.13203119999999999</c:v>
                </c:pt>
                <c:pt idx="85">
                  <c:v>0.13359380000000001</c:v>
                </c:pt>
                <c:pt idx="86">
                  <c:v>0.13515630000000001</c:v>
                </c:pt>
                <c:pt idx="87">
                  <c:v>0.1367188</c:v>
                </c:pt>
                <c:pt idx="88">
                  <c:v>0.13828119999999999</c:v>
                </c:pt>
                <c:pt idx="89">
                  <c:v>0.13984369999999999</c:v>
                </c:pt>
                <c:pt idx="90">
                  <c:v>0.14140630000000001</c:v>
                </c:pt>
                <c:pt idx="91">
                  <c:v>0.14296880000000001</c:v>
                </c:pt>
                <c:pt idx="92">
                  <c:v>0.1445312</c:v>
                </c:pt>
                <c:pt idx="93">
                  <c:v>0.14609369999999999</c:v>
                </c:pt>
                <c:pt idx="94">
                  <c:v>0.14765619999999999</c:v>
                </c:pt>
                <c:pt idx="95">
                  <c:v>0.14921880000000001</c:v>
                </c:pt>
                <c:pt idx="96">
                  <c:v>0.15078130000000001</c:v>
                </c:pt>
                <c:pt idx="97">
                  <c:v>0.1523438</c:v>
                </c:pt>
                <c:pt idx="98">
                  <c:v>0.1539063</c:v>
                </c:pt>
                <c:pt idx="99">
                  <c:v>0.15546869999999999</c:v>
                </c:pt>
                <c:pt idx="100">
                  <c:v>0.15703130000000001</c:v>
                </c:pt>
                <c:pt idx="101">
                  <c:v>0.15859380000000001</c:v>
                </c:pt>
                <c:pt idx="102">
                  <c:v>0.1601562</c:v>
                </c:pt>
                <c:pt idx="103">
                  <c:v>0.16171869999999999</c:v>
                </c:pt>
                <c:pt idx="104">
                  <c:v>0.16328119999999999</c:v>
                </c:pt>
                <c:pt idx="105">
                  <c:v>0.16484380000000001</c:v>
                </c:pt>
                <c:pt idx="106">
                  <c:v>0.16640630000000001</c:v>
                </c:pt>
                <c:pt idx="107">
                  <c:v>0.1679688</c:v>
                </c:pt>
                <c:pt idx="108">
                  <c:v>0.16953119999999999</c:v>
                </c:pt>
                <c:pt idx="109">
                  <c:v>0.17109369999999999</c:v>
                </c:pt>
                <c:pt idx="110">
                  <c:v>0.17265630000000001</c:v>
                </c:pt>
                <c:pt idx="111">
                  <c:v>0.17421880000000001</c:v>
                </c:pt>
                <c:pt idx="112">
                  <c:v>0.1757812</c:v>
                </c:pt>
                <c:pt idx="113">
                  <c:v>0.17734369999999999</c:v>
                </c:pt>
                <c:pt idx="114">
                  <c:v>0.17890619999999999</c:v>
                </c:pt>
                <c:pt idx="115">
                  <c:v>0.18046880000000001</c:v>
                </c:pt>
                <c:pt idx="116">
                  <c:v>0.18203130000000001</c:v>
                </c:pt>
                <c:pt idx="117">
                  <c:v>0.1835938</c:v>
                </c:pt>
                <c:pt idx="118">
                  <c:v>0.18515619999999999</c:v>
                </c:pt>
                <c:pt idx="119">
                  <c:v>0.18671869999999999</c:v>
                </c:pt>
                <c:pt idx="120">
                  <c:v>0.18828130000000001</c:v>
                </c:pt>
                <c:pt idx="121">
                  <c:v>0.18984380000000001</c:v>
                </c:pt>
                <c:pt idx="122">
                  <c:v>0.1914063</c:v>
                </c:pt>
                <c:pt idx="123">
                  <c:v>0.19296869999999999</c:v>
                </c:pt>
                <c:pt idx="124">
                  <c:v>0.19453129999999999</c:v>
                </c:pt>
                <c:pt idx="125">
                  <c:v>0.19609380000000001</c:v>
                </c:pt>
                <c:pt idx="126">
                  <c:v>0.19765630000000001</c:v>
                </c:pt>
                <c:pt idx="127">
                  <c:v>0.1992188</c:v>
                </c:pt>
                <c:pt idx="128">
                  <c:v>0.20078119999999999</c:v>
                </c:pt>
                <c:pt idx="129">
                  <c:v>0.20234369999999999</c:v>
                </c:pt>
                <c:pt idx="130">
                  <c:v>0.20390630000000001</c:v>
                </c:pt>
                <c:pt idx="131">
                  <c:v>0.20546880000000001</c:v>
                </c:pt>
                <c:pt idx="132">
                  <c:v>0.2070312</c:v>
                </c:pt>
                <c:pt idx="133">
                  <c:v>0.20859369999999999</c:v>
                </c:pt>
                <c:pt idx="134">
                  <c:v>0.21015629999999999</c:v>
                </c:pt>
                <c:pt idx="135">
                  <c:v>0.21171880000000001</c:v>
                </c:pt>
                <c:pt idx="136">
                  <c:v>0.21328130000000001</c:v>
                </c:pt>
                <c:pt idx="137">
                  <c:v>0.2148438</c:v>
                </c:pt>
                <c:pt idx="138">
                  <c:v>0.2164063</c:v>
                </c:pt>
                <c:pt idx="139">
                  <c:v>0.21796869999999999</c:v>
                </c:pt>
                <c:pt idx="140">
                  <c:v>0.21953130000000001</c:v>
                </c:pt>
                <c:pt idx="141">
                  <c:v>0.22109380000000001</c:v>
                </c:pt>
                <c:pt idx="142">
                  <c:v>0.2226563</c:v>
                </c:pt>
                <c:pt idx="143">
                  <c:v>0.22421869999999999</c:v>
                </c:pt>
                <c:pt idx="144">
                  <c:v>0.22578129999999999</c:v>
                </c:pt>
                <c:pt idx="145">
                  <c:v>0.22734380000000001</c:v>
                </c:pt>
                <c:pt idx="146">
                  <c:v>0.22890630000000001</c:v>
                </c:pt>
                <c:pt idx="147">
                  <c:v>0.2304688</c:v>
                </c:pt>
                <c:pt idx="148">
                  <c:v>0.2320313</c:v>
                </c:pt>
                <c:pt idx="149">
                  <c:v>0.23359369999999999</c:v>
                </c:pt>
                <c:pt idx="150">
                  <c:v>0.23515630000000001</c:v>
                </c:pt>
                <c:pt idx="151">
                  <c:v>0.23671880000000001</c:v>
                </c:pt>
                <c:pt idx="152">
                  <c:v>0.2382812</c:v>
                </c:pt>
                <c:pt idx="153">
                  <c:v>0.23984369999999999</c:v>
                </c:pt>
                <c:pt idx="154">
                  <c:v>0.24140629999999999</c:v>
                </c:pt>
                <c:pt idx="155">
                  <c:v>0.24296880000000001</c:v>
                </c:pt>
                <c:pt idx="156">
                  <c:v>0.24453130000000001</c:v>
                </c:pt>
                <c:pt idx="157">
                  <c:v>0.2460938</c:v>
                </c:pt>
                <c:pt idx="158">
                  <c:v>0.24765619999999999</c:v>
                </c:pt>
                <c:pt idx="159">
                  <c:v>0.24921869999999999</c:v>
                </c:pt>
                <c:pt idx="160">
                  <c:v>0.25078129999999998</c:v>
                </c:pt>
                <c:pt idx="161">
                  <c:v>0.2523437</c:v>
                </c:pt>
                <c:pt idx="162">
                  <c:v>0.25390620000000003</c:v>
                </c:pt>
                <c:pt idx="163">
                  <c:v>0.2554688</c:v>
                </c:pt>
                <c:pt idx="164">
                  <c:v>0.25703120000000002</c:v>
                </c:pt>
                <c:pt idx="165">
                  <c:v>0.25859379999999998</c:v>
                </c:pt>
                <c:pt idx="166">
                  <c:v>0.2601562</c:v>
                </c:pt>
                <c:pt idx="167">
                  <c:v>0.26171879999999997</c:v>
                </c:pt>
                <c:pt idx="168">
                  <c:v>0.2632813</c:v>
                </c:pt>
                <c:pt idx="169">
                  <c:v>0.26484370000000002</c:v>
                </c:pt>
                <c:pt idx="170">
                  <c:v>0.26640629999999998</c:v>
                </c:pt>
                <c:pt idx="171">
                  <c:v>0.2679687</c:v>
                </c:pt>
                <c:pt idx="172">
                  <c:v>0.26953120000000003</c:v>
                </c:pt>
                <c:pt idx="173">
                  <c:v>0.2710938</c:v>
                </c:pt>
                <c:pt idx="174">
                  <c:v>0.27265620000000002</c:v>
                </c:pt>
                <c:pt idx="175">
                  <c:v>0.27421879999999998</c:v>
                </c:pt>
                <c:pt idx="176">
                  <c:v>0.2757812</c:v>
                </c:pt>
                <c:pt idx="177">
                  <c:v>0.27734379999999997</c:v>
                </c:pt>
                <c:pt idx="178">
                  <c:v>0.2789063</c:v>
                </c:pt>
                <c:pt idx="179">
                  <c:v>0.28046870000000002</c:v>
                </c:pt>
                <c:pt idx="180">
                  <c:v>0.28203129999999998</c:v>
                </c:pt>
                <c:pt idx="181">
                  <c:v>0.2835937</c:v>
                </c:pt>
                <c:pt idx="182">
                  <c:v>0.28515620000000003</c:v>
                </c:pt>
                <c:pt idx="183">
                  <c:v>0.28671869999999999</c:v>
                </c:pt>
                <c:pt idx="184">
                  <c:v>0.28828120000000002</c:v>
                </c:pt>
                <c:pt idx="185">
                  <c:v>0.28984379999999998</c:v>
                </c:pt>
                <c:pt idx="186">
                  <c:v>0.2914062</c:v>
                </c:pt>
                <c:pt idx="187">
                  <c:v>0.29296879999999997</c:v>
                </c:pt>
                <c:pt idx="188">
                  <c:v>0.2945313</c:v>
                </c:pt>
                <c:pt idx="189">
                  <c:v>0.29609370000000002</c:v>
                </c:pt>
                <c:pt idx="190">
                  <c:v>0.29765629999999998</c:v>
                </c:pt>
                <c:pt idx="191">
                  <c:v>0.2992187</c:v>
                </c:pt>
                <c:pt idx="192">
                  <c:v>0.30078120000000003</c:v>
                </c:pt>
                <c:pt idx="193">
                  <c:v>0.30234369999999999</c:v>
                </c:pt>
                <c:pt idx="194">
                  <c:v>0.30390620000000002</c:v>
                </c:pt>
                <c:pt idx="195">
                  <c:v>0.30546879999999998</c:v>
                </c:pt>
                <c:pt idx="196">
                  <c:v>0.30703130000000001</c:v>
                </c:pt>
                <c:pt idx="197">
                  <c:v>0.30859379999999997</c:v>
                </c:pt>
                <c:pt idx="198">
                  <c:v>0.31015619999999999</c:v>
                </c:pt>
                <c:pt idx="199">
                  <c:v>0.31171870000000002</c:v>
                </c:pt>
                <c:pt idx="200">
                  <c:v>0.31328129999999998</c:v>
                </c:pt>
                <c:pt idx="201">
                  <c:v>0.3148437</c:v>
                </c:pt>
                <c:pt idx="202">
                  <c:v>0.31640620000000003</c:v>
                </c:pt>
                <c:pt idx="203">
                  <c:v>0.3179688</c:v>
                </c:pt>
                <c:pt idx="204">
                  <c:v>0.31953120000000002</c:v>
                </c:pt>
                <c:pt idx="205">
                  <c:v>0.32109379999999998</c:v>
                </c:pt>
                <c:pt idx="206">
                  <c:v>0.3226562</c:v>
                </c:pt>
                <c:pt idx="207">
                  <c:v>0.32421879999999997</c:v>
                </c:pt>
                <c:pt idx="208">
                  <c:v>0.3257813</c:v>
                </c:pt>
                <c:pt idx="209">
                  <c:v>0.32734370000000002</c:v>
                </c:pt>
                <c:pt idx="210">
                  <c:v>0.32890629999999998</c:v>
                </c:pt>
                <c:pt idx="211">
                  <c:v>0.3304687</c:v>
                </c:pt>
                <c:pt idx="212">
                  <c:v>0.33203120000000003</c:v>
                </c:pt>
                <c:pt idx="213">
                  <c:v>0.3335938</c:v>
                </c:pt>
                <c:pt idx="214">
                  <c:v>0.33515620000000002</c:v>
                </c:pt>
                <c:pt idx="215">
                  <c:v>0.33671879999999998</c:v>
                </c:pt>
                <c:pt idx="216">
                  <c:v>0.3382812</c:v>
                </c:pt>
                <c:pt idx="217">
                  <c:v>0.33984379999999997</c:v>
                </c:pt>
                <c:pt idx="218">
                  <c:v>0.34140619999999999</c:v>
                </c:pt>
                <c:pt idx="219">
                  <c:v>0.34296870000000002</c:v>
                </c:pt>
                <c:pt idx="220">
                  <c:v>0.34453129999999998</c:v>
                </c:pt>
                <c:pt idx="221">
                  <c:v>0.3460937</c:v>
                </c:pt>
                <c:pt idx="222">
                  <c:v>0.34765629999999997</c:v>
                </c:pt>
                <c:pt idx="223">
                  <c:v>0.3492188</c:v>
                </c:pt>
                <c:pt idx="224">
                  <c:v>0.35078120000000002</c:v>
                </c:pt>
                <c:pt idx="225">
                  <c:v>0.35234379999999998</c:v>
                </c:pt>
                <c:pt idx="226">
                  <c:v>0.3539062</c:v>
                </c:pt>
                <c:pt idx="227">
                  <c:v>0.35546879999999997</c:v>
                </c:pt>
                <c:pt idx="228">
                  <c:v>0.3570313</c:v>
                </c:pt>
                <c:pt idx="229">
                  <c:v>0.35859370000000002</c:v>
                </c:pt>
                <c:pt idx="230">
                  <c:v>0.36015629999999998</c:v>
                </c:pt>
                <c:pt idx="231">
                  <c:v>0.3617187</c:v>
                </c:pt>
                <c:pt idx="232">
                  <c:v>0.36328120000000003</c:v>
                </c:pt>
                <c:pt idx="233">
                  <c:v>0.3648438</c:v>
                </c:pt>
                <c:pt idx="234">
                  <c:v>0.36640620000000002</c:v>
                </c:pt>
                <c:pt idx="235">
                  <c:v>0.36796879999999998</c:v>
                </c:pt>
                <c:pt idx="236">
                  <c:v>0.3695312</c:v>
                </c:pt>
                <c:pt idx="237">
                  <c:v>0.37109379999999997</c:v>
                </c:pt>
                <c:pt idx="238">
                  <c:v>0.37265619999999999</c:v>
                </c:pt>
                <c:pt idx="239">
                  <c:v>0.37421870000000002</c:v>
                </c:pt>
                <c:pt idx="240">
                  <c:v>0.37578129999999998</c:v>
                </c:pt>
                <c:pt idx="241">
                  <c:v>0.3773437</c:v>
                </c:pt>
                <c:pt idx="242">
                  <c:v>0.37890620000000003</c:v>
                </c:pt>
                <c:pt idx="243">
                  <c:v>0.38046869999999999</c:v>
                </c:pt>
                <c:pt idx="244">
                  <c:v>0.38203120000000002</c:v>
                </c:pt>
                <c:pt idx="245">
                  <c:v>0.38359379999999998</c:v>
                </c:pt>
                <c:pt idx="246">
                  <c:v>0.3851562</c:v>
                </c:pt>
                <c:pt idx="247">
                  <c:v>0.38671879999999997</c:v>
                </c:pt>
                <c:pt idx="248">
                  <c:v>0.3882813</c:v>
                </c:pt>
                <c:pt idx="249">
                  <c:v>0.38984370000000002</c:v>
                </c:pt>
                <c:pt idx="250">
                  <c:v>0.39140629999999998</c:v>
                </c:pt>
                <c:pt idx="251">
                  <c:v>0.3929687</c:v>
                </c:pt>
                <c:pt idx="252">
                  <c:v>0.39453120000000003</c:v>
                </c:pt>
                <c:pt idx="253">
                  <c:v>0.3960938</c:v>
                </c:pt>
                <c:pt idx="254">
                  <c:v>0.39765620000000002</c:v>
                </c:pt>
                <c:pt idx="255">
                  <c:v>0.39921879999999998</c:v>
                </c:pt>
                <c:pt idx="256">
                  <c:v>0.4007812</c:v>
                </c:pt>
                <c:pt idx="257">
                  <c:v>0.40234379999999997</c:v>
                </c:pt>
                <c:pt idx="258">
                  <c:v>0.40390619999999999</c:v>
                </c:pt>
                <c:pt idx="259">
                  <c:v>0.40546870000000002</c:v>
                </c:pt>
                <c:pt idx="260">
                  <c:v>0.40703129999999998</c:v>
                </c:pt>
                <c:pt idx="261">
                  <c:v>0.4085937</c:v>
                </c:pt>
                <c:pt idx="262">
                  <c:v>0.41015620000000003</c:v>
                </c:pt>
                <c:pt idx="263">
                  <c:v>0.4117188</c:v>
                </c:pt>
                <c:pt idx="264">
                  <c:v>0.41328130000000002</c:v>
                </c:pt>
                <c:pt idx="265">
                  <c:v>0.41484379999999998</c:v>
                </c:pt>
                <c:pt idx="266">
                  <c:v>0.4164062</c:v>
                </c:pt>
                <c:pt idx="267">
                  <c:v>0.41796879999999997</c:v>
                </c:pt>
                <c:pt idx="268">
                  <c:v>0.4195313</c:v>
                </c:pt>
                <c:pt idx="269">
                  <c:v>0.42109370000000002</c:v>
                </c:pt>
                <c:pt idx="270">
                  <c:v>0.42265629999999998</c:v>
                </c:pt>
                <c:pt idx="271">
                  <c:v>0.4242187</c:v>
                </c:pt>
                <c:pt idx="272">
                  <c:v>0.42578120000000003</c:v>
                </c:pt>
                <c:pt idx="273">
                  <c:v>0.4273438</c:v>
                </c:pt>
                <c:pt idx="274">
                  <c:v>0.42890630000000002</c:v>
                </c:pt>
                <c:pt idx="275">
                  <c:v>0.43046879999999998</c:v>
                </c:pt>
                <c:pt idx="276">
                  <c:v>0.4320312</c:v>
                </c:pt>
                <c:pt idx="277">
                  <c:v>0.43359379999999997</c:v>
                </c:pt>
                <c:pt idx="278">
                  <c:v>0.4351563</c:v>
                </c:pt>
                <c:pt idx="279">
                  <c:v>0.43671870000000002</c:v>
                </c:pt>
                <c:pt idx="280">
                  <c:v>0.43828129999999998</c:v>
                </c:pt>
                <c:pt idx="281">
                  <c:v>0.4398437</c:v>
                </c:pt>
                <c:pt idx="282">
                  <c:v>0.44140629999999997</c:v>
                </c:pt>
                <c:pt idx="283">
                  <c:v>0.4429688</c:v>
                </c:pt>
                <c:pt idx="284">
                  <c:v>0.44453120000000002</c:v>
                </c:pt>
                <c:pt idx="285">
                  <c:v>0.44609379999999998</c:v>
                </c:pt>
                <c:pt idx="286">
                  <c:v>0.4476562</c:v>
                </c:pt>
                <c:pt idx="287">
                  <c:v>0.44921879999999997</c:v>
                </c:pt>
                <c:pt idx="288">
                  <c:v>0.4507813</c:v>
                </c:pt>
                <c:pt idx="289">
                  <c:v>0.45234370000000002</c:v>
                </c:pt>
                <c:pt idx="290">
                  <c:v>0.45390629999999998</c:v>
                </c:pt>
                <c:pt idx="291">
                  <c:v>0.45546880000000001</c:v>
                </c:pt>
                <c:pt idx="292">
                  <c:v>0.45703120000000003</c:v>
                </c:pt>
                <c:pt idx="293">
                  <c:v>0.4585938</c:v>
                </c:pt>
                <c:pt idx="294">
                  <c:v>0.46015620000000002</c:v>
                </c:pt>
                <c:pt idx="295">
                  <c:v>0.46171879999999998</c:v>
                </c:pt>
                <c:pt idx="296">
                  <c:v>0.4632812</c:v>
                </c:pt>
                <c:pt idx="297">
                  <c:v>0.46484379999999997</c:v>
                </c:pt>
                <c:pt idx="298">
                  <c:v>0.46640619999999999</c:v>
                </c:pt>
                <c:pt idx="299">
                  <c:v>0.46796870000000002</c:v>
                </c:pt>
                <c:pt idx="300">
                  <c:v>0.46953129999999998</c:v>
                </c:pt>
                <c:pt idx="301">
                  <c:v>0.47109380000000001</c:v>
                </c:pt>
                <c:pt idx="302">
                  <c:v>0.47265620000000003</c:v>
                </c:pt>
                <c:pt idx="303">
                  <c:v>0.4742188</c:v>
                </c:pt>
                <c:pt idx="304">
                  <c:v>0.47578120000000002</c:v>
                </c:pt>
                <c:pt idx="305">
                  <c:v>0.47734379999999998</c:v>
                </c:pt>
                <c:pt idx="306">
                  <c:v>0.4789062</c:v>
                </c:pt>
                <c:pt idx="307">
                  <c:v>0.48046879999999997</c:v>
                </c:pt>
                <c:pt idx="308">
                  <c:v>0.4820313</c:v>
                </c:pt>
                <c:pt idx="309">
                  <c:v>0.48359370000000002</c:v>
                </c:pt>
                <c:pt idx="310">
                  <c:v>0.48515629999999998</c:v>
                </c:pt>
                <c:pt idx="311">
                  <c:v>0.48671880000000001</c:v>
                </c:pt>
                <c:pt idx="312">
                  <c:v>0.48828120000000003</c:v>
                </c:pt>
                <c:pt idx="313">
                  <c:v>0.4898438</c:v>
                </c:pt>
                <c:pt idx="314">
                  <c:v>0.49140620000000002</c:v>
                </c:pt>
                <c:pt idx="315">
                  <c:v>0.49296879999999998</c:v>
                </c:pt>
                <c:pt idx="316">
                  <c:v>0.4945312</c:v>
                </c:pt>
                <c:pt idx="317">
                  <c:v>0.49609379999999997</c:v>
                </c:pt>
                <c:pt idx="318">
                  <c:v>0.4976563</c:v>
                </c:pt>
                <c:pt idx="319">
                  <c:v>0.49921880000000002</c:v>
                </c:pt>
              </c:numCache>
            </c:numRef>
          </c:xVal>
          <c:yVal>
            <c:numRef>
              <c:f>新・線形全比較!$AH$2:$AH$321</c:f>
              <c:numCache>
                <c:formatCode>0.00E+00</c:formatCode>
                <c:ptCount val="320"/>
                <c:pt idx="0">
                  <c:v>0.39919019569752401</c:v>
                </c:pt>
                <c:pt idx="1">
                  <c:v>0.39919585669357999</c:v>
                </c:pt>
                <c:pt idx="2">
                  <c:v>0.39920157388167998</c:v>
                </c:pt>
                <c:pt idx="3">
                  <c:v>0.39920734538943797</c:v>
                </c:pt>
                <c:pt idx="4">
                  <c:v>0.39921316937298601</c:v>
                </c:pt>
                <c:pt idx="5">
                  <c:v>0.399219044017666</c:v>
                </c:pt>
                <c:pt idx="6">
                  <c:v>0.39922496753847803</c:v>
                </c:pt>
                <c:pt idx="7">
                  <c:v>0.39923093817970201</c:v>
                </c:pt>
                <c:pt idx="8">
                  <c:v>0.39923695421456201</c:v>
                </c:pt>
                <c:pt idx="9">
                  <c:v>0.399243013946464</c:v>
                </c:pt>
                <c:pt idx="10">
                  <c:v>0.399249115708188</c:v>
                </c:pt>
                <c:pt idx="11">
                  <c:v>0.39925525786159399</c:v>
                </c:pt>
                <c:pt idx="12">
                  <c:v>0.399261438798232</c:v>
                </c:pt>
                <c:pt idx="13">
                  <c:v>0.39926765693867</c:v>
                </c:pt>
                <c:pt idx="14">
                  <c:v>0.39927391073240598</c:v>
                </c:pt>
                <c:pt idx="15">
                  <c:v>0.39928019865767</c:v>
                </c:pt>
                <c:pt idx="16">
                  <c:v>0.39928651922092201</c:v>
                </c:pt>
                <c:pt idx="17">
                  <c:v>0.39929287095706201</c:v>
                </c:pt>
                <c:pt idx="18">
                  <c:v>0.39929925242828801</c:v>
                </c:pt>
                <c:pt idx="19">
                  <c:v>0.39930566222430602</c:v>
                </c:pt>
                <c:pt idx="20">
                  <c:v>0.39931431514568799</c:v>
                </c:pt>
                <c:pt idx="21">
                  <c:v>0.39932536566071603</c:v>
                </c:pt>
                <c:pt idx="22">
                  <c:v>0.39933666247600402</c:v>
                </c:pt>
                <c:pt idx="23">
                  <c:v>0.39934820685809802</c:v>
                </c:pt>
                <c:pt idx="24">
                  <c:v>0.39936000007468597</c:v>
                </c:pt>
                <c:pt idx="25">
                  <c:v>0.39937204339330601</c:v>
                </c:pt>
                <c:pt idx="26">
                  <c:v>0.39938433808114798</c:v>
                </c:pt>
                <c:pt idx="27">
                  <c:v>0.39939688540447199</c:v>
                </c:pt>
                <c:pt idx="28">
                  <c:v>0.39940968662737197</c:v>
                </c:pt>
                <c:pt idx="29">
                  <c:v>0.39942274301154601</c:v>
                </c:pt>
                <c:pt idx="30">
                  <c:v>0.39943605581545</c:v>
                </c:pt>
                <c:pt idx="31">
                  <c:v>0.3994496262933</c:v>
                </c:pt>
                <c:pt idx="32">
                  <c:v>0.39946345569469199</c:v>
                </c:pt>
                <c:pt idx="33">
                  <c:v>0.39947754526364798</c:v>
                </c:pt>
                <c:pt idx="34">
                  <c:v>0.39949189623763998</c:v>
                </c:pt>
                <c:pt idx="35">
                  <c:v>0.39950650984707597</c:v>
                </c:pt>
                <c:pt idx="36">
                  <c:v>0.39952138731436998</c:v>
                </c:pt>
                <c:pt idx="37">
                  <c:v>0.39953652985293198</c:v>
                </c:pt>
                <c:pt idx="38">
                  <c:v>0.399551938666664</c:v>
                </c:pt>
                <c:pt idx="39">
                  <c:v>0.39956761494864601</c:v>
                </c:pt>
                <c:pt idx="40">
                  <c:v>0.399589712423294</c:v>
                </c:pt>
                <c:pt idx="41">
                  <c:v>0.39961789290002397</c:v>
                </c:pt>
                <c:pt idx="42">
                  <c:v>0.39964585921048201</c:v>
                </c:pt>
                <c:pt idx="43">
                  <c:v>0.39967360496465998</c:v>
                </c:pt>
                <c:pt idx="44">
                  <c:v>0.39970112385405998</c:v>
                </c:pt>
                <c:pt idx="45">
                  <c:v>0.39972840965086798</c:v>
                </c:pt>
                <c:pt idx="46">
                  <c:v>0.399755456206976</c:v>
                </c:pt>
                <c:pt idx="47">
                  <c:v>0.39978225745370199</c:v>
                </c:pt>
                <c:pt idx="48">
                  <c:v>0.39980880740067598</c:v>
                </c:pt>
                <c:pt idx="49">
                  <c:v>0.39983510013540202</c:v>
                </c:pt>
                <c:pt idx="50">
                  <c:v>0.39986112982236</c:v>
                </c:pt>
                <c:pt idx="51">
                  <c:v>0.39988689070205602</c:v>
                </c:pt>
                <c:pt idx="52">
                  <c:v>0.39991237709098798</c:v>
                </c:pt>
                <c:pt idx="53">
                  <c:v>0.39993758338004398</c:v>
                </c:pt>
                <c:pt idx="54">
                  <c:v>0.39996250403439398</c:v>
                </c:pt>
                <c:pt idx="55">
                  <c:v>0.39998713359246801</c:v>
                </c:pt>
                <c:pt idx="56">
                  <c:v>0.40001146666527798</c:v>
                </c:pt>
                <c:pt idx="57">
                  <c:v>0.40003549793576998</c:v>
                </c:pt>
                <c:pt idx="58">
                  <c:v>0.40005922215797002</c:v>
                </c:pt>
                <c:pt idx="59">
                  <c:v>0.40008263415617601</c:v>
                </c:pt>
                <c:pt idx="60">
                  <c:v>0.40009110359774203</c:v>
                </c:pt>
                <c:pt idx="61">
                  <c:v>0.40008725128191402</c:v>
                </c:pt>
                <c:pt idx="62">
                  <c:v>0.400086815671296</c:v>
                </c:pt>
                <c:pt idx="63">
                  <c:v>0.40008983833268402</c:v>
                </c:pt>
                <c:pt idx="64">
                  <c:v>0.40011653130500402</c:v>
                </c:pt>
                <c:pt idx="65">
                  <c:v>0.40016404605974398</c:v>
                </c:pt>
                <c:pt idx="66">
                  <c:v>0.40021102052535201</c:v>
                </c:pt>
                <c:pt idx="67">
                  <c:v>0.400257442111286</c:v>
                </c:pt>
                <c:pt idx="68">
                  <c:v>0.40030329834794798</c:v>
                </c:pt>
                <c:pt idx="69">
                  <c:v>0.40034857689022402</c:v>
                </c:pt>
                <c:pt idx="70">
                  <c:v>0.40039326552106402</c:v>
                </c:pt>
                <c:pt idx="71">
                  <c:v>0.40043735215457599</c:v>
                </c:pt>
                <c:pt idx="72">
                  <c:v>0.40048082484034198</c:v>
                </c:pt>
                <c:pt idx="73">
                  <c:v>0.40052367176619202</c:v>
                </c:pt>
                <c:pt idx="74">
                  <c:v>0.40056588126235598</c:v>
                </c:pt>
                <c:pt idx="75">
                  <c:v>0.40060744180499402</c:v>
                </c:pt>
                <c:pt idx="76">
                  <c:v>0.40064834201991001</c:v>
                </c:pt>
                <c:pt idx="77">
                  <c:v>0.40068857068636599</c:v>
                </c:pt>
                <c:pt idx="78">
                  <c:v>0.400728116740658</c:v>
                </c:pt>
                <c:pt idx="79">
                  <c:v>0.40076696928022798</c:v>
                </c:pt>
                <c:pt idx="80">
                  <c:v>0.40080357892623197</c:v>
                </c:pt>
                <c:pt idx="81">
                  <c:v>0.40083871855020198</c:v>
                </c:pt>
                <c:pt idx="82">
                  <c:v>0.40087424904739399</c:v>
                </c:pt>
                <c:pt idx="83">
                  <c:v>0.40091017269180201</c:v>
                </c:pt>
                <c:pt idx="84">
                  <c:v>0.40094649173200397</c:v>
                </c:pt>
                <c:pt idx="85">
                  <c:v>0.40098320839161999</c:v>
                </c:pt>
                <c:pt idx="86">
                  <c:v>0.40102032487033401</c:v>
                </c:pt>
                <c:pt idx="87">
                  <c:v>0.40105784334417399</c:v>
                </c:pt>
                <c:pt idx="88">
                  <c:v>0.40109576596671198</c:v>
                </c:pt>
                <c:pt idx="89">
                  <c:v>0.40113409486968399</c:v>
                </c:pt>
                <c:pt idx="90">
                  <c:v>0.40117283216357202</c:v>
                </c:pt>
                <c:pt idx="91">
                  <c:v>0.40121197993806601</c:v>
                </c:pt>
                <c:pt idx="92">
                  <c:v>0.401251540263666</c:v>
                </c:pt>
                <c:pt idx="93">
                  <c:v>0.40129151519140599</c:v>
                </c:pt>
                <c:pt idx="94">
                  <c:v>0.40133190675414998</c:v>
                </c:pt>
                <c:pt idx="95">
                  <c:v>0.40137271696730398</c:v>
                </c:pt>
                <c:pt idx="96">
                  <c:v>0.40141394782939599</c:v>
                </c:pt>
                <c:pt idx="97">
                  <c:v>0.40145560132288799</c:v>
                </c:pt>
                <c:pt idx="98">
                  <c:v>0.40149767941474002</c:v>
                </c:pt>
                <c:pt idx="99">
                  <c:v>0.40154018405757802</c:v>
                </c:pt>
                <c:pt idx="100">
                  <c:v>0.40159020700534398</c:v>
                </c:pt>
                <c:pt idx="101">
                  <c:v>0.40164725799294199</c:v>
                </c:pt>
                <c:pt idx="102">
                  <c:v>0.40170403651491399</c:v>
                </c:pt>
                <c:pt idx="103">
                  <c:v>0.40176053205115803</c:v>
                </c:pt>
                <c:pt idx="104">
                  <c:v>0.40181673418064401</c:v>
                </c:pt>
                <c:pt idx="105">
                  <c:v>0.40187263258392802</c:v>
                </c:pt>
                <c:pt idx="106">
                  <c:v>0.40192821704583398</c:v>
                </c:pt>
                <c:pt idx="107">
                  <c:v>0.401983477457454</c:v>
                </c:pt>
                <c:pt idx="108">
                  <c:v>0.40203840381931599</c:v>
                </c:pt>
                <c:pt idx="109">
                  <c:v>0.40209298624359802</c:v>
                </c:pt>
                <c:pt idx="110">
                  <c:v>0.40214721495667399</c:v>
                </c:pt>
                <c:pt idx="111">
                  <c:v>0.40220108030151203</c:v>
                </c:pt>
                <c:pt idx="112">
                  <c:v>0.40225457274074999</c:v>
                </c:pt>
                <c:pt idx="113">
                  <c:v>0.40230768285860602</c:v>
                </c:pt>
                <c:pt idx="114">
                  <c:v>0.40236040136380602</c:v>
                </c:pt>
                <c:pt idx="115">
                  <c:v>0.40241271909236198</c:v>
                </c:pt>
                <c:pt idx="116">
                  <c:v>0.40246462700980201</c:v>
                </c:pt>
                <c:pt idx="117">
                  <c:v>0.40251611621392602</c:v>
                </c:pt>
                <c:pt idx="118">
                  <c:v>0.402567177937322</c:v>
                </c:pt>
                <c:pt idx="119">
                  <c:v>0.40261780355031401</c:v>
                </c:pt>
                <c:pt idx="120">
                  <c:v>0.40266363394849802</c:v>
                </c:pt>
                <c:pt idx="121">
                  <c:v>0.40270610775139798</c:v>
                </c:pt>
                <c:pt idx="122">
                  <c:v>0.40275018430216802</c:v>
                </c:pt>
                <c:pt idx="123">
                  <c:v>0.40279588185703802</c:v>
                </c:pt>
                <c:pt idx="124">
                  <c:v>0.40284321848683002</c:v>
                </c:pt>
                <c:pt idx="125">
                  <c:v>0.40289221208446202</c:v>
                </c:pt>
                <c:pt idx="126">
                  <c:v>0.40294288037269999</c:v>
                </c:pt>
                <c:pt idx="127">
                  <c:v>0.40299524091134598</c:v>
                </c:pt>
                <c:pt idx="128">
                  <c:v>0.403060817721062</c:v>
                </c:pt>
                <c:pt idx="129">
                  <c:v>0.40313770095405999</c:v>
                </c:pt>
                <c:pt idx="130">
                  <c:v>0.40321357881299202</c:v>
                </c:pt>
                <c:pt idx="131">
                  <c:v>0.40328843231161399</c:v>
                </c:pt>
                <c:pt idx="132">
                  <c:v>0.40336224267080201</c:v>
                </c:pt>
                <c:pt idx="133">
                  <c:v>0.40343499132880201</c:v>
                </c:pt>
                <c:pt idx="134">
                  <c:v>0.40350665995222801</c:v>
                </c:pt>
                <c:pt idx="135">
                  <c:v>0.40357723044676402</c:v>
                </c:pt>
                <c:pt idx="136">
                  <c:v>0.40364668496779199</c:v>
                </c:pt>
                <c:pt idx="137">
                  <c:v>0.40371500593104398</c:v>
                </c:pt>
                <c:pt idx="138">
                  <c:v>0.403782176023606</c:v>
                </c:pt>
                <c:pt idx="139">
                  <c:v>0.40384817821471802</c:v>
                </c:pt>
                <c:pt idx="140">
                  <c:v>0.40390935246125598</c:v>
                </c:pt>
                <c:pt idx="141">
                  <c:v>0.4039667813599</c:v>
                </c:pt>
                <c:pt idx="142">
                  <c:v>0.40402455238776802</c:v>
                </c:pt>
                <c:pt idx="143">
                  <c:v>0.40408265925860998</c:v>
                </c:pt>
                <c:pt idx="144">
                  <c:v>0.40414109571565399</c:v>
                </c:pt>
                <c:pt idx="145">
                  <c:v>0.40419985553281401</c:v>
                </c:pt>
                <c:pt idx="146">
                  <c:v>0.404258932515286</c:v>
                </c:pt>
                <c:pt idx="147">
                  <c:v>0.40431832050027999</c:v>
                </c:pt>
                <c:pt idx="148">
                  <c:v>0.40437801335794998</c:v>
                </c:pt>
                <c:pt idx="149">
                  <c:v>0.40443800499230198</c:v>
                </c:pt>
                <c:pt idx="150">
                  <c:v>0.40449828934172999</c:v>
                </c:pt>
                <c:pt idx="151">
                  <c:v>0.40455886037957001</c:v>
                </c:pt>
                <c:pt idx="152">
                  <c:v>0.404619712115666</c:v>
                </c:pt>
                <c:pt idx="153">
                  <c:v>0.40468083859616</c:v>
                </c:pt>
                <c:pt idx="154">
                  <c:v>0.40474223390469</c:v>
                </c:pt>
                <c:pt idx="155">
                  <c:v>0.40480389216343798</c:v>
                </c:pt>
                <c:pt idx="156">
                  <c:v>0.40486580753325802</c:v>
                </c:pt>
                <c:pt idx="157">
                  <c:v>0.40492797421465598</c:v>
                </c:pt>
                <c:pt idx="158">
                  <c:v>0.404990386448566</c:v>
                </c:pt>
                <c:pt idx="159">
                  <c:v>0.40505303851706598</c:v>
                </c:pt>
                <c:pt idx="160">
                  <c:v>0.40512685338406801</c:v>
                </c:pt>
                <c:pt idx="161">
                  <c:v>0.40521124177840601</c:v>
                </c:pt>
                <c:pt idx="162">
                  <c:v>0.40529502846187199</c:v>
                </c:pt>
                <c:pt idx="163">
                  <c:v>0.40537820704983601</c:v>
                </c:pt>
                <c:pt idx="164">
                  <c:v>0.40546077123532398</c:v>
                </c:pt>
                <c:pt idx="165">
                  <c:v>0.40554271479196002</c:v>
                </c:pt>
                <c:pt idx="166">
                  <c:v>0.40562403157678201</c:v>
                </c:pt>
                <c:pt idx="167">
                  <c:v>0.40570471553320397</c:v>
                </c:pt>
                <c:pt idx="168">
                  <c:v>0.40578476069395197</c:v>
                </c:pt>
                <c:pt idx="169">
                  <c:v>0.40586416118395202</c:v>
                </c:pt>
                <c:pt idx="170">
                  <c:v>0.40594291122279402</c:v>
                </c:pt>
                <c:pt idx="171">
                  <c:v>0.40602100512801398</c:v>
                </c:pt>
                <c:pt idx="172">
                  <c:v>0.40609843731779399</c:v>
                </c:pt>
                <c:pt idx="173">
                  <c:v>0.40617520231315601</c:v>
                </c:pt>
                <c:pt idx="174">
                  <c:v>0.40625129474142202</c:v>
                </c:pt>
                <c:pt idx="175">
                  <c:v>0.40632670933878801</c:v>
                </c:pt>
                <c:pt idx="176">
                  <c:v>0.40640144095251002</c:v>
                </c:pt>
                <c:pt idx="177">
                  <c:v>0.40647548454412402</c:v>
                </c:pt>
                <c:pt idx="178">
                  <c:v>0.40654883519178597</c:v>
                </c:pt>
                <c:pt idx="179">
                  <c:v>0.40662148809323201</c:v>
                </c:pt>
                <c:pt idx="180">
                  <c:v>0.40668078296566601</c:v>
                </c:pt>
                <c:pt idx="181">
                  <c:v>0.40672778116210401</c:v>
                </c:pt>
                <c:pt idx="182">
                  <c:v>0.40677554497514001</c:v>
                </c:pt>
                <c:pt idx="183">
                  <c:v>0.40682403538999401</c:v>
                </c:pt>
                <c:pt idx="184">
                  <c:v>0.40687321383998198</c:v>
                </c:pt>
                <c:pt idx="185">
                  <c:v>0.40692304220056602</c:v>
                </c:pt>
                <c:pt idx="186">
                  <c:v>0.40697348278306</c:v>
                </c:pt>
                <c:pt idx="187">
                  <c:v>0.407024498328516</c:v>
                </c:pt>
                <c:pt idx="188">
                  <c:v>0.40707605200201002</c:v>
                </c:pt>
                <c:pt idx="189">
                  <c:v>0.40712810738692001</c:v>
                </c:pt>
                <c:pt idx="190">
                  <c:v>0.40718062847858399</c:v>
                </c:pt>
                <c:pt idx="191">
                  <c:v>0.40723357967936002</c:v>
                </c:pt>
                <c:pt idx="192">
                  <c:v>0.40732458846219</c:v>
                </c:pt>
                <c:pt idx="193">
                  <c:v>0.40745161306074401</c:v>
                </c:pt>
                <c:pt idx="194">
                  <c:v>0.40757617917066602</c:v>
                </c:pt>
                <c:pt idx="195">
                  <c:v>0.40769831422566399</c:v>
                </c:pt>
                <c:pt idx="196">
                  <c:v>0.40781804552545198</c:v>
                </c:pt>
                <c:pt idx="197">
                  <c:v>0.407935400274334</c:v>
                </c:pt>
                <c:pt idx="198">
                  <c:v>0.40805040561914202</c:v>
                </c:pt>
                <c:pt idx="199">
                  <c:v>0.40816308868735601</c:v>
                </c:pt>
                <c:pt idx="200">
                  <c:v>0.408242297911942</c:v>
                </c:pt>
                <c:pt idx="201">
                  <c:v>0.40828957120568399</c:v>
                </c:pt>
                <c:pt idx="202">
                  <c:v>0.40833668709435</c:v>
                </c:pt>
                <c:pt idx="203">
                  <c:v>0.40838361078158197</c:v>
                </c:pt>
                <c:pt idx="204">
                  <c:v>0.408430307845014</c:v>
                </c:pt>
                <c:pt idx="205">
                  <c:v>0.40847674428998998</c:v>
                </c:pt>
                <c:pt idx="206">
                  <c:v>0.40852288660241998</c:v>
                </c:pt>
                <c:pt idx="207">
                  <c:v>0.40856870180294802</c:v>
                </c:pt>
                <c:pt idx="208">
                  <c:v>0.40861415750016</c:v>
                </c:pt>
                <c:pt idx="209">
                  <c:v>0.40865922194426402</c:v>
                </c:pt>
                <c:pt idx="210">
                  <c:v>0.40870386408138198</c:v>
                </c:pt>
                <c:pt idx="211">
                  <c:v>0.40874805360710997</c:v>
                </c:pt>
                <c:pt idx="212">
                  <c:v>0.40879176102127801</c:v>
                </c:pt>
                <c:pt idx="213">
                  <c:v>0.40883495768099998</c:v>
                </c:pt>
                <c:pt idx="214">
                  <c:v>0.408877615855882</c:v>
                </c:pt>
                <c:pt idx="215">
                  <c:v>0.40891970878260597</c:v>
                </c:pt>
                <c:pt idx="216">
                  <c:v>0.40896121071846597</c:v>
                </c:pt>
                <c:pt idx="217">
                  <c:v>0.40900209699724799</c:v>
                </c:pt>
                <c:pt idx="218">
                  <c:v>0.40904234408268603</c:v>
                </c:pt>
                <c:pt idx="219">
                  <c:v>0.40908192962453999</c:v>
                </c:pt>
                <c:pt idx="220">
                  <c:v>0.40914983077339001</c:v>
                </c:pt>
                <c:pt idx="221">
                  <c:v>0.409245255098314</c:v>
                </c:pt>
                <c:pt idx="222">
                  <c:v>0.409338861300102</c:v>
                </c:pt>
                <c:pt idx="223">
                  <c:v>0.409430622367356</c:v>
                </c:pt>
                <c:pt idx="224">
                  <c:v>0.40952051057641797</c:v>
                </c:pt>
                <c:pt idx="225">
                  <c:v>0.40960849757288398</c:v>
                </c:pt>
                <c:pt idx="226">
                  <c:v>0.409694554452186</c:v>
                </c:pt>
                <c:pt idx="227">
                  <c:v>0.40977865184090601</c:v>
                </c:pt>
                <c:pt idx="228">
                  <c:v>0.40986075997814397</c:v>
                </c:pt>
                <c:pt idx="229">
                  <c:v>0.40994084879727199</c:v>
                </c:pt>
                <c:pt idx="230">
                  <c:v>0.41001888800784397</c:v>
                </c:pt>
                <c:pt idx="231">
                  <c:v>0.41009484717730599</c:v>
                </c:pt>
                <c:pt idx="232">
                  <c:v>0.410168695813662</c:v>
                </c:pt>
                <c:pt idx="233">
                  <c:v>0.410240403446758</c:v>
                </c:pt>
                <c:pt idx="234">
                  <c:v>0.41030993971183</c:v>
                </c:pt>
                <c:pt idx="235">
                  <c:v>0.41037727443238797</c:v>
                </c:pt>
                <c:pt idx="236">
                  <c:v>0.41044237770202802</c:v>
                </c:pt>
                <c:pt idx="237">
                  <c:v>0.41050521996827999</c:v>
                </c:pt>
                <c:pt idx="238">
                  <c:v>0.410565772115632</c:v>
                </c:pt>
                <c:pt idx="239">
                  <c:v>0.41062400554915801</c:v>
                </c:pt>
                <c:pt idx="240">
                  <c:v>0.41062314341342798</c:v>
                </c:pt>
                <c:pt idx="241">
                  <c:v>0.41056269761254999</c:v>
                </c:pt>
                <c:pt idx="242">
                  <c:v>0.41049917504835598</c:v>
                </c:pt>
                <c:pt idx="243">
                  <c:v>0.41043251860090202</c:v>
                </c:pt>
                <c:pt idx="244">
                  <c:v>0.41036267389446401</c:v>
                </c:pt>
                <c:pt idx="245">
                  <c:v>0.41028959020970801</c:v>
                </c:pt>
                <c:pt idx="246">
                  <c:v>0.41021322139717398</c:v>
                </c:pt>
                <c:pt idx="247">
                  <c:v>0.41013352679168003</c:v>
                </c:pt>
                <c:pt idx="248">
                  <c:v>0.41005047212620999</c:v>
                </c:pt>
                <c:pt idx="249">
                  <c:v>0.40996403044880197</c:v>
                </c:pt>
                <c:pt idx="250">
                  <c:v>0.40987418303800799</c:v>
                </c:pt>
                <c:pt idx="251">
                  <c:v>0.40978092031996199</c:v>
                </c:pt>
                <c:pt idx="252">
                  <c:v>0.40968424278716598</c:v>
                </c:pt>
                <c:pt idx="253">
                  <c:v>0.40958416191540398</c:v>
                </c:pt>
                <c:pt idx="254">
                  <c:v>0.40948070108410001</c:v>
                </c:pt>
                <c:pt idx="255">
                  <c:v>0.40937389649688599</c:v>
                </c:pt>
                <c:pt idx="256">
                  <c:v>0.40947562152362599</c:v>
                </c:pt>
                <c:pt idx="257">
                  <c:v>0.40979473503084601</c:v>
                </c:pt>
                <c:pt idx="258">
                  <c:v>0.41012282558059598</c:v>
                </c:pt>
                <c:pt idx="259">
                  <c:v>0.41045959021381601</c:v>
                </c:pt>
                <c:pt idx="260">
                  <c:v>0.41060946639941598</c:v>
                </c:pt>
                <c:pt idx="261">
                  <c:v>0.410558993265148</c:v>
                </c:pt>
                <c:pt idx="262">
                  <c:v>0.41049787211752198</c:v>
                </c:pt>
                <c:pt idx="263">
                  <c:v>0.41042602118340599</c:v>
                </c:pt>
                <c:pt idx="264">
                  <c:v>0.41034335630256602</c:v>
                </c:pt>
                <c:pt idx="265">
                  <c:v>0.41024979277041401</c:v>
                </c:pt>
                <c:pt idx="266">
                  <c:v>0.41014524718055001</c:v>
                </c:pt>
                <c:pt idx="267">
                  <c:v>0.41002963926644798</c:v>
                </c:pt>
                <c:pt idx="268">
                  <c:v>0.409902893742976</c:v>
                </c:pt>
                <c:pt idx="269">
                  <c:v>0.409764942147266</c:v>
                </c:pt>
                <c:pt idx="270">
                  <c:v>0.40961572467990198</c:v>
                </c:pt>
                <c:pt idx="271">
                  <c:v>0.409455192044682</c:v>
                </c:pt>
                <c:pt idx="272">
                  <c:v>0.40928330728826801</c:v>
                </c:pt>
                <c:pt idx="273">
                  <c:v>0.40910004764011798</c:v>
                </c:pt>
                <c:pt idx="274">
                  <c:v>0.40890540635035999</c:v>
                </c:pt>
                <c:pt idx="275">
                  <c:v>0.40869939453008203</c:v>
                </c:pt>
                <c:pt idx="276">
                  <c:v>0.40848204298746199</c:v>
                </c:pt>
                <c:pt idx="277">
                  <c:v>0.408253404066246</c:v>
                </c:pt>
                <c:pt idx="278">
                  <c:v>0.40801355348319202</c:v>
                </c:pt>
                <c:pt idx="279">
                  <c:v>0.40776259216479399</c:v>
                </c:pt>
                <c:pt idx="280">
                  <c:v>0.40746513971757797</c:v>
                </c:pt>
                <c:pt idx="281">
                  <c:v>0.40712212742055198</c:v>
                </c:pt>
                <c:pt idx="282">
                  <c:v>0.40676901508343</c:v>
                </c:pt>
                <c:pt idx="283">
                  <c:v>0.40640527717378799</c:v>
                </c:pt>
                <c:pt idx="284">
                  <c:v>0.406030385120142</c:v>
                </c:pt>
                <c:pt idx="285">
                  <c:v>0.40564383012581801</c:v>
                </c:pt>
                <c:pt idx="286">
                  <c:v>0.40524514602509398</c:v>
                </c:pt>
                <c:pt idx="287">
                  <c:v>0.40483393218460001</c:v>
                </c:pt>
                <c:pt idx="288">
                  <c:v>0.40440987644467002</c:v>
                </c:pt>
                <c:pt idx="289">
                  <c:v>0.40397277810691001</c:v>
                </c:pt>
                <c:pt idx="290">
                  <c:v>0.40352257096434602</c:v>
                </c:pt>
                <c:pt idx="291">
                  <c:v>0.40305934637201402</c:v>
                </c:pt>
                <c:pt idx="292">
                  <c:v>0.40258337636437402</c:v>
                </c:pt>
                <c:pt idx="293">
                  <c:v>0.40209513681327802</c:v>
                </c:pt>
                <c:pt idx="294">
                  <c:v>0.40159533062992597</c:v>
                </c:pt>
                <c:pt idx="295">
                  <c:v>0.401084911010756</c:v>
                </c:pt>
                <c:pt idx="296">
                  <c:v>0.400565104724384</c:v>
                </c:pt>
                <c:pt idx="297">
                  <c:v>0.40003743544443798</c:v>
                </c:pt>
                <c:pt idx="298">
                  <c:v>0.39950374712289799</c:v>
                </c:pt>
                <c:pt idx="299">
                  <c:v>0.39896622740802401</c:v>
                </c:pt>
                <c:pt idx="300">
                  <c:v>0.39815273304868998</c:v>
                </c:pt>
                <c:pt idx="301">
                  <c:v>0.39700138583613798</c:v>
                </c:pt>
                <c:pt idx="302">
                  <c:v>0.39575429912499799</c:v>
                </c:pt>
                <c:pt idx="303">
                  <c:v>0.39440269897118402</c:v>
                </c:pt>
                <c:pt idx="304">
                  <c:v>0.39293759630255398</c:v>
                </c:pt>
                <c:pt idx="305">
                  <c:v>0.39135029211313399</c:v>
                </c:pt>
                <c:pt idx="306">
                  <c:v>0.38963288277229402</c:v>
                </c:pt>
                <c:pt idx="307">
                  <c:v>0.38777876545059198</c:v>
                </c:pt>
                <c:pt idx="308">
                  <c:v>0.38578314366277999</c:v>
                </c:pt>
                <c:pt idx="309">
                  <c:v>0.38364353292850201</c:v>
                </c:pt>
                <c:pt idx="310">
                  <c:v>0.38136026654744998</c:v>
                </c:pt>
                <c:pt idx="311">
                  <c:v>0.37893700149118997</c:v>
                </c:pt>
                <c:pt idx="312">
                  <c:v>0.37638122441506799</c:v>
                </c:pt>
                <c:pt idx="313">
                  <c:v>0.37370475778099799</c:v>
                </c:pt>
                <c:pt idx="314">
                  <c:v>0.37092426610148399</c:v>
                </c:pt>
                <c:pt idx="315">
                  <c:v>0.36806176230009402</c:v>
                </c:pt>
                <c:pt idx="316">
                  <c:v>0.36514511418325601</c:v>
                </c:pt>
                <c:pt idx="317">
                  <c:v>0.36220855103725802</c:v>
                </c:pt>
                <c:pt idx="318">
                  <c:v>0.35929317033219799</c:v>
                </c:pt>
                <c:pt idx="319">
                  <c:v>0.35644744455178601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1A8-46D3-A33D-909E7D324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7537248"/>
        <c:axId val="1767538208"/>
      </c:scatterChart>
      <c:valAx>
        <c:axId val="176753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7538208"/>
        <c:crosses val="autoZero"/>
        <c:crossBetween val="midCat"/>
      </c:valAx>
      <c:valAx>
        <c:axId val="17675382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75372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SIGAx2_4+6</a:t>
            </a:r>
            <a:r>
              <a:rPr lang="ja-JP" altLang="en-US"/>
              <a:t>点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新・線形全比較!$AB$2:$AB$321</c:f>
              <c:numCache>
                <c:formatCode>0.00E+00</c:formatCode>
                <c:ptCount val="320"/>
                <c:pt idx="0">
                  <c:v>7.8125000000000004E-4</c:v>
                </c:pt>
                <c:pt idx="1">
                  <c:v>2.3437499999999999E-3</c:v>
                </c:pt>
                <c:pt idx="2">
                  <c:v>3.90625E-3</c:v>
                </c:pt>
                <c:pt idx="3">
                  <c:v>5.4687499999999997E-3</c:v>
                </c:pt>
                <c:pt idx="4">
                  <c:v>7.0312500000000002E-3</c:v>
                </c:pt>
                <c:pt idx="5">
                  <c:v>8.5937500000000007E-3</c:v>
                </c:pt>
                <c:pt idx="6">
                  <c:v>1.015625E-2</c:v>
                </c:pt>
                <c:pt idx="7">
                  <c:v>1.171875E-2</c:v>
                </c:pt>
                <c:pt idx="8">
                  <c:v>1.328125E-2</c:v>
                </c:pt>
                <c:pt idx="9">
                  <c:v>1.4843749999999999E-2</c:v>
                </c:pt>
                <c:pt idx="10">
                  <c:v>1.6406250000000001E-2</c:v>
                </c:pt>
                <c:pt idx="11">
                  <c:v>1.7968749999999999E-2</c:v>
                </c:pt>
                <c:pt idx="12">
                  <c:v>1.953125E-2</c:v>
                </c:pt>
                <c:pt idx="13">
                  <c:v>2.1093750000000001E-2</c:v>
                </c:pt>
                <c:pt idx="14">
                  <c:v>2.2656249999999999E-2</c:v>
                </c:pt>
                <c:pt idx="15">
                  <c:v>2.4218750000000001E-2</c:v>
                </c:pt>
                <c:pt idx="16">
                  <c:v>2.5781249999999999E-2</c:v>
                </c:pt>
                <c:pt idx="17">
                  <c:v>2.734375E-2</c:v>
                </c:pt>
                <c:pt idx="18">
                  <c:v>2.8906250000000001E-2</c:v>
                </c:pt>
                <c:pt idx="19">
                  <c:v>3.0468749999999999E-2</c:v>
                </c:pt>
                <c:pt idx="20">
                  <c:v>3.2031249999999997E-2</c:v>
                </c:pt>
                <c:pt idx="21">
                  <c:v>3.3593749999999999E-2</c:v>
                </c:pt>
                <c:pt idx="22">
                  <c:v>3.515625E-2</c:v>
                </c:pt>
                <c:pt idx="23">
                  <c:v>3.6718750000000001E-2</c:v>
                </c:pt>
                <c:pt idx="24">
                  <c:v>3.8281250000000003E-2</c:v>
                </c:pt>
                <c:pt idx="25">
                  <c:v>3.9843749999999997E-2</c:v>
                </c:pt>
                <c:pt idx="26">
                  <c:v>4.1406249999999999E-2</c:v>
                </c:pt>
                <c:pt idx="27">
                  <c:v>4.296875E-2</c:v>
                </c:pt>
                <c:pt idx="28">
                  <c:v>4.4531250000000001E-2</c:v>
                </c:pt>
                <c:pt idx="29">
                  <c:v>4.6093750000000003E-2</c:v>
                </c:pt>
                <c:pt idx="30">
                  <c:v>4.7656249999999997E-2</c:v>
                </c:pt>
                <c:pt idx="31">
                  <c:v>4.9218749999999999E-2</c:v>
                </c:pt>
                <c:pt idx="32">
                  <c:v>5.078125E-2</c:v>
                </c:pt>
                <c:pt idx="33">
                  <c:v>5.2343750000000001E-2</c:v>
                </c:pt>
                <c:pt idx="34">
                  <c:v>5.3906250000000003E-2</c:v>
                </c:pt>
                <c:pt idx="35">
                  <c:v>5.5468749999999997E-2</c:v>
                </c:pt>
                <c:pt idx="36">
                  <c:v>5.7031249999999999E-2</c:v>
                </c:pt>
                <c:pt idx="37">
                  <c:v>5.859375E-2</c:v>
                </c:pt>
                <c:pt idx="38">
                  <c:v>6.0156250000000001E-2</c:v>
                </c:pt>
                <c:pt idx="39">
                  <c:v>6.1718750000000003E-2</c:v>
                </c:pt>
                <c:pt idx="40">
                  <c:v>6.3281249999999997E-2</c:v>
                </c:pt>
                <c:pt idx="41">
                  <c:v>6.4843750000000006E-2</c:v>
                </c:pt>
                <c:pt idx="42">
                  <c:v>6.640625E-2</c:v>
                </c:pt>
                <c:pt idx="43">
                  <c:v>6.7968749999999994E-2</c:v>
                </c:pt>
                <c:pt idx="44">
                  <c:v>6.9531250000000003E-2</c:v>
                </c:pt>
                <c:pt idx="45">
                  <c:v>7.1093749999999997E-2</c:v>
                </c:pt>
                <c:pt idx="46">
                  <c:v>7.2656250000000006E-2</c:v>
                </c:pt>
                <c:pt idx="47">
                  <c:v>7.421875E-2</c:v>
                </c:pt>
                <c:pt idx="48">
                  <c:v>7.5781249999999994E-2</c:v>
                </c:pt>
                <c:pt idx="49">
                  <c:v>7.7343750000000003E-2</c:v>
                </c:pt>
                <c:pt idx="50">
                  <c:v>7.8906249999999997E-2</c:v>
                </c:pt>
                <c:pt idx="51">
                  <c:v>8.0468750000000006E-2</c:v>
                </c:pt>
                <c:pt idx="52">
                  <c:v>8.203125E-2</c:v>
                </c:pt>
                <c:pt idx="53">
                  <c:v>8.3593749999999994E-2</c:v>
                </c:pt>
                <c:pt idx="54">
                  <c:v>8.5156250000000003E-2</c:v>
                </c:pt>
                <c:pt idx="55">
                  <c:v>8.6718749999999997E-2</c:v>
                </c:pt>
                <c:pt idx="56">
                  <c:v>8.8281250000000006E-2</c:v>
                </c:pt>
                <c:pt idx="57">
                  <c:v>8.984375E-2</c:v>
                </c:pt>
                <c:pt idx="58">
                  <c:v>9.1406249999999994E-2</c:v>
                </c:pt>
                <c:pt idx="59">
                  <c:v>9.2968750000000003E-2</c:v>
                </c:pt>
                <c:pt idx="60">
                  <c:v>9.4531249999999997E-2</c:v>
                </c:pt>
                <c:pt idx="61">
                  <c:v>9.6093750000000006E-2</c:v>
                </c:pt>
                <c:pt idx="62">
                  <c:v>9.765625E-2</c:v>
                </c:pt>
                <c:pt idx="63">
                  <c:v>9.9218749999999994E-2</c:v>
                </c:pt>
                <c:pt idx="64">
                  <c:v>0.1007813</c:v>
                </c:pt>
                <c:pt idx="65">
                  <c:v>0.1023438</c:v>
                </c:pt>
                <c:pt idx="66">
                  <c:v>0.10390629999999999</c:v>
                </c:pt>
                <c:pt idx="67">
                  <c:v>0.1054688</c:v>
                </c:pt>
                <c:pt idx="68">
                  <c:v>0.1070313</c:v>
                </c:pt>
                <c:pt idx="69">
                  <c:v>0.1085938</c:v>
                </c:pt>
                <c:pt idx="70">
                  <c:v>0.1101563</c:v>
                </c:pt>
                <c:pt idx="71">
                  <c:v>0.11171879999999999</c:v>
                </c:pt>
                <c:pt idx="72">
                  <c:v>0.1132813</c:v>
                </c:pt>
                <c:pt idx="73">
                  <c:v>0.11484370000000001</c:v>
                </c:pt>
                <c:pt idx="74">
                  <c:v>0.1164063</c:v>
                </c:pt>
                <c:pt idx="75">
                  <c:v>0.1179687</c:v>
                </c:pt>
                <c:pt idx="76">
                  <c:v>0.11953129999999999</c:v>
                </c:pt>
                <c:pt idx="77">
                  <c:v>0.1210938</c:v>
                </c:pt>
                <c:pt idx="78">
                  <c:v>0.12265620000000001</c:v>
                </c:pt>
                <c:pt idx="79">
                  <c:v>0.1242188</c:v>
                </c:pt>
                <c:pt idx="80">
                  <c:v>0.12578130000000001</c:v>
                </c:pt>
                <c:pt idx="81">
                  <c:v>0.12734380000000001</c:v>
                </c:pt>
                <c:pt idx="82">
                  <c:v>0.1289062</c:v>
                </c:pt>
                <c:pt idx="83">
                  <c:v>0.13046869999999999</c:v>
                </c:pt>
                <c:pt idx="84">
                  <c:v>0.13203119999999999</c:v>
                </c:pt>
                <c:pt idx="85">
                  <c:v>0.13359380000000001</c:v>
                </c:pt>
                <c:pt idx="86">
                  <c:v>0.13515630000000001</c:v>
                </c:pt>
                <c:pt idx="87">
                  <c:v>0.1367188</c:v>
                </c:pt>
                <c:pt idx="88">
                  <c:v>0.13828119999999999</c:v>
                </c:pt>
                <c:pt idx="89">
                  <c:v>0.13984369999999999</c:v>
                </c:pt>
                <c:pt idx="90">
                  <c:v>0.14140630000000001</c:v>
                </c:pt>
                <c:pt idx="91">
                  <c:v>0.14296880000000001</c:v>
                </c:pt>
                <c:pt idx="92">
                  <c:v>0.1445312</c:v>
                </c:pt>
                <c:pt idx="93">
                  <c:v>0.14609369999999999</c:v>
                </c:pt>
                <c:pt idx="94">
                  <c:v>0.14765619999999999</c:v>
                </c:pt>
                <c:pt idx="95">
                  <c:v>0.14921880000000001</c:v>
                </c:pt>
                <c:pt idx="96">
                  <c:v>0.15078130000000001</c:v>
                </c:pt>
                <c:pt idx="97">
                  <c:v>0.1523438</c:v>
                </c:pt>
                <c:pt idx="98">
                  <c:v>0.1539063</c:v>
                </c:pt>
                <c:pt idx="99">
                  <c:v>0.15546869999999999</c:v>
                </c:pt>
                <c:pt idx="100">
                  <c:v>0.15703130000000001</c:v>
                </c:pt>
                <c:pt idx="101">
                  <c:v>0.15859380000000001</c:v>
                </c:pt>
                <c:pt idx="102">
                  <c:v>0.1601562</c:v>
                </c:pt>
                <c:pt idx="103">
                  <c:v>0.16171869999999999</c:v>
                </c:pt>
                <c:pt idx="104">
                  <c:v>0.16328119999999999</c:v>
                </c:pt>
                <c:pt idx="105">
                  <c:v>0.16484380000000001</c:v>
                </c:pt>
                <c:pt idx="106">
                  <c:v>0.16640630000000001</c:v>
                </c:pt>
                <c:pt idx="107">
                  <c:v>0.1679688</c:v>
                </c:pt>
                <c:pt idx="108">
                  <c:v>0.16953119999999999</c:v>
                </c:pt>
                <c:pt idx="109">
                  <c:v>0.17109369999999999</c:v>
                </c:pt>
                <c:pt idx="110">
                  <c:v>0.17265630000000001</c:v>
                </c:pt>
                <c:pt idx="111">
                  <c:v>0.17421880000000001</c:v>
                </c:pt>
                <c:pt idx="112">
                  <c:v>0.1757812</c:v>
                </c:pt>
                <c:pt idx="113">
                  <c:v>0.17734369999999999</c:v>
                </c:pt>
                <c:pt idx="114">
                  <c:v>0.17890619999999999</c:v>
                </c:pt>
                <c:pt idx="115">
                  <c:v>0.18046880000000001</c:v>
                </c:pt>
                <c:pt idx="116">
                  <c:v>0.18203130000000001</c:v>
                </c:pt>
                <c:pt idx="117">
                  <c:v>0.1835938</c:v>
                </c:pt>
                <c:pt idx="118">
                  <c:v>0.18515619999999999</c:v>
                </c:pt>
                <c:pt idx="119">
                  <c:v>0.18671869999999999</c:v>
                </c:pt>
                <c:pt idx="120">
                  <c:v>0.18828130000000001</c:v>
                </c:pt>
                <c:pt idx="121">
                  <c:v>0.18984380000000001</c:v>
                </c:pt>
                <c:pt idx="122">
                  <c:v>0.1914063</c:v>
                </c:pt>
                <c:pt idx="123">
                  <c:v>0.19296869999999999</c:v>
                </c:pt>
                <c:pt idx="124">
                  <c:v>0.19453129999999999</c:v>
                </c:pt>
                <c:pt idx="125">
                  <c:v>0.19609380000000001</c:v>
                </c:pt>
                <c:pt idx="126">
                  <c:v>0.19765630000000001</c:v>
                </c:pt>
                <c:pt idx="127">
                  <c:v>0.1992188</c:v>
                </c:pt>
                <c:pt idx="128">
                  <c:v>0.20078119999999999</c:v>
                </c:pt>
                <c:pt idx="129">
                  <c:v>0.20234369999999999</c:v>
                </c:pt>
                <c:pt idx="130">
                  <c:v>0.20390630000000001</c:v>
                </c:pt>
                <c:pt idx="131">
                  <c:v>0.20546880000000001</c:v>
                </c:pt>
                <c:pt idx="132">
                  <c:v>0.2070312</c:v>
                </c:pt>
                <c:pt idx="133">
                  <c:v>0.20859369999999999</c:v>
                </c:pt>
                <c:pt idx="134">
                  <c:v>0.21015629999999999</c:v>
                </c:pt>
                <c:pt idx="135">
                  <c:v>0.21171880000000001</c:v>
                </c:pt>
                <c:pt idx="136">
                  <c:v>0.21328130000000001</c:v>
                </c:pt>
                <c:pt idx="137">
                  <c:v>0.2148438</c:v>
                </c:pt>
                <c:pt idx="138">
                  <c:v>0.2164063</c:v>
                </c:pt>
                <c:pt idx="139">
                  <c:v>0.21796869999999999</c:v>
                </c:pt>
                <c:pt idx="140">
                  <c:v>0.21953130000000001</c:v>
                </c:pt>
                <c:pt idx="141">
                  <c:v>0.22109380000000001</c:v>
                </c:pt>
                <c:pt idx="142">
                  <c:v>0.2226563</c:v>
                </c:pt>
                <c:pt idx="143">
                  <c:v>0.22421869999999999</c:v>
                </c:pt>
                <c:pt idx="144">
                  <c:v>0.22578129999999999</c:v>
                </c:pt>
                <c:pt idx="145">
                  <c:v>0.22734380000000001</c:v>
                </c:pt>
                <c:pt idx="146">
                  <c:v>0.22890630000000001</c:v>
                </c:pt>
                <c:pt idx="147">
                  <c:v>0.2304688</c:v>
                </c:pt>
                <c:pt idx="148">
                  <c:v>0.2320313</c:v>
                </c:pt>
                <c:pt idx="149">
                  <c:v>0.23359369999999999</c:v>
                </c:pt>
                <c:pt idx="150">
                  <c:v>0.23515630000000001</c:v>
                </c:pt>
                <c:pt idx="151">
                  <c:v>0.23671880000000001</c:v>
                </c:pt>
                <c:pt idx="152">
                  <c:v>0.2382812</c:v>
                </c:pt>
                <c:pt idx="153">
                  <c:v>0.23984369999999999</c:v>
                </c:pt>
                <c:pt idx="154">
                  <c:v>0.24140629999999999</c:v>
                </c:pt>
                <c:pt idx="155">
                  <c:v>0.24296880000000001</c:v>
                </c:pt>
                <c:pt idx="156">
                  <c:v>0.24453130000000001</c:v>
                </c:pt>
                <c:pt idx="157">
                  <c:v>0.2460938</c:v>
                </c:pt>
                <c:pt idx="158">
                  <c:v>0.24765619999999999</c:v>
                </c:pt>
                <c:pt idx="159">
                  <c:v>0.24921869999999999</c:v>
                </c:pt>
                <c:pt idx="160">
                  <c:v>0.25078129999999998</c:v>
                </c:pt>
                <c:pt idx="161">
                  <c:v>0.2523437</c:v>
                </c:pt>
                <c:pt idx="162">
                  <c:v>0.25390620000000003</c:v>
                </c:pt>
                <c:pt idx="163">
                  <c:v>0.2554688</c:v>
                </c:pt>
                <c:pt idx="164">
                  <c:v>0.25703120000000002</c:v>
                </c:pt>
                <c:pt idx="165">
                  <c:v>0.25859379999999998</c:v>
                </c:pt>
                <c:pt idx="166">
                  <c:v>0.2601562</c:v>
                </c:pt>
                <c:pt idx="167">
                  <c:v>0.26171879999999997</c:v>
                </c:pt>
                <c:pt idx="168">
                  <c:v>0.2632813</c:v>
                </c:pt>
                <c:pt idx="169">
                  <c:v>0.26484370000000002</c:v>
                </c:pt>
                <c:pt idx="170">
                  <c:v>0.26640629999999998</c:v>
                </c:pt>
                <c:pt idx="171">
                  <c:v>0.2679687</c:v>
                </c:pt>
                <c:pt idx="172">
                  <c:v>0.26953120000000003</c:v>
                </c:pt>
                <c:pt idx="173">
                  <c:v>0.2710938</c:v>
                </c:pt>
                <c:pt idx="174">
                  <c:v>0.27265620000000002</c:v>
                </c:pt>
                <c:pt idx="175">
                  <c:v>0.27421879999999998</c:v>
                </c:pt>
                <c:pt idx="176">
                  <c:v>0.2757812</c:v>
                </c:pt>
                <c:pt idx="177">
                  <c:v>0.27734379999999997</c:v>
                </c:pt>
                <c:pt idx="178">
                  <c:v>0.2789063</c:v>
                </c:pt>
                <c:pt idx="179">
                  <c:v>0.28046870000000002</c:v>
                </c:pt>
                <c:pt idx="180">
                  <c:v>0.28203129999999998</c:v>
                </c:pt>
                <c:pt idx="181">
                  <c:v>0.2835937</c:v>
                </c:pt>
                <c:pt idx="182">
                  <c:v>0.28515620000000003</c:v>
                </c:pt>
                <c:pt idx="183">
                  <c:v>0.28671869999999999</c:v>
                </c:pt>
                <c:pt idx="184">
                  <c:v>0.28828120000000002</c:v>
                </c:pt>
                <c:pt idx="185">
                  <c:v>0.28984379999999998</c:v>
                </c:pt>
                <c:pt idx="186">
                  <c:v>0.2914062</c:v>
                </c:pt>
                <c:pt idx="187">
                  <c:v>0.29296879999999997</c:v>
                </c:pt>
                <c:pt idx="188">
                  <c:v>0.2945313</c:v>
                </c:pt>
                <c:pt idx="189">
                  <c:v>0.29609370000000002</c:v>
                </c:pt>
                <c:pt idx="190">
                  <c:v>0.29765629999999998</c:v>
                </c:pt>
                <c:pt idx="191">
                  <c:v>0.2992187</c:v>
                </c:pt>
                <c:pt idx="192">
                  <c:v>0.30078120000000003</c:v>
                </c:pt>
                <c:pt idx="193">
                  <c:v>0.30234369999999999</c:v>
                </c:pt>
                <c:pt idx="194">
                  <c:v>0.30390620000000002</c:v>
                </c:pt>
                <c:pt idx="195">
                  <c:v>0.30546879999999998</c:v>
                </c:pt>
                <c:pt idx="196">
                  <c:v>0.30703130000000001</c:v>
                </c:pt>
                <c:pt idx="197">
                  <c:v>0.30859379999999997</c:v>
                </c:pt>
                <c:pt idx="198">
                  <c:v>0.31015619999999999</c:v>
                </c:pt>
                <c:pt idx="199">
                  <c:v>0.31171870000000002</c:v>
                </c:pt>
                <c:pt idx="200">
                  <c:v>0.31328129999999998</c:v>
                </c:pt>
                <c:pt idx="201">
                  <c:v>0.3148437</c:v>
                </c:pt>
                <c:pt idx="202">
                  <c:v>0.31640620000000003</c:v>
                </c:pt>
                <c:pt idx="203">
                  <c:v>0.3179688</c:v>
                </c:pt>
                <c:pt idx="204">
                  <c:v>0.31953120000000002</c:v>
                </c:pt>
                <c:pt idx="205">
                  <c:v>0.32109379999999998</c:v>
                </c:pt>
                <c:pt idx="206">
                  <c:v>0.3226562</c:v>
                </c:pt>
                <c:pt idx="207">
                  <c:v>0.32421879999999997</c:v>
                </c:pt>
                <c:pt idx="208">
                  <c:v>0.3257813</c:v>
                </c:pt>
                <c:pt idx="209">
                  <c:v>0.32734370000000002</c:v>
                </c:pt>
                <c:pt idx="210">
                  <c:v>0.32890629999999998</c:v>
                </c:pt>
                <c:pt idx="211">
                  <c:v>0.3304687</c:v>
                </c:pt>
                <c:pt idx="212">
                  <c:v>0.33203120000000003</c:v>
                </c:pt>
                <c:pt idx="213">
                  <c:v>0.3335938</c:v>
                </c:pt>
                <c:pt idx="214">
                  <c:v>0.33515620000000002</c:v>
                </c:pt>
                <c:pt idx="215">
                  <c:v>0.33671879999999998</c:v>
                </c:pt>
                <c:pt idx="216">
                  <c:v>0.3382812</c:v>
                </c:pt>
                <c:pt idx="217">
                  <c:v>0.33984379999999997</c:v>
                </c:pt>
                <c:pt idx="218">
                  <c:v>0.34140619999999999</c:v>
                </c:pt>
                <c:pt idx="219">
                  <c:v>0.34296870000000002</c:v>
                </c:pt>
                <c:pt idx="220">
                  <c:v>0.34453129999999998</c:v>
                </c:pt>
                <c:pt idx="221">
                  <c:v>0.3460937</c:v>
                </c:pt>
                <c:pt idx="222">
                  <c:v>0.34765629999999997</c:v>
                </c:pt>
                <c:pt idx="223">
                  <c:v>0.3492188</c:v>
                </c:pt>
                <c:pt idx="224">
                  <c:v>0.35078120000000002</c:v>
                </c:pt>
                <c:pt idx="225">
                  <c:v>0.35234379999999998</c:v>
                </c:pt>
                <c:pt idx="226">
                  <c:v>0.3539062</c:v>
                </c:pt>
                <c:pt idx="227">
                  <c:v>0.35546879999999997</c:v>
                </c:pt>
                <c:pt idx="228">
                  <c:v>0.3570313</c:v>
                </c:pt>
                <c:pt idx="229">
                  <c:v>0.35859370000000002</c:v>
                </c:pt>
                <c:pt idx="230">
                  <c:v>0.36015629999999998</c:v>
                </c:pt>
                <c:pt idx="231">
                  <c:v>0.3617187</c:v>
                </c:pt>
                <c:pt idx="232">
                  <c:v>0.36328120000000003</c:v>
                </c:pt>
                <c:pt idx="233">
                  <c:v>0.3648438</c:v>
                </c:pt>
                <c:pt idx="234">
                  <c:v>0.36640620000000002</c:v>
                </c:pt>
                <c:pt idx="235">
                  <c:v>0.36796879999999998</c:v>
                </c:pt>
                <c:pt idx="236">
                  <c:v>0.3695312</c:v>
                </c:pt>
                <c:pt idx="237">
                  <c:v>0.37109379999999997</c:v>
                </c:pt>
                <c:pt idx="238">
                  <c:v>0.37265619999999999</c:v>
                </c:pt>
                <c:pt idx="239">
                  <c:v>0.37421870000000002</c:v>
                </c:pt>
                <c:pt idx="240">
                  <c:v>0.37578129999999998</c:v>
                </c:pt>
                <c:pt idx="241">
                  <c:v>0.3773437</c:v>
                </c:pt>
                <c:pt idx="242">
                  <c:v>0.37890620000000003</c:v>
                </c:pt>
                <c:pt idx="243">
                  <c:v>0.38046869999999999</c:v>
                </c:pt>
                <c:pt idx="244">
                  <c:v>0.38203120000000002</c:v>
                </c:pt>
                <c:pt idx="245">
                  <c:v>0.38359379999999998</c:v>
                </c:pt>
                <c:pt idx="246">
                  <c:v>0.3851562</c:v>
                </c:pt>
                <c:pt idx="247">
                  <c:v>0.38671879999999997</c:v>
                </c:pt>
                <c:pt idx="248">
                  <c:v>0.3882813</c:v>
                </c:pt>
                <c:pt idx="249">
                  <c:v>0.38984370000000002</c:v>
                </c:pt>
                <c:pt idx="250">
                  <c:v>0.39140629999999998</c:v>
                </c:pt>
                <c:pt idx="251">
                  <c:v>0.3929687</c:v>
                </c:pt>
                <c:pt idx="252">
                  <c:v>0.39453120000000003</c:v>
                </c:pt>
                <c:pt idx="253">
                  <c:v>0.3960938</c:v>
                </c:pt>
                <c:pt idx="254">
                  <c:v>0.39765620000000002</c:v>
                </c:pt>
                <c:pt idx="255">
                  <c:v>0.39921879999999998</c:v>
                </c:pt>
                <c:pt idx="256">
                  <c:v>0.4007812</c:v>
                </c:pt>
                <c:pt idx="257">
                  <c:v>0.40234379999999997</c:v>
                </c:pt>
                <c:pt idx="258">
                  <c:v>0.40390619999999999</c:v>
                </c:pt>
                <c:pt idx="259">
                  <c:v>0.40546870000000002</c:v>
                </c:pt>
                <c:pt idx="260">
                  <c:v>0.40703129999999998</c:v>
                </c:pt>
                <c:pt idx="261">
                  <c:v>0.4085937</c:v>
                </c:pt>
                <c:pt idx="262">
                  <c:v>0.41015620000000003</c:v>
                </c:pt>
                <c:pt idx="263">
                  <c:v>0.4117188</c:v>
                </c:pt>
                <c:pt idx="264">
                  <c:v>0.41328130000000002</c:v>
                </c:pt>
                <c:pt idx="265">
                  <c:v>0.41484379999999998</c:v>
                </c:pt>
                <c:pt idx="266">
                  <c:v>0.4164062</c:v>
                </c:pt>
                <c:pt idx="267">
                  <c:v>0.41796879999999997</c:v>
                </c:pt>
                <c:pt idx="268">
                  <c:v>0.4195313</c:v>
                </c:pt>
                <c:pt idx="269">
                  <c:v>0.42109370000000002</c:v>
                </c:pt>
                <c:pt idx="270">
                  <c:v>0.42265629999999998</c:v>
                </c:pt>
                <c:pt idx="271">
                  <c:v>0.4242187</c:v>
                </c:pt>
                <c:pt idx="272">
                  <c:v>0.42578120000000003</c:v>
                </c:pt>
                <c:pt idx="273">
                  <c:v>0.4273438</c:v>
                </c:pt>
                <c:pt idx="274">
                  <c:v>0.42890630000000002</c:v>
                </c:pt>
                <c:pt idx="275">
                  <c:v>0.43046879999999998</c:v>
                </c:pt>
                <c:pt idx="276">
                  <c:v>0.4320312</c:v>
                </c:pt>
                <c:pt idx="277">
                  <c:v>0.43359379999999997</c:v>
                </c:pt>
                <c:pt idx="278">
                  <c:v>0.4351563</c:v>
                </c:pt>
                <c:pt idx="279">
                  <c:v>0.43671870000000002</c:v>
                </c:pt>
                <c:pt idx="280">
                  <c:v>0.43828129999999998</c:v>
                </c:pt>
                <c:pt idx="281">
                  <c:v>0.4398437</c:v>
                </c:pt>
                <c:pt idx="282">
                  <c:v>0.44140629999999997</c:v>
                </c:pt>
                <c:pt idx="283">
                  <c:v>0.4429688</c:v>
                </c:pt>
                <c:pt idx="284">
                  <c:v>0.44453120000000002</c:v>
                </c:pt>
                <c:pt idx="285">
                  <c:v>0.44609379999999998</c:v>
                </c:pt>
                <c:pt idx="286">
                  <c:v>0.4476562</c:v>
                </c:pt>
                <c:pt idx="287">
                  <c:v>0.44921879999999997</c:v>
                </c:pt>
                <c:pt idx="288">
                  <c:v>0.4507813</c:v>
                </c:pt>
                <c:pt idx="289">
                  <c:v>0.45234370000000002</c:v>
                </c:pt>
                <c:pt idx="290">
                  <c:v>0.45390629999999998</c:v>
                </c:pt>
                <c:pt idx="291">
                  <c:v>0.45546880000000001</c:v>
                </c:pt>
                <c:pt idx="292">
                  <c:v>0.45703120000000003</c:v>
                </c:pt>
                <c:pt idx="293">
                  <c:v>0.4585938</c:v>
                </c:pt>
                <c:pt idx="294">
                  <c:v>0.46015620000000002</c:v>
                </c:pt>
                <c:pt idx="295">
                  <c:v>0.46171879999999998</c:v>
                </c:pt>
                <c:pt idx="296">
                  <c:v>0.4632812</c:v>
                </c:pt>
                <c:pt idx="297">
                  <c:v>0.46484379999999997</c:v>
                </c:pt>
                <c:pt idx="298">
                  <c:v>0.46640619999999999</c:v>
                </c:pt>
                <c:pt idx="299">
                  <c:v>0.46796870000000002</c:v>
                </c:pt>
                <c:pt idx="300">
                  <c:v>0.46953129999999998</c:v>
                </c:pt>
                <c:pt idx="301">
                  <c:v>0.47109380000000001</c:v>
                </c:pt>
                <c:pt idx="302">
                  <c:v>0.47265620000000003</c:v>
                </c:pt>
                <c:pt idx="303">
                  <c:v>0.4742188</c:v>
                </c:pt>
                <c:pt idx="304">
                  <c:v>0.47578120000000002</c:v>
                </c:pt>
                <c:pt idx="305">
                  <c:v>0.47734379999999998</c:v>
                </c:pt>
                <c:pt idx="306">
                  <c:v>0.4789062</c:v>
                </c:pt>
                <c:pt idx="307">
                  <c:v>0.48046879999999997</c:v>
                </c:pt>
                <c:pt idx="308">
                  <c:v>0.4820313</c:v>
                </c:pt>
                <c:pt idx="309">
                  <c:v>0.48359370000000002</c:v>
                </c:pt>
                <c:pt idx="310">
                  <c:v>0.48515629999999998</c:v>
                </c:pt>
                <c:pt idx="311">
                  <c:v>0.48671880000000001</c:v>
                </c:pt>
                <c:pt idx="312">
                  <c:v>0.48828120000000003</c:v>
                </c:pt>
                <c:pt idx="313">
                  <c:v>0.4898438</c:v>
                </c:pt>
                <c:pt idx="314">
                  <c:v>0.49140620000000002</c:v>
                </c:pt>
                <c:pt idx="315">
                  <c:v>0.49296879999999998</c:v>
                </c:pt>
                <c:pt idx="316">
                  <c:v>0.4945312</c:v>
                </c:pt>
                <c:pt idx="317">
                  <c:v>0.49609379999999997</c:v>
                </c:pt>
                <c:pt idx="318">
                  <c:v>0.4976563</c:v>
                </c:pt>
                <c:pt idx="319">
                  <c:v>0.49921880000000002</c:v>
                </c:pt>
              </c:numCache>
            </c:numRef>
          </c:xVal>
          <c:yVal>
            <c:numRef>
              <c:f>新・線形全比較!$AH$2:$AH$321</c:f>
              <c:numCache>
                <c:formatCode>0.00E+00</c:formatCode>
                <c:ptCount val="320"/>
                <c:pt idx="0">
                  <c:v>0.39919019569752401</c:v>
                </c:pt>
                <c:pt idx="1">
                  <c:v>0.39919585669357999</c:v>
                </c:pt>
                <c:pt idx="2">
                  <c:v>0.39920157388167998</c:v>
                </c:pt>
                <c:pt idx="3">
                  <c:v>0.39920734538943797</c:v>
                </c:pt>
                <c:pt idx="4">
                  <c:v>0.39921316937298601</c:v>
                </c:pt>
                <c:pt idx="5">
                  <c:v>0.399219044017666</c:v>
                </c:pt>
                <c:pt idx="6">
                  <c:v>0.39922496753847803</c:v>
                </c:pt>
                <c:pt idx="7">
                  <c:v>0.39923093817970201</c:v>
                </c:pt>
                <c:pt idx="8">
                  <c:v>0.39923695421456201</c:v>
                </c:pt>
                <c:pt idx="9">
                  <c:v>0.399243013946464</c:v>
                </c:pt>
                <c:pt idx="10">
                  <c:v>0.399249115708188</c:v>
                </c:pt>
                <c:pt idx="11">
                  <c:v>0.39925525786159399</c:v>
                </c:pt>
                <c:pt idx="12">
                  <c:v>0.399261438798232</c:v>
                </c:pt>
                <c:pt idx="13">
                  <c:v>0.39926765693867</c:v>
                </c:pt>
                <c:pt idx="14">
                  <c:v>0.39927391073240598</c:v>
                </c:pt>
                <c:pt idx="15">
                  <c:v>0.39928019865767</c:v>
                </c:pt>
                <c:pt idx="16">
                  <c:v>0.39928651922092201</c:v>
                </c:pt>
                <c:pt idx="17">
                  <c:v>0.39929287095706201</c:v>
                </c:pt>
                <c:pt idx="18">
                  <c:v>0.39929925242828801</c:v>
                </c:pt>
                <c:pt idx="19">
                  <c:v>0.39930566222430602</c:v>
                </c:pt>
                <c:pt idx="20">
                  <c:v>0.39931431514568799</c:v>
                </c:pt>
                <c:pt idx="21">
                  <c:v>0.39932536566071603</c:v>
                </c:pt>
                <c:pt idx="22">
                  <c:v>0.39933666247600402</c:v>
                </c:pt>
                <c:pt idx="23">
                  <c:v>0.39934820685809802</c:v>
                </c:pt>
                <c:pt idx="24">
                  <c:v>0.39936000007468597</c:v>
                </c:pt>
                <c:pt idx="25">
                  <c:v>0.39937204339330601</c:v>
                </c:pt>
                <c:pt idx="26">
                  <c:v>0.39938433808114798</c:v>
                </c:pt>
                <c:pt idx="27">
                  <c:v>0.39939688540447199</c:v>
                </c:pt>
                <c:pt idx="28">
                  <c:v>0.39940968662737197</c:v>
                </c:pt>
                <c:pt idx="29">
                  <c:v>0.39942274301154601</c:v>
                </c:pt>
                <c:pt idx="30">
                  <c:v>0.39943605581545</c:v>
                </c:pt>
                <c:pt idx="31">
                  <c:v>0.3994496262933</c:v>
                </c:pt>
                <c:pt idx="32">
                  <c:v>0.39946345569469199</c:v>
                </c:pt>
                <c:pt idx="33">
                  <c:v>0.39947754526364798</c:v>
                </c:pt>
                <c:pt idx="34">
                  <c:v>0.39949189623763998</c:v>
                </c:pt>
                <c:pt idx="35">
                  <c:v>0.39950650984707597</c:v>
                </c:pt>
                <c:pt idx="36">
                  <c:v>0.39952138731436998</c:v>
                </c:pt>
                <c:pt idx="37">
                  <c:v>0.39953652985293198</c:v>
                </c:pt>
                <c:pt idx="38">
                  <c:v>0.399551938666664</c:v>
                </c:pt>
                <c:pt idx="39">
                  <c:v>0.39956761494864601</c:v>
                </c:pt>
                <c:pt idx="40">
                  <c:v>0.399589712423294</c:v>
                </c:pt>
                <c:pt idx="41">
                  <c:v>0.39961789290002397</c:v>
                </c:pt>
                <c:pt idx="42">
                  <c:v>0.39964585921048201</c:v>
                </c:pt>
                <c:pt idx="43">
                  <c:v>0.39967360496465998</c:v>
                </c:pt>
                <c:pt idx="44">
                  <c:v>0.39970112385405998</c:v>
                </c:pt>
                <c:pt idx="45">
                  <c:v>0.39972840965086798</c:v>
                </c:pt>
                <c:pt idx="46">
                  <c:v>0.399755456206976</c:v>
                </c:pt>
                <c:pt idx="47">
                  <c:v>0.39978225745370199</c:v>
                </c:pt>
                <c:pt idx="48">
                  <c:v>0.39980880740067598</c:v>
                </c:pt>
                <c:pt idx="49">
                  <c:v>0.39983510013540202</c:v>
                </c:pt>
                <c:pt idx="50">
                  <c:v>0.39986112982236</c:v>
                </c:pt>
                <c:pt idx="51">
                  <c:v>0.39988689070205602</c:v>
                </c:pt>
                <c:pt idx="52">
                  <c:v>0.39991237709098798</c:v>
                </c:pt>
                <c:pt idx="53">
                  <c:v>0.39993758338004398</c:v>
                </c:pt>
                <c:pt idx="54">
                  <c:v>0.39996250403439398</c:v>
                </c:pt>
                <c:pt idx="55">
                  <c:v>0.39998713359246801</c:v>
                </c:pt>
                <c:pt idx="56">
                  <c:v>0.40001146666527798</c:v>
                </c:pt>
                <c:pt idx="57">
                  <c:v>0.40003549793576998</c:v>
                </c:pt>
                <c:pt idx="58">
                  <c:v>0.40005922215797002</c:v>
                </c:pt>
                <c:pt idx="59">
                  <c:v>0.40008263415617601</c:v>
                </c:pt>
                <c:pt idx="60">
                  <c:v>0.40009110359774203</c:v>
                </c:pt>
                <c:pt idx="61">
                  <c:v>0.40008725128191402</c:v>
                </c:pt>
                <c:pt idx="62">
                  <c:v>0.400086815671296</c:v>
                </c:pt>
                <c:pt idx="63">
                  <c:v>0.40008983833268402</c:v>
                </c:pt>
                <c:pt idx="64">
                  <c:v>0.40011653130500402</c:v>
                </c:pt>
                <c:pt idx="65">
                  <c:v>0.40016404605974398</c:v>
                </c:pt>
                <c:pt idx="66">
                  <c:v>0.40021102052535201</c:v>
                </c:pt>
                <c:pt idx="67">
                  <c:v>0.400257442111286</c:v>
                </c:pt>
                <c:pt idx="68">
                  <c:v>0.40030329834794798</c:v>
                </c:pt>
                <c:pt idx="69">
                  <c:v>0.40034857689022402</c:v>
                </c:pt>
                <c:pt idx="70">
                  <c:v>0.40039326552106402</c:v>
                </c:pt>
                <c:pt idx="71">
                  <c:v>0.40043735215457599</c:v>
                </c:pt>
                <c:pt idx="72">
                  <c:v>0.40048082484034198</c:v>
                </c:pt>
                <c:pt idx="73">
                  <c:v>0.40052367176619202</c:v>
                </c:pt>
                <c:pt idx="74">
                  <c:v>0.40056588126235598</c:v>
                </c:pt>
                <c:pt idx="75">
                  <c:v>0.40060744180499402</c:v>
                </c:pt>
                <c:pt idx="76">
                  <c:v>0.40064834201991001</c:v>
                </c:pt>
                <c:pt idx="77">
                  <c:v>0.40068857068636599</c:v>
                </c:pt>
                <c:pt idx="78">
                  <c:v>0.400728116740658</c:v>
                </c:pt>
                <c:pt idx="79">
                  <c:v>0.40076696928022798</c:v>
                </c:pt>
                <c:pt idx="80">
                  <c:v>0.40080357892623197</c:v>
                </c:pt>
                <c:pt idx="81">
                  <c:v>0.40083871855020198</c:v>
                </c:pt>
                <c:pt idx="82">
                  <c:v>0.40087424904739399</c:v>
                </c:pt>
                <c:pt idx="83">
                  <c:v>0.40091017269180201</c:v>
                </c:pt>
                <c:pt idx="84">
                  <c:v>0.40094649173200397</c:v>
                </c:pt>
                <c:pt idx="85">
                  <c:v>0.40098320839161999</c:v>
                </c:pt>
                <c:pt idx="86">
                  <c:v>0.40102032487033401</c:v>
                </c:pt>
                <c:pt idx="87">
                  <c:v>0.40105784334417399</c:v>
                </c:pt>
                <c:pt idx="88">
                  <c:v>0.40109576596671198</c:v>
                </c:pt>
                <c:pt idx="89">
                  <c:v>0.40113409486968399</c:v>
                </c:pt>
                <c:pt idx="90">
                  <c:v>0.40117283216357202</c:v>
                </c:pt>
                <c:pt idx="91">
                  <c:v>0.40121197993806601</c:v>
                </c:pt>
                <c:pt idx="92">
                  <c:v>0.401251540263666</c:v>
                </c:pt>
                <c:pt idx="93">
                  <c:v>0.40129151519140599</c:v>
                </c:pt>
                <c:pt idx="94">
                  <c:v>0.40133190675414998</c:v>
                </c:pt>
                <c:pt idx="95">
                  <c:v>0.40137271696730398</c:v>
                </c:pt>
                <c:pt idx="96">
                  <c:v>0.40141394782939599</c:v>
                </c:pt>
                <c:pt idx="97">
                  <c:v>0.40145560132288799</c:v>
                </c:pt>
                <c:pt idx="98">
                  <c:v>0.40149767941474002</c:v>
                </c:pt>
                <c:pt idx="99">
                  <c:v>0.40154018405757802</c:v>
                </c:pt>
                <c:pt idx="100">
                  <c:v>0.40159020700534398</c:v>
                </c:pt>
                <c:pt idx="101">
                  <c:v>0.40164725799294199</c:v>
                </c:pt>
                <c:pt idx="102">
                  <c:v>0.40170403651491399</c:v>
                </c:pt>
                <c:pt idx="103">
                  <c:v>0.40176053205115803</c:v>
                </c:pt>
                <c:pt idx="104">
                  <c:v>0.40181673418064401</c:v>
                </c:pt>
                <c:pt idx="105">
                  <c:v>0.40187263258392802</c:v>
                </c:pt>
                <c:pt idx="106">
                  <c:v>0.40192821704583398</c:v>
                </c:pt>
                <c:pt idx="107">
                  <c:v>0.401983477457454</c:v>
                </c:pt>
                <c:pt idx="108">
                  <c:v>0.40203840381931599</c:v>
                </c:pt>
                <c:pt idx="109">
                  <c:v>0.40209298624359802</c:v>
                </c:pt>
                <c:pt idx="110">
                  <c:v>0.40214721495667399</c:v>
                </c:pt>
                <c:pt idx="111">
                  <c:v>0.40220108030151203</c:v>
                </c:pt>
                <c:pt idx="112">
                  <c:v>0.40225457274074999</c:v>
                </c:pt>
                <c:pt idx="113">
                  <c:v>0.40230768285860602</c:v>
                </c:pt>
                <c:pt idx="114">
                  <c:v>0.40236040136380602</c:v>
                </c:pt>
                <c:pt idx="115">
                  <c:v>0.40241271909236198</c:v>
                </c:pt>
                <c:pt idx="116">
                  <c:v>0.40246462700980201</c:v>
                </c:pt>
                <c:pt idx="117">
                  <c:v>0.40251611621392602</c:v>
                </c:pt>
                <c:pt idx="118">
                  <c:v>0.402567177937322</c:v>
                </c:pt>
                <c:pt idx="119">
                  <c:v>0.40261780355031401</c:v>
                </c:pt>
                <c:pt idx="120">
                  <c:v>0.40266363394849802</c:v>
                </c:pt>
                <c:pt idx="121">
                  <c:v>0.40270610775139798</c:v>
                </c:pt>
                <c:pt idx="122">
                  <c:v>0.40275018430216802</c:v>
                </c:pt>
                <c:pt idx="123">
                  <c:v>0.40279588185703802</c:v>
                </c:pt>
                <c:pt idx="124">
                  <c:v>0.40284321848683002</c:v>
                </c:pt>
                <c:pt idx="125">
                  <c:v>0.40289221208446202</c:v>
                </c:pt>
                <c:pt idx="126">
                  <c:v>0.40294288037269999</c:v>
                </c:pt>
                <c:pt idx="127">
                  <c:v>0.40299524091134598</c:v>
                </c:pt>
                <c:pt idx="128">
                  <c:v>0.403060817721062</c:v>
                </c:pt>
                <c:pt idx="129">
                  <c:v>0.40313770095405999</c:v>
                </c:pt>
                <c:pt idx="130">
                  <c:v>0.40321357881299202</c:v>
                </c:pt>
                <c:pt idx="131">
                  <c:v>0.40328843231161399</c:v>
                </c:pt>
                <c:pt idx="132">
                  <c:v>0.40336224267080201</c:v>
                </c:pt>
                <c:pt idx="133">
                  <c:v>0.40343499132880201</c:v>
                </c:pt>
                <c:pt idx="134">
                  <c:v>0.40350665995222801</c:v>
                </c:pt>
                <c:pt idx="135">
                  <c:v>0.40357723044676402</c:v>
                </c:pt>
                <c:pt idx="136">
                  <c:v>0.40364668496779199</c:v>
                </c:pt>
                <c:pt idx="137">
                  <c:v>0.40371500593104398</c:v>
                </c:pt>
                <c:pt idx="138">
                  <c:v>0.403782176023606</c:v>
                </c:pt>
                <c:pt idx="139">
                  <c:v>0.40384817821471802</c:v>
                </c:pt>
                <c:pt idx="140">
                  <c:v>0.40390935246125598</c:v>
                </c:pt>
                <c:pt idx="141">
                  <c:v>0.4039667813599</c:v>
                </c:pt>
                <c:pt idx="142">
                  <c:v>0.40402455238776802</c:v>
                </c:pt>
                <c:pt idx="143">
                  <c:v>0.40408265925860998</c:v>
                </c:pt>
                <c:pt idx="144">
                  <c:v>0.40414109571565399</c:v>
                </c:pt>
                <c:pt idx="145">
                  <c:v>0.40419985553281401</c:v>
                </c:pt>
                <c:pt idx="146">
                  <c:v>0.404258932515286</c:v>
                </c:pt>
                <c:pt idx="147">
                  <c:v>0.40431832050027999</c:v>
                </c:pt>
                <c:pt idx="148">
                  <c:v>0.40437801335794998</c:v>
                </c:pt>
                <c:pt idx="149">
                  <c:v>0.40443800499230198</c:v>
                </c:pt>
                <c:pt idx="150">
                  <c:v>0.40449828934172999</c:v>
                </c:pt>
                <c:pt idx="151">
                  <c:v>0.40455886037957001</c:v>
                </c:pt>
                <c:pt idx="152">
                  <c:v>0.404619712115666</c:v>
                </c:pt>
                <c:pt idx="153">
                  <c:v>0.40468083859616</c:v>
                </c:pt>
                <c:pt idx="154">
                  <c:v>0.40474223390469</c:v>
                </c:pt>
                <c:pt idx="155">
                  <c:v>0.40480389216343798</c:v>
                </c:pt>
                <c:pt idx="156">
                  <c:v>0.40486580753325802</c:v>
                </c:pt>
                <c:pt idx="157">
                  <c:v>0.40492797421465598</c:v>
                </c:pt>
                <c:pt idx="158">
                  <c:v>0.404990386448566</c:v>
                </c:pt>
                <c:pt idx="159">
                  <c:v>0.40505303851706598</c:v>
                </c:pt>
                <c:pt idx="160">
                  <c:v>0.40512685338406801</c:v>
                </c:pt>
                <c:pt idx="161">
                  <c:v>0.40521124177840601</c:v>
                </c:pt>
                <c:pt idx="162">
                  <c:v>0.40529502846187199</c:v>
                </c:pt>
                <c:pt idx="163">
                  <c:v>0.40537820704983601</c:v>
                </c:pt>
                <c:pt idx="164">
                  <c:v>0.40546077123532398</c:v>
                </c:pt>
                <c:pt idx="165">
                  <c:v>0.40554271479196002</c:v>
                </c:pt>
                <c:pt idx="166">
                  <c:v>0.40562403157678201</c:v>
                </c:pt>
                <c:pt idx="167">
                  <c:v>0.40570471553320397</c:v>
                </c:pt>
                <c:pt idx="168">
                  <c:v>0.40578476069395197</c:v>
                </c:pt>
                <c:pt idx="169">
                  <c:v>0.40586416118395202</c:v>
                </c:pt>
                <c:pt idx="170">
                  <c:v>0.40594291122279402</c:v>
                </c:pt>
                <c:pt idx="171">
                  <c:v>0.40602100512801398</c:v>
                </c:pt>
                <c:pt idx="172">
                  <c:v>0.40609843731779399</c:v>
                </c:pt>
                <c:pt idx="173">
                  <c:v>0.40617520231315601</c:v>
                </c:pt>
                <c:pt idx="174">
                  <c:v>0.40625129474142202</c:v>
                </c:pt>
                <c:pt idx="175">
                  <c:v>0.40632670933878801</c:v>
                </c:pt>
                <c:pt idx="176">
                  <c:v>0.40640144095251002</c:v>
                </c:pt>
                <c:pt idx="177">
                  <c:v>0.40647548454412402</c:v>
                </c:pt>
                <c:pt idx="178">
                  <c:v>0.40654883519178597</c:v>
                </c:pt>
                <c:pt idx="179">
                  <c:v>0.40662148809323201</c:v>
                </c:pt>
                <c:pt idx="180">
                  <c:v>0.40668078296566601</c:v>
                </c:pt>
                <c:pt idx="181">
                  <c:v>0.40672778116210401</c:v>
                </c:pt>
                <c:pt idx="182">
                  <c:v>0.40677554497514001</c:v>
                </c:pt>
                <c:pt idx="183">
                  <c:v>0.40682403538999401</c:v>
                </c:pt>
                <c:pt idx="184">
                  <c:v>0.40687321383998198</c:v>
                </c:pt>
                <c:pt idx="185">
                  <c:v>0.40692304220056602</c:v>
                </c:pt>
                <c:pt idx="186">
                  <c:v>0.40697348278306</c:v>
                </c:pt>
                <c:pt idx="187">
                  <c:v>0.407024498328516</c:v>
                </c:pt>
                <c:pt idx="188">
                  <c:v>0.40707605200201002</c:v>
                </c:pt>
                <c:pt idx="189">
                  <c:v>0.40712810738692001</c:v>
                </c:pt>
                <c:pt idx="190">
                  <c:v>0.40718062847858399</c:v>
                </c:pt>
                <c:pt idx="191">
                  <c:v>0.40723357967936002</c:v>
                </c:pt>
                <c:pt idx="192">
                  <c:v>0.40732458846219</c:v>
                </c:pt>
                <c:pt idx="193">
                  <c:v>0.40745161306074401</c:v>
                </c:pt>
                <c:pt idx="194">
                  <c:v>0.40757617917066602</c:v>
                </c:pt>
                <c:pt idx="195">
                  <c:v>0.40769831422566399</c:v>
                </c:pt>
                <c:pt idx="196">
                  <c:v>0.40781804552545198</c:v>
                </c:pt>
                <c:pt idx="197">
                  <c:v>0.407935400274334</c:v>
                </c:pt>
                <c:pt idx="198">
                  <c:v>0.40805040561914202</c:v>
                </c:pt>
                <c:pt idx="199">
                  <c:v>0.40816308868735601</c:v>
                </c:pt>
                <c:pt idx="200">
                  <c:v>0.408242297911942</c:v>
                </c:pt>
                <c:pt idx="201">
                  <c:v>0.40828957120568399</c:v>
                </c:pt>
                <c:pt idx="202">
                  <c:v>0.40833668709435</c:v>
                </c:pt>
                <c:pt idx="203">
                  <c:v>0.40838361078158197</c:v>
                </c:pt>
                <c:pt idx="204">
                  <c:v>0.408430307845014</c:v>
                </c:pt>
                <c:pt idx="205">
                  <c:v>0.40847674428998998</c:v>
                </c:pt>
                <c:pt idx="206">
                  <c:v>0.40852288660241998</c:v>
                </c:pt>
                <c:pt idx="207">
                  <c:v>0.40856870180294802</c:v>
                </c:pt>
                <c:pt idx="208">
                  <c:v>0.40861415750016</c:v>
                </c:pt>
                <c:pt idx="209">
                  <c:v>0.40865922194426402</c:v>
                </c:pt>
                <c:pt idx="210">
                  <c:v>0.40870386408138198</c:v>
                </c:pt>
                <c:pt idx="211">
                  <c:v>0.40874805360710997</c:v>
                </c:pt>
                <c:pt idx="212">
                  <c:v>0.40879176102127801</c:v>
                </c:pt>
                <c:pt idx="213">
                  <c:v>0.40883495768099998</c:v>
                </c:pt>
                <c:pt idx="214">
                  <c:v>0.408877615855882</c:v>
                </c:pt>
                <c:pt idx="215">
                  <c:v>0.40891970878260597</c:v>
                </c:pt>
                <c:pt idx="216">
                  <c:v>0.40896121071846597</c:v>
                </c:pt>
                <c:pt idx="217">
                  <c:v>0.40900209699724799</c:v>
                </c:pt>
                <c:pt idx="218">
                  <c:v>0.40904234408268603</c:v>
                </c:pt>
                <c:pt idx="219">
                  <c:v>0.40908192962453999</c:v>
                </c:pt>
                <c:pt idx="220">
                  <c:v>0.40914983077339001</c:v>
                </c:pt>
                <c:pt idx="221">
                  <c:v>0.409245255098314</c:v>
                </c:pt>
                <c:pt idx="222">
                  <c:v>0.409338861300102</c:v>
                </c:pt>
                <c:pt idx="223">
                  <c:v>0.409430622367356</c:v>
                </c:pt>
                <c:pt idx="224">
                  <c:v>0.40952051057641797</c:v>
                </c:pt>
                <c:pt idx="225">
                  <c:v>0.40960849757288398</c:v>
                </c:pt>
                <c:pt idx="226">
                  <c:v>0.409694554452186</c:v>
                </c:pt>
                <c:pt idx="227">
                  <c:v>0.40977865184090601</c:v>
                </c:pt>
                <c:pt idx="228">
                  <c:v>0.40986075997814397</c:v>
                </c:pt>
                <c:pt idx="229">
                  <c:v>0.40994084879727199</c:v>
                </c:pt>
                <c:pt idx="230">
                  <c:v>0.41001888800784397</c:v>
                </c:pt>
                <c:pt idx="231">
                  <c:v>0.41009484717730599</c:v>
                </c:pt>
                <c:pt idx="232">
                  <c:v>0.410168695813662</c:v>
                </c:pt>
                <c:pt idx="233">
                  <c:v>0.410240403446758</c:v>
                </c:pt>
                <c:pt idx="234">
                  <c:v>0.41030993971183</c:v>
                </c:pt>
                <c:pt idx="235">
                  <c:v>0.41037727443238797</c:v>
                </c:pt>
                <c:pt idx="236">
                  <c:v>0.41044237770202802</c:v>
                </c:pt>
                <c:pt idx="237">
                  <c:v>0.41050521996827999</c:v>
                </c:pt>
                <c:pt idx="238">
                  <c:v>0.410565772115632</c:v>
                </c:pt>
                <c:pt idx="239">
                  <c:v>0.41062400554915801</c:v>
                </c:pt>
                <c:pt idx="240">
                  <c:v>0.41062314341342798</c:v>
                </c:pt>
                <c:pt idx="241">
                  <c:v>0.41056269761254999</c:v>
                </c:pt>
                <c:pt idx="242">
                  <c:v>0.41049917504835598</c:v>
                </c:pt>
                <c:pt idx="243">
                  <c:v>0.41043251860090202</c:v>
                </c:pt>
                <c:pt idx="244">
                  <c:v>0.41036267389446401</c:v>
                </c:pt>
                <c:pt idx="245">
                  <c:v>0.41028959020970801</c:v>
                </c:pt>
                <c:pt idx="246">
                  <c:v>0.41021322139717398</c:v>
                </c:pt>
                <c:pt idx="247">
                  <c:v>0.41013352679168003</c:v>
                </c:pt>
                <c:pt idx="248">
                  <c:v>0.41005047212620999</c:v>
                </c:pt>
                <c:pt idx="249">
                  <c:v>0.40996403044880197</c:v>
                </c:pt>
                <c:pt idx="250">
                  <c:v>0.40987418303800799</c:v>
                </c:pt>
                <c:pt idx="251">
                  <c:v>0.40978092031996199</c:v>
                </c:pt>
                <c:pt idx="252">
                  <c:v>0.40968424278716598</c:v>
                </c:pt>
                <c:pt idx="253">
                  <c:v>0.40958416191540398</c:v>
                </c:pt>
                <c:pt idx="254">
                  <c:v>0.40948070108410001</c:v>
                </c:pt>
                <c:pt idx="255">
                  <c:v>0.40937389649688599</c:v>
                </c:pt>
                <c:pt idx="256">
                  <c:v>0.40947562152362599</c:v>
                </c:pt>
                <c:pt idx="257">
                  <c:v>0.40979473503084601</c:v>
                </c:pt>
                <c:pt idx="258">
                  <c:v>0.41012282558059598</c:v>
                </c:pt>
                <c:pt idx="259">
                  <c:v>0.41045959021381601</c:v>
                </c:pt>
                <c:pt idx="260">
                  <c:v>0.41060946639941598</c:v>
                </c:pt>
                <c:pt idx="261">
                  <c:v>0.410558993265148</c:v>
                </c:pt>
                <c:pt idx="262">
                  <c:v>0.41049787211752198</c:v>
                </c:pt>
                <c:pt idx="263">
                  <c:v>0.41042602118340599</c:v>
                </c:pt>
                <c:pt idx="264">
                  <c:v>0.41034335630256602</c:v>
                </c:pt>
                <c:pt idx="265">
                  <c:v>0.41024979277041401</c:v>
                </c:pt>
                <c:pt idx="266">
                  <c:v>0.41014524718055001</c:v>
                </c:pt>
                <c:pt idx="267">
                  <c:v>0.41002963926644798</c:v>
                </c:pt>
                <c:pt idx="268">
                  <c:v>0.409902893742976</c:v>
                </c:pt>
                <c:pt idx="269">
                  <c:v>0.409764942147266</c:v>
                </c:pt>
                <c:pt idx="270">
                  <c:v>0.40961572467990198</c:v>
                </c:pt>
                <c:pt idx="271">
                  <c:v>0.409455192044682</c:v>
                </c:pt>
                <c:pt idx="272">
                  <c:v>0.40928330728826801</c:v>
                </c:pt>
                <c:pt idx="273">
                  <c:v>0.40910004764011798</c:v>
                </c:pt>
                <c:pt idx="274">
                  <c:v>0.40890540635035999</c:v>
                </c:pt>
                <c:pt idx="275">
                  <c:v>0.40869939453008203</c:v>
                </c:pt>
                <c:pt idx="276">
                  <c:v>0.40848204298746199</c:v>
                </c:pt>
                <c:pt idx="277">
                  <c:v>0.408253404066246</c:v>
                </c:pt>
                <c:pt idx="278">
                  <c:v>0.40801355348319202</c:v>
                </c:pt>
                <c:pt idx="279">
                  <c:v>0.40776259216479399</c:v>
                </c:pt>
                <c:pt idx="280">
                  <c:v>0.40746513971757797</c:v>
                </c:pt>
                <c:pt idx="281">
                  <c:v>0.40712212742055198</c:v>
                </c:pt>
                <c:pt idx="282">
                  <c:v>0.40676901508343</c:v>
                </c:pt>
                <c:pt idx="283">
                  <c:v>0.40640527717378799</c:v>
                </c:pt>
                <c:pt idx="284">
                  <c:v>0.406030385120142</c:v>
                </c:pt>
                <c:pt idx="285">
                  <c:v>0.40564383012581801</c:v>
                </c:pt>
                <c:pt idx="286">
                  <c:v>0.40524514602509398</c:v>
                </c:pt>
                <c:pt idx="287">
                  <c:v>0.40483393218460001</c:v>
                </c:pt>
                <c:pt idx="288">
                  <c:v>0.40440987644467002</c:v>
                </c:pt>
                <c:pt idx="289">
                  <c:v>0.40397277810691001</c:v>
                </c:pt>
                <c:pt idx="290">
                  <c:v>0.40352257096434602</c:v>
                </c:pt>
                <c:pt idx="291">
                  <c:v>0.40305934637201402</c:v>
                </c:pt>
                <c:pt idx="292">
                  <c:v>0.40258337636437402</c:v>
                </c:pt>
                <c:pt idx="293">
                  <c:v>0.40209513681327802</c:v>
                </c:pt>
                <c:pt idx="294">
                  <c:v>0.40159533062992597</c:v>
                </c:pt>
                <c:pt idx="295">
                  <c:v>0.401084911010756</c:v>
                </c:pt>
                <c:pt idx="296">
                  <c:v>0.400565104724384</c:v>
                </c:pt>
                <c:pt idx="297">
                  <c:v>0.40003743544443798</c:v>
                </c:pt>
                <c:pt idx="298">
                  <c:v>0.39950374712289799</c:v>
                </c:pt>
                <c:pt idx="299">
                  <c:v>0.39896622740802401</c:v>
                </c:pt>
                <c:pt idx="300">
                  <c:v>0.39815273304868998</c:v>
                </c:pt>
                <c:pt idx="301">
                  <c:v>0.39700138583613798</c:v>
                </c:pt>
                <c:pt idx="302">
                  <c:v>0.39575429912499799</c:v>
                </c:pt>
                <c:pt idx="303">
                  <c:v>0.39440269897118402</c:v>
                </c:pt>
                <c:pt idx="304">
                  <c:v>0.39293759630255398</c:v>
                </c:pt>
                <c:pt idx="305">
                  <c:v>0.39135029211313399</c:v>
                </c:pt>
                <c:pt idx="306">
                  <c:v>0.38963288277229402</c:v>
                </c:pt>
                <c:pt idx="307">
                  <c:v>0.38777876545059198</c:v>
                </c:pt>
                <c:pt idx="308">
                  <c:v>0.38578314366277999</c:v>
                </c:pt>
                <c:pt idx="309">
                  <c:v>0.38364353292850201</c:v>
                </c:pt>
                <c:pt idx="310">
                  <c:v>0.38136026654744998</c:v>
                </c:pt>
                <c:pt idx="311">
                  <c:v>0.37893700149118997</c:v>
                </c:pt>
                <c:pt idx="312">
                  <c:v>0.37638122441506799</c:v>
                </c:pt>
                <c:pt idx="313">
                  <c:v>0.37370475778099799</c:v>
                </c:pt>
                <c:pt idx="314">
                  <c:v>0.37092426610148399</c:v>
                </c:pt>
                <c:pt idx="315">
                  <c:v>0.36806176230009402</c:v>
                </c:pt>
                <c:pt idx="316">
                  <c:v>0.36514511418325601</c:v>
                </c:pt>
                <c:pt idx="317">
                  <c:v>0.36220855103725802</c:v>
                </c:pt>
                <c:pt idx="318">
                  <c:v>0.35929317033219799</c:v>
                </c:pt>
                <c:pt idx="319">
                  <c:v>0.35644744455178601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8E-49AE-96BB-6B7282552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7537248"/>
        <c:axId val="1767538208"/>
      </c:scatterChart>
      <c:valAx>
        <c:axId val="176753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7538208"/>
        <c:crosses val="autoZero"/>
        <c:crossBetween val="midCat"/>
      </c:valAx>
      <c:valAx>
        <c:axId val="176753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753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SIGAx2_4</a:t>
            </a:r>
            <a:r>
              <a:rPr lang="ja-JP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点</a:t>
            </a:r>
            <a:endParaRPr lang="en-US" altLang="ja-JP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新・線形全比較!$AO$2:$AO$321</c:f>
              <c:numCache>
                <c:formatCode>0.00E+00</c:formatCode>
                <c:ptCount val="320"/>
                <c:pt idx="0">
                  <c:v>7.8125000000000004E-4</c:v>
                </c:pt>
                <c:pt idx="1">
                  <c:v>2.3437499999999999E-3</c:v>
                </c:pt>
                <c:pt idx="2">
                  <c:v>3.90625E-3</c:v>
                </c:pt>
                <c:pt idx="3">
                  <c:v>5.4687499999999997E-3</c:v>
                </c:pt>
                <c:pt idx="4">
                  <c:v>7.0312500000000002E-3</c:v>
                </c:pt>
                <c:pt idx="5">
                  <c:v>8.5937500000000007E-3</c:v>
                </c:pt>
                <c:pt idx="6">
                  <c:v>1.015625E-2</c:v>
                </c:pt>
                <c:pt idx="7">
                  <c:v>1.171875E-2</c:v>
                </c:pt>
                <c:pt idx="8">
                  <c:v>1.328125E-2</c:v>
                </c:pt>
                <c:pt idx="9">
                  <c:v>1.4843749999999999E-2</c:v>
                </c:pt>
                <c:pt idx="10">
                  <c:v>1.6406250000000001E-2</c:v>
                </c:pt>
                <c:pt idx="11">
                  <c:v>1.7968749999999999E-2</c:v>
                </c:pt>
                <c:pt idx="12">
                  <c:v>1.953125E-2</c:v>
                </c:pt>
                <c:pt idx="13">
                  <c:v>2.1093750000000001E-2</c:v>
                </c:pt>
                <c:pt idx="14">
                  <c:v>2.2656249999999999E-2</c:v>
                </c:pt>
                <c:pt idx="15">
                  <c:v>2.4218750000000001E-2</c:v>
                </c:pt>
                <c:pt idx="16">
                  <c:v>2.5781249999999999E-2</c:v>
                </c:pt>
                <c:pt idx="17">
                  <c:v>2.734375E-2</c:v>
                </c:pt>
                <c:pt idx="18">
                  <c:v>2.8906250000000001E-2</c:v>
                </c:pt>
                <c:pt idx="19">
                  <c:v>3.0468749999999999E-2</c:v>
                </c:pt>
                <c:pt idx="20">
                  <c:v>3.2031249999999997E-2</c:v>
                </c:pt>
                <c:pt idx="21">
                  <c:v>3.3593749999999999E-2</c:v>
                </c:pt>
                <c:pt idx="22">
                  <c:v>3.515625E-2</c:v>
                </c:pt>
                <c:pt idx="23">
                  <c:v>3.6718750000000001E-2</c:v>
                </c:pt>
                <c:pt idx="24">
                  <c:v>3.8281250000000003E-2</c:v>
                </c:pt>
                <c:pt idx="25">
                  <c:v>3.9843749999999997E-2</c:v>
                </c:pt>
                <c:pt idx="26">
                  <c:v>4.1406249999999999E-2</c:v>
                </c:pt>
                <c:pt idx="27">
                  <c:v>4.296875E-2</c:v>
                </c:pt>
                <c:pt idx="28">
                  <c:v>4.4531250000000001E-2</c:v>
                </c:pt>
                <c:pt idx="29">
                  <c:v>4.6093750000000003E-2</c:v>
                </c:pt>
                <c:pt idx="30">
                  <c:v>4.7656249999999997E-2</c:v>
                </c:pt>
                <c:pt idx="31">
                  <c:v>4.9218749999999999E-2</c:v>
                </c:pt>
                <c:pt idx="32">
                  <c:v>5.078125E-2</c:v>
                </c:pt>
                <c:pt idx="33">
                  <c:v>5.2343750000000001E-2</c:v>
                </c:pt>
                <c:pt idx="34">
                  <c:v>5.3906250000000003E-2</c:v>
                </c:pt>
                <c:pt idx="35">
                  <c:v>5.5468749999999997E-2</c:v>
                </c:pt>
                <c:pt idx="36">
                  <c:v>5.7031249999999999E-2</c:v>
                </c:pt>
                <c:pt idx="37">
                  <c:v>5.859375E-2</c:v>
                </c:pt>
                <c:pt idx="38">
                  <c:v>6.0156250000000001E-2</c:v>
                </c:pt>
                <c:pt idx="39">
                  <c:v>6.1718750000000003E-2</c:v>
                </c:pt>
                <c:pt idx="40">
                  <c:v>6.3281249999999997E-2</c:v>
                </c:pt>
                <c:pt idx="41">
                  <c:v>6.4843750000000006E-2</c:v>
                </c:pt>
                <c:pt idx="42">
                  <c:v>6.640625E-2</c:v>
                </c:pt>
                <c:pt idx="43">
                  <c:v>6.7968749999999994E-2</c:v>
                </c:pt>
                <c:pt idx="44">
                  <c:v>6.9531250000000003E-2</c:v>
                </c:pt>
                <c:pt idx="45">
                  <c:v>7.1093749999999997E-2</c:v>
                </c:pt>
                <c:pt idx="46">
                  <c:v>7.2656250000000006E-2</c:v>
                </c:pt>
                <c:pt idx="47">
                  <c:v>7.421875E-2</c:v>
                </c:pt>
                <c:pt idx="48">
                  <c:v>7.5781249999999994E-2</c:v>
                </c:pt>
                <c:pt idx="49">
                  <c:v>7.7343750000000003E-2</c:v>
                </c:pt>
                <c:pt idx="50">
                  <c:v>7.8906249999999997E-2</c:v>
                </c:pt>
                <c:pt idx="51">
                  <c:v>8.0468750000000006E-2</c:v>
                </c:pt>
                <c:pt idx="52">
                  <c:v>8.203125E-2</c:v>
                </c:pt>
                <c:pt idx="53">
                  <c:v>8.3593749999999994E-2</c:v>
                </c:pt>
                <c:pt idx="54">
                  <c:v>8.5156250000000003E-2</c:v>
                </c:pt>
                <c:pt idx="55">
                  <c:v>8.6718749999999997E-2</c:v>
                </c:pt>
                <c:pt idx="56">
                  <c:v>8.8281250000000006E-2</c:v>
                </c:pt>
                <c:pt idx="57">
                  <c:v>8.984375E-2</c:v>
                </c:pt>
                <c:pt idx="58">
                  <c:v>9.1406249999999994E-2</c:v>
                </c:pt>
                <c:pt idx="59">
                  <c:v>9.2968750000000003E-2</c:v>
                </c:pt>
                <c:pt idx="60">
                  <c:v>9.4531249999999997E-2</c:v>
                </c:pt>
                <c:pt idx="61">
                  <c:v>9.6093750000000006E-2</c:v>
                </c:pt>
                <c:pt idx="62">
                  <c:v>9.765625E-2</c:v>
                </c:pt>
                <c:pt idx="63">
                  <c:v>9.9218749999999994E-2</c:v>
                </c:pt>
                <c:pt idx="64">
                  <c:v>0.1007813</c:v>
                </c:pt>
                <c:pt idx="65">
                  <c:v>0.1023438</c:v>
                </c:pt>
                <c:pt idx="66">
                  <c:v>0.10390629999999999</c:v>
                </c:pt>
                <c:pt idx="67">
                  <c:v>0.1054688</c:v>
                </c:pt>
                <c:pt idx="68">
                  <c:v>0.1070313</c:v>
                </c:pt>
                <c:pt idx="69">
                  <c:v>0.1085938</c:v>
                </c:pt>
                <c:pt idx="70">
                  <c:v>0.1101563</c:v>
                </c:pt>
                <c:pt idx="71">
                  <c:v>0.11171879999999999</c:v>
                </c:pt>
                <c:pt idx="72">
                  <c:v>0.1132813</c:v>
                </c:pt>
                <c:pt idx="73">
                  <c:v>0.11484370000000001</c:v>
                </c:pt>
                <c:pt idx="74">
                  <c:v>0.1164063</c:v>
                </c:pt>
                <c:pt idx="75">
                  <c:v>0.1179687</c:v>
                </c:pt>
                <c:pt idx="76">
                  <c:v>0.11953129999999999</c:v>
                </c:pt>
                <c:pt idx="77">
                  <c:v>0.1210938</c:v>
                </c:pt>
                <c:pt idx="78">
                  <c:v>0.12265620000000001</c:v>
                </c:pt>
                <c:pt idx="79">
                  <c:v>0.1242188</c:v>
                </c:pt>
                <c:pt idx="80">
                  <c:v>0.12578130000000001</c:v>
                </c:pt>
                <c:pt idx="81">
                  <c:v>0.12734380000000001</c:v>
                </c:pt>
                <c:pt idx="82">
                  <c:v>0.1289062</c:v>
                </c:pt>
                <c:pt idx="83">
                  <c:v>0.13046869999999999</c:v>
                </c:pt>
                <c:pt idx="84">
                  <c:v>0.13203119999999999</c:v>
                </c:pt>
                <c:pt idx="85">
                  <c:v>0.13359380000000001</c:v>
                </c:pt>
                <c:pt idx="86">
                  <c:v>0.13515630000000001</c:v>
                </c:pt>
                <c:pt idx="87">
                  <c:v>0.1367188</c:v>
                </c:pt>
                <c:pt idx="88">
                  <c:v>0.13828119999999999</c:v>
                </c:pt>
                <c:pt idx="89">
                  <c:v>0.13984369999999999</c:v>
                </c:pt>
                <c:pt idx="90">
                  <c:v>0.14140630000000001</c:v>
                </c:pt>
                <c:pt idx="91">
                  <c:v>0.14296880000000001</c:v>
                </c:pt>
                <c:pt idx="92">
                  <c:v>0.1445312</c:v>
                </c:pt>
                <c:pt idx="93">
                  <c:v>0.14609369999999999</c:v>
                </c:pt>
                <c:pt idx="94">
                  <c:v>0.14765619999999999</c:v>
                </c:pt>
                <c:pt idx="95">
                  <c:v>0.14921880000000001</c:v>
                </c:pt>
                <c:pt idx="96">
                  <c:v>0.15078130000000001</c:v>
                </c:pt>
                <c:pt idx="97">
                  <c:v>0.1523438</c:v>
                </c:pt>
                <c:pt idx="98">
                  <c:v>0.1539063</c:v>
                </c:pt>
                <c:pt idx="99">
                  <c:v>0.15546869999999999</c:v>
                </c:pt>
                <c:pt idx="100">
                  <c:v>0.15703130000000001</c:v>
                </c:pt>
                <c:pt idx="101">
                  <c:v>0.15859380000000001</c:v>
                </c:pt>
                <c:pt idx="102">
                  <c:v>0.1601562</c:v>
                </c:pt>
                <c:pt idx="103">
                  <c:v>0.16171869999999999</c:v>
                </c:pt>
                <c:pt idx="104">
                  <c:v>0.16328119999999999</c:v>
                </c:pt>
                <c:pt idx="105">
                  <c:v>0.16484380000000001</c:v>
                </c:pt>
                <c:pt idx="106">
                  <c:v>0.16640630000000001</c:v>
                </c:pt>
                <c:pt idx="107">
                  <c:v>0.1679688</c:v>
                </c:pt>
                <c:pt idx="108">
                  <c:v>0.16953119999999999</c:v>
                </c:pt>
                <c:pt idx="109">
                  <c:v>0.17109369999999999</c:v>
                </c:pt>
                <c:pt idx="110">
                  <c:v>0.17265630000000001</c:v>
                </c:pt>
                <c:pt idx="111">
                  <c:v>0.17421880000000001</c:v>
                </c:pt>
                <c:pt idx="112">
                  <c:v>0.1757812</c:v>
                </c:pt>
                <c:pt idx="113">
                  <c:v>0.17734369999999999</c:v>
                </c:pt>
                <c:pt idx="114">
                  <c:v>0.17890619999999999</c:v>
                </c:pt>
                <c:pt idx="115">
                  <c:v>0.18046880000000001</c:v>
                </c:pt>
                <c:pt idx="116">
                  <c:v>0.18203130000000001</c:v>
                </c:pt>
                <c:pt idx="117">
                  <c:v>0.1835938</c:v>
                </c:pt>
                <c:pt idx="118">
                  <c:v>0.18515619999999999</c:v>
                </c:pt>
                <c:pt idx="119">
                  <c:v>0.18671869999999999</c:v>
                </c:pt>
                <c:pt idx="120">
                  <c:v>0.18828130000000001</c:v>
                </c:pt>
                <c:pt idx="121">
                  <c:v>0.18984380000000001</c:v>
                </c:pt>
                <c:pt idx="122">
                  <c:v>0.1914063</c:v>
                </c:pt>
                <c:pt idx="123">
                  <c:v>0.19296869999999999</c:v>
                </c:pt>
                <c:pt idx="124">
                  <c:v>0.19453129999999999</c:v>
                </c:pt>
                <c:pt idx="125">
                  <c:v>0.19609380000000001</c:v>
                </c:pt>
                <c:pt idx="126">
                  <c:v>0.19765630000000001</c:v>
                </c:pt>
                <c:pt idx="127">
                  <c:v>0.1992188</c:v>
                </c:pt>
                <c:pt idx="128">
                  <c:v>0.20078119999999999</c:v>
                </c:pt>
                <c:pt idx="129">
                  <c:v>0.20234369999999999</c:v>
                </c:pt>
                <c:pt idx="130">
                  <c:v>0.20390630000000001</c:v>
                </c:pt>
                <c:pt idx="131">
                  <c:v>0.20546880000000001</c:v>
                </c:pt>
                <c:pt idx="132">
                  <c:v>0.2070312</c:v>
                </c:pt>
                <c:pt idx="133">
                  <c:v>0.20859369999999999</c:v>
                </c:pt>
                <c:pt idx="134">
                  <c:v>0.21015629999999999</c:v>
                </c:pt>
                <c:pt idx="135">
                  <c:v>0.21171880000000001</c:v>
                </c:pt>
                <c:pt idx="136">
                  <c:v>0.21328130000000001</c:v>
                </c:pt>
                <c:pt idx="137">
                  <c:v>0.2148438</c:v>
                </c:pt>
                <c:pt idx="138">
                  <c:v>0.2164063</c:v>
                </c:pt>
                <c:pt idx="139">
                  <c:v>0.21796869999999999</c:v>
                </c:pt>
                <c:pt idx="140">
                  <c:v>0.21953130000000001</c:v>
                </c:pt>
                <c:pt idx="141">
                  <c:v>0.22109380000000001</c:v>
                </c:pt>
                <c:pt idx="142">
                  <c:v>0.2226563</c:v>
                </c:pt>
                <c:pt idx="143">
                  <c:v>0.22421869999999999</c:v>
                </c:pt>
                <c:pt idx="144">
                  <c:v>0.22578129999999999</c:v>
                </c:pt>
                <c:pt idx="145">
                  <c:v>0.22734380000000001</c:v>
                </c:pt>
                <c:pt idx="146">
                  <c:v>0.22890630000000001</c:v>
                </c:pt>
                <c:pt idx="147">
                  <c:v>0.2304688</c:v>
                </c:pt>
                <c:pt idx="148">
                  <c:v>0.2320313</c:v>
                </c:pt>
                <c:pt idx="149">
                  <c:v>0.23359369999999999</c:v>
                </c:pt>
                <c:pt idx="150">
                  <c:v>0.23515630000000001</c:v>
                </c:pt>
                <c:pt idx="151">
                  <c:v>0.23671880000000001</c:v>
                </c:pt>
                <c:pt idx="152">
                  <c:v>0.2382812</c:v>
                </c:pt>
                <c:pt idx="153">
                  <c:v>0.23984369999999999</c:v>
                </c:pt>
                <c:pt idx="154">
                  <c:v>0.24140629999999999</c:v>
                </c:pt>
                <c:pt idx="155">
                  <c:v>0.24296880000000001</c:v>
                </c:pt>
                <c:pt idx="156">
                  <c:v>0.24453130000000001</c:v>
                </c:pt>
                <c:pt idx="157">
                  <c:v>0.2460938</c:v>
                </c:pt>
                <c:pt idx="158">
                  <c:v>0.24765619999999999</c:v>
                </c:pt>
                <c:pt idx="159">
                  <c:v>0.24921869999999999</c:v>
                </c:pt>
                <c:pt idx="160">
                  <c:v>0.25078129999999998</c:v>
                </c:pt>
                <c:pt idx="161">
                  <c:v>0.2523437</c:v>
                </c:pt>
                <c:pt idx="162">
                  <c:v>0.25390620000000003</c:v>
                </c:pt>
                <c:pt idx="163">
                  <c:v>0.2554688</c:v>
                </c:pt>
                <c:pt idx="164">
                  <c:v>0.25703120000000002</c:v>
                </c:pt>
                <c:pt idx="165">
                  <c:v>0.25859379999999998</c:v>
                </c:pt>
                <c:pt idx="166">
                  <c:v>0.2601562</c:v>
                </c:pt>
                <c:pt idx="167">
                  <c:v>0.26171879999999997</c:v>
                </c:pt>
                <c:pt idx="168">
                  <c:v>0.2632813</c:v>
                </c:pt>
                <c:pt idx="169">
                  <c:v>0.26484370000000002</c:v>
                </c:pt>
                <c:pt idx="170">
                  <c:v>0.26640629999999998</c:v>
                </c:pt>
                <c:pt idx="171">
                  <c:v>0.2679687</c:v>
                </c:pt>
                <c:pt idx="172">
                  <c:v>0.26953120000000003</c:v>
                </c:pt>
                <c:pt idx="173">
                  <c:v>0.2710938</c:v>
                </c:pt>
                <c:pt idx="174">
                  <c:v>0.27265620000000002</c:v>
                </c:pt>
                <c:pt idx="175">
                  <c:v>0.27421879999999998</c:v>
                </c:pt>
                <c:pt idx="176">
                  <c:v>0.2757812</c:v>
                </c:pt>
                <c:pt idx="177">
                  <c:v>0.27734379999999997</c:v>
                </c:pt>
                <c:pt idx="178">
                  <c:v>0.2789063</c:v>
                </c:pt>
                <c:pt idx="179">
                  <c:v>0.28046870000000002</c:v>
                </c:pt>
                <c:pt idx="180">
                  <c:v>0.28203129999999998</c:v>
                </c:pt>
                <c:pt idx="181">
                  <c:v>0.2835937</c:v>
                </c:pt>
                <c:pt idx="182">
                  <c:v>0.28515620000000003</c:v>
                </c:pt>
                <c:pt idx="183">
                  <c:v>0.28671869999999999</c:v>
                </c:pt>
                <c:pt idx="184">
                  <c:v>0.28828120000000002</c:v>
                </c:pt>
                <c:pt idx="185">
                  <c:v>0.28984379999999998</c:v>
                </c:pt>
                <c:pt idx="186">
                  <c:v>0.2914062</c:v>
                </c:pt>
                <c:pt idx="187">
                  <c:v>0.29296879999999997</c:v>
                </c:pt>
                <c:pt idx="188">
                  <c:v>0.2945313</c:v>
                </c:pt>
                <c:pt idx="189">
                  <c:v>0.29609370000000002</c:v>
                </c:pt>
                <c:pt idx="190">
                  <c:v>0.29765629999999998</c:v>
                </c:pt>
                <c:pt idx="191">
                  <c:v>0.2992187</c:v>
                </c:pt>
                <c:pt idx="192">
                  <c:v>0.30078120000000003</c:v>
                </c:pt>
                <c:pt idx="193">
                  <c:v>0.30234369999999999</c:v>
                </c:pt>
                <c:pt idx="194">
                  <c:v>0.30390620000000002</c:v>
                </c:pt>
                <c:pt idx="195">
                  <c:v>0.30546879999999998</c:v>
                </c:pt>
                <c:pt idx="196">
                  <c:v>0.30703130000000001</c:v>
                </c:pt>
                <c:pt idx="197">
                  <c:v>0.30859379999999997</c:v>
                </c:pt>
                <c:pt idx="198">
                  <c:v>0.31015619999999999</c:v>
                </c:pt>
                <c:pt idx="199">
                  <c:v>0.31171870000000002</c:v>
                </c:pt>
                <c:pt idx="200">
                  <c:v>0.31328129999999998</c:v>
                </c:pt>
                <c:pt idx="201">
                  <c:v>0.3148437</c:v>
                </c:pt>
                <c:pt idx="202">
                  <c:v>0.31640620000000003</c:v>
                </c:pt>
                <c:pt idx="203">
                  <c:v>0.3179688</c:v>
                </c:pt>
                <c:pt idx="204">
                  <c:v>0.31953120000000002</c:v>
                </c:pt>
                <c:pt idx="205">
                  <c:v>0.32109379999999998</c:v>
                </c:pt>
                <c:pt idx="206">
                  <c:v>0.3226562</c:v>
                </c:pt>
                <c:pt idx="207">
                  <c:v>0.32421879999999997</c:v>
                </c:pt>
                <c:pt idx="208">
                  <c:v>0.3257813</c:v>
                </c:pt>
                <c:pt idx="209">
                  <c:v>0.32734370000000002</c:v>
                </c:pt>
                <c:pt idx="210">
                  <c:v>0.32890629999999998</c:v>
                </c:pt>
                <c:pt idx="211">
                  <c:v>0.3304687</c:v>
                </c:pt>
                <c:pt idx="212">
                  <c:v>0.33203120000000003</c:v>
                </c:pt>
                <c:pt idx="213">
                  <c:v>0.3335938</c:v>
                </c:pt>
                <c:pt idx="214">
                  <c:v>0.33515620000000002</c:v>
                </c:pt>
                <c:pt idx="215">
                  <c:v>0.33671879999999998</c:v>
                </c:pt>
                <c:pt idx="216">
                  <c:v>0.3382812</c:v>
                </c:pt>
                <c:pt idx="217">
                  <c:v>0.33984379999999997</c:v>
                </c:pt>
                <c:pt idx="218">
                  <c:v>0.34140619999999999</c:v>
                </c:pt>
                <c:pt idx="219">
                  <c:v>0.34296870000000002</c:v>
                </c:pt>
                <c:pt idx="220">
                  <c:v>0.34453129999999998</c:v>
                </c:pt>
                <c:pt idx="221">
                  <c:v>0.3460937</c:v>
                </c:pt>
                <c:pt idx="222">
                  <c:v>0.34765629999999997</c:v>
                </c:pt>
                <c:pt idx="223">
                  <c:v>0.3492188</c:v>
                </c:pt>
                <c:pt idx="224">
                  <c:v>0.35078120000000002</c:v>
                </c:pt>
                <c:pt idx="225">
                  <c:v>0.35234379999999998</c:v>
                </c:pt>
                <c:pt idx="226">
                  <c:v>0.3539062</c:v>
                </c:pt>
                <c:pt idx="227">
                  <c:v>0.35546879999999997</c:v>
                </c:pt>
                <c:pt idx="228">
                  <c:v>0.3570313</c:v>
                </c:pt>
                <c:pt idx="229">
                  <c:v>0.35859370000000002</c:v>
                </c:pt>
                <c:pt idx="230">
                  <c:v>0.36015629999999998</c:v>
                </c:pt>
                <c:pt idx="231">
                  <c:v>0.3617187</c:v>
                </c:pt>
                <c:pt idx="232">
                  <c:v>0.36328120000000003</c:v>
                </c:pt>
                <c:pt idx="233">
                  <c:v>0.3648438</c:v>
                </c:pt>
                <c:pt idx="234">
                  <c:v>0.36640620000000002</c:v>
                </c:pt>
                <c:pt idx="235">
                  <c:v>0.36796879999999998</c:v>
                </c:pt>
                <c:pt idx="236">
                  <c:v>0.3695312</c:v>
                </c:pt>
                <c:pt idx="237">
                  <c:v>0.37109379999999997</c:v>
                </c:pt>
                <c:pt idx="238">
                  <c:v>0.37265619999999999</c:v>
                </c:pt>
                <c:pt idx="239">
                  <c:v>0.37421870000000002</c:v>
                </c:pt>
                <c:pt idx="240">
                  <c:v>0.37578129999999998</c:v>
                </c:pt>
                <c:pt idx="241">
                  <c:v>0.3773437</c:v>
                </c:pt>
                <c:pt idx="242">
                  <c:v>0.37890620000000003</c:v>
                </c:pt>
                <c:pt idx="243">
                  <c:v>0.38046869999999999</c:v>
                </c:pt>
                <c:pt idx="244">
                  <c:v>0.38203120000000002</c:v>
                </c:pt>
                <c:pt idx="245">
                  <c:v>0.38359379999999998</c:v>
                </c:pt>
                <c:pt idx="246">
                  <c:v>0.3851562</c:v>
                </c:pt>
                <c:pt idx="247">
                  <c:v>0.38671879999999997</c:v>
                </c:pt>
                <c:pt idx="248">
                  <c:v>0.3882813</c:v>
                </c:pt>
                <c:pt idx="249">
                  <c:v>0.38984370000000002</c:v>
                </c:pt>
                <c:pt idx="250">
                  <c:v>0.39140629999999998</c:v>
                </c:pt>
                <c:pt idx="251">
                  <c:v>0.3929687</c:v>
                </c:pt>
                <c:pt idx="252">
                  <c:v>0.39453120000000003</c:v>
                </c:pt>
                <c:pt idx="253">
                  <c:v>0.3960938</c:v>
                </c:pt>
                <c:pt idx="254">
                  <c:v>0.39765620000000002</c:v>
                </c:pt>
                <c:pt idx="255">
                  <c:v>0.39921879999999998</c:v>
                </c:pt>
                <c:pt idx="256">
                  <c:v>0.4007812</c:v>
                </c:pt>
                <c:pt idx="257">
                  <c:v>0.40234379999999997</c:v>
                </c:pt>
                <c:pt idx="258">
                  <c:v>0.40390619999999999</c:v>
                </c:pt>
                <c:pt idx="259">
                  <c:v>0.40546870000000002</c:v>
                </c:pt>
                <c:pt idx="260">
                  <c:v>0.40703129999999998</c:v>
                </c:pt>
                <c:pt idx="261">
                  <c:v>0.4085937</c:v>
                </c:pt>
                <c:pt idx="262">
                  <c:v>0.41015620000000003</c:v>
                </c:pt>
                <c:pt idx="263">
                  <c:v>0.4117188</c:v>
                </c:pt>
                <c:pt idx="264">
                  <c:v>0.41328130000000002</c:v>
                </c:pt>
                <c:pt idx="265">
                  <c:v>0.41484379999999998</c:v>
                </c:pt>
                <c:pt idx="266">
                  <c:v>0.4164062</c:v>
                </c:pt>
                <c:pt idx="267">
                  <c:v>0.41796879999999997</c:v>
                </c:pt>
                <c:pt idx="268">
                  <c:v>0.4195313</c:v>
                </c:pt>
                <c:pt idx="269">
                  <c:v>0.42109370000000002</c:v>
                </c:pt>
                <c:pt idx="270">
                  <c:v>0.42265629999999998</c:v>
                </c:pt>
                <c:pt idx="271">
                  <c:v>0.4242187</c:v>
                </c:pt>
                <c:pt idx="272">
                  <c:v>0.42578120000000003</c:v>
                </c:pt>
                <c:pt idx="273">
                  <c:v>0.4273438</c:v>
                </c:pt>
                <c:pt idx="274">
                  <c:v>0.42890630000000002</c:v>
                </c:pt>
                <c:pt idx="275">
                  <c:v>0.43046879999999998</c:v>
                </c:pt>
                <c:pt idx="276">
                  <c:v>0.4320312</c:v>
                </c:pt>
                <c:pt idx="277">
                  <c:v>0.43359379999999997</c:v>
                </c:pt>
                <c:pt idx="278">
                  <c:v>0.4351563</c:v>
                </c:pt>
                <c:pt idx="279">
                  <c:v>0.43671870000000002</c:v>
                </c:pt>
                <c:pt idx="280">
                  <c:v>0.43828129999999998</c:v>
                </c:pt>
                <c:pt idx="281">
                  <c:v>0.4398437</c:v>
                </c:pt>
                <c:pt idx="282">
                  <c:v>0.44140629999999997</c:v>
                </c:pt>
                <c:pt idx="283">
                  <c:v>0.4429688</c:v>
                </c:pt>
                <c:pt idx="284">
                  <c:v>0.44453120000000002</c:v>
                </c:pt>
                <c:pt idx="285">
                  <c:v>0.44609379999999998</c:v>
                </c:pt>
                <c:pt idx="286">
                  <c:v>0.4476562</c:v>
                </c:pt>
                <c:pt idx="287">
                  <c:v>0.44921879999999997</c:v>
                </c:pt>
                <c:pt idx="288">
                  <c:v>0.4507813</c:v>
                </c:pt>
                <c:pt idx="289">
                  <c:v>0.45234370000000002</c:v>
                </c:pt>
                <c:pt idx="290">
                  <c:v>0.45390629999999998</c:v>
                </c:pt>
                <c:pt idx="291">
                  <c:v>0.45546880000000001</c:v>
                </c:pt>
                <c:pt idx="292">
                  <c:v>0.45703120000000003</c:v>
                </c:pt>
                <c:pt idx="293">
                  <c:v>0.4585938</c:v>
                </c:pt>
                <c:pt idx="294">
                  <c:v>0.46015620000000002</c:v>
                </c:pt>
                <c:pt idx="295">
                  <c:v>0.46171879999999998</c:v>
                </c:pt>
                <c:pt idx="296">
                  <c:v>0.4632812</c:v>
                </c:pt>
                <c:pt idx="297">
                  <c:v>0.46484379999999997</c:v>
                </c:pt>
                <c:pt idx="298">
                  <c:v>0.46640619999999999</c:v>
                </c:pt>
                <c:pt idx="299">
                  <c:v>0.46796870000000002</c:v>
                </c:pt>
                <c:pt idx="300">
                  <c:v>0.46953129999999998</c:v>
                </c:pt>
                <c:pt idx="301">
                  <c:v>0.47109380000000001</c:v>
                </c:pt>
                <c:pt idx="302">
                  <c:v>0.47265620000000003</c:v>
                </c:pt>
                <c:pt idx="303">
                  <c:v>0.4742188</c:v>
                </c:pt>
                <c:pt idx="304">
                  <c:v>0.47578120000000002</c:v>
                </c:pt>
                <c:pt idx="305">
                  <c:v>0.47734379999999998</c:v>
                </c:pt>
                <c:pt idx="306">
                  <c:v>0.4789062</c:v>
                </c:pt>
                <c:pt idx="307">
                  <c:v>0.48046879999999997</c:v>
                </c:pt>
                <c:pt idx="308">
                  <c:v>0.4820313</c:v>
                </c:pt>
                <c:pt idx="309">
                  <c:v>0.48359370000000002</c:v>
                </c:pt>
                <c:pt idx="310">
                  <c:v>0.48515629999999998</c:v>
                </c:pt>
                <c:pt idx="311">
                  <c:v>0.48671880000000001</c:v>
                </c:pt>
                <c:pt idx="312">
                  <c:v>0.48828120000000003</c:v>
                </c:pt>
                <c:pt idx="313">
                  <c:v>0.4898438</c:v>
                </c:pt>
                <c:pt idx="314">
                  <c:v>0.49140620000000002</c:v>
                </c:pt>
                <c:pt idx="315">
                  <c:v>0.49296879999999998</c:v>
                </c:pt>
                <c:pt idx="316">
                  <c:v>0.4945312</c:v>
                </c:pt>
                <c:pt idx="317">
                  <c:v>0.49609379999999997</c:v>
                </c:pt>
                <c:pt idx="318">
                  <c:v>0.4976563</c:v>
                </c:pt>
                <c:pt idx="319">
                  <c:v>0.49921880000000002</c:v>
                </c:pt>
              </c:numCache>
            </c:numRef>
          </c:xVal>
          <c:yVal>
            <c:numRef>
              <c:f>新・線形全比較!$AU$2:$AU$321</c:f>
              <c:numCache>
                <c:formatCode>0.00E+00</c:formatCode>
                <c:ptCount val="320"/>
                <c:pt idx="0">
                  <c:v>0.39922248705035202</c:v>
                </c:pt>
                <c:pt idx="1">
                  <c:v>0.39922412854096001</c:v>
                </c:pt>
                <c:pt idx="2">
                  <c:v>0.39922598083712202</c:v>
                </c:pt>
                <c:pt idx="3">
                  <c:v>0.39922804581689603</c:v>
                </c:pt>
                <c:pt idx="4">
                  <c:v>0.39923032537103598</c:v>
                </c:pt>
                <c:pt idx="5">
                  <c:v>0.39923282140359601</c:v>
                </c:pt>
                <c:pt idx="6">
                  <c:v>0.399235535828804</c:v>
                </c:pt>
                <c:pt idx="7">
                  <c:v>0.39923847057183398</c:v>
                </c:pt>
                <c:pt idx="8">
                  <c:v>0.39924162756749798</c:v>
                </c:pt>
                <c:pt idx="9">
                  <c:v>0.39924500875517399</c:v>
                </c:pt>
                <c:pt idx="10">
                  <c:v>0.39924861607828999</c:v>
                </c:pt>
                <c:pt idx="11">
                  <c:v>0.399252451482842</c:v>
                </c:pt>
                <c:pt idx="12">
                  <c:v>0.39925651690863201</c:v>
                </c:pt>
                <c:pt idx="13">
                  <c:v>0.399260814290754</c:v>
                </c:pt>
                <c:pt idx="14">
                  <c:v>0.399265345551714</c:v>
                </c:pt>
                <c:pt idx="15">
                  <c:v>0.39927011259777401</c:v>
                </c:pt>
                <c:pt idx="16">
                  <c:v>0.399275117314702</c:v>
                </c:pt>
                <c:pt idx="17">
                  <c:v>0.39928036155860802</c:v>
                </c:pt>
                <c:pt idx="18">
                  <c:v>0.399285847153248</c:v>
                </c:pt>
                <c:pt idx="19">
                  <c:v>0.39929157588130598</c:v>
                </c:pt>
                <c:pt idx="20">
                  <c:v>0.39930300277155001</c:v>
                </c:pt>
                <c:pt idx="21">
                  <c:v>0.39931990929875799</c:v>
                </c:pt>
                <c:pt idx="22">
                  <c:v>0.39933674832751997</c:v>
                </c:pt>
                <c:pt idx="23">
                  <c:v>0.39935351551306397</c:v>
                </c:pt>
                <c:pt idx="24">
                  <c:v>0.39937020659949402</c:v>
                </c:pt>
                <c:pt idx="25">
                  <c:v>0.39938681741990201</c:v>
                </c:pt>
                <c:pt idx="26">
                  <c:v>0.39940334389290399</c:v>
                </c:pt>
                <c:pt idx="27">
                  <c:v>0.39941978202080403</c:v>
                </c:pt>
                <c:pt idx="28">
                  <c:v>0.39943612788736199</c:v>
                </c:pt>
                <c:pt idx="29">
                  <c:v>0.39945237765526398</c:v>
                </c:pt>
                <c:pt idx="30">
                  <c:v>0.39946852756359402</c:v>
                </c:pt>
                <c:pt idx="31">
                  <c:v>0.39948457392508802</c:v>
                </c:pt>
                <c:pt idx="32">
                  <c:v>0.39950051312231799</c:v>
                </c:pt>
                <c:pt idx="33">
                  <c:v>0.39951634160542998</c:v>
                </c:pt>
                <c:pt idx="34">
                  <c:v>0.39953205588888402</c:v>
                </c:pt>
                <c:pt idx="35">
                  <c:v>0.39954765254714603</c:v>
                </c:pt>
                <c:pt idx="36">
                  <c:v>0.39956312821175</c:v>
                </c:pt>
                <c:pt idx="37">
                  <c:v>0.39957847956711001</c:v>
                </c:pt>
                <c:pt idx="38">
                  <c:v>0.39959370334656003</c:v>
                </c:pt>
                <c:pt idx="39">
                  <c:v>0.39960879632854202</c:v>
                </c:pt>
                <c:pt idx="40">
                  <c:v>0.39962225271318402</c:v>
                </c:pt>
                <c:pt idx="41">
                  <c:v>0.39963462962730201</c:v>
                </c:pt>
                <c:pt idx="42">
                  <c:v>0.39964766575792798</c:v>
                </c:pt>
                <c:pt idx="43">
                  <c:v>0.39966136865597801</c:v>
                </c:pt>
                <c:pt idx="44">
                  <c:v>0.39967574584059601</c:v>
                </c:pt>
                <c:pt idx="45">
                  <c:v>0.39969080479111802</c:v>
                </c:pt>
                <c:pt idx="46">
                  <c:v>0.39970655293933</c:v>
                </c:pt>
                <c:pt idx="47">
                  <c:v>0.39972299765639802</c:v>
                </c:pt>
                <c:pt idx="48">
                  <c:v>0.39974014624981202</c:v>
                </c:pt>
                <c:pt idx="49">
                  <c:v>0.39975800594938599</c:v>
                </c:pt>
                <c:pt idx="50">
                  <c:v>0.39977658390026999</c:v>
                </c:pt>
                <c:pt idx="51">
                  <c:v>0.39979588715369002</c:v>
                </c:pt>
                <c:pt idx="52">
                  <c:v>0.39981592265473798</c:v>
                </c:pt>
                <c:pt idx="53">
                  <c:v>0.39983669723688797</c:v>
                </c:pt>
                <c:pt idx="54">
                  <c:v>0.39985821760871998</c:v>
                </c:pt>
                <c:pt idx="55">
                  <c:v>0.39988049034501999</c:v>
                </c:pt>
                <c:pt idx="56">
                  <c:v>0.39990352187730599</c:v>
                </c:pt>
                <c:pt idx="57">
                  <c:v>0.39992731848278801</c:v>
                </c:pt>
                <c:pt idx="58">
                  <c:v>0.39995188627441602</c:v>
                </c:pt>
                <c:pt idx="59">
                  <c:v>0.39997723118988798</c:v>
                </c:pt>
                <c:pt idx="60">
                  <c:v>0.40005293942585801</c:v>
                </c:pt>
                <c:pt idx="61">
                  <c:v>0.40017485575193801</c:v>
                </c:pt>
                <c:pt idx="62">
                  <c:v>0.40029163048790001</c:v>
                </c:pt>
                <c:pt idx="63">
                  <c:v>0.40040319429918803</c:v>
                </c:pt>
                <c:pt idx="64">
                  <c:v>0.40045782611443997</c:v>
                </c:pt>
                <c:pt idx="65">
                  <c:v>0.40045998205716599</c:v>
                </c:pt>
                <c:pt idx="66">
                  <c:v>0.40046317346625399</c:v>
                </c:pt>
                <c:pt idx="67">
                  <c:v>0.40046741072118802</c:v>
                </c:pt>
                <c:pt idx="68">
                  <c:v>0.40047270400224799</c:v>
                </c:pt>
                <c:pt idx="69">
                  <c:v>0.40047906330397398</c:v>
                </c:pt>
                <c:pt idx="70">
                  <c:v>0.40048649845197798</c:v>
                </c:pt>
                <c:pt idx="71">
                  <c:v>0.40049501911694202</c:v>
                </c:pt>
                <c:pt idx="72">
                  <c:v>0.40050463482801002</c:v>
                </c:pt>
                <c:pt idx="73">
                  <c:v>0.400515354991346</c:v>
                </c:pt>
                <c:pt idx="74">
                  <c:v>0.40052718890083999</c:v>
                </c:pt>
                <c:pt idx="75">
                  <c:v>0.40054014575490599</c:v>
                </c:pt>
                <c:pt idx="76">
                  <c:v>0.40055423467059398</c:v>
                </c:pt>
                <c:pt idx="77">
                  <c:v>0.400569464695886</c:v>
                </c:pt>
                <c:pt idx="78">
                  <c:v>0.40058584482661203</c:v>
                </c:pt>
                <c:pt idx="79">
                  <c:v>0.40060338401873202</c:v>
                </c:pt>
                <c:pt idx="80">
                  <c:v>0.40063910723262802</c:v>
                </c:pt>
                <c:pt idx="81">
                  <c:v>0.40069211997414</c:v>
                </c:pt>
                <c:pt idx="82">
                  <c:v>0.40074503569215397</c:v>
                </c:pt>
                <c:pt idx="83">
                  <c:v>0.40079785393789202</c:v>
                </c:pt>
                <c:pt idx="84">
                  <c:v>0.400850574274352</c:v>
                </c:pt>
                <c:pt idx="85">
                  <c:v>0.40090319627446402</c:v>
                </c:pt>
                <c:pt idx="86">
                  <c:v>0.40095571951981801</c:v>
                </c:pt>
                <c:pt idx="87">
                  <c:v>0.40100814359995002</c:v>
                </c:pt>
                <c:pt idx="88">
                  <c:v>0.40106046810961399</c:v>
                </c:pt>
                <c:pt idx="89">
                  <c:v>0.40111269264663202</c:v>
                </c:pt>
                <c:pt idx="90">
                  <c:v>0.40116481681001398</c:v>
                </c:pt>
                <c:pt idx="91">
                  <c:v>0.40121684019637399</c:v>
                </c:pt>
                <c:pt idx="92">
                  <c:v>0.40126876239535603</c:v>
                </c:pt>
                <c:pt idx="93">
                  <c:v>0.40132058298811601</c:v>
                </c:pt>
                <c:pt idx="94">
                  <c:v>0.40137230154213399</c:v>
                </c:pt>
                <c:pt idx="95">
                  <c:v>0.40142391760617002</c:v>
                </c:pt>
                <c:pt idx="96">
                  <c:v>0.40147543070631198</c:v>
                </c:pt>
                <c:pt idx="97">
                  <c:v>0.40152684033992198</c:v>
                </c:pt>
                <c:pt idx="98">
                  <c:v>0.40157814597074998</c:v>
                </c:pt>
                <c:pt idx="99">
                  <c:v>0.40162934702220199</c:v>
                </c:pt>
                <c:pt idx="100">
                  <c:v>0.40168018858523602</c:v>
                </c:pt>
                <c:pt idx="101">
                  <c:v>0.40173059090422603</c:v>
                </c:pt>
                <c:pt idx="102">
                  <c:v>0.40178075750560199</c:v>
                </c:pt>
                <c:pt idx="103">
                  <c:v>0.401830665967008</c:v>
                </c:pt>
                <c:pt idx="104">
                  <c:v>0.401880294229088</c:v>
                </c:pt>
                <c:pt idx="105">
                  <c:v>0.40192962058431198</c:v>
                </c:pt>
                <c:pt idx="106">
                  <c:v>0.40197862366868597</c:v>
                </c:pt>
                <c:pt idx="107">
                  <c:v>0.40202728244876201</c:v>
                </c:pt>
                <c:pt idx="108">
                  <c:v>0.40207557621158202</c:v>
                </c:pt>
                <c:pt idx="109">
                  <c:v>0.402123484552044</c:v>
                </c:pt>
                <c:pt idx="110">
                  <c:v>0.40217098736281798</c:v>
                </c:pt>
                <c:pt idx="111">
                  <c:v>0.402218064820488</c:v>
                </c:pt>
                <c:pt idx="112">
                  <c:v>0.40226469737217202</c:v>
                </c:pt>
                <c:pt idx="113">
                  <c:v>0.40231086572386199</c:v>
                </c:pt>
                <c:pt idx="114">
                  <c:v>0.40235655082743998</c:v>
                </c:pt>
                <c:pt idx="115">
                  <c:v>0.402401733864172</c:v>
                </c:pt>
                <c:pt idx="116">
                  <c:v>0.402446396232852</c:v>
                </c:pt>
                <c:pt idx="117">
                  <c:v>0.40249051953394599</c:v>
                </c:pt>
                <c:pt idx="118">
                  <c:v>0.40253408555498799</c:v>
                </c:pt>
                <c:pt idx="119">
                  <c:v>0.40257707625546602</c:v>
                </c:pt>
                <c:pt idx="120">
                  <c:v>0.402611504408458</c:v>
                </c:pt>
                <c:pt idx="121">
                  <c:v>0.40263999848492998</c:v>
                </c:pt>
                <c:pt idx="122">
                  <c:v>0.40267168729971198</c:v>
                </c:pt>
                <c:pt idx="123">
                  <c:v>0.40270666408528799</c:v>
                </c:pt>
                <c:pt idx="124">
                  <c:v>0.40274502287587999</c:v>
                </c:pt>
                <c:pt idx="125">
                  <c:v>0.40278685850309198</c:v>
                </c:pt>
                <c:pt idx="126">
                  <c:v>0.40283226659177401</c:v>
                </c:pt>
                <c:pt idx="127">
                  <c:v>0.40288134355774002</c:v>
                </c:pt>
                <c:pt idx="128">
                  <c:v>0.40296120586449802</c:v>
                </c:pt>
                <c:pt idx="129">
                  <c:v>0.40306766891633999</c:v>
                </c:pt>
                <c:pt idx="130">
                  <c:v>0.40317191049657197</c:v>
                </c:pt>
                <c:pt idx="131">
                  <c:v>0.40327385577248798</c:v>
                </c:pt>
                <c:pt idx="132">
                  <c:v>0.40337343053291003</c:v>
                </c:pt>
                <c:pt idx="133">
                  <c:v>0.40347056130905001</c:v>
                </c:pt>
                <c:pt idx="134">
                  <c:v>0.40356517548978599</c:v>
                </c:pt>
                <c:pt idx="135">
                  <c:v>0.40365720143838602</c:v>
                </c:pt>
                <c:pt idx="136">
                  <c:v>0.40374656861258001</c:v>
                </c:pt>
                <c:pt idx="137">
                  <c:v>0.403833207681492</c:v>
                </c:pt>
                <c:pt idx="138">
                  <c:v>0.40391705064718603</c:v>
                </c:pt>
                <c:pt idx="139">
                  <c:v>0.40399803096346798</c:v>
                </c:pt>
                <c:pt idx="140">
                  <c:v>0.40405666737754597</c:v>
                </c:pt>
                <c:pt idx="141">
                  <c:v>0.404095539424906</c:v>
                </c:pt>
                <c:pt idx="142">
                  <c:v>0.404135142601044</c:v>
                </c:pt>
                <c:pt idx="143">
                  <c:v>0.40417548162084799</c:v>
                </c:pt>
                <c:pt idx="144">
                  <c:v>0.40421656100137399</c:v>
                </c:pt>
                <c:pt idx="145">
                  <c:v>0.40425838508545398</c:v>
                </c:pt>
                <c:pt idx="146">
                  <c:v>0.404300958064434</c:v>
                </c:pt>
                <c:pt idx="147">
                  <c:v>0.40434428400141198</c:v>
                </c:pt>
                <c:pt idx="148">
                  <c:v>0.40438836685226798</c:v>
                </c:pt>
                <c:pt idx="149">
                  <c:v>0.40443321048794401</c:v>
                </c:pt>
                <c:pt idx="150">
                  <c:v>0.404478818716068</c:v>
                </c:pt>
                <c:pt idx="151">
                  <c:v>0.40452519530290598</c:v>
                </c:pt>
                <c:pt idx="152">
                  <c:v>0.40457234398955599</c:v>
                </c:pt>
                <c:pt idx="153">
                  <c:v>0.40462026851802602</c:v>
                </c:pt>
                <c:pt idx="154">
                  <c:v>0.40466897264684798</c:v>
                </c:pt>
                <c:pt idx="155">
                  <c:v>0.404718460171622</c:v>
                </c:pt>
                <c:pt idx="156">
                  <c:v>0.40476873494461402</c:v>
                </c:pt>
                <c:pt idx="157">
                  <c:v>0.40481980089122799</c:v>
                </c:pt>
                <c:pt idx="158">
                  <c:v>0.40487166203071201</c:v>
                </c:pt>
                <c:pt idx="159">
                  <c:v>0.40492432249244598</c:v>
                </c:pt>
                <c:pt idx="160">
                  <c:v>0.40500262996396802</c:v>
                </c:pt>
                <c:pt idx="161">
                  <c:v>0.40510547557341797</c:v>
                </c:pt>
                <c:pt idx="162">
                  <c:v>0.40520755955251397</c:v>
                </c:pt>
                <c:pt idx="163">
                  <c:v>0.40530888321923803</c:v>
                </c:pt>
                <c:pt idx="164">
                  <c:v>0.40540944775083199</c:v>
                </c:pt>
                <c:pt idx="165">
                  <c:v>0.40550925420060402</c:v>
                </c:pt>
                <c:pt idx="166">
                  <c:v>0.40560830351729599</c:v>
                </c:pt>
                <c:pt idx="167">
                  <c:v>0.405706596560098</c:v>
                </c:pt>
                <c:pt idx="168">
                  <c:v>0.40580413411558802</c:v>
                </c:pt>
                <c:pt idx="169">
                  <c:v>0.405900916913844</c:v>
                </c:pt>
                <c:pt idx="170">
                  <c:v>0.40599694564365801</c:v>
                </c:pt>
                <c:pt idx="171">
                  <c:v>0.40609222096771802</c:v>
                </c:pt>
                <c:pt idx="172">
                  <c:v>0.40618674353617401</c:v>
                </c:pt>
                <c:pt idx="173">
                  <c:v>0.40628051400084397</c:v>
                </c:pt>
                <c:pt idx="174">
                  <c:v>0.406373533029742</c:v>
                </c:pt>
                <c:pt idx="175">
                  <c:v>0.40646580131825399</c:v>
                </c:pt>
                <c:pt idx="176">
                  <c:v>0.40655731960262398</c:v>
                </c:pt>
                <c:pt idx="177">
                  <c:v>0.40664808867047603</c:v>
                </c:pt>
                <c:pt idx="178">
                  <c:v>0.40673810937444999</c:v>
                </c:pt>
                <c:pt idx="179">
                  <c:v>0.40682738264180401</c:v>
                </c:pt>
                <c:pt idx="180">
                  <c:v>0.40687732169927998</c:v>
                </c:pt>
                <c:pt idx="181">
                  <c:v>0.40688870987491998</c:v>
                </c:pt>
                <c:pt idx="182">
                  <c:v>0.40690038182946597</c:v>
                </c:pt>
                <c:pt idx="183">
                  <c:v>0.40691224428696798</c:v>
                </c:pt>
                <c:pt idx="184">
                  <c:v>0.40692420622584202</c:v>
                </c:pt>
                <c:pt idx="185">
                  <c:v>0.40693617909957602</c:v>
                </c:pt>
                <c:pt idx="186">
                  <c:v>0.40694807705978803</c:v>
                </c:pt>
                <c:pt idx="187">
                  <c:v>0.40695981717510998</c:v>
                </c:pt>
                <c:pt idx="188">
                  <c:v>0.40697131965236599</c:v>
                </c:pt>
                <c:pt idx="189">
                  <c:v>0.40698250806055802</c:v>
                </c:pt>
                <c:pt idx="190">
                  <c:v>0.40699330954912599</c:v>
                </c:pt>
                <c:pt idx="191">
                  <c:v>0.40700365507292602</c:v>
                </c:pt>
                <c:pt idx="192">
                  <c:v>0.40708089807849801</c:v>
                </c:pt>
                <c:pt idx="193">
                  <c:v>0.407224507209072</c:v>
                </c:pt>
                <c:pt idx="194">
                  <c:v>0.40736693619641401</c:v>
                </c:pt>
                <c:pt idx="195">
                  <c:v>0.40750828148429002</c:v>
                </c:pt>
                <c:pt idx="196">
                  <c:v>0.40764863781948202</c:v>
                </c:pt>
                <c:pt idx="197">
                  <c:v>0.40778809896527801</c:v>
                </c:pt>
                <c:pt idx="198">
                  <c:v>0.40792675842458798</c:v>
                </c:pt>
                <c:pt idx="199">
                  <c:v>0.40806471015561602</c:v>
                </c:pt>
                <c:pt idx="200">
                  <c:v>0.40816813148525399</c:v>
                </c:pt>
                <c:pt idx="201">
                  <c:v>0.40823730753145399</c:v>
                </c:pt>
                <c:pt idx="202">
                  <c:v>0.40830621763365199</c:v>
                </c:pt>
                <c:pt idx="203">
                  <c:v>0.40837481657436198</c:v>
                </c:pt>
                <c:pt idx="204">
                  <c:v>0.40844305948733001</c:v>
                </c:pt>
                <c:pt idx="205">
                  <c:v>0.40851090197325202</c:v>
                </c:pt>
                <c:pt idx="206">
                  <c:v>0.40857830021658198</c:v>
                </c:pt>
                <c:pt idx="207">
                  <c:v>0.40864521110257401</c:v>
                </c:pt>
                <c:pt idx="208">
                  <c:v>0.40871159233239401</c:v>
                </c:pt>
                <c:pt idx="209">
                  <c:v>0.40877740253994399</c:v>
                </c:pt>
                <c:pt idx="210">
                  <c:v>0.408842601410082</c:v>
                </c:pt>
                <c:pt idx="211">
                  <c:v>0.40890714979197601</c:v>
                </c:pt>
                <c:pt idx="212">
                  <c:v>0.40897100981667001</c:v>
                </c:pt>
                <c:pt idx="213">
                  <c:v>0.409034145013148</c:v>
                </c:pt>
                <c:pt idx="214">
                  <c:v>0.40909652042339201</c:v>
                </c:pt>
                <c:pt idx="215">
                  <c:v>0.409158102719478</c:v>
                </c:pt>
                <c:pt idx="216">
                  <c:v>0.40921886031819799</c:v>
                </c:pt>
                <c:pt idx="217">
                  <c:v>0.40927876349738801</c:v>
                </c:pt>
                <c:pt idx="218">
                  <c:v>0.40933778451095199</c:v>
                </c:pt>
                <c:pt idx="219">
                  <c:v>0.40939589770500201</c:v>
                </c:pt>
                <c:pt idx="220">
                  <c:v>0.409446612680886</c:v>
                </c:pt>
                <c:pt idx="221">
                  <c:v>0.409489084547902</c:v>
                </c:pt>
                <c:pt idx="222">
                  <c:v>0.40952940526916398</c:v>
                </c:pt>
                <c:pt idx="223">
                  <c:v>0.409567534273586</c:v>
                </c:pt>
                <c:pt idx="224">
                  <c:v>0.40960343012092998</c:v>
                </c:pt>
                <c:pt idx="225">
                  <c:v>0.40963705052087801</c:v>
                </c:pt>
                <c:pt idx="226">
                  <c:v>0.409668352350746</c:v>
                </c:pt>
                <c:pt idx="227">
                  <c:v>0.40969729167095997</c:v>
                </c:pt>
                <c:pt idx="228">
                  <c:v>0.40972382374364202</c:v>
                </c:pt>
                <c:pt idx="229">
                  <c:v>0.40974790304977399</c:v>
                </c:pt>
                <c:pt idx="230">
                  <c:v>0.40976948330886198</c:v>
                </c:pt>
                <c:pt idx="231">
                  <c:v>0.40978851749517597</c:v>
                </c:pt>
                <c:pt idx="232">
                  <c:v>0.40980495785496601</c:v>
                </c:pt>
                <c:pt idx="233">
                  <c:v>0.40981875592714401</c:v>
                </c:pt>
                <c:pt idx="234">
                  <c:v>0.40982986255863202</c:v>
                </c:pt>
                <c:pt idx="235">
                  <c:v>0.40983822792644797</c:v>
                </c:pt>
                <c:pt idx="236">
                  <c:v>0.40984380155245997</c:v>
                </c:pt>
                <c:pt idx="237">
                  <c:v>0.40984653232241602</c:v>
                </c:pt>
                <c:pt idx="238">
                  <c:v>0.40984636850818201</c:v>
                </c:pt>
                <c:pt idx="239">
                  <c:v>0.40984325778238201</c:v>
                </c:pt>
                <c:pt idx="240">
                  <c:v>0.40989392878761199</c:v>
                </c:pt>
                <c:pt idx="241">
                  <c:v>0.40999970662734397</c:v>
                </c:pt>
                <c:pt idx="242">
                  <c:v>0.410104380180842</c:v>
                </c:pt>
                <c:pt idx="243">
                  <c:v>0.410207969535344</c:v>
                </c:pt>
                <c:pt idx="244">
                  <c:v>0.41031049841082801</c:v>
                </c:pt>
                <c:pt idx="245">
                  <c:v>0.41041199468255202</c:v>
                </c:pt>
                <c:pt idx="246">
                  <c:v>0.41051249090744601</c:v>
                </c:pt>
                <c:pt idx="247">
                  <c:v>0.41061202484625198</c:v>
                </c:pt>
                <c:pt idx="248">
                  <c:v>0.41071063998727197</c:v>
                </c:pt>
                <c:pt idx="249">
                  <c:v>0.410808386071914</c:v>
                </c:pt>
                <c:pt idx="250">
                  <c:v>0.41090531961737198</c:v>
                </c:pt>
                <c:pt idx="251">
                  <c:v>0.41100150444057199</c:v>
                </c:pt>
                <c:pt idx="252">
                  <c:v>0.41109701218012401</c:v>
                </c:pt>
                <c:pt idx="253">
                  <c:v>0.41119192282259598</c:v>
                </c:pt>
                <c:pt idx="254">
                  <c:v>0.41128632522229203</c:v>
                </c:pt>
                <c:pt idx="255">
                  <c:v>0.411380317628322</c:v>
                </c:pt>
                <c:pt idx="256">
                  <c:v>0.41115060589062802</c:v>
                </c:pt>
                <c:pt idx="257">
                  <c:v>0.41059479576020202</c:v>
                </c:pt>
                <c:pt idx="258">
                  <c:v>0.41003478460166798</c:v>
                </c:pt>
                <c:pt idx="259">
                  <c:v>0.409469941280452</c:v>
                </c:pt>
                <c:pt idx="260">
                  <c:v>0.40920719806861799</c:v>
                </c:pt>
                <c:pt idx="261">
                  <c:v>0.40924372403443998</c:v>
                </c:pt>
                <c:pt idx="262">
                  <c:v>0.40927088306208198</c:v>
                </c:pt>
                <c:pt idx="263">
                  <c:v>0.40928863663090198</c:v>
                </c:pt>
                <c:pt idx="264">
                  <c:v>0.40929694412453999</c:v>
                </c:pt>
                <c:pt idx="265">
                  <c:v>0.40929576450963601</c:v>
                </c:pt>
                <c:pt idx="266">
                  <c:v>0.40928505802187398</c:v>
                </c:pt>
                <c:pt idx="267">
                  <c:v>0.409264787842544</c:v>
                </c:pt>
                <c:pt idx="268">
                  <c:v>0.40923492178564602</c:v>
                </c:pt>
                <c:pt idx="269">
                  <c:v>0.40919543397626601</c:v>
                </c:pt>
                <c:pt idx="270">
                  <c:v>0.409146306536252</c:v>
                </c:pt>
                <c:pt idx="271">
                  <c:v>0.40908753126664199</c:v>
                </c:pt>
                <c:pt idx="272">
                  <c:v>0.409019111326202</c:v>
                </c:pt>
                <c:pt idx="273">
                  <c:v>0.40894106292312798</c:v>
                </c:pt>
                <c:pt idx="274">
                  <c:v>0.40885341699130201</c:v>
                </c:pt>
                <c:pt idx="275">
                  <c:v>0.40875622087767399</c:v>
                </c:pt>
                <c:pt idx="276">
                  <c:v>0.408649540025606</c:v>
                </c:pt>
                <c:pt idx="277">
                  <c:v>0.40853345965619398</c:v>
                </c:pt>
                <c:pt idx="278">
                  <c:v>0.408408086458876</c:v>
                </c:pt>
                <c:pt idx="279">
                  <c:v>0.40827355027074602</c:v>
                </c:pt>
                <c:pt idx="280">
                  <c:v>0.40801643922460001</c:v>
                </c:pt>
                <c:pt idx="281">
                  <c:v>0.40763580779012198</c:v>
                </c:pt>
                <c:pt idx="282">
                  <c:v>0.40724438401893598</c:v>
                </c:pt>
                <c:pt idx="283">
                  <c:v>0.40684162791627998</c:v>
                </c:pt>
                <c:pt idx="284">
                  <c:v>0.40642699724136599</c:v>
                </c:pt>
                <c:pt idx="285">
                  <c:v>0.405999970487262</c:v>
                </c:pt>
                <c:pt idx="286">
                  <c:v>0.40556006989572602</c:v>
                </c:pt>
                <c:pt idx="287">
                  <c:v>0.40510688452118798</c:v>
                </c:pt>
                <c:pt idx="288">
                  <c:v>0.40464009333655199</c:v>
                </c:pt>
                <c:pt idx="289">
                  <c:v>0.40415948838099203</c:v>
                </c:pt>
                <c:pt idx="290">
                  <c:v>0.40366499795674798</c:v>
                </c:pt>
                <c:pt idx="291">
                  <c:v>0.40315670985973601</c:v>
                </c:pt>
                <c:pt idx="292">
                  <c:v>0.40263489466198799</c:v>
                </c:pt>
                <c:pt idx="293">
                  <c:v>0.40210002903504</c:v>
                </c:pt>
                <c:pt idx="294">
                  <c:v>0.40155281911264601</c:v>
                </c:pt>
                <c:pt idx="295">
                  <c:v>0.40099422390637002</c:v>
                </c:pt>
                <c:pt idx="296">
                  <c:v>0.40042547875200002</c:v>
                </c:pt>
                <c:pt idx="297">
                  <c:v>0.39984811881187599</c:v>
                </c:pt>
                <c:pt idx="298">
                  <c:v>0.399264002612012</c:v>
                </c:pt>
                <c:pt idx="299">
                  <c:v>0.39867533562636998</c:v>
                </c:pt>
                <c:pt idx="300">
                  <c:v>0.39785136313671798</c:v>
                </c:pt>
                <c:pt idx="301">
                  <c:v>0.39673110832536002</c:v>
                </c:pt>
                <c:pt idx="302">
                  <c:v>0.39551569072346798</c:v>
                </c:pt>
                <c:pt idx="303">
                  <c:v>0.39419633941805998</c:v>
                </c:pt>
                <c:pt idx="304">
                  <c:v>0.39276406103068201</c:v>
                </c:pt>
                <c:pt idx="305">
                  <c:v>0.39121014459561998</c:v>
                </c:pt>
                <c:pt idx="306">
                  <c:v>0.389526666537578</c:v>
                </c:pt>
                <c:pt idx="307">
                  <c:v>0.387706995755696</c:v>
                </c:pt>
                <c:pt idx="308">
                  <c:v>0.38574629880340799</c:v>
                </c:pt>
                <c:pt idx="309">
                  <c:v>0.38364204518543399</c:v>
                </c:pt>
                <c:pt idx="310">
                  <c:v>0.381394512745798</c:v>
                </c:pt>
                <c:pt idx="311">
                  <c:v>0.37900729315343401</c:v>
                </c:pt>
                <c:pt idx="312">
                  <c:v>0.37648779751379202</c:v>
                </c:pt>
                <c:pt idx="313">
                  <c:v>0.37384776205727599</c:v>
                </c:pt>
                <c:pt idx="314">
                  <c:v>0.37110375394546002</c:v>
                </c:pt>
                <c:pt idx="315">
                  <c:v>0.36827767718501397</c:v>
                </c:pt>
                <c:pt idx="316">
                  <c:v>0.36539727861773402</c:v>
                </c:pt>
                <c:pt idx="317">
                  <c:v>0.36249665405793402</c:v>
                </c:pt>
                <c:pt idx="318">
                  <c:v>0.35961675447920999</c:v>
                </c:pt>
                <c:pt idx="319">
                  <c:v>0.35680589235747801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E2-4442-ABDB-DFA8AEF79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435328"/>
        <c:axId val="1805428128"/>
      </c:scatterChart>
      <c:valAx>
        <c:axId val="180543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5428128"/>
        <c:crosses val="autoZero"/>
        <c:crossBetween val="midCat"/>
      </c:valAx>
      <c:valAx>
        <c:axId val="180542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5435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final4!$F$3:$F$18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final4!$K$3:$K$18</c:f>
              <c:numCache>
                <c:formatCode>0.00E+00</c:formatCode>
                <c:ptCount val="16"/>
                <c:pt idx="0">
                  <c:v>28.540453037514101</c:v>
                </c:pt>
                <c:pt idx="1">
                  <c:v>28.508444737590601</c:v>
                </c:pt>
                <c:pt idx="2">
                  <c:v>28.271998617775399</c:v>
                </c:pt>
                <c:pt idx="3">
                  <c:v>27.946817762842201</c:v>
                </c:pt>
                <c:pt idx="4">
                  <c:v>27.609124170932699</c:v>
                </c:pt>
                <c:pt idx="5">
                  <c:v>27.109601787545301</c:v>
                </c:pt>
                <c:pt idx="6">
                  <c:v>26.476860792216701</c:v>
                </c:pt>
                <c:pt idx="7">
                  <c:v>25.909283937402002</c:v>
                </c:pt>
                <c:pt idx="8">
                  <c:v>25.151596121178201</c:v>
                </c:pt>
                <c:pt idx="9">
                  <c:v>24.030235293896801</c:v>
                </c:pt>
                <c:pt idx="10">
                  <c:v>23.305487386433601</c:v>
                </c:pt>
                <c:pt idx="11">
                  <c:v>22.265785519163899</c:v>
                </c:pt>
                <c:pt idx="12">
                  <c:v>20.328137981168702</c:v>
                </c:pt>
                <c:pt idx="13">
                  <c:v>19.0660499295943</c:v>
                </c:pt>
                <c:pt idx="14">
                  <c:v>17.5366665415551</c:v>
                </c:pt>
                <c:pt idx="15">
                  <c:v>12.0207936115662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2A-4585-839E-70A3A105E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7039"/>
        <c:axId val="924900719"/>
      </c:scatterChart>
      <c:valAx>
        <c:axId val="92491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0719"/>
        <c:crosses val="autoZero"/>
        <c:crossBetween val="midCat"/>
      </c:valAx>
      <c:valAx>
        <c:axId val="92490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final4!$F$20:$F$35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final4!$K$20:$K$35</c:f>
              <c:numCache>
                <c:formatCode>0.00E+00</c:formatCode>
                <c:ptCount val="16"/>
                <c:pt idx="0">
                  <c:v>28.603486166113299</c:v>
                </c:pt>
                <c:pt idx="1">
                  <c:v>28.521617598000802</c:v>
                </c:pt>
                <c:pt idx="2">
                  <c:v>28.3098657283096</c:v>
                </c:pt>
                <c:pt idx="3">
                  <c:v>28.443956782164399</c:v>
                </c:pt>
                <c:pt idx="4">
                  <c:v>27.655869884670601</c:v>
                </c:pt>
                <c:pt idx="5">
                  <c:v>27.1413942923921</c:v>
                </c:pt>
                <c:pt idx="6">
                  <c:v>27.1075780060672</c:v>
                </c:pt>
                <c:pt idx="7">
                  <c:v>25.930462069289501</c:v>
                </c:pt>
                <c:pt idx="8">
                  <c:v>25.0970483128824</c:v>
                </c:pt>
                <c:pt idx="9">
                  <c:v>24.510545385360199</c:v>
                </c:pt>
                <c:pt idx="10">
                  <c:v>23.529190844173201</c:v>
                </c:pt>
                <c:pt idx="11">
                  <c:v>22.192514809691001</c:v>
                </c:pt>
                <c:pt idx="12">
                  <c:v>21.0826885920515</c:v>
                </c:pt>
                <c:pt idx="13">
                  <c:v>17.984943326833999</c:v>
                </c:pt>
                <c:pt idx="14">
                  <c:v>18.382294082429201</c:v>
                </c:pt>
                <c:pt idx="15">
                  <c:v>10.382953285412601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D2-4DBD-9C13-E21EAD33F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4639"/>
        <c:axId val="924904559"/>
      </c:scatterChart>
      <c:valAx>
        <c:axId val="92491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4559"/>
        <c:crosses val="autoZero"/>
        <c:crossBetween val="midCat"/>
      </c:valAx>
      <c:valAx>
        <c:axId val="92490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final4!$F$37:$F$52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final4!$K$37:$K$52</c:f>
              <c:numCache>
                <c:formatCode>0.00E+00</c:formatCode>
                <c:ptCount val="16"/>
                <c:pt idx="0">
                  <c:v>28.240582255388698</c:v>
                </c:pt>
                <c:pt idx="1">
                  <c:v>28.175743073532399</c:v>
                </c:pt>
                <c:pt idx="2">
                  <c:v>27.963507839908601</c:v>
                </c:pt>
                <c:pt idx="3">
                  <c:v>28.091072533317998</c:v>
                </c:pt>
                <c:pt idx="4">
                  <c:v>27.309346029344901</c:v>
                </c:pt>
                <c:pt idx="5">
                  <c:v>26.774924801826199</c:v>
                </c:pt>
                <c:pt idx="6">
                  <c:v>26.7268961441345</c:v>
                </c:pt>
                <c:pt idx="7">
                  <c:v>25.553030896681701</c:v>
                </c:pt>
                <c:pt idx="8">
                  <c:v>24.750429286114102</c:v>
                </c:pt>
                <c:pt idx="9">
                  <c:v>24.1553782498472</c:v>
                </c:pt>
                <c:pt idx="10">
                  <c:v>23.1508463591672</c:v>
                </c:pt>
                <c:pt idx="11">
                  <c:v>21.663894072745599</c:v>
                </c:pt>
                <c:pt idx="12">
                  <c:v>21.119529854613699</c:v>
                </c:pt>
                <c:pt idx="13">
                  <c:v>17.616052103124499</c:v>
                </c:pt>
                <c:pt idx="14">
                  <c:v>18.8696665871365</c:v>
                </c:pt>
                <c:pt idx="15">
                  <c:v>10.311261893477401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2B-43CE-8647-FE0E79443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S-IGA no blending</c:v>
          </c:tx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squar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final4!$L$20:$L$35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final4!$M$20:$M$35</c:f>
              <c:numCache>
                <c:formatCode>0.00E+00</c:formatCode>
                <c:ptCount val="16"/>
                <c:pt idx="0">
                  <c:v>14.30174308305665</c:v>
                </c:pt>
                <c:pt idx="1">
                  <c:v>14.260808799000401</c:v>
                </c:pt>
                <c:pt idx="2">
                  <c:v>14.1549328641548</c:v>
                </c:pt>
                <c:pt idx="3">
                  <c:v>14.2219783910822</c:v>
                </c:pt>
                <c:pt idx="4">
                  <c:v>13.8279349423353</c:v>
                </c:pt>
                <c:pt idx="5">
                  <c:v>13.57069714619605</c:v>
                </c:pt>
                <c:pt idx="6">
                  <c:v>13.5537890030336</c:v>
                </c:pt>
                <c:pt idx="7">
                  <c:v>12.96523103464475</c:v>
                </c:pt>
                <c:pt idx="8">
                  <c:v>12.5485241564412</c:v>
                </c:pt>
                <c:pt idx="9">
                  <c:v>12.2552726926801</c:v>
                </c:pt>
                <c:pt idx="10">
                  <c:v>11.7645954220866</c:v>
                </c:pt>
                <c:pt idx="11">
                  <c:v>11.096257404845501</c:v>
                </c:pt>
                <c:pt idx="12">
                  <c:v>10.54134429602575</c:v>
                </c:pt>
                <c:pt idx="13">
                  <c:v>8.9924716634169997</c:v>
                </c:pt>
                <c:pt idx="14">
                  <c:v>9.1911470412146006</c:v>
                </c:pt>
                <c:pt idx="15">
                  <c:v>5.1914766427063004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AB-4F8C-9B69-187BDA0A91EE}"/>
            </c:ext>
          </c:extLst>
        </c:ser>
        <c:ser>
          <c:idx val="0"/>
          <c:order val="1"/>
          <c:tx>
            <c:v>S-IGA cubic</c:v>
          </c:tx>
          <c:spPr>
            <a:ln w="15875">
              <a:solidFill>
                <a:srgbClr val="00B0F0"/>
              </a:solidFill>
            </a:ln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final4!$L$37:$L$52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final4!$M$37:$M$52</c:f>
              <c:numCache>
                <c:formatCode>0.00E+00</c:formatCode>
                <c:ptCount val="16"/>
                <c:pt idx="0">
                  <c:v>14.120291127694349</c:v>
                </c:pt>
                <c:pt idx="1">
                  <c:v>14.087871536766199</c:v>
                </c:pt>
                <c:pt idx="2">
                  <c:v>13.981753919954301</c:v>
                </c:pt>
                <c:pt idx="3">
                  <c:v>14.045536266658999</c:v>
                </c:pt>
                <c:pt idx="4">
                  <c:v>13.654673014672451</c:v>
                </c:pt>
                <c:pt idx="5">
                  <c:v>13.387462400913099</c:v>
                </c:pt>
                <c:pt idx="6">
                  <c:v>13.36344807206725</c:v>
                </c:pt>
                <c:pt idx="7">
                  <c:v>12.776515448340851</c:v>
                </c:pt>
                <c:pt idx="8">
                  <c:v>12.375214643057051</c:v>
                </c:pt>
                <c:pt idx="9">
                  <c:v>12.0776891249236</c:v>
                </c:pt>
                <c:pt idx="10">
                  <c:v>11.5754231795836</c:v>
                </c:pt>
                <c:pt idx="11">
                  <c:v>10.831947036372799</c:v>
                </c:pt>
                <c:pt idx="12">
                  <c:v>10.559764927306849</c:v>
                </c:pt>
                <c:pt idx="13">
                  <c:v>8.8080260515622495</c:v>
                </c:pt>
                <c:pt idx="14">
                  <c:v>9.43483329356825</c:v>
                </c:pt>
                <c:pt idx="15">
                  <c:v>5.1556309467387003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AB-4F8C-9B69-187BDA0A91EE}"/>
            </c:ext>
          </c:extLst>
        </c:ser>
        <c:ser>
          <c:idx val="1"/>
          <c:order val="2"/>
          <c:tx>
            <c:v>IGA</c:v>
          </c:tx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final4!$L$3:$L$18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final4!$M$3:$M$18</c:f>
              <c:numCache>
                <c:formatCode>0.00E+00</c:formatCode>
                <c:ptCount val="16"/>
                <c:pt idx="0">
                  <c:v>14.270226518757051</c:v>
                </c:pt>
                <c:pt idx="1">
                  <c:v>14.2542223687953</c:v>
                </c:pt>
                <c:pt idx="2">
                  <c:v>14.135999308887699</c:v>
                </c:pt>
                <c:pt idx="3">
                  <c:v>13.973408881421101</c:v>
                </c:pt>
                <c:pt idx="4">
                  <c:v>13.804562085466349</c:v>
                </c:pt>
                <c:pt idx="5">
                  <c:v>13.554800893772651</c:v>
                </c:pt>
                <c:pt idx="6">
                  <c:v>13.238430396108351</c:v>
                </c:pt>
                <c:pt idx="7">
                  <c:v>12.954641968701001</c:v>
                </c:pt>
                <c:pt idx="8">
                  <c:v>12.575798060589101</c:v>
                </c:pt>
                <c:pt idx="9">
                  <c:v>12.015117646948401</c:v>
                </c:pt>
                <c:pt idx="10">
                  <c:v>11.6527436932168</c:v>
                </c:pt>
                <c:pt idx="11">
                  <c:v>11.132892759581949</c:v>
                </c:pt>
                <c:pt idx="12">
                  <c:v>10.164068990584351</c:v>
                </c:pt>
                <c:pt idx="13">
                  <c:v>9.5330249647971499</c:v>
                </c:pt>
                <c:pt idx="14">
                  <c:v>8.7683332707775499</c:v>
                </c:pt>
                <c:pt idx="15">
                  <c:v>6.0103968057830999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AB-4F8C-9B69-187BDA0A9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77117224713"/>
          <c:y val="0.46835281249615945"/>
          <c:w val="0.37495841653448941"/>
          <c:h val="0.30535188803816904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S-IGA no blending</c:v>
          </c:tx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squar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final4!$L$20:$L$35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final4!$M$20:$M$35</c:f>
              <c:numCache>
                <c:formatCode>0.00E+00</c:formatCode>
                <c:ptCount val="16"/>
                <c:pt idx="0">
                  <c:v>14.30174308305665</c:v>
                </c:pt>
                <c:pt idx="1">
                  <c:v>14.260808799000401</c:v>
                </c:pt>
                <c:pt idx="2">
                  <c:v>14.1549328641548</c:v>
                </c:pt>
                <c:pt idx="3">
                  <c:v>14.2219783910822</c:v>
                </c:pt>
                <c:pt idx="4">
                  <c:v>13.8279349423353</c:v>
                </c:pt>
                <c:pt idx="5">
                  <c:v>13.57069714619605</c:v>
                </c:pt>
                <c:pt idx="6">
                  <c:v>13.5537890030336</c:v>
                </c:pt>
                <c:pt idx="7">
                  <c:v>12.96523103464475</c:v>
                </c:pt>
                <c:pt idx="8">
                  <c:v>12.5485241564412</c:v>
                </c:pt>
                <c:pt idx="9">
                  <c:v>12.2552726926801</c:v>
                </c:pt>
                <c:pt idx="10">
                  <c:v>11.7645954220866</c:v>
                </c:pt>
                <c:pt idx="11">
                  <c:v>11.096257404845501</c:v>
                </c:pt>
                <c:pt idx="12">
                  <c:v>10.54134429602575</c:v>
                </c:pt>
                <c:pt idx="13">
                  <c:v>8.9924716634169997</c:v>
                </c:pt>
                <c:pt idx="14">
                  <c:v>9.1911470412146006</c:v>
                </c:pt>
                <c:pt idx="15">
                  <c:v>5.1914766427063004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77-43FA-A2E3-B97822FEAAB1}"/>
            </c:ext>
          </c:extLst>
        </c:ser>
        <c:ser>
          <c:idx val="0"/>
          <c:order val="1"/>
          <c:tx>
            <c:v>S-IGA cubic</c:v>
          </c:tx>
          <c:spPr>
            <a:ln w="15875">
              <a:solidFill>
                <a:srgbClr val="00B0F0"/>
              </a:solidFill>
            </a:ln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final4!$L$37:$L$52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final4!$M$37:$M$52</c:f>
              <c:numCache>
                <c:formatCode>0.00E+00</c:formatCode>
                <c:ptCount val="16"/>
                <c:pt idx="0">
                  <c:v>14.120291127694349</c:v>
                </c:pt>
                <c:pt idx="1">
                  <c:v>14.087871536766199</c:v>
                </c:pt>
                <c:pt idx="2">
                  <c:v>13.981753919954301</c:v>
                </c:pt>
                <c:pt idx="3">
                  <c:v>14.045536266658999</c:v>
                </c:pt>
                <c:pt idx="4">
                  <c:v>13.654673014672451</c:v>
                </c:pt>
                <c:pt idx="5">
                  <c:v>13.387462400913099</c:v>
                </c:pt>
                <c:pt idx="6">
                  <c:v>13.36344807206725</c:v>
                </c:pt>
                <c:pt idx="7">
                  <c:v>12.776515448340851</c:v>
                </c:pt>
                <c:pt idx="8">
                  <c:v>12.375214643057051</c:v>
                </c:pt>
                <c:pt idx="9">
                  <c:v>12.0776891249236</c:v>
                </c:pt>
                <c:pt idx="10">
                  <c:v>11.5754231795836</c:v>
                </c:pt>
                <c:pt idx="11">
                  <c:v>10.831947036372799</c:v>
                </c:pt>
                <c:pt idx="12">
                  <c:v>10.559764927306849</c:v>
                </c:pt>
                <c:pt idx="13">
                  <c:v>8.8080260515622495</c:v>
                </c:pt>
                <c:pt idx="14">
                  <c:v>9.43483329356825</c:v>
                </c:pt>
                <c:pt idx="15">
                  <c:v>5.1556309467387003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77-43FA-A2E3-B97822FEAAB1}"/>
            </c:ext>
          </c:extLst>
        </c:ser>
        <c:ser>
          <c:idx val="1"/>
          <c:order val="2"/>
          <c:tx>
            <c:v>IGA</c:v>
          </c:tx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final4!$L$3:$L$18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final4!$M$3:$M$18</c:f>
              <c:numCache>
                <c:formatCode>0.00E+00</c:formatCode>
                <c:ptCount val="16"/>
                <c:pt idx="0">
                  <c:v>14.270226518757051</c:v>
                </c:pt>
                <c:pt idx="1">
                  <c:v>14.2542223687953</c:v>
                </c:pt>
                <c:pt idx="2">
                  <c:v>14.135999308887699</c:v>
                </c:pt>
                <c:pt idx="3">
                  <c:v>13.973408881421101</c:v>
                </c:pt>
                <c:pt idx="4">
                  <c:v>13.804562085466349</c:v>
                </c:pt>
                <c:pt idx="5">
                  <c:v>13.554800893772651</c:v>
                </c:pt>
                <c:pt idx="6">
                  <c:v>13.238430396108351</c:v>
                </c:pt>
                <c:pt idx="7">
                  <c:v>12.954641968701001</c:v>
                </c:pt>
                <c:pt idx="8">
                  <c:v>12.575798060589101</c:v>
                </c:pt>
                <c:pt idx="9">
                  <c:v>12.015117646948401</c:v>
                </c:pt>
                <c:pt idx="10">
                  <c:v>11.6527436932168</c:v>
                </c:pt>
                <c:pt idx="11">
                  <c:v>11.132892759581949</c:v>
                </c:pt>
                <c:pt idx="12">
                  <c:v>10.164068990584351</c:v>
                </c:pt>
                <c:pt idx="13">
                  <c:v>9.5330249647971499</c:v>
                </c:pt>
                <c:pt idx="14">
                  <c:v>8.7683332707775499</c:v>
                </c:pt>
                <c:pt idx="15">
                  <c:v>6.0103968057830999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77-43FA-A2E3-B97822FEAAB1}"/>
            </c:ext>
          </c:extLst>
        </c:ser>
        <c:ser>
          <c:idx val="3"/>
          <c:order val="3"/>
          <c:tx>
            <c:v>FEM</c:v>
          </c:tx>
          <c:spPr>
            <a:ln w="15875">
              <a:solidFill>
                <a:schemeClr val="tx1"/>
              </a:solidFill>
            </a:ln>
          </c:spPr>
          <c:marker>
            <c:symbol val="x"/>
            <c:size val="8"/>
            <c:spPr>
              <a:ln>
                <a:solidFill>
                  <a:schemeClr val="tx1"/>
                </a:solidFill>
              </a:ln>
            </c:spPr>
          </c:marker>
          <c:xVal>
            <c:numRef>
              <c:f>final4!$AF$14:$AF$46</c:f>
              <c:numCache>
                <c:formatCode>0.00E+00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final4!$AG$14:$AG$46</c:f>
              <c:numCache>
                <c:formatCode>0.00E+00</c:formatCode>
                <c:ptCount val="33"/>
                <c:pt idx="0">
                  <c:v>13.5907</c:v>
                </c:pt>
                <c:pt idx="1">
                  <c:v>13.579800000000001</c:v>
                </c:pt>
                <c:pt idx="2">
                  <c:v>13.5688</c:v>
                </c:pt>
                <c:pt idx="3">
                  <c:v>13.5359</c:v>
                </c:pt>
                <c:pt idx="4">
                  <c:v>13.5031</c:v>
                </c:pt>
                <c:pt idx="5">
                  <c:v>13.4482</c:v>
                </c:pt>
                <c:pt idx="6">
                  <c:v>13.3934</c:v>
                </c:pt>
                <c:pt idx="7">
                  <c:v>13.316599999999999</c:v>
                </c:pt>
                <c:pt idx="8">
                  <c:v>13.239699999999999</c:v>
                </c:pt>
                <c:pt idx="9">
                  <c:v>13.140700000000001</c:v>
                </c:pt>
                <c:pt idx="10">
                  <c:v>13.041700000000001</c:v>
                </c:pt>
                <c:pt idx="11">
                  <c:v>12.920199999999999</c:v>
                </c:pt>
                <c:pt idx="12">
                  <c:v>12.7987</c:v>
                </c:pt>
                <c:pt idx="13">
                  <c:v>12.6541</c:v>
                </c:pt>
                <c:pt idx="14">
                  <c:v>12.509499999999999</c:v>
                </c:pt>
                <c:pt idx="15">
                  <c:v>12.3408</c:v>
                </c:pt>
                <c:pt idx="16">
                  <c:v>12.1722</c:v>
                </c:pt>
                <c:pt idx="17">
                  <c:v>11.978400000000001</c:v>
                </c:pt>
                <c:pt idx="18">
                  <c:v>11.784599999999999</c:v>
                </c:pt>
                <c:pt idx="19">
                  <c:v>11.5633</c:v>
                </c:pt>
                <c:pt idx="20">
                  <c:v>11.342000000000001</c:v>
                </c:pt>
                <c:pt idx="21">
                  <c:v>11.0878</c:v>
                </c:pt>
                <c:pt idx="22">
                  <c:v>10.833600000000001</c:v>
                </c:pt>
                <c:pt idx="23">
                  <c:v>10.535399999999999</c:v>
                </c:pt>
                <c:pt idx="24">
                  <c:v>10.2372</c:v>
                </c:pt>
                <c:pt idx="25">
                  <c:v>9.8813800000000001</c:v>
                </c:pt>
                <c:pt idx="26">
                  <c:v>9.5255299999999998</c:v>
                </c:pt>
                <c:pt idx="27">
                  <c:v>9.1795799999999996</c:v>
                </c:pt>
                <c:pt idx="28">
                  <c:v>8.8336199999999998</c:v>
                </c:pt>
                <c:pt idx="29">
                  <c:v>7.9292999999999996</c:v>
                </c:pt>
                <c:pt idx="30">
                  <c:v>7.0249800000000002</c:v>
                </c:pt>
                <c:pt idx="31">
                  <c:v>6.2415000000000003</c:v>
                </c:pt>
                <c:pt idx="32">
                  <c:v>5.4580200000000003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77-43FA-A2E3-B97822FEA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68576245595"/>
          <c:y val="0.4055893426403932"/>
          <c:w val="0.38326658891201126"/>
          <c:h val="0.3851994905351166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40"/>
            <c:dispRSqr val="0"/>
            <c:dispEq val="0"/>
          </c:trendline>
          <c:xVal>
            <c:numRef>
              <c:f>[1]Sheet1!$W$1:$W$320</c:f>
              <c:numCache>
                <c:formatCode>General</c:formatCode>
                <c:ptCount val="320"/>
                <c:pt idx="0">
                  <c:v>1.5625000000000001E-3</c:v>
                </c:pt>
                <c:pt idx="1">
                  <c:v>4.6874999999999998E-3</c:v>
                </c:pt>
                <c:pt idx="2">
                  <c:v>7.8125E-3</c:v>
                </c:pt>
                <c:pt idx="3">
                  <c:v>1.0937499999999999E-2</c:v>
                </c:pt>
                <c:pt idx="4">
                  <c:v>1.40625E-2</c:v>
                </c:pt>
                <c:pt idx="5">
                  <c:v>1.7187500000000001E-2</c:v>
                </c:pt>
                <c:pt idx="6">
                  <c:v>2.0312500000000001E-2</c:v>
                </c:pt>
                <c:pt idx="7">
                  <c:v>2.34375E-2</c:v>
                </c:pt>
                <c:pt idx="8">
                  <c:v>2.6562499999999999E-2</c:v>
                </c:pt>
                <c:pt idx="9">
                  <c:v>2.9687499999999999E-2</c:v>
                </c:pt>
                <c:pt idx="10">
                  <c:v>3.2812500000000001E-2</c:v>
                </c:pt>
                <c:pt idx="11">
                  <c:v>3.5937499999999997E-2</c:v>
                </c:pt>
                <c:pt idx="12">
                  <c:v>3.90625E-2</c:v>
                </c:pt>
                <c:pt idx="13">
                  <c:v>4.2187500000000003E-2</c:v>
                </c:pt>
                <c:pt idx="14">
                  <c:v>4.5312499999999999E-2</c:v>
                </c:pt>
                <c:pt idx="15">
                  <c:v>4.8437500000000001E-2</c:v>
                </c:pt>
                <c:pt idx="16">
                  <c:v>5.1562499999999997E-2</c:v>
                </c:pt>
                <c:pt idx="17">
                  <c:v>5.46875E-2</c:v>
                </c:pt>
                <c:pt idx="18">
                  <c:v>5.7812500000000003E-2</c:v>
                </c:pt>
                <c:pt idx="19">
                  <c:v>6.0937499999999999E-2</c:v>
                </c:pt>
                <c:pt idx="20">
                  <c:v>6.4062499999999994E-2</c:v>
                </c:pt>
                <c:pt idx="21">
                  <c:v>6.7187499999999997E-2</c:v>
                </c:pt>
                <c:pt idx="22">
                  <c:v>7.03125E-2</c:v>
                </c:pt>
                <c:pt idx="23">
                  <c:v>7.3437500000000003E-2</c:v>
                </c:pt>
                <c:pt idx="24">
                  <c:v>7.6562500000000006E-2</c:v>
                </c:pt>
                <c:pt idx="25">
                  <c:v>7.9687499999999994E-2</c:v>
                </c:pt>
                <c:pt idx="26">
                  <c:v>8.2812499999999997E-2</c:v>
                </c:pt>
                <c:pt idx="27">
                  <c:v>8.59375E-2</c:v>
                </c:pt>
                <c:pt idx="28">
                  <c:v>8.9062500000000003E-2</c:v>
                </c:pt>
                <c:pt idx="29">
                  <c:v>9.2187500000000006E-2</c:v>
                </c:pt>
                <c:pt idx="30">
                  <c:v>9.5312499999999994E-2</c:v>
                </c:pt>
                <c:pt idx="31">
                  <c:v>9.8437499999999997E-2</c:v>
                </c:pt>
                <c:pt idx="32">
                  <c:v>0.1015625</c:v>
                </c:pt>
                <c:pt idx="33">
                  <c:v>0.1046875</c:v>
                </c:pt>
                <c:pt idx="34">
                  <c:v>0.10781250000000001</c:v>
                </c:pt>
                <c:pt idx="35">
                  <c:v>0.11093749999999999</c:v>
                </c:pt>
                <c:pt idx="36">
                  <c:v>0.1140625</c:v>
                </c:pt>
                <c:pt idx="37">
                  <c:v>0.1171875</c:v>
                </c:pt>
                <c:pt idx="38">
                  <c:v>0.1203125</c:v>
                </c:pt>
                <c:pt idx="39">
                  <c:v>0.12343750000000001</c:v>
                </c:pt>
                <c:pt idx="40">
                  <c:v>0.12656249999999999</c:v>
                </c:pt>
                <c:pt idx="41">
                  <c:v>0.12968750000000001</c:v>
                </c:pt>
                <c:pt idx="42">
                  <c:v>0.1328125</c:v>
                </c:pt>
                <c:pt idx="43">
                  <c:v>0.13593749999999999</c:v>
                </c:pt>
                <c:pt idx="44">
                  <c:v>0.13906250000000001</c:v>
                </c:pt>
                <c:pt idx="45">
                  <c:v>0.14218749999999999</c:v>
                </c:pt>
                <c:pt idx="46">
                  <c:v>0.14531250000000001</c:v>
                </c:pt>
                <c:pt idx="47">
                  <c:v>0.1484375</c:v>
                </c:pt>
                <c:pt idx="48">
                  <c:v>0.15156249999999999</c:v>
                </c:pt>
                <c:pt idx="49">
                  <c:v>0.15468750000000001</c:v>
                </c:pt>
                <c:pt idx="50">
                  <c:v>0.15781249999999999</c:v>
                </c:pt>
                <c:pt idx="51">
                  <c:v>0.16093750000000001</c:v>
                </c:pt>
                <c:pt idx="52">
                  <c:v>0.1640625</c:v>
                </c:pt>
                <c:pt idx="53">
                  <c:v>0.16718749999999999</c:v>
                </c:pt>
                <c:pt idx="54">
                  <c:v>0.17031250000000001</c:v>
                </c:pt>
                <c:pt idx="55">
                  <c:v>0.17343749999999999</c:v>
                </c:pt>
                <c:pt idx="56">
                  <c:v>0.17656250000000001</c:v>
                </c:pt>
                <c:pt idx="57">
                  <c:v>0.1796875</c:v>
                </c:pt>
                <c:pt idx="58">
                  <c:v>0.18281249999999999</c:v>
                </c:pt>
                <c:pt idx="59">
                  <c:v>0.18593750000000001</c:v>
                </c:pt>
                <c:pt idx="60">
                  <c:v>0.18906249999999999</c:v>
                </c:pt>
                <c:pt idx="61">
                  <c:v>0.19218750000000001</c:v>
                </c:pt>
                <c:pt idx="62">
                  <c:v>0.1953125</c:v>
                </c:pt>
                <c:pt idx="63">
                  <c:v>0.19843749999999999</c:v>
                </c:pt>
                <c:pt idx="64">
                  <c:v>0.20156260000000001</c:v>
                </c:pt>
                <c:pt idx="65">
                  <c:v>0.2046876</c:v>
                </c:pt>
                <c:pt idx="66">
                  <c:v>0.20781259999999999</c:v>
                </c:pt>
                <c:pt idx="67">
                  <c:v>0.2109376</c:v>
                </c:pt>
                <c:pt idx="68">
                  <c:v>0.21406259999999999</c:v>
                </c:pt>
                <c:pt idx="69">
                  <c:v>0.21718760000000001</c:v>
                </c:pt>
                <c:pt idx="70">
                  <c:v>0.2203126</c:v>
                </c:pt>
                <c:pt idx="71">
                  <c:v>0.22343759999999999</c:v>
                </c:pt>
                <c:pt idx="72">
                  <c:v>0.2265626</c:v>
                </c:pt>
                <c:pt idx="73">
                  <c:v>0.22968740000000001</c:v>
                </c:pt>
                <c:pt idx="74">
                  <c:v>0.23281260000000001</c:v>
                </c:pt>
                <c:pt idx="75">
                  <c:v>0.23593739999999999</c:v>
                </c:pt>
                <c:pt idx="76">
                  <c:v>0.23906259999999999</c:v>
                </c:pt>
                <c:pt idx="77">
                  <c:v>0.2421876</c:v>
                </c:pt>
                <c:pt idx="78">
                  <c:v>0.24531240000000001</c:v>
                </c:pt>
                <c:pt idx="79">
                  <c:v>0.24843760000000001</c:v>
                </c:pt>
                <c:pt idx="80">
                  <c:v>0.25156260000000003</c:v>
                </c:pt>
                <c:pt idx="81">
                  <c:v>0.25468760000000001</c:v>
                </c:pt>
                <c:pt idx="82">
                  <c:v>0.2578124</c:v>
                </c:pt>
                <c:pt idx="83">
                  <c:v>0.26093739999999999</c:v>
                </c:pt>
                <c:pt idx="84">
                  <c:v>0.26406239999999997</c:v>
                </c:pt>
                <c:pt idx="85">
                  <c:v>0.26718760000000003</c:v>
                </c:pt>
                <c:pt idx="86">
                  <c:v>0.27031260000000001</c:v>
                </c:pt>
                <c:pt idx="87">
                  <c:v>0.2734376</c:v>
                </c:pt>
                <c:pt idx="88">
                  <c:v>0.27656239999999999</c:v>
                </c:pt>
                <c:pt idx="89">
                  <c:v>0.27968739999999997</c:v>
                </c:pt>
                <c:pt idx="90">
                  <c:v>0.28281260000000003</c:v>
                </c:pt>
                <c:pt idx="91">
                  <c:v>0.28593760000000001</c:v>
                </c:pt>
                <c:pt idx="92">
                  <c:v>0.2890624</c:v>
                </c:pt>
                <c:pt idx="93">
                  <c:v>0.29218739999999999</c:v>
                </c:pt>
                <c:pt idx="94">
                  <c:v>0.29531239999999997</c:v>
                </c:pt>
                <c:pt idx="95">
                  <c:v>0.29843760000000003</c:v>
                </c:pt>
                <c:pt idx="96">
                  <c:v>0.30156260000000001</c:v>
                </c:pt>
                <c:pt idx="97">
                  <c:v>0.3046876</c:v>
                </c:pt>
                <c:pt idx="98">
                  <c:v>0.30781259999999999</c:v>
                </c:pt>
                <c:pt idx="99">
                  <c:v>0.31093739999999997</c:v>
                </c:pt>
                <c:pt idx="100">
                  <c:v>0.31406260000000003</c:v>
                </c:pt>
                <c:pt idx="101">
                  <c:v>0.31718760000000001</c:v>
                </c:pt>
                <c:pt idx="102">
                  <c:v>0.3203124</c:v>
                </c:pt>
                <c:pt idx="103">
                  <c:v>0.32343739999999999</c:v>
                </c:pt>
                <c:pt idx="104">
                  <c:v>0.32656239999999997</c:v>
                </c:pt>
                <c:pt idx="105">
                  <c:v>0.32968760000000003</c:v>
                </c:pt>
                <c:pt idx="106">
                  <c:v>0.33281260000000001</c:v>
                </c:pt>
                <c:pt idx="107">
                  <c:v>0.3359376</c:v>
                </c:pt>
                <c:pt idx="108">
                  <c:v>0.33906239999999999</c:v>
                </c:pt>
                <c:pt idx="109">
                  <c:v>0.34218739999999997</c:v>
                </c:pt>
                <c:pt idx="110">
                  <c:v>0.34531260000000003</c:v>
                </c:pt>
                <c:pt idx="111">
                  <c:v>0.34843760000000001</c:v>
                </c:pt>
                <c:pt idx="112">
                  <c:v>0.3515624</c:v>
                </c:pt>
                <c:pt idx="113">
                  <c:v>0.35468739999999999</c:v>
                </c:pt>
                <c:pt idx="114">
                  <c:v>0.35781239999999997</c:v>
                </c:pt>
                <c:pt idx="115">
                  <c:v>0.36093760000000003</c:v>
                </c:pt>
                <c:pt idx="116">
                  <c:v>0.36406260000000001</c:v>
                </c:pt>
                <c:pt idx="117">
                  <c:v>0.3671876</c:v>
                </c:pt>
                <c:pt idx="118">
                  <c:v>0.37031239999999999</c:v>
                </c:pt>
                <c:pt idx="119">
                  <c:v>0.37343739999999997</c:v>
                </c:pt>
                <c:pt idx="120">
                  <c:v>0.37656260000000003</c:v>
                </c:pt>
                <c:pt idx="121">
                  <c:v>0.37968760000000001</c:v>
                </c:pt>
                <c:pt idx="122">
                  <c:v>0.3828126</c:v>
                </c:pt>
                <c:pt idx="123">
                  <c:v>0.38593739999999999</c:v>
                </c:pt>
                <c:pt idx="124">
                  <c:v>0.38906259999999998</c:v>
                </c:pt>
                <c:pt idx="125">
                  <c:v>0.39218760000000003</c:v>
                </c:pt>
                <c:pt idx="126">
                  <c:v>0.39531260000000001</c:v>
                </c:pt>
                <c:pt idx="127">
                  <c:v>0.3984376</c:v>
                </c:pt>
                <c:pt idx="128">
                  <c:v>0.40156239999999999</c:v>
                </c:pt>
                <c:pt idx="129">
                  <c:v>0.40468739999999997</c:v>
                </c:pt>
                <c:pt idx="130">
                  <c:v>0.40781260000000003</c:v>
                </c:pt>
                <c:pt idx="131">
                  <c:v>0.41093760000000001</c:v>
                </c:pt>
                <c:pt idx="132">
                  <c:v>0.4140624</c:v>
                </c:pt>
                <c:pt idx="133">
                  <c:v>0.41718739999999999</c:v>
                </c:pt>
                <c:pt idx="134">
                  <c:v>0.42031259999999998</c:v>
                </c:pt>
                <c:pt idx="135">
                  <c:v>0.42343760000000003</c:v>
                </c:pt>
                <c:pt idx="136">
                  <c:v>0.42656260000000001</c:v>
                </c:pt>
                <c:pt idx="137">
                  <c:v>0.4296876</c:v>
                </c:pt>
                <c:pt idx="138">
                  <c:v>0.43281259999999999</c:v>
                </c:pt>
                <c:pt idx="139">
                  <c:v>0.43593739999999997</c:v>
                </c:pt>
                <c:pt idx="140">
                  <c:v>0.43906260000000003</c:v>
                </c:pt>
                <c:pt idx="141">
                  <c:v>0.44218760000000001</c:v>
                </c:pt>
                <c:pt idx="142">
                  <c:v>0.4453126</c:v>
                </c:pt>
                <c:pt idx="143">
                  <c:v>0.44843739999999999</c:v>
                </c:pt>
                <c:pt idx="144">
                  <c:v>0.45156259999999998</c:v>
                </c:pt>
                <c:pt idx="145">
                  <c:v>0.45468760000000003</c:v>
                </c:pt>
                <c:pt idx="146">
                  <c:v>0.45781260000000001</c:v>
                </c:pt>
                <c:pt idx="147">
                  <c:v>0.4609376</c:v>
                </c:pt>
                <c:pt idx="148">
                  <c:v>0.46406259999999999</c:v>
                </c:pt>
                <c:pt idx="149">
                  <c:v>0.46718739999999997</c:v>
                </c:pt>
                <c:pt idx="150">
                  <c:v>0.47031260000000003</c:v>
                </c:pt>
                <c:pt idx="151">
                  <c:v>0.47343760000000001</c:v>
                </c:pt>
                <c:pt idx="152">
                  <c:v>0.4765624</c:v>
                </c:pt>
                <c:pt idx="153">
                  <c:v>0.47968739999999999</c:v>
                </c:pt>
                <c:pt idx="154">
                  <c:v>0.48281259999999998</c:v>
                </c:pt>
                <c:pt idx="155">
                  <c:v>0.48593760000000003</c:v>
                </c:pt>
                <c:pt idx="156">
                  <c:v>0.48906260000000001</c:v>
                </c:pt>
                <c:pt idx="157">
                  <c:v>0.4921876</c:v>
                </c:pt>
                <c:pt idx="158">
                  <c:v>0.49531239999999999</c:v>
                </c:pt>
                <c:pt idx="159">
                  <c:v>0.49843739999999997</c:v>
                </c:pt>
                <c:pt idx="160">
                  <c:v>0.50156259999999997</c:v>
                </c:pt>
                <c:pt idx="161">
                  <c:v>0.50468740000000001</c:v>
                </c:pt>
                <c:pt idx="162">
                  <c:v>0.50781240000000005</c:v>
                </c:pt>
                <c:pt idx="163">
                  <c:v>0.51093759999999999</c:v>
                </c:pt>
                <c:pt idx="164">
                  <c:v>0.51406240000000003</c:v>
                </c:pt>
                <c:pt idx="165">
                  <c:v>0.51718759999999997</c:v>
                </c:pt>
                <c:pt idx="166">
                  <c:v>0.52031240000000001</c:v>
                </c:pt>
                <c:pt idx="167">
                  <c:v>0.52343759999999995</c:v>
                </c:pt>
                <c:pt idx="168">
                  <c:v>0.52656259999999999</c:v>
                </c:pt>
                <c:pt idx="169">
                  <c:v>0.52968740000000003</c:v>
                </c:pt>
                <c:pt idx="170">
                  <c:v>0.53281259999999997</c:v>
                </c:pt>
                <c:pt idx="171">
                  <c:v>0.53593740000000001</c:v>
                </c:pt>
                <c:pt idx="172">
                  <c:v>0.53906240000000005</c:v>
                </c:pt>
                <c:pt idx="173">
                  <c:v>0.54218759999999999</c:v>
                </c:pt>
                <c:pt idx="174">
                  <c:v>0.54531240000000003</c:v>
                </c:pt>
                <c:pt idx="175">
                  <c:v>0.54843759999999997</c:v>
                </c:pt>
                <c:pt idx="176">
                  <c:v>0.55156240000000001</c:v>
                </c:pt>
                <c:pt idx="177">
                  <c:v>0.55468759999999995</c:v>
                </c:pt>
                <c:pt idx="178">
                  <c:v>0.55781259999999999</c:v>
                </c:pt>
                <c:pt idx="179">
                  <c:v>0.56093740000000003</c:v>
                </c:pt>
                <c:pt idx="180">
                  <c:v>0.56406259999999997</c:v>
                </c:pt>
                <c:pt idx="181">
                  <c:v>0.56718740000000001</c:v>
                </c:pt>
                <c:pt idx="182">
                  <c:v>0.57031240000000005</c:v>
                </c:pt>
                <c:pt idx="183">
                  <c:v>0.57343739999999999</c:v>
                </c:pt>
                <c:pt idx="184">
                  <c:v>0.57656240000000003</c:v>
                </c:pt>
                <c:pt idx="185">
                  <c:v>0.57968759999999997</c:v>
                </c:pt>
                <c:pt idx="186">
                  <c:v>0.58281240000000001</c:v>
                </c:pt>
                <c:pt idx="187">
                  <c:v>0.58593759999999995</c:v>
                </c:pt>
                <c:pt idx="188">
                  <c:v>0.58906259999999999</c:v>
                </c:pt>
                <c:pt idx="189">
                  <c:v>0.59218740000000003</c:v>
                </c:pt>
                <c:pt idx="190">
                  <c:v>0.59531259999999997</c:v>
                </c:pt>
                <c:pt idx="191">
                  <c:v>0.59843740000000001</c:v>
                </c:pt>
                <c:pt idx="192">
                  <c:v>0.60156240000000005</c:v>
                </c:pt>
                <c:pt idx="193">
                  <c:v>0.60468739999999999</c:v>
                </c:pt>
                <c:pt idx="194">
                  <c:v>0.60781240000000003</c:v>
                </c:pt>
                <c:pt idx="195">
                  <c:v>0.61093759999999997</c:v>
                </c:pt>
                <c:pt idx="196">
                  <c:v>0.61406260000000001</c:v>
                </c:pt>
                <c:pt idx="197">
                  <c:v>0.61718759999999995</c:v>
                </c:pt>
                <c:pt idx="198">
                  <c:v>0.62031239999999999</c:v>
                </c:pt>
                <c:pt idx="199">
                  <c:v>0.62343740000000003</c:v>
                </c:pt>
                <c:pt idx="200">
                  <c:v>0.62656259999999997</c:v>
                </c:pt>
                <c:pt idx="201">
                  <c:v>0.62968740000000001</c:v>
                </c:pt>
                <c:pt idx="202">
                  <c:v>0.63281240000000005</c:v>
                </c:pt>
                <c:pt idx="203">
                  <c:v>0.63593759999999999</c:v>
                </c:pt>
                <c:pt idx="204">
                  <c:v>0.63906240000000003</c:v>
                </c:pt>
                <c:pt idx="205">
                  <c:v>0.64218759999999997</c:v>
                </c:pt>
                <c:pt idx="206">
                  <c:v>0.64531240000000001</c:v>
                </c:pt>
                <c:pt idx="207">
                  <c:v>0.64843759999999995</c:v>
                </c:pt>
                <c:pt idx="208">
                  <c:v>0.65156259999999999</c:v>
                </c:pt>
                <c:pt idx="209">
                  <c:v>0.65468740000000003</c:v>
                </c:pt>
                <c:pt idx="210">
                  <c:v>0.65781259999999997</c:v>
                </c:pt>
                <c:pt idx="211">
                  <c:v>0.66093740000000001</c:v>
                </c:pt>
                <c:pt idx="212">
                  <c:v>0.66406240000000005</c:v>
                </c:pt>
                <c:pt idx="213">
                  <c:v>0.66718759999999999</c:v>
                </c:pt>
                <c:pt idx="214">
                  <c:v>0.67031240000000003</c:v>
                </c:pt>
                <c:pt idx="215">
                  <c:v>0.67343759999999997</c:v>
                </c:pt>
                <c:pt idx="216">
                  <c:v>0.67656240000000001</c:v>
                </c:pt>
                <c:pt idx="217">
                  <c:v>0.67968759999999995</c:v>
                </c:pt>
                <c:pt idx="218">
                  <c:v>0.68281239999999999</c:v>
                </c:pt>
                <c:pt idx="219">
                  <c:v>0.68593740000000003</c:v>
                </c:pt>
                <c:pt idx="220">
                  <c:v>0.68906259999999997</c:v>
                </c:pt>
                <c:pt idx="221">
                  <c:v>0.69218740000000001</c:v>
                </c:pt>
                <c:pt idx="222">
                  <c:v>0.69531259999999995</c:v>
                </c:pt>
                <c:pt idx="223">
                  <c:v>0.69843759999999999</c:v>
                </c:pt>
                <c:pt idx="224">
                  <c:v>0.70156240000000003</c:v>
                </c:pt>
                <c:pt idx="225">
                  <c:v>0.70468759999999997</c:v>
                </c:pt>
                <c:pt idx="226">
                  <c:v>0.70781240000000001</c:v>
                </c:pt>
                <c:pt idx="227">
                  <c:v>0.71093759999999995</c:v>
                </c:pt>
                <c:pt idx="228">
                  <c:v>0.71406259999999999</c:v>
                </c:pt>
                <c:pt idx="229">
                  <c:v>0.71718740000000003</c:v>
                </c:pt>
                <c:pt idx="230">
                  <c:v>0.72031259999999997</c:v>
                </c:pt>
                <c:pt idx="231">
                  <c:v>0.72343740000000001</c:v>
                </c:pt>
                <c:pt idx="232">
                  <c:v>0.72656240000000005</c:v>
                </c:pt>
                <c:pt idx="233">
                  <c:v>0.72968759999999999</c:v>
                </c:pt>
                <c:pt idx="234">
                  <c:v>0.73281240000000003</c:v>
                </c:pt>
                <c:pt idx="235">
                  <c:v>0.73593759999999997</c:v>
                </c:pt>
                <c:pt idx="236">
                  <c:v>0.73906240000000001</c:v>
                </c:pt>
                <c:pt idx="237">
                  <c:v>0.74218759999999995</c:v>
                </c:pt>
                <c:pt idx="238">
                  <c:v>0.74531239999999999</c:v>
                </c:pt>
                <c:pt idx="239">
                  <c:v>0.74843740000000003</c:v>
                </c:pt>
                <c:pt idx="240">
                  <c:v>0.75156259999999997</c:v>
                </c:pt>
                <c:pt idx="241">
                  <c:v>0.75468740000000001</c:v>
                </c:pt>
                <c:pt idx="242">
                  <c:v>0.75781240000000005</c:v>
                </c:pt>
                <c:pt idx="243">
                  <c:v>0.76093739999999999</c:v>
                </c:pt>
                <c:pt idx="244">
                  <c:v>0.76406240000000003</c:v>
                </c:pt>
                <c:pt idx="245">
                  <c:v>0.76718759999999997</c:v>
                </c:pt>
                <c:pt idx="246">
                  <c:v>0.77031240000000001</c:v>
                </c:pt>
                <c:pt idx="247">
                  <c:v>0.77343759999999995</c:v>
                </c:pt>
                <c:pt idx="248">
                  <c:v>0.77656259999999999</c:v>
                </c:pt>
                <c:pt idx="249">
                  <c:v>0.77968740000000003</c:v>
                </c:pt>
                <c:pt idx="250">
                  <c:v>0.78281259999999997</c:v>
                </c:pt>
                <c:pt idx="251">
                  <c:v>0.78593740000000001</c:v>
                </c:pt>
                <c:pt idx="252">
                  <c:v>0.78906240000000005</c:v>
                </c:pt>
                <c:pt idx="253">
                  <c:v>0.79218759999999999</c:v>
                </c:pt>
                <c:pt idx="254">
                  <c:v>0.79531240000000003</c:v>
                </c:pt>
                <c:pt idx="255">
                  <c:v>0.79843759999999997</c:v>
                </c:pt>
                <c:pt idx="256">
                  <c:v>0.80156240000000001</c:v>
                </c:pt>
                <c:pt idx="257">
                  <c:v>0.80468759999999995</c:v>
                </c:pt>
                <c:pt idx="258">
                  <c:v>0.80781239999999999</c:v>
                </c:pt>
                <c:pt idx="259">
                  <c:v>0.81093740000000003</c:v>
                </c:pt>
                <c:pt idx="260">
                  <c:v>0.81406259999999997</c:v>
                </c:pt>
                <c:pt idx="261">
                  <c:v>0.81718740000000001</c:v>
                </c:pt>
                <c:pt idx="262">
                  <c:v>0.82031240000000005</c:v>
                </c:pt>
                <c:pt idx="263">
                  <c:v>0.82343759999999999</c:v>
                </c:pt>
                <c:pt idx="264">
                  <c:v>0.82656260000000004</c:v>
                </c:pt>
                <c:pt idx="265">
                  <c:v>0.82968759999999997</c:v>
                </c:pt>
                <c:pt idx="266">
                  <c:v>0.83281240000000001</c:v>
                </c:pt>
                <c:pt idx="267">
                  <c:v>0.83593759999999995</c:v>
                </c:pt>
                <c:pt idx="268">
                  <c:v>0.83906259999999999</c:v>
                </c:pt>
                <c:pt idx="269">
                  <c:v>0.84218740000000003</c:v>
                </c:pt>
                <c:pt idx="270">
                  <c:v>0.84531259999999997</c:v>
                </c:pt>
                <c:pt idx="271">
                  <c:v>0.84843740000000001</c:v>
                </c:pt>
                <c:pt idx="272">
                  <c:v>0.85156240000000005</c:v>
                </c:pt>
                <c:pt idx="273">
                  <c:v>0.85468759999999999</c:v>
                </c:pt>
                <c:pt idx="274">
                  <c:v>0.85781260000000004</c:v>
                </c:pt>
                <c:pt idx="275">
                  <c:v>0.86093759999999997</c:v>
                </c:pt>
                <c:pt idx="276">
                  <c:v>0.86406240000000001</c:v>
                </c:pt>
                <c:pt idx="277">
                  <c:v>0.86718759999999995</c:v>
                </c:pt>
                <c:pt idx="278">
                  <c:v>0.87031259999999999</c:v>
                </c:pt>
                <c:pt idx="279">
                  <c:v>0.87343740000000003</c:v>
                </c:pt>
                <c:pt idx="280">
                  <c:v>0.87656259999999997</c:v>
                </c:pt>
                <c:pt idx="281">
                  <c:v>0.87968740000000001</c:v>
                </c:pt>
                <c:pt idx="282">
                  <c:v>0.88281259999999995</c:v>
                </c:pt>
                <c:pt idx="283">
                  <c:v>0.88593759999999999</c:v>
                </c:pt>
                <c:pt idx="284">
                  <c:v>0.88906240000000003</c:v>
                </c:pt>
                <c:pt idx="285">
                  <c:v>0.89218759999999997</c:v>
                </c:pt>
                <c:pt idx="286">
                  <c:v>0.89531240000000001</c:v>
                </c:pt>
                <c:pt idx="287">
                  <c:v>0.89843759999999995</c:v>
                </c:pt>
                <c:pt idx="288">
                  <c:v>0.90156259999999999</c:v>
                </c:pt>
                <c:pt idx="289">
                  <c:v>0.90468740000000003</c:v>
                </c:pt>
                <c:pt idx="290">
                  <c:v>0.90781259999999997</c:v>
                </c:pt>
                <c:pt idx="291">
                  <c:v>0.91093760000000001</c:v>
                </c:pt>
                <c:pt idx="292">
                  <c:v>0.91406240000000005</c:v>
                </c:pt>
                <c:pt idx="293">
                  <c:v>0.91718759999999999</c:v>
                </c:pt>
                <c:pt idx="294">
                  <c:v>0.92031240000000003</c:v>
                </c:pt>
                <c:pt idx="295">
                  <c:v>0.92343759999999997</c:v>
                </c:pt>
                <c:pt idx="296">
                  <c:v>0.92656240000000001</c:v>
                </c:pt>
                <c:pt idx="297">
                  <c:v>0.92968759999999995</c:v>
                </c:pt>
                <c:pt idx="298">
                  <c:v>0.93281239999999999</c:v>
                </c:pt>
                <c:pt idx="299">
                  <c:v>0.93593740000000003</c:v>
                </c:pt>
                <c:pt idx="300">
                  <c:v>0.93906259999999997</c:v>
                </c:pt>
                <c:pt idx="301">
                  <c:v>0.94218760000000001</c:v>
                </c:pt>
                <c:pt idx="302">
                  <c:v>0.94531240000000005</c:v>
                </c:pt>
                <c:pt idx="303">
                  <c:v>0.94843759999999999</c:v>
                </c:pt>
                <c:pt idx="304">
                  <c:v>0.95156240000000003</c:v>
                </c:pt>
                <c:pt idx="305">
                  <c:v>0.95468759999999997</c:v>
                </c:pt>
                <c:pt idx="306">
                  <c:v>0.95781240000000001</c:v>
                </c:pt>
                <c:pt idx="307">
                  <c:v>0.96093759999999995</c:v>
                </c:pt>
                <c:pt idx="308">
                  <c:v>0.96406259999999999</c:v>
                </c:pt>
                <c:pt idx="309">
                  <c:v>0.96718740000000003</c:v>
                </c:pt>
                <c:pt idx="310">
                  <c:v>0.97031259999999997</c:v>
                </c:pt>
                <c:pt idx="311">
                  <c:v>0.97343760000000001</c:v>
                </c:pt>
                <c:pt idx="312">
                  <c:v>0.97656240000000005</c:v>
                </c:pt>
                <c:pt idx="313">
                  <c:v>0.97968759999999999</c:v>
                </c:pt>
                <c:pt idx="314">
                  <c:v>0.98281240000000003</c:v>
                </c:pt>
                <c:pt idx="315">
                  <c:v>0.98593759999999997</c:v>
                </c:pt>
                <c:pt idx="316">
                  <c:v>0.98906240000000001</c:v>
                </c:pt>
                <c:pt idx="317">
                  <c:v>0.99218759999999995</c:v>
                </c:pt>
                <c:pt idx="318">
                  <c:v>0.99531259999999999</c:v>
                </c:pt>
                <c:pt idx="319">
                  <c:v>0.99843760000000004</c:v>
                </c:pt>
              </c:numCache>
            </c:numRef>
          </c:xVal>
          <c:yVal>
            <c:numRef>
              <c:f>[1]Sheet1!$X$1:$X$320</c:f>
              <c:numCache>
                <c:formatCode>General</c:formatCode>
                <c:ptCount val="320"/>
                <c:pt idx="0">
                  <c:v>13.696377937543399</c:v>
                </c:pt>
                <c:pt idx="1">
                  <c:v>13.6962199441761</c:v>
                </c:pt>
                <c:pt idx="2">
                  <c:v>13.6959514989742</c:v>
                </c:pt>
                <c:pt idx="3">
                  <c:v>13.6955735809623</c:v>
                </c:pt>
                <c:pt idx="4">
                  <c:v>13.695087172509</c:v>
                </c:pt>
                <c:pt idx="5">
                  <c:v>13.6944930203694</c:v>
                </c:pt>
                <c:pt idx="6">
                  <c:v>13.693792256737201</c:v>
                </c:pt>
                <c:pt idx="7">
                  <c:v>13.6929859598667</c:v>
                </c:pt>
                <c:pt idx="8">
                  <c:v>13.6920750896029</c:v>
                </c:pt>
                <c:pt idx="9">
                  <c:v>13.6910606509144</c:v>
                </c:pt>
                <c:pt idx="10">
                  <c:v>13.689943650014699</c:v>
                </c:pt>
                <c:pt idx="11">
                  <c:v>13.6887251003304</c:v>
                </c:pt>
                <c:pt idx="12">
                  <c:v>13.687406051516</c:v>
                </c:pt>
                <c:pt idx="13">
                  <c:v>13.685987454556701</c:v>
                </c:pt>
                <c:pt idx="14">
                  <c:v>13.684470374058799</c:v>
                </c:pt>
                <c:pt idx="15">
                  <c:v>13.682855837749999</c:v>
                </c:pt>
                <c:pt idx="16">
                  <c:v>13.681144880003</c:v>
                </c:pt>
                <c:pt idx="17">
                  <c:v>13.679338532660299</c:v>
                </c:pt>
                <c:pt idx="18">
                  <c:v>13.677437861820501</c:v>
                </c:pt>
                <c:pt idx="19">
                  <c:v>13.6754439127656</c:v>
                </c:pt>
                <c:pt idx="20">
                  <c:v>13.6732309379474</c:v>
                </c:pt>
                <c:pt idx="21">
                  <c:v>13.6707863832988</c:v>
                </c:pt>
                <c:pt idx="22">
                  <c:v>13.668234175909999</c:v>
                </c:pt>
                <c:pt idx="23">
                  <c:v>13.665577037797</c:v>
                </c:pt>
                <c:pt idx="24">
                  <c:v>13.6628178589327</c:v>
                </c:pt>
                <c:pt idx="25">
                  <c:v>13.6599596315698</c:v>
                </c:pt>
                <c:pt idx="26">
                  <c:v>13.6570050351381</c:v>
                </c:pt>
                <c:pt idx="27">
                  <c:v>13.6539570647471</c:v>
                </c:pt>
                <c:pt idx="28">
                  <c:v>13.6508185437572</c:v>
                </c:pt>
                <c:pt idx="29">
                  <c:v>13.647592420778199</c:v>
                </c:pt>
                <c:pt idx="30">
                  <c:v>13.6442814775729</c:v>
                </c:pt>
                <c:pt idx="31">
                  <c:v>13.6408887341248</c:v>
                </c:pt>
                <c:pt idx="32">
                  <c:v>13.6374171959988</c:v>
                </c:pt>
                <c:pt idx="33">
                  <c:v>13.6338696958612</c:v>
                </c:pt>
                <c:pt idx="34">
                  <c:v>13.630249816716301</c:v>
                </c:pt>
                <c:pt idx="35">
                  <c:v>13.626559475658301</c:v>
                </c:pt>
                <c:pt idx="36">
                  <c:v>13.6228022780658</c:v>
                </c:pt>
                <c:pt idx="37">
                  <c:v>13.6189807396922</c:v>
                </c:pt>
                <c:pt idx="38">
                  <c:v>13.615098126457401</c:v>
                </c:pt>
                <c:pt idx="39">
                  <c:v>13.611157545201801</c:v>
                </c:pt>
                <c:pt idx="40">
                  <c:v>13.606776832530601</c:v>
                </c:pt>
                <c:pt idx="41">
                  <c:v>13.6019262999499</c:v>
                </c:pt>
                <c:pt idx="42">
                  <c:v>13.5969826919765</c:v>
                </c:pt>
                <c:pt idx="43">
                  <c:v>13.5919504169745</c:v>
                </c:pt>
                <c:pt idx="44">
                  <c:v>13.586834570627699</c:v>
                </c:pt>
                <c:pt idx="45">
                  <c:v>13.581639817137001</c:v>
                </c:pt>
                <c:pt idx="46">
                  <c:v>13.576371029163701</c:v>
                </c:pt>
                <c:pt idx="47">
                  <c:v>13.571033504495</c:v>
                </c:pt>
                <c:pt idx="48">
                  <c:v>13.565631877785201</c:v>
                </c:pt>
                <c:pt idx="49">
                  <c:v>13.5601713673954</c:v>
                </c:pt>
                <c:pt idx="50">
                  <c:v>13.5546569321838</c:v>
                </c:pt>
                <c:pt idx="51">
                  <c:v>13.5490936477688</c:v>
                </c:pt>
                <c:pt idx="52">
                  <c:v>13.5434867295234</c:v>
                </c:pt>
                <c:pt idx="53">
                  <c:v>13.5378402386362</c:v>
                </c:pt>
                <c:pt idx="54">
                  <c:v>13.5321611186466</c:v>
                </c:pt>
                <c:pt idx="55">
                  <c:v>13.5264532552153</c:v>
                </c:pt>
                <c:pt idx="56">
                  <c:v>13.5207230836739</c:v>
                </c:pt>
                <c:pt idx="57">
                  <c:v>13.5149750715862</c:v>
                </c:pt>
                <c:pt idx="58">
                  <c:v>13.5092130512458</c:v>
                </c:pt>
                <c:pt idx="59">
                  <c:v>13.503440807539</c:v>
                </c:pt>
                <c:pt idx="60">
                  <c:v>13.4969804803817</c:v>
                </c:pt>
                <c:pt idx="61">
                  <c:v>13.4897884958901</c:v>
                </c:pt>
                <c:pt idx="62">
                  <c:v>13.482520605655001</c:v>
                </c:pt>
                <c:pt idx="63">
                  <c:v>13.4751815705035</c:v>
                </c:pt>
                <c:pt idx="64">
                  <c:v>13.467775741632</c:v>
                </c:pt>
                <c:pt idx="65">
                  <c:v>13.4602971306751</c:v>
                </c:pt>
                <c:pt idx="66">
                  <c:v>13.4527676223227</c:v>
                </c:pt>
                <c:pt idx="67">
                  <c:v>13.4451844973894</c:v>
                </c:pt>
                <c:pt idx="68">
                  <c:v>13.437553778855699</c:v>
                </c:pt>
                <c:pt idx="69">
                  <c:v>13.429879049398499</c:v>
                </c:pt>
                <c:pt idx="70">
                  <c:v>13.422167070259601</c:v>
                </c:pt>
                <c:pt idx="71">
                  <c:v>13.414418488301401</c:v>
                </c:pt>
                <c:pt idx="72">
                  <c:v>13.4066378942991</c:v>
                </c:pt>
                <c:pt idx="73">
                  <c:v>13.398833647243301</c:v>
                </c:pt>
                <c:pt idx="74">
                  <c:v>13.3910126024559</c:v>
                </c:pt>
                <c:pt idx="75">
                  <c:v>13.383175116492801</c:v>
                </c:pt>
                <c:pt idx="76">
                  <c:v>13.3753271179755</c:v>
                </c:pt>
                <c:pt idx="77">
                  <c:v>13.367475158050899</c:v>
                </c:pt>
                <c:pt idx="78">
                  <c:v>13.359624801774601</c:v>
                </c:pt>
                <c:pt idx="79">
                  <c:v>13.351780177260499</c:v>
                </c:pt>
                <c:pt idx="80">
                  <c:v>13.3430492651822</c:v>
                </c:pt>
                <c:pt idx="81">
                  <c:v>13.3333919940331</c:v>
                </c:pt>
                <c:pt idx="82">
                  <c:v>13.3237048248742</c:v>
                </c:pt>
                <c:pt idx="83">
                  <c:v>13.313995431583001</c:v>
                </c:pt>
                <c:pt idx="84">
                  <c:v>13.304273338201901</c:v>
                </c:pt>
                <c:pt idx="85">
                  <c:v>13.2945256852604</c:v>
                </c:pt>
                <c:pt idx="86">
                  <c:v>13.2847901424241</c:v>
                </c:pt>
                <c:pt idx="87">
                  <c:v>13.2750605781834</c:v>
                </c:pt>
                <c:pt idx="88">
                  <c:v>13.2653400996254</c:v>
                </c:pt>
                <c:pt idx="89">
                  <c:v>13.2556340507185</c:v>
                </c:pt>
                <c:pt idx="90">
                  <c:v>13.2459519421897</c:v>
                </c:pt>
                <c:pt idx="91">
                  <c:v>13.236301787418499</c:v>
                </c:pt>
                <c:pt idx="92">
                  <c:v>13.2266893432319</c:v>
                </c:pt>
                <c:pt idx="93">
                  <c:v>13.217122327912</c:v>
                </c:pt>
                <c:pt idx="94">
                  <c:v>13.2076056060603</c:v>
                </c:pt>
                <c:pt idx="95">
                  <c:v>13.1981482484743</c:v>
                </c:pt>
                <c:pt idx="96">
                  <c:v>13.188759353968701</c:v>
                </c:pt>
                <c:pt idx="97">
                  <c:v>13.179444415469501</c:v>
                </c:pt>
                <c:pt idx="98">
                  <c:v>13.1702108524668</c:v>
                </c:pt>
                <c:pt idx="99">
                  <c:v>13.161066594102699</c:v>
                </c:pt>
                <c:pt idx="100">
                  <c:v>13.149762975155401</c:v>
                </c:pt>
                <c:pt idx="101">
                  <c:v>13.136304830377901</c:v>
                </c:pt>
                <c:pt idx="102">
                  <c:v>13.122958164976399</c:v>
                </c:pt>
                <c:pt idx="103">
                  <c:v>13.109744534395499</c:v>
                </c:pt>
                <c:pt idx="104">
                  <c:v>13.0966780242876</c:v>
                </c:pt>
                <c:pt idx="105">
                  <c:v>13.0837726809347</c:v>
                </c:pt>
                <c:pt idx="106">
                  <c:v>13.071044775138599</c:v>
                </c:pt>
                <c:pt idx="107">
                  <c:v>13.058510620695399</c:v>
                </c:pt>
                <c:pt idx="108">
                  <c:v>13.0461924766972</c:v>
                </c:pt>
                <c:pt idx="109">
                  <c:v>13.0341075135621</c:v>
                </c:pt>
                <c:pt idx="110">
                  <c:v>13.022294281699599</c:v>
                </c:pt>
                <c:pt idx="111">
                  <c:v>13.0107327855394</c:v>
                </c:pt>
                <c:pt idx="112">
                  <c:v>12.9994452317632</c:v>
                </c:pt>
                <c:pt idx="113">
                  <c:v>12.988464104553699</c:v>
                </c:pt>
                <c:pt idx="114">
                  <c:v>12.9778026113714</c:v>
                </c:pt>
                <c:pt idx="115">
                  <c:v>12.9674791367485</c:v>
                </c:pt>
                <c:pt idx="116">
                  <c:v>12.957512908256801</c:v>
                </c:pt>
                <c:pt idx="117">
                  <c:v>12.947923155468599</c:v>
                </c:pt>
                <c:pt idx="118">
                  <c:v>12.938742226069399</c:v>
                </c:pt>
                <c:pt idx="119">
                  <c:v>12.9299643930486</c:v>
                </c:pt>
                <c:pt idx="120">
                  <c:v>12.9177706401058</c:v>
                </c:pt>
                <c:pt idx="121">
                  <c:v>12.9018493547714</c:v>
                </c:pt>
                <c:pt idx="122">
                  <c:v>12.8859322693088</c:v>
                </c:pt>
                <c:pt idx="123">
                  <c:v>12.870020426558799</c:v>
                </c:pt>
                <c:pt idx="124">
                  <c:v>12.854130165041299</c:v>
                </c:pt>
                <c:pt idx="125">
                  <c:v>12.838273407045</c:v>
                </c:pt>
                <c:pt idx="126">
                  <c:v>12.822461977906601</c:v>
                </c:pt>
                <c:pt idx="127">
                  <c:v>12.806710347853</c:v>
                </c:pt>
                <c:pt idx="128">
                  <c:v>12.791020563369599</c:v>
                </c:pt>
                <c:pt idx="129">
                  <c:v>12.7754076134046</c:v>
                </c:pt>
                <c:pt idx="130">
                  <c:v>12.759888684877399</c:v>
                </c:pt>
                <c:pt idx="131">
                  <c:v>12.744465997620599</c:v>
                </c:pt>
                <c:pt idx="132">
                  <c:v>12.7291538804671</c:v>
                </c:pt>
                <c:pt idx="133">
                  <c:v>12.713967647655499</c:v>
                </c:pt>
                <c:pt idx="134">
                  <c:v>12.6989200466602</c:v>
                </c:pt>
                <c:pt idx="135">
                  <c:v>12.684026188683999</c:v>
                </c:pt>
                <c:pt idx="136">
                  <c:v>12.669303167366399</c:v>
                </c:pt>
                <c:pt idx="137">
                  <c:v>12.6547588577382</c:v>
                </c:pt>
                <c:pt idx="138">
                  <c:v>12.6404156470286</c:v>
                </c:pt>
                <c:pt idx="139">
                  <c:v>12.626279439801101</c:v>
                </c:pt>
                <c:pt idx="140">
                  <c:v>12.6133315616202</c:v>
                </c:pt>
                <c:pt idx="141">
                  <c:v>12.601127508005201</c:v>
                </c:pt>
                <c:pt idx="142">
                  <c:v>12.588498392211401</c:v>
                </c:pt>
                <c:pt idx="143">
                  <c:v>12.575416610656101</c:v>
                </c:pt>
                <c:pt idx="144">
                  <c:v>12.561884613670999</c:v>
                </c:pt>
                <c:pt idx="145">
                  <c:v>12.547884502665299</c:v>
                </c:pt>
                <c:pt idx="146">
                  <c:v>12.533403573705399</c:v>
                </c:pt>
                <c:pt idx="147">
                  <c:v>12.518433012877299</c:v>
                </c:pt>
                <c:pt idx="148">
                  <c:v>12.5029724802381</c:v>
                </c:pt>
                <c:pt idx="149">
                  <c:v>12.486997332172701</c:v>
                </c:pt>
                <c:pt idx="150">
                  <c:v>12.470519032096099</c:v>
                </c:pt>
                <c:pt idx="151">
                  <c:v>12.453504673913701</c:v>
                </c:pt>
                <c:pt idx="152">
                  <c:v>12.4359632370247</c:v>
                </c:pt>
                <c:pt idx="153">
                  <c:v>12.417884906932301</c:v>
                </c:pt>
                <c:pt idx="154">
                  <c:v>12.399259409842401</c:v>
                </c:pt>
                <c:pt idx="155">
                  <c:v>12.380078150381401</c:v>
                </c:pt>
                <c:pt idx="156">
                  <c:v>12.360338112436599</c:v>
                </c:pt>
                <c:pt idx="157">
                  <c:v>12.340047342398201</c:v>
                </c:pt>
                <c:pt idx="158">
                  <c:v>12.319191723070899</c:v>
                </c:pt>
                <c:pt idx="159">
                  <c:v>12.2977737034448</c:v>
                </c:pt>
                <c:pt idx="160">
                  <c:v>12.274856342715101</c:v>
                </c:pt>
                <c:pt idx="161">
                  <c:v>12.2513806876646</c:v>
                </c:pt>
                <c:pt idx="162">
                  <c:v>12.2286783181363</c:v>
                </c:pt>
                <c:pt idx="163">
                  <c:v>12.2068066036676</c:v>
                </c:pt>
                <c:pt idx="164">
                  <c:v>12.1857985752016</c:v>
                </c:pt>
                <c:pt idx="165">
                  <c:v>12.165706257533101</c:v>
                </c:pt>
                <c:pt idx="166">
                  <c:v>12.1465886848952</c:v>
                </c:pt>
                <c:pt idx="167">
                  <c:v>12.128496502643699</c:v>
                </c:pt>
                <c:pt idx="168">
                  <c:v>12.1114989074419</c:v>
                </c:pt>
                <c:pt idx="169">
                  <c:v>12.0956030423432</c:v>
                </c:pt>
                <c:pt idx="170">
                  <c:v>12.0808824735514</c:v>
                </c:pt>
                <c:pt idx="171">
                  <c:v>12.0674001072883</c:v>
                </c:pt>
                <c:pt idx="172">
                  <c:v>12.055214020248901</c:v>
                </c:pt>
                <c:pt idx="173">
                  <c:v>12.044383575065201</c:v>
                </c:pt>
                <c:pt idx="174">
                  <c:v>12.034985756919401</c:v>
                </c:pt>
                <c:pt idx="175">
                  <c:v>12.0270593820762</c:v>
                </c:pt>
                <c:pt idx="176">
                  <c:v>12.020687550208701</c:v>
                </c:pt>
                <c:pt idx="177">
                  <c:v>12.015924235374399</c:v>
                </c:pt>
                <c:pt idx="178">
                  <c:v>12.0128401493411</c:v>
                </c:pt>
                <c:pt idx="179">
                  <c:v>12.0115254478414</c:v>
                </c:pt>
                <c:pt idx="180">
                  <c:v>11.9910140335063</c:v>
                </c:pt>
                <c:pt idx="181">
                  <c:v>11.9505613751965</c:v>
                </c:pt>
                <c:pt idx="182">
                  <c:v>11.9108844939507</c:v>
                </c:pt>
                <c:pt idx="183">
                  <c:v>11.872057624473999</c:v>
                </c:pt>
                <c:pt idx="184">
                  <c:v>11.834140948884</c:v>
                </c:pt>
                <c:pt idx="185">
                  <c:v>11.7971848323511</c:v>
                </c:pt>
                <c:pt idx="186">
                  <c:v>11.7612478127309</c:v>
                </c:pt>
                <c:pt idx="187">
                  <c:v>11.7264152396029</c:v>
                </c:pt>
                <c:pt idx="188">
                  <c:v>11.692757380419801</c:v>
                </c:pt>
                <c:pt idx="189">
                  <c:v>11.660321521815201</c:v>
                </c:pt>
                <c:pt idx="190">
                  <c:v>11.629169800762</c:v>
                </c:pt>
                <c:pt idx="191">
                  <c:v>11.5993791079845</c:v>
                </c:pt>
                <c:pt idx="192">
                  <c:v>11.5710092164303</c:v>
                </c:pt>
                <c:pt idx="193">
                  <c:v>11.5441260391984</c:v>
                </c:pt>
                <c:pt idx="194">
                  <c:v>11.5188090847972</c:v>
                </c:pt>
                <c:pt idx="195">
                  <c:v>11.495117873364601</c:v>
                </c:pt>
                <c:pt idx="196">
                  <c:v>11.4731338735796</c:v>
                </c:pt>
                <c:pt idx="197">
                  <c:v>11.452919747711301</c:v>
                </c:pt>
                <c:pt idx="198">
                  <c:v>11.4345489909959</c:v>
                </c:pt>
                <c:pt idx="199">
                  <c:v>11.4181072921654</c:v>
                </c:pt>
                <c:pt idx="200">
                  <c:v>11.4309026242599</c:v>
                </c:pt>
                <c:pt idx="201">
                  <c:v>11.465856288068199</c:v>
                </c:pt>
                <c:pt idx="202">
                  <c:v>11.492628794426601</c:v>
                </c:pt>
                <c:pt idx="203">
                  <c:v>11.511072447733</c:v>
                </c:pt>
                <c:pt idx="204">
                  <c:v>11.5208757304892</c:v>
                </c:pt>
                <c:pt idx="205">
                  <c:v>11.521892520803201</c:v>
                </c:pt>
                <c:pt idx="206">
                  <c:v>11.513903808796</c:v>
                </c:pt>
                <c:pt idx="207">
                  <c:v>11.4967457196531</c:v>
                </c:pt>
                <c:pt idx="208">
                  <c:v>11.4702326596804</c:v>
                </c:pt>
                <c:pt idx="209">
                  <c:v>11.434172497881001</c:v>
                </c:pt>
                <c:pt idx="210">
                  <c:v>11.3883533914357</c:v>
                </c:pt>
                <c:pt idx="211">
                  <c:v>11.3326145691435</c:v>
                </c:pt>
                <c:pt idx="212">
                  <c:v>11.266793214956699</c:v>
                </c:pt>
                <c:pt idx="213">
                  <c:v>11.1906726328102</c:v>
                </c:pt>
                <c:pt idx="214">
                  <c:v>11.104101226025501</c:v>
                </c:pt>
                <c:pt idx="215">
                  <c:v>11.006895315820801</c:v>
                </c:pt>
                <c:pt idx="216">
                  <c:v>10.8988908294039</c:v>
                </c:pt>
                <c:pt idx="217">
                  <c:v>10.7799116234417</c:v>
                </c:pt>
                <c:pt idx="218">
                  <c:v>10.649791331630601</c:v>
                </c:pt>
                <c:pt idx="219">
                  <c:v>10.5083578732884</c:v>
                </c:pt>
                <c:pt idx="220">
                  <c:v>10.477736469055801</c:v>
                </c:pt>
                <c:pt idx="221">
                  <c:v>10.5600272163318</c:v>
                </c:pt>
                <c:pt idx="222">
                  <c:v>10.6337944972556</c:v>
                </c:pt>
                <c:pt idx="223">
                  <c:v>10.6989771553244</c:v>
                </c:pt>
                <c:pt idx="224">
                  <c:v>10.7555272550994</c:v>
                </c:pt>
                <c:pt idx="225">
                  <c:v>10.8033711988765</c:v>
                </c:pt>
                <c:pt idx="226">
                  <c:v>10.842493603751</c:v>
                </c:pt>
                <c:pt idx="227">
                  <c:v>10.872916753209999</c:v>
                </c:pt>
                <c:pt idx="228">
                  <c:v>10.894638103436099</c:v>
                </c:pt>
                <c:pt idx="229">
                  <c:v>10.9076674355093</c:v>
                </c:pt>
                <c:pt idx="230">
                  <c:v>10.9120851213133</c:v>
                </c:pt>
                <c:pt idx="231">
                  <c:v>10.9079618365058</c:v>
                </c:pt>
                <c:pt idx="232">
                  <c:v>10.895361866606899</c:v>
                </c:pt>
                <c:pt idx="233">
                  <c:v>10.874376958027799</c:v>
                </c:pt>
                <c:pt idx="234">
                  <c:v>10.8451603117479</c:v>
                </c:pt>
                <c:pt idx="235">
                  <c:v>10.8078371503791</c:v>
                </c:pt>
                <c:pt idx="236">
                  <c:v>10.7625386965454</c:v>
                </c:pt>
                <c:pt idx="237">
                  <c:v>10.709432375736201</c:v>
                </c:pt>
                <c:pt idx="238">
                  <c:v>10.6487441615721</c:v>
                </c:pt>
                <c:pt idx="239">
                  <c:v>10.5806518544578</c:v>
                </c:pt>
                <c:pt idx="240">
                  <c:v>10.490574473524299</c:v>
                </c:pt>
                <c:pt idx="241">
                  <c:v>10.3853083395434</c:v>
                </c:pt>
                <c:pt idx="242">
                  <c:v>10.282604196738999</c:v>
                </c:pt>
                <c:pt idx="243">
                  <c:v>10.182704926202501</c:v>
                </c:pt>
                <c:pt idx="244">
                  <c:v>10.0858772693361</c:v>
                </c:pt>
                <c:pt idx="245">
                  <c:v>9.9923416092598298</c:v>
                </c:pt>
                <c:pt idx="246">
                  <c:v>9.9024031448176508</c:v>
                </c:pt>
                <c:pt idx="247">
                  <c:v>9.8163563636356201</c:v>
                </c:pt>
                <c:pt idx="248">
                  <c:v>9.7345450504604205</c:v>
                </c:pt>
                <c:pt idx="249">
                  <c:v>9.6571890134151097</c:v>
                </c:pt>
                <c:pt idx="250">
                  <c:v>9.5847122680824892</c:v>
                </c:pt>
                <c:pt idx="251">
                  <c:v>9.5173226599346403</c:v>
                </c:pt>
                <c:pt idx="252">
                  <c:v>9.4553726238557907</c:v>
                </c:pt>
                <c:pt idx="253">
                  <c:v>9.3991622530316903</c:v>
                </c:pt>
                <c:pt idx="254">
                  <c:v>9.3490018306378708</c:v>
                </c:pt>
                <c:pt idx="255">
                  <c:v>9.3052165835453593</c:v>
                </c:pt>
                <c:pt idx="256">
                  <c:v>9.2680418091812307</c:v>
                </c:pt>
                <c:pt idx="257">
                  <c:v>9.2377981709255206</c:v>
                </c:pt>
                <c:pt idx="258">
                  <c:v>9.2148056595328907</c:v>
                </c:pt>
                <c:pt idx="259">
                  <c:v>9.1991795721460807</c:v>
                </c:pt>
                <c:pt idx="260">
                  <c:v>9.5497281317336107</c:v>
                </c:pt>
                <c:pt idx="261">
                  <c:v>10.184095452738701</c:v>
                </c:pt>
                <c:pt idx="262">
                  <c:v>10.7082104192359</c:v>
                </c:pt>
                <c:pt idx="263">
                  <c:v>11.1196177100603</c:v>
                </c:pt>
                <c:pt idx="264">
                  <c:v>11.4160475201371</c:v>
                </c:pt>
                <c:pt idx="265">
                  <c:v>11.5953174033625</c:v>
                </c:pt>
                <c:pt idx="266">
                  <c:v>11.6550654147121</c:v>
                </c:pt>
                <c:pt idx="267">
                  <c:v>11.5930979190899</c:v>
                </c:pt>
                <c:pt idx="268">
                  <c:v>11.4071480319906</c:v>
                </c:pt>
                <c:pt idx="269">
                  <c:v>11.094965863757899</c:v>
                </c:pt>
                <c:pt idx="270">
                  <c:v>10.654218842942401</c:v>
                </c:pt>
                <c:pt idx="271">
                  <c:v>10.0826730292078</c:v>
                </c:pt>
                <c:pt idx="272">
                  <c:v>9.3779374493658594</c:v>
                </c:pt>
                <c:pt idx="273">
                  <c:v>8.5375904261311408</c:v>
                </c:pt>
                <c:pt idx="274">
                  <c:v>7.5591700581752104</c:v>
                </c:pt>
                <c:pt idx="275">
                  <c:v>6.4402609574548597</c:v>
                </c:pt>
                <c:pt idx="276">
                  <c:v>5.1782028436446703</c:v>
                </c:pt>
                <c:pt idx="277">
                  <c:v>3.7705543546619</c:v>
                </c:pt>
                <c:pt idx="278">
                  <c:v>2.2143838461599401</c:v>
                </c:pt>
                <c:pt idx="279">
                  <c:v>0.50680817270954504</c:v>
                </c:pt>
                <c:pt idx="280">
                  <c:v>1.5060929684018001</c:v>
                </c:pt>
                <c:pt idx="281">
                  <c:v>5.0031737686790203</c:v>
                </c:pt>
                <c:pt idx="282">
                  <c:v>8.0469906227784698</c:v>
                </c:pt>
                <c:pt idx="283">
                  <c:v>10.6323352222189</c:v>
                </c:pt>
                <c:pt idx="284">
                  <c:v>12.754546069974801</c:v>
                </c:pt>
                <c:pt idx="285">
                  <c:v>14.4094126726576</c:v>
                </c:pt>
                <c:pt idx="286">
                  <c:v>15.5932062075874</c:v>
                </c:pt>
                <c:pt idx="287">
                  <c:v>16.3026348604247</c:v>
                </c:pt>
                <c:pt idx="288">
                  <c:v>16.534722919764299</c:v>
                </c:pt>
                <c:pt idx="289">
                  <c:v>16.286938367280101</c:v>
                </c:pt>
                <c:pt idx="290">
                  <c:v>15.557481512651</c:v>
                </c:pt>
                <c:pt idx="291">
                  <c:v>14.3449037500089</c:v>
                </c:pt>
                <c:pt idx="292">
                  <c:v>12.647695306785</c:v>
                </c:pt>
                <c:pt idx="293">
                  <c:v>10.4654582498196</c:v>
                </c:pt>
                <c:pt idx="294">
                  <c:v>7.7977590994818602</c:v>
                </c:pt>
                <c:pt idx="295">
                  <c:v>4.6448689836522901</c:v>
                </c:pt>
                <c:pt idx="296">
                  <c:v>1.0080022499980901</c:v>
                </c:pt>
                <c:pt idx="297">
                  <c:v>-3.1124546414286698</c:v>
                </c:pt>
                <c:pt idx="298">
                  <c:v>-7.7148876104311404</c:v>
                </c:pt>
                <c:pt idx="299">
                  <c:v>-12.797763663025099</c:v>
                </c:pt>
                <c:pt idx="300">
                  <c:v>-11.2486543254222</c:v>
                </c:pt>
                <c:pt idx="301">
                  <c:v>-3.5000695964838702</c:v>
                </c:pt>
                <c:pt idx="302">
                  <c:v>3.1614025854348902</c:v>
                </c:pt>
                <c:pt idx="303">
                  <c:v>8.7365378812205101</c:v>
                </c:pt>
                <c:pt idx="304">
                  <c:v>13.2301104618815</c:v>
                </c:pt>
                <c:pt idx="305">
                  <c:v>16.646962548707901</c:v>
                </c:pt>
                <c:pt idx="306">
                  <c:v>18.993477461753301</c:v>
                </c:pt>
                <c:pt idx="307">
                  <c:v>20.278206922886</c:v>
                </c:pt>
                <c:pt idx="308">
                  <c:v>20.508901160333899</c:v>
                </c:pt>
                <c:pt idx="309">
                  <c:v>19.6957342761267</c:v>
                </c:pt>
                <c:pt idx="310">
                  <c:v>17.8496433211976</c:v>
                </c:pt>
                <c:pt idx="311">
                  <c:v>14.98845130386</c:v>
                </c:pt>
                <c:pt idx="312">
                  <c:v>11.1151836276743</c:v>
                </c:pt>
                <c:pt idx="313">
                  <c:v>6.2572783933278302</c:v>
                </c:pt>
                <c:pt idx="314">
                  <c:v>0.399605454491542</c:v>
                </c:pt>
                <c:pt idx="315">
                  <c:v>-6.4247124070033097</c:v>
                </c:pt>
                <c:pt idx="316">
                  <c:v>-14.1671585551797</c:v>
                </c:pt>
                <c:pt idx="317">
                  <c:v>-22.850765490286001</c:v>
                </c:pt>
                <c:pt idx="318">
                  <c:v>-32.2977723302782</c:v>
                </c:pt>
                <c:pt idx="319">
                  <c:v>-43.338106780593399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F4-4577-9B43-E76548914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556208"/>
        <c:axId val="1801559568"/>
      </c:scatterChart>
      <c:valAx>
        <c:axId val="180155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1559568"/>
        <c:crosses val="autoZero"/>
        <c:crossBetween val="midCat"/>
      </c:valAx>
      <c:valAx>
        <c:axId val="1801559568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155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[1]Sheet1!$AE$1:$AE$320</c:f>
              <c:numCache>
                <c:formatCode>General</c:formatCode>
                <c:ptCount val="320"/>
                <c:pt idx="0">
                  <c:v>7.8125000000000004E-4</c:v>
                </c:pt>
                <c:pt idx="1">
                  <c:v>2.3437499999999999E-3</c:v>
                </c:pt>
                <c:pt idx="2">
                  <c:v>3.90625E-3</c:v>
                </c:pt>
                <c:pt idx="3">
                  <c:v>5.4687499999999997E-3</c:v>
                </c:pt>
                <c:pt idx="4">
                  <c:v>7.0312500000000002E-3</c:v>
                </c:pt>
                <c:pt idx="5">
                  <c:v>8.5937500000000007E-3</c:v>
                </c:pt>
                <c:pt idx="6">
                  <c:v>1.015625E-2</c:v>
                </c:pt>
                <c:pt idx="7">
                  <c:v>1.171875E-2</c:v>
                </c:pt>
                <c:pt idx="8">
                  <c:v>1.328125E-2</c:v>
                </c:pt>
                <c:pt idx="9">
                  <c:v>1.4843749999999999E-2</c:v>
                </c:pt>
                <c:pt idx="10">
                  <c:v>1.6406250000000001E-2</c:v>
                </c:pt>
                <c:pt idx="11">
                  <c:v>1.7968749999999999E-2</c:v>
                </c:pt>
                <c:pt idx="12">
                  <c:v>1.953125E-2</c:v>
                </c:pt>
                <c:pt idx="13">
                  <c:v>2.1093750000000001E-2</c:v>
                </c:pt>
                <c:pt idx="14">
                  <c:v>2.2656249999999999E-2</c:v>
                </c:pt>
                <c:pt idx="15">
                  <c:v>2.4218750000000001E-2</c:v>
                </c:pt>
                <c:pt idx="16">
                  <c:v>2.5781249999999999E-2</c:v>
                </c:pt>
                <c:pt idx="17">
                  <c:v>2.734375E-2</c:v>
                </c:pt>
                <c:pt idx="18">
                  <c:v>2.8906250000000001E-2</c:v>
                </c:pt>
                <c:pt idx="19">
                  <c:v>3.0468749999999999E-2</c:v>
                </c:pt>
                <c:pt idx="20">
                  <c:v>3.2031249999999997E-2</c:v>
                </c:pt>
                <c:pt idx="21">
                  <c:v>3.3593749999999999E-2</c:v>
                </c:pt>
                <c:pt idx="22">
                  <c:v>3.515625E-2</c:v>
                </c:pt>
                <c:pt idx="23">
                  <c:v>3.6718750000000001E-2</c:v>
                </c:pt>
                <c:pt idx="24">
                  <c:v>3.8281250000000003E-2</c:v>
                </c:pt>
                <c:pt idx="25">
                  <c:v>3.9843749999999997E-2</c:v>
                </c:pt>
                <c:pt idx="26">
                  <c:v>4.1406249999999999E-2</c:v>
                </c:pt>
                <c:pt idx="27">
                  <c:v>4.296875E-2</c:v>
                </c:pt>
                <c:pt idx="28">
                  <c:v>4.4531250000000001E-2</c:v>
                </c:pt>
                <c:pt idx="29">
                  <c:v>4.6093750000000003E-2</c:v>
                </c:pt>
                <c:pt idx="30">
                  <c:v>4.7656249999999997E-2</c:v>
                </c:pt>
                <c:pt idx="31">
                  <c:v>4.9218749999999999E-2</c:v>
                </c:pt>
                <c:pt idx="32">
                  <c:v>5.078125E-2</c:v>
                </c:pt>
                <c:pt idx="33">
                  <c:v>5.2343750000000001E-2</c:v>
                </c:pt>
                <c:pt idx="34">
                  <c:v>5.3906250000000003E-2</c:v>
                </c:pt>
                <c:pt idx="35">
                  <c:v>5.5468749999999997E-2</c:v>
                </c:pt>
                <c:pt idx="36">
                  <c:v>5.7031249999999999E-2</c:v>
                </c:pt>
                <c:pt idx="37">
                  <c:v>5.859375E-2</c:v>
                </c:pt>
                <c:pt idx="38">
                  <c:v>6.0156250000000001E-2</c:v>
                </c:pt>
                <c:pt idx="39">
                  <c:v>6.1718750000000003E-2</c:v>
                </c:pt>
                <c:pt idx="40">
                  <c:v>6.3281249999999997E-2</c:v>
                </c:pt>
                <c:pt idx="41">
                  <c:v>6.4843750000000006E-2</c:v>
                </c:pt>
                <c:pt idx="42">
                  <c:v>6.640625E-2</c:v>
                </c:pt>
                <c:pt idx="43">
                  <c:v>6.7968749999999994E-2</c:v>
                </c:pt>
                <c:pt idx="44">
                  <c:v>6.9531250000000003E-2</c:v>
                </c:pt>
                <c:pt idx="45">
                  <c:v>7.1093749999999997E-2</c:v>
                </c:pt>
                <c:pt idx="46">
                  <c:v>7.2656250000000006E-2</c:v>
                </c:pt>
                <c:pt idx="47">
                  <c:v>7.421875E-2</c:v>
                </c:pt>
                <c:pt idx="48">
                  <c:v>7.5781249999999994E-2</c:v>
                </c:pt>
                <c:pt idx="49">
                  <c:v>7.7343750000000003E-2</c:v>
                </c:pt>
                <c:pt idx="50">
                  <c:v>7.8906249999999997E-2</c:v>
                </c:pt>
                <c:pt idx="51">
                  <c:v>8.0468750000000006E-2</c:v>
                </c:pt>
                <c:pt idx="52">
                  <c:v>8.203125E-2</c:v>
                </c:pt>
                <c:pt idx="53">
                  <c:v>8.3593749999999994E-2</c:v>
                </c:pt>
                <c:pt idx="54">
                  <c:v>8.5156250000000003E-2</c:v>
                </c:pt>
                <c:pt idx="55">
                  <c:v>8.6718749999999997E-2</c:v>
                </c:pt>
                <c:pt idx="56">
                  <c:v>8.8281250000000006E-2</c:v>
                </c:pt>
                <c:pt idx="57">
                  <c:v>8.984375E-2</c:v>
                </c:pt>
                <c:pt idx="58">
                  <c:v>9.1406249999999994E-2</c:v>
                </c:pt>
                <c:pt idx="59">
                  <c:v>9.2968750000000003E-2</c:v>
                </c:pt>
                <c:pt idx="60">
                  <c:v>9.4531249999999997E-2</c:v>
                </c:pt>
                <c:pt idx="61">
                  <c:v>9.6093750000000006E-2</c:v>
                </c:pt>
                <c:pt idx="62">
                  <c:v>9.765625E-2</c:v>
                </c:pt>
                <c:pt idx="63">
                  <c:v>9.9218749999999994E-2</c:v>
                </c:pt>
                <c:pt idx="64">
                  <c:v>0.1007813</c:v>
                </c:pt>
                <c:pt idx="65">
                  <c:v>0.1023438</c:v>
                </c:pt>
                <c:pt idx="66">
                  <c:v>0.10390629999999999</c:v>
                </c:pt>
                <c:pt idx="67">
                  <c:v>0.1054688</c:v>
                </c:pt>
                <c:pt idx="68">
                  <c:v>0.1070313</c:v>
                </c:pt>
                <c:pt idx="69">
                  <c:v>0.1085938</c:v>
                </c:pt>
                <c:pt idx="70">
                  <c:v>0.1101563</c:v>
                </c:pt>
                <c:pt idx="71">
                  <c:v>0.11171879999999999</c:v>
                </c:pt>
                <c:pt idx="72">
                  <c:v>0.1132813</c:v>
                </c:pt>
                <c:pt idx="73">
                  <c:v>0.11484370000000001</c:v>
                </c:pt>
                <c:pt idx="74">
                  <c:v>0.1164063</c:v>
                </c:pt>
                <c:pt idx="75">
                  <c:v>0.1179687</c:v>
                </c:pt>
                <c:pt idx="76">
                  <c:v>0.11953129999999999</c:v>
                </c:pt>
                <c:pt idx="77">
                  <c:v>0.1210938</c:v>
                </c:pt>
                <c:pt idx="78">
                  <c:v>0.12265620000000001</c:v>
                </c:pt>
                <c:pt idx="79">
                  <c:v>0.1242188</c:v>
                </c:pt>
                <c:pt idx="80">
                  <c:v>0.12578130000000001</c:v>
                </c:pt>
                <c:pt idx="81">
                  <c:v>0.12734380000000001</c:v>
                </c:pt>
                <c:pt idx="82">
                  <c:v>0.1289062</c:v>
                </c:pt>
                <c:pt idx="83">
                  <c:v>0.13046869999999999</c:v>
                </c:pt>
                <c:pt idx="84">
                  <c:v>0.13203119999999999</c:v>
                </c:pt>
                <c:pt idx="85">
                  <c:v>0.13359380000000001</c:v>
                </c:pt>
                <c:pt idx="86">
                  <c:v>0.13515630000000001</c:v>
                </c:pt>
                <c:pt idx="87">
                  <c:v>0.1367188</c:v>
                </c:pt>
                <c:pt idx="88">
                  <c:v>0.13828119999999999</c:v>
                </c:pt>
                <c:pt idx="89">
                  <c:v>0.13984369999999999</c:v>
                </c:pt>
                <c:pt idx="90">
                  <c:v>0.14140630000000001</c:v>
                </c:pt>
                <c:pt idx="91">
                  <c:v>0.14296880000000001</c:v>
                </c:pt>
                <c:pt idx="92">
                  <c:v>0.1445312</c:v>
                </c:pt>
                <c:pt idx="93">
                  <c:v>0.14609369999999999</c:v>
                </c:pt>
                <c:pt idx="94">
                  <c:v>0.14765619999999999</c:v>
                </c:pt>
                <c:pt idx="95">
                  <c:v>0.14921880000000001</c:v>
                </c:pt>
                <c:pt idx="96">
                  <c:v>0.15078130000000001</c:v>
                </c:pt>
                <c:pt idx="97">
                  <c:v>0.1523438</c:v>
                </c:pt>
                <c:pt idx="98">
                  <c:v>0.1539063</c:v>
                </c:pt>
                <c:pt idx="99">
                  <c:v>0.15546869999999999</c:v>
                </c:pt>
                <c:pt idx="100">
                  <c:v>0.15703130000000001</c:v>
                </c:pt>
                <c:pt idx="101">
                  <c:v>0.15859380000000001</c:v>
                </c:pt>
                <c:pt idx="102">
                  <c:v>0.1601562</c:v>
                </c:pt>
                <c:pt idx="103">
                  <c:v>0.16171869999999999</c:v>
                </c:pt>
                <c:pt idx="104">
                  <c:v>0.16328119999999999</c:v>
                </c:pt>
                <c:pt idx="105">
                  <c:v>0.16484380000000001</c:v>
                </c:pt>
                <c:pt idx="106">
                  <c:v>0.16640630000000001</c:v>
                </c:pt>
                <c:pt idx="107">
                  <c:v>0.1679688</c:v>
                </c:pt>
                <c:pt idx="108">
                  <c:v>0.16953119999999999</c:v>
                </c:pt>
                <c:pt idx="109">
                  <c:v>0.17109369999999999</c:v>
                </c:pt>
                <c:pt idx="110">
                  <c:v>0.17265630000000001</c:v>
                </c:pt>
                <c:pt idx="111">
                  <c:v>0.17421880000000001</c:v>
                </c:pt>
                <c:pt idx="112">
                  <c:v>0.1757812</c:v>
                </c:pt>
                <c:pt idx="113">
                  <c:v>0.17734369999999999</c:v>
                </c:pt>
                <c:pt idx="114">
                  <c:v>0.17890619999999999</c:v>
                </c:pt>
                <c:pt idx="115">
                  <c:v>0.18046880000000001</c:v>
                </c:pt>
                <c:pt idx="116">
                  <c:v>0.18203130000000001</c:v>
                </c:pt>
                <c:pt idx="117">
                  <c:v>0.1835938</c:v>
                </c:pt>
                <c:pt idx="118">
                  <c:v>0.18515619999999999</c:v>
                </c:pt>
                <c:pt idx="119">
                  <c:v>0.18671869999999999</c:v>
                </c:pt>
                <c:pt idx="120">
                  <c:v>0.18828130000000001</c:v>
                </c:pt>
                <c:pt idx="121">
                  <c:v>0.18984380000000001</c:v>
                </c:pt>
                <c:pt idx="122">
                  <c:v>0.1914063</c:v>
                </c:pt>
                <c:pt idx="123">
                  <c:v>0.19296869999999999</c:v>
                </c:pt>
                <c:pt idx="124">
                  <c:v>0.19453129999999999</c:v>
                </c:pt>
                <c:pt idx="125">
                  <c:v>0.19609380000000001</c:v>
                </c:pt>
                <c:pt idx="126">
                  <c:v>0.19765630000000001</c:v>
                </c:pt>
                <c:pt idx="127">
                  <c:v>0.1992188</c:v>
                </c:pt>
                <c:pt idx="128">
                  <c:v>0.20078119999999999</c:v>
                </c:pt>
                <c:pt idx="129">
                  <c:v>0.20234369999999999</c:v>
                </c:pt>
                <c:pt idx="130">
                  <c:v>0.20390630000000001</c:v>
                </c:pt>
                <c:pt idx="131">
                  <c:v>0.20546880000000001</c:v>
                </c:pt>
                <c:pt idx="132">
                  <c:v>0.2070312</c:v>
                </c:pt>
                <c:pt idx="133">
                  <c:v>0.20859369999999999</c:v>
                </c:pt>
                <c:pt idx="134">
                  <c:v>0.21015629999999999</c:v>
                </c:pt>
                <c:pt idx="135">
                  <c:v>0.21171880000000001</c:v>
                </c:pt>
                <c:pt idx="136">
                  <c:v>0.21328130000000001</c:v>
                </c:pt>
                <c:pt idx="137">
                  <c:v>0.2148438</c:v>
                </c:pt>
                <c:pt idx="138">
                  <c:v>0.2164063</c:v>
                </c:pt>
                <c:pt idx="139">
                  <c:v>0.21796869999999999</c:v>
                </c:pt>
                <c:pt idx="140">
                  <c:v>0.21953130000000001</c:v>
                </c:pt>
                <c:pt idx="141">
                  <c:v>0.22109380000000001</c:v>
                </c:pt>
                <c:pt idx="142">
                  <c:v>0.2226563</c:v>
                </c:pt>
                <c:pt idx="143">
                  <c:v>0.22421869999999999</c:v>
                </c:pt>
                <c:pt idx="144">
                  <c:v>0.22578129999999999</c:v>
                </c:pt>
                <c:pt idx="145">
                  <c:v>0.22734380000000001</c:v>
                </c:pt>
                <c:pt idx="146">
                  <c:v>0.22890630000000001</c:v>
                </c:pt>
                <c:pt idx="147">
                  <c:v>0.2304688</c:v>
                </c:pt>
                <c:pt idx="148">
                  <c:v>0.2320313</c:v>
                </c:pt>
                <c:pt idx="149">
                  <c:v>0.23359369999999999</c:v>
                </c:pt>
                <c:pt idx="150">
                  <c:v>0.23515630000000001</c:v>
                </c:pt>
                <c:pt idx="151">
                  <c:v>0.23671880000000001</c:v>
                </c:pt>
                <c:pt idx="152">
                  <c:v>0.2382812</c:v>
                </c:pt>
                <c:pt idx="153">
                  <c:v>0.23984369999999999</c:v>
                </c:pt>
                <c:pt idx="154">
                  <c:v>0.24140629999999999</c:v>
                </c:pt>
                <c:pt idx="155">
                  <c:v>0.24296880000000001</c:v>
                </c:pt>
                <c:pt idx="156">
                  <c:v>0.24453130000000001</c:v>
                </c:pt>
                <c:pt idx="157">
                  <c:v>0.2460938</c:v>
                </c:pt>
                <c:pt idx="158">
                  <c:v>0.24765619999999999</c:v>
                </c:pt>
                <c:pt idx="159">
                  <c:v>0.24921869999999999</c:v>
                </c:pt>
                <c:pt idx="160">
                  <c:v>0.25078129999999998</c:v>
                </c:pt>
                <c:pt idx="161">
                  <c:v>0.2523437</c:v>
                </c:pt>
                <c:pt idx="162">
                  <c:v>0.25390620000000003</c:v>
                </c:pt>
                <c:pt idx="163">
                  <c:v>0.2554688</c:v>
                </c:pt>
                <c:pt idx="164">
                  <c:v>0.25703120000000002</c:v>
                </c:pt>
                <c:pt idx="165">
                  <c:v>0.25859379999999998</c:v>
                </c:pt>
                <c:pt idx="166">
                  <c:v>0.2601562</c:v>
                </c:pt>
                <c:pt idx="167">
                  <c:v>0.26171879999999997</c:v>
                </c:pt>
                <c:pt idx="168">
                  <c:v>0.2632813</c:v>
                </c:pt>
                <c:pt idx="169">
                  <c:v>0.26484370000000002</c:v>
                </c:pt>
                <c:pt idx="170">
                  <c:v>0.26640629999999998</c:v>
                </c:pt>
                <c:pt idx="171">
                  <c:v>0.2679687</c:v>
                </c:pt>
                <c:pt idx="172">
                  <c:v>0.26953120000000003</c:v>
                </c:pt>
                <c:pt idx="173">
                  <c:v>0.2710938</c:v>
                </c:pt>
                <c:pt idx="174">
                  <c:v>0.27265620000000002</c:v>
                </c:pt>
                <c:pt idx="175">
                  <c:v>0.27421879999999998</c:v>
                </c:pt>
                <c:pt idx="176">
                  <c:v>0.2757812</c:v>
                </c:pt>
                <c:pt idx="177">
                  <c:v>0.27734379999999997</c:v>
                </c:pt>
                <c:pt idx="178">
                  <c:v>0.2789063</c:v>
                </c:pt>
                <c:pt idx="179">
                  <c:v>0.28046870000000002</c:v>
                </c:pt>
                <c:pt idx="180">
                  <c:v>0.28203129999999998</c:v>
                </c:pt>
                <c:pt idx="181">
                  <c:v>0.2835937</c:v>
                </c:pt>
                <c:pt idx="182">
                  <c:v>0.28515620000000003</c:v>
                </c:pt>
                <c:pt idx="183">
                  <c:v>0.28671869999999999</c:v>
                </c:pt>
                <c:pt idx="184">
                  <c:v>0.28828120000000002</c:v>
                </c:pt>
                <c:pt idx="185">
                  <c:v>0.28984379999999998</c:v>
                </c:pt>
                <c:pt idx="186">
                  <c:v>0.2914062</c:v>
                </c:pt>
                <c:pt idx="187">
                  <c:v>0.29296879999999997</c:v>
                </c:pt>
                <c:pt idx="188">
                  <c:v>0.2945313</c:v>
                </c:pt>
                <c:pt idx="189">
                  <c:v>0.29609370000000002</c:v>
                </c:pt>
                <c:pt idx="190">
                  <c:v>0.29765629999999998</c:v>
                </c:pt>
                <c:pt idx="191">
                  <c:v>0.2992187</c:v>
                </c:pt>
                <c:pt idx="192">
                  <c:v>0.30078120000000003</c:v>
                </c:pt>
                <c:pt idx="193">
                  <c:v>0.30234369999999999</c:v>
                </c:pt>
                <c:pt idx="194">
                  <c:v>0.30390620000000002</c:v>
                </c:pt>
                <c:pt idx="195">
                  <c:v>0.30546879999999998</c:v>
                </c:pt>
                <c:pt idx="196">
                  <c:v>0.30703130000000001</c:v>
                </c:pt>
                <c:pt idx="197">
                  <c:v>0.30859379999999997</c:v>
                </c:pt>
                <c:pt idx="198">
                  <c:v>0.31015619999999999</c:v>
                </c:pt>
                <c:pt idx="199">
                  <c:v>0.31171870000000002</c:v>
                </c:pt>
                <c:pt idx="200">
                  <c:v>0.31328129999999998</c:v>
                </c:pt>
                <c:pt idx="201">
                  <c:v>0.3148437</c:v>
                </c:pt>
                <c:pt idx="202">
                  <c:v>0.31640620000000003</c:v>
                </c:pt>
                <c:pt idx="203">
                  <c:v>0.3179688</c:v>
                </c:pt>
                <c:pt idx="204">
                  <c:v>0.31953120000000002</c:v>
                </c:pt>
                <c:pt idx="205">
                  <c:v>0.32109379999999998</c:v>
                </c:pt>
                <c:pt idx="206">
                  <c:v>0.3226562</c:v>
                </c:pt>
                <c:pt idx="207">
                  <c:v>0.32421879999999997</c:v>
                </c:pt>
                <c:pt idx="208">
                  <c:v>0.3257813</c:v>
                </c:pt>
                <c:pt idx="209">
                  <c:v>0.32734370000000002</c:v>
                </c:pt>
                <c:pt idx="210">
                  <c:v>0.32890629999999998</c:v>
                </c:pt>
                <c:pt idx="211">
                  <c:v>0.3304687</c:v>
                </c:pt>
                <c:pt idx="212">
                  <c:v>0.33203120000000003</c:v>
                </c:pt>
                <c:pt idx="213">
                  <c:v>0.3335938</c:v>
                </c:pt>
                <c:pt idx="214">
                  <c:v>0.33515620000000002</c:v>
                </c:pt>
                <c:pt idx="215">
                  <c:v>0.33671879999999998</c:v>
                </c:pt>
                <c:pt idx="216">
                  <c:v>0.3382812</c:v>
                </c:pt>
                <c:pt idx="217">
                  <c:v>0.33984379999999997</c:v>
                </c:pt>
                <c:pt idx="218">
                  <c:v>0.34140619999999999</c:v>
                </c:pt>
                <c:pt idx="219">
                  <c:v>0.34296870000000002</c:v>
                </c:pt>
                <c:pt idx="220">
                  <c:v>0.34453129999999998</c:v>
                </c:pt>
                <c:pt idx="221">
                  <c:v>0.3460937</c:v>
                </c:pt>
                <c:pt idx="222">
                  <c:v>0.34765629999999997</c:v>
                </c:pt>
                <c:pt idx="223">
                  <c:v>0.3492188</c:v>
                </c:pt>
                <c:pt idx="224">
                  <c:v>0.35078120000000002</c:v>
                </c:pt>
                <c:pt idx="225">
                  <c:v>0.35234379999999998</c:v>
                </c:pt>
                <c:pt idx="226">
                  <c:v>0.3539062</c:v>
                </c:pt>
                <c:pt idx="227">
                  <c:v>0.35546879999999997</c:v>
                </c:pt>
                <c:pt idx="228">
                  <c:v>0.3570313</c:v>
                </c:pt>
                <c:pt idx="229">
                  <c:v>0.35859370000000002</c:v>
                </c:pt>
                <c:pt idx="230">
                  <c:v>0.36015629999999998</c:v>
                </c:pt>
                <c:pt idx="231">
                  <c:v>0.3617187</c:v>
                </c:pt>
                <c:pt idx="232">
                  <c:v>0.36328120000000003</c:v>
                </c:pt>
                <c:pt idx="233">
                  <c:v>0.3648438</c:v>
                </c:pt>
                <c:pt idx="234">
                  <c:v>0.36640620000000002</c:v>
                </c:pt>
                <c:pt idx="235">
                  <c:v>0.36796879999999998</c:v>
                </c:pt>
                <c:pt idx="236">
                  <c:v>0.3695312</c:v>
                </c:pt>
                <c:pt idx="237">
                  <c:v>0.37109379999999997</c:v>
                </c:pt>
                <c:pt idx="238">
                  <c:v>0.37265619999999999</c:v>
                </c:pt>
                <c:pt idx="239">
                  <c:v>0.37421870000000002</c:v>
                </c:pt>
                <c:pt idx="240">
                  <c:v>0.37578129999999998</c:v>
                </c:pt>
                <c:pt idx="241">
                  <c:v>0.3773437</c:v>
                </c:pt>
                <c:pt idx="242">
                  <c:v>0.37890620000000003</c:v>
                </c:pt>
                <c:pt idx="243">
                  <c:v>0.38046869999999999</c:v>
                </c:pt>
                <c:pt idx="244">
                  <c:v>0.38203120000000002</c:v>
                </c:pt>
                <c:pt idx="245">
                  <c:v>0.38359379999999998</c:v>
                </c:pt>
                <c:pt idx="246">
                  <c:v>0.3851562</c:v>
                </c:pt>
                <c:pt idx="247">
                  <c:v>0.38671879999999997</c:v>
                </c:pt>
                <c:pt idx="248">
                  <c:v>0.3882813</c:v>
                </c:pt>
                <c:pt idx="249">
                  <c:v>0.38984370000000002</c:v>
                </c:pt>
                <c:pt idx="250">
                  <c:v>0.39140629999999998</c:v>
                </c:pt>
                <c:pt idx="251">
                  <c:v>0.3929687</c:v>
                </c:pt>
                <c:pt idx="252">
                  <c:v>0.39453120000000003</c:v>
                </c:pt>
                <c:pt idx="253">
                  <c:v>0.3960938</c:v>
                </c:pt>
                <c:pt idx="254">
                  <c:v>0.39765620000000002</c:v>
                </c:pt>
                <c:pt idx="255">
                  <c:v>0.39921879999999998</c:v>
                </c:pt>
                <c:pt idx="256">
                  <c:v>0.4007812</c:v>
                </c:pt>
                <c:pt idx="257">
                  <c:v>0.40234379999999997</c:v>
                </c:pt>
                <c:pt idx="258">
                  <c:v>0.40390619999999999</c:v>
                </c:pt>
                <c:pt idx="259">
                  <c:v>0.40546870000000002</c:v>
                </c:pt>
                <c:pt idx="260">
                  <c:v>0.40703129999999998</c:v>
                </c:pt>
                <c:pt idx="261">
                  <c:v>0.4085937</c:v>
                </c:pt>
                <c:pt idx="262">
                  <c:v>0.41015620000000003</c:v>
                </c:pt>
                <c:pt idx="263">
                  <c:v>0.4117188</c:v>
                </c:pt>
                <c:pt idx="264">
                  <c:v>0.41328130000000002</c:v>
                </c:pt>
                <c:pt idx="265">
                  <c:v>0.41484379999999998</c:v>
                </c:pt>
                <c:pt idx="266">
                  <c:v>0.4164062</c:v>
                </c:pt>
                <c:pt idx="267">
                  <c:v>0.41796879999999997</c:v>
                </c:pt>
                <c:pt idx="268">
                  <c:v>0.4195313</c:v>
                </c:pt>
                <c:pt idx="269">
                  <c:v>0.42109370000000002</c:v>
                </c:pt>
                <c:pt idx="270">
                  <c:v>0.42265629999999998</c:v>
                </c:pt>
                <c:pt idx="271">
                  <c:v>0.4242187</c:v>
                </c:pt>
                <c:pt idx="272">
                  <c:v>0.42578120000000003</c:v>
                </c:pt>
                <c:pt idx="273">
                  <c:v>0.4273438</c:v>
                </c:pt>
                <c:pt idx="274">
                  <c:v>0.42890630000000002</c:v>
                </c:pt>
                <c:pt idx="275">
                  <c:v>0.43046879999999998</c:v>
                </c:pt>
                <c:pt idx="276">
                  <c:v>0.4320312</c:v>
                </c:pt>
                <c:pt idx="277">
                  <c:v>0.43359379999999997</c:v>
                </c:pt>
                <c:pt idx="278">
                  <c:v>0.4351563</c:v>
                </c:pt>
                <c:pt idx="279">
                  <c:v>0.43671870000000002</c:v>
                </c:pt>
                <c:pt idx="280">
                  <c:v>0.43828129999999998</c:v>
                </c:pt>
                <c:pt idx="281">
                  <c:v>0.4398437</c:v>
                </c:pt>
                <c:pt idx="282">
                  <c:v>0.44140629999999997</c:v>
                </c:pt>
                <c:pt idx="283">
                  <c:v>0.4429688</c:v>
                </c:pt>
                <c:pt idx="284">
                  <c:v>0.44453120000000002</c:v>
                </c:pt>
                <c:pt idx="285">
                  <c:v>0.44609379999999998</c:v>
                </c:pt>
                <c:pt idx="286">
                  <c:v>0.4476562</c:v>
                </c:pt>
                <c:pt idx="287">
                  <c:v>0.44921879999999997</c:v>
                </c:pt>
                <c:pt idx="288">
                  <c:v>0.4507813</c:v>
                </c:pt>
                <c:pt idx="289">
                  <c:v>0.45234370000000002</c:v>
                </c:pt>
                <c:pt idx="290">
                  <c:v>0.45390629999999998</c:v>
                </c:pt>
                <c:pt idx="291">
                  <c:v>0.45546880000000001</c:v>
                </c:pt>
                <c:pt idx="292">
                  <c:v>0.45703120000000003</c:v>
                </c:pt>
                <c:pt idx="293">
                  <c:v>0.4585938</c:v>
                </c:pt>
                <c:pt idx="294">
                  <c:v>0.46015620000000002</c:v>
                </c:pt>
                <c:pt idx="295">
                  <c:v>0.46171879999999998</c:v>
                </c:pt>
                <c:pt idx="296">
                  <c:v>0.4632812</c:v>
                </c:pt>
                <c:pt idx="297">
                  <c:v>0.46484379999999997</c:v>
                </c:pt>
                <c:pt idx="298">
                  <c:v>0.46640619999999999</c:v>
                </c:pt>
                <c:pt idx="299">
                  <c:v>0.46796870000000002</c:v>
                </c:pt>
                <c:pt idx="300">
                  <c:v>0.46953129999999998</c:v>
                </c:pt>
                <c:pt idx="301">
                  <c:v>0.47109380000000001</c:v>
                </c:pt>
                <c:pt idx="302">
                  <c:v>0.47265620000000003</c:v>
                </c:pt>
                <c:pt idx="303">
                  <c:v>0.4742188</c:v>
                </c:pt>
                <c:pt idx="304">
                  <c:v>0.47578120000000002</c:v>
                </c:pt>
                <c:pt idx="305">
                  <c:v>0.47734379999999998</c:v>
                </c:pt>
                <c:pt idx="306">
                  <c:v>0.4789062</c:v>
                </c:pt>
                <c:pt idx="307">
                  <c:v>0.48046879999999997</c:v>
                </c:pt>
                <c:pt idx="308">
                  <c:v>0.4820313</c:v>
                </c:pt>
                <c:pt idx="309">
                  <c:v>0.48359370000000002</c:v>
                </c:pt>
                <c:pt idx="310">
                  <c:v>0.48515629999999998</c:v>
                </c:pt>
                <c:pt idx="311">
                  <c:v>0.48671880000000001</c:v>
                </c:pt>
                <c:pt idx="312">
                  <c:v>0.48828120000000003</c:v>
                </c:pt>
                <c:pt idx="313">
                  <c:v>0.4898438</c:v>
                </c:pt>
                <c:pt idx="314">
                  <c:v>0.49140620000000002</c:v>
                </c:pt>
                <c:pt idx="315">
                  <c:v>0.49296879999999998</c:v>
                </c:pt>
                <c:pt idx="316">
                  <c:v>0.4945312</c:v>
                </c:pt>
                <c:pt idx="317">
                  <c:v>0.49609379999999997</c:v>
                </c:pt>
                <c:pt idx="318">
                  <c:v>0.4976563</c:v>
                </c:pt>
                <c:pt idx="319">
                  <c:v>0.49921880000000002</c:v>
                </c:pt>
              </c:numCache>
            </c:numRef>
          </c:xVal>
          <c:yVal>
            <c:numRef>
              <c:f>[1]Sheet1!$AJ$1:$AJ$320</c:f>
              <c:numCache>
                <c:formatCode>General</c:formatCode>
                <c:ptCount val="320"/>
                <c:pt idx="0">
                  <c:v>13.7059822519522</c:v>
                </c:pt>
                <c:pt idx="1">
                  <c:v>13.704422822678399</c:v>
                </c:pt>
                <c:pt idx="2">
                  <c:v>13.703135393172699</c:v>
                </c:pt>
                <c:pt idx="3">
                  <c:v>13.7020818743229</c:v>
                </c:pt>
                <c:pt idx="4">
                  <c:v>13.7012240491539</c:v>
                </c:pt>
                <c:pt idx="5">
                  <c:v>13.700523592416801</c:v>
                </c:pt>
                <c:pt idx="6">
                  <c:v>13.699942079455599</c:v>
                </c:pt>
                <c:pt idx="7">
                  <c:v>13.699441008455301</c:v>
                </c:pt>
                <c:pt idx="8">
                  <c:v>13.698981850165399</c:v>
                </c:pt>
                <c:pt idx="9">
                  <c:v>13.698525871020401</c:v>
                </c:pt>
                <c:pt idx="10">
                  <c:v>13.6980344526233</c:v>
                </c:pt>
                <c:pt idx="11">
                  <c:v>13.6974689164333</c:v>
                </c:pt>
                <c:pt idx="12">
                  <c:v>13.696790548095301</c:v>
                </c:pt>
                <c:pt idx="13">
                  <c:v>13.6959606346581</c:v>
                </c:pt>
                <c:pt idx="14">
                  <c:v>13.694940466706599</c:v>
                </c:pt>
                <c:pt idx="15">
                  <c:v>13.6936914024553</c:v>
                </c:pt>
                <c:pt idx="16">
                  <c:v>13.692174826500599</c:v>
                </c:pt>
                <c:pt idx="17">
                  <c:v>13.6903521318791</c:v>
                </c:pt>
                <c:pt idx="18">
                  <c:v>13.6881848819207</c:v>
                </c:pt>
                <c:pt idx="19">
                  <c:v>13.685631907752301</c:v>
                </c:pt>
                <c:pt idx="20">
                  <c:v>13.6826658535766</c:v>
                </c:pt>
                <c:pt idx="21">
                  <c:v>13.6794513313846</c:v>
                </c:pt>
                <c:pt idx="22">
                  <c:v>13.676092655443</c:v>
                </c:pt>
                <c:pt idx="23">
                  <c:v>13.6726330710003</c:v>
                </c:pt>
                <c:pt idx="24">
                  <c:v>13.6691159712974</c:v>
                </c:pt>
                <c:pt idx="25">
                  <c:v>13.665584472404101</c:v>
                </c:pt>
                <c:pt idx="26">
                  <c:v>13.6620818472802</c:v>
                </c:pt>
                <c:pt idx="27">
                  <c:v>13.658651226759799</c:v>
                </c:pt>
                <c:pt idx="28">
                  <c:v>13.655335969040699</c:v>
                </c:pt>
                <c:pt idx="29">
                  <c:v>13.652179300292399</c:v>
                </c:pt>
                <c:pt idx="30">
                  <c:v>13.649224484517999</c:v>
                </c:pt>
                <c:pt idx="31">
                  <c:v>13.646514643762</c:v>
                </c:pt>
                <c:pt idx="32">
                  <c:v>13.6440932325166</c:v>
                </c:pt>
                <c:pt idx="33">
                  <c:v>13.6420032350526</c:v>
                </c:pt>
                <c:pt idx="34">
                  <c:v>13.640287943922401</c:v>
                </c:pt>
                <c:pt idx="35">
                  <c:v>13.638990897014899</c:v>
                </c:pt>
                <c:pt idx="36">
                  <c:v>13.638155745180599</c:v>
                </c:pt>
                <c:pt idx="37">
                  <c:v>13.6378247003203</c:v>
                </c:pt>
                <c:pt idx="38">
                  <c:v>13.6380417762514</c:v>
                </c:pt>
                <c:pt idx="39">
                  <c:v>13.638849659457</c:v>
                </c:pt>
                <c:pt idx="40">
                  <c:v>13.637451682506301</c:v>
                </c:pt>
                <c:pt idx="41">
                  <c:v>13.633016796975999</c:v>
                </c:pt>
                <c:pt idx="42">
                  <c:v>13.6279819020657</c:v>
                </c:pt>
                <c:pt idx="43">
                  <c:v>13.622282745379099</c:v>
                </c:pt>
                <c:pt idx="44">
                  <c:v>13.615855696360599</c:v>
                </c:pt>
                <c:pt idx="45">
                  <c:v>13.6086369950453</c:v>
                </c:pt>
                <c:pt idx="46">
                  <c:v>13.600562962204</c:v>
                </c:pt>
                <c:pt idx="47">
                  <c:v>13.591570148332</c:v>
                </c:pt>
                <c:pt idx="48">
                  <c:v>13.581595004432399</c:v>
                </c:pt>
                <c:pt idx="49">
                  <c:v>13.5705722641466</c:v>
                </c:pt>
                <c:pt idx="50">
                  <c:v>13.5584455349645</c:v>
                </c:pt>
                <c:pt idx="51">
                  <c:v>13.545147166103201</c:v>
                </c:pt>
                <c:pt idx="52">
                  <c:v>13.5306123930255</c:v>
                </c:pt>
                <c:pt idx="53">
                  <c:v>13.5147877887131</c:v>
                </c:pt>
                <c:pt idx="54">
                  <c:v>13.497606584574299</c:v>
                </c:pt>
                <c:pt idx="55">
                  <c:v>13.4790074616336</c:v>
                </c:pt>
                <c:pt idx="56">
                  <c:v>13.458930073064201</c:v>
                </c:pt>
                <c:pt idx="57">
                  <c:v>13.437313342741399</c:v>
                </c:pt>
                <c:pt idx="58">
                  <c:v>13.414096463418501</c:v>
                </c:pt>
                <c:pt idx="59">
                  <c:v>13.389218338544101</c:v>
                </c:pt>
                <c:pt idx="60">
                  <c:v>13.397482279588599</c:v>
                </c:pt>
                <c:pt idx="61">
                  <c:v>13.443883786259001</c:v>
                </c:pt>
                <c:pt idx="62">
                  <c:v>13.495790104850499</c:v>
                </c:pt>
                <c:pt idx="63">
                  <c:v>13.5533873541258</c:v>
                </c:pt>
                <c:pt idx="64">
                  <c:v>13.578243900729801</c:v>
                </c:pt>
                <c:pt idx="65">
                  <c:v>13.565808714708</c:v>
                </c:pt>
                <c:pt idx="66">
                  <c:v>13.552795550102299</c:v>
                </c:pt>
                <c:pt idx="67">
                  <c:v>13.539202557782099</c:v>
                </c:pt>
                <c:pt idx="68">
                  <c:v>13.525032488849799</c:v>
                </c:pt>
                <c:pt idx="69">
                  <c:v>13.5102860328265</c:v>
                </c:pt>
                <c:pt idx="70">
                  <c:v>13.494965214210399</c:v>
                </c:pt>
                <c:pt idx="71">
                  <c:v>13.4790733482437</c:v>
                </c:pt>
                <c:pt idx="72">
                  <c:v>13.4626110589225</c:v>
                </c:pt>
                <c:pt idx="73">
                  <c:v>13.445582264900899</c:v>
                </c:pt>
                <c:pt idx="74">
                  <c:v>13.4279873991724</c:v>
                </c:pt>
                <c:pt idx="75">
                  <c:v>13.409832345012401</c:v>
                </c:pt>
                <c:pt idx="76">
                  <c:v>13.391122153487499</c:v>
                </c:pt>
                <c:pt idx="77">
                  <c:v>13.3718597476488</c:v>
                </c:pt>
                <c:pt idx="78">
                  <c:v>13.352052746889701</c:v>
                </c:pt>
                <c:pt idx="79">
                  <c:v>13.331703621183101</c:v>
                </c:pt>
                <c:pt idx="80">
                  <c:v>13.315984083399099</c:v>
                </c:pt>
                <c:pt idx="81">
                  <c:v>13.3055147568721</c:v>
                </c:pt>
                <c:pt idx="82">
                  <c:v>13.2953907305497</c:v>
                </c:pt>
                <c:pt idx="83">
                  <c:v>13.285645481515999</c:v>
                </c:pt>
                <c:pt idx="84">
                  <c:v>13.276318111221901</c:v>
                </c:pt>
                <c:pt idx="85">
                  <c:v>13.267443250806201</c:v>
                </c:pt>
                <c:pt idx="86">
                  <c:v>13.2590550887303</c:v>
                </c:pt>
                <c:pt idx="87">
                  <c:v>13.2511863644055</c:v>
                </c:pt>
                <c:pt idx="88">
                  <c:v>13.243875550438499</c:v>
                </c:pt>
                <c:pt idx="89">
                  <c:v>13.237153759001499</c:v>
                </c:pt>
                <c:pt idx="90">
                  <c:v>13.2310473422505</c:v>
                </c:pt>
                <c:pt idx="91">
                  <c:v>13.2256058084778</c:v>
                </c:pt>
                <c:pt idx="92">
                  <c:v>13.220855290379699</c:v>
                </c:pt>
                <c:pt idx="93">
                  <c:v>13.216833798609599</c:v>
                </c:pt>
                <c:pt idx="94">
                  <c:v>13.2135739558942</c:v>
                </c:pt>
                <c:pt idx="95">
                  <c:v>13.211110648938799</c:v>
                </c:pt>
                <c:pt idx="96">
                  <c:v>13.2094752177491</c:v>
                </c:pt>
                <c:pt idx="97">
                  <c:v>13.208704265577101</c:v>
                </c:pt>
                <c:pt idx="98">
                  <c:v>13.2088321871129</c:v>
                </c:pt>
                <c:pt idx="99">
                  <c:v>13.209896768996501</c:v>
                </c:pt>
                <c:pt idx="100">
                  <c:v>13.2061064731106</c:v>
                </c:pt>
                <c:pt idx="101">
                  <c:v>13.195996790894499</c:v>
                </c:pt>
                <c:pt idx="102">
                  <c:v>13.184739339161601</c:v>
                </c:pt>
                <c:pt idx="103">
                  <c:v>13.1722647326218</c:v>
                </c:pt>
                <c:pt idx="104">
                  <c:v>13.1585107496762</c:v>
                </c:pt>
                <c:pt idx="105">
                  <c:v>13.143412613572</c:v>
                </c:pt>
                <c:pt idx="106">
                  <c:v>13.126912162432401</c:v>
                </c:pt>
                <c:pt idx="107">
                  <c:v>13.108942388229901</c:v>
                </c:pt>
                <c:pt idx="108">
                  <c:v>13.089442129817799</c:v>
                </c:pt>
                <c:pt idx="109">
                  <c:v>13.068352046910499</c:v>
                </c:pt>
                <c:pt idx="110">
                  <c:v>13.045620236524099</c:v>
                </c:pt>
                <c:pt idx="111">
                  <c:v>13.021176966829801</c:v>
                </c:pt>
                <c:pt idx="112">
                  <c:v>12.994959295711</c:v>
                </c:pt>
                <c:pt idx="113">
                  <c:v>12.966916455773299</c:v>
                </c:pt>
                <c:pt idx="114">
                  <c:v>12.936973850407499</c:v>
                </c:pt>
                <c:pt idx="115">
                  <c:v>12.905088465362899</c:v>
                </c:pt>
                <c:pt idx="116">
                  <c:v>12.8711863174992</c:v>
                </c:pt>
                <c:pt idx="117">
                  <c:v>12.8352213209428</c:v>
                </c:pt>
                <c:pt idx="118">
                  <c:v>12.797136317514299</c:v>
                </c:pt>
                <c:pt idx="119">
                  <c:v>12.7568777515446</c:v>
                </c:pt>
                <c:pt idx="120">
                  <c:v>12.7402997892105</c:v>
                </c:pt>
                <c:pt idx="121">
                  <c:v>12.754085868022299</c:v>
                </c:pt>
                <c:pt idx="122">
                  <c:v>12.7754572202187</c:v>
                </c:pt>
                <c:pt idx="123">
                  <c:v>12.804740989772901</c:v>
                </c:pt>
                <c:pt idx="124">
                  <c:v>12.842268344056899</c:v>
                </c:pt>
                <c:pt idx="125">
                  <c:v>12.8883538289572</c:v>
                </c:pt>
                <c:pt idx="126">
                  <c:v>12.9433119625863</c:v>
                </c:pt>
                <c:pt idx="127">
                  <c:v>13.007469704284601</c:v>
                </c:pt>
                <c:pt idx="128">
                  <c:v>13.0299688748348</c:v>
                </c:pt>
                <c:pt idx="129">
                  <c:v>13.001885256823901</c:v>
                </c:pt>
                <c:pt idx="130">
                  <c:v>12.970553329229601</c:v>
                </c:pt>
                <c:pt idx="131">
                  <c:v>12.935856627918501</c:v>
                </c:pt>
                <c:pt idx="132">
                  <c:v>12.8976456718344</c:v>
                </c:pt>
                <c:pt idx="133">
                  <c:v>12.855814124176799</c:v>
                </c:pt>
                <c:pt idx="134">
                  <c:v>12.810218139404199</c:v>
                </c:pt>
                <c:pt idx="135">
                  <c:v>12.7607359756585</c:v>
                </c:pt>
                <c:pt idx="136">
                  <c:v>12.7072473747925</c:v>
                </c:pt>
                <c:pt idx="137">
                  <c:v>12.649617948618999</c:v>
                </c:pt>
                <c:pt idx="138">
                  <c:v>12.587735409678301</c:v>
                </c:pt>
                <c:pt idx="139">
                  <c:v>12.5214704523133</c:v>
                </c:pt>
                <c:pt idx="140">
                  <c:v>12.485560771165201</c:v>
                </c:pt>
                <c:pt idx="141">
                  <c:v>12.483060834931701</c:v>
                </c:pt>
                <c:pt idx="142">
                  <c:v>12.480382207770299</c:v>
                </c:pt>
                <c:pt idx="143">
                  <c:v>12.477510308846</c:v>
                </c:pt>
                <c:pt idx="144">
                  <c:v>12.4744381244595</c:v>
                </c:pt>
                <c:pt idx="145">
                  <c:v>12.471153348955299</c:v>
                </c:pt>
                <c:pt idx="146">
                  <c:v>12.467650143123</c:v>
                </c:pt>
                <c:pt idx="147">
                  <c:v>12.4639045103343</c:v>
                </c:pt>
                <c:pt idx="148">
                  <c:v>12.4599095644323</c:v>
                </c:pt>
                <c:pt idx="149">
                  <c:v>12.455654812267101</c:v>
                </c:pt>
                <c:pt idx="150">
                  <c:v>12.4511412066775</c:v>
                </c:pt>
                <c:pt idx="151">
                  <c:v>12.4463526193575</c:v>
                </c:pt>
                <c:pt idx="152">
                  <c:v>12.4412900460028</c:v>
                </c:pt>
                <c:pt idx="153">
                  <c:v>12.435941787048501</c:v>
                </c:pt>
                <c:pt idx="154">
                  <c:v>12.430302801483499</c:v>
                </c:pt>
                <c:pt idx="155">
                  <c:v>12.424375319670499</c:v>
                </c:pt>
                <c:pt idx="156">
                  <c:v>12.418160705324</c:v>
                </c:pt>
                <c:pt idx="157">
                  <c:v>12.411642126435201</c:v>
                </c:pt>
                <c:pt idx="158">
                  <c:v>12.404826542500899</c:v>
                </c:pt>
                <c:pt idx="159">
                  <c:v>12.397700884613201</c:v>
                </c:pt>
                <c:pt idx="160">
                  <c:v>12.3728557652934</c:v>
                </c:pt>
                <c:pt idx="161">
                  <c:v>12.331661663395</c:v>
                </c:pt>
                <c:pt idx="162">
                  <c:v>12.292154735550801</c:v>
                </c:pt>
                <c:pt idx="163">
                  <c:v>12.254439236612599</c:v>
                </c:pt>
                <c:pt idx="164">
                  <c:v>12.2186203259979</c:v>
                </c:pt>
                <c:pt idx="165">
                  <c:v>12.184781371528</c:v>
                </c:pt>
                <c:pt idx="166">
                  <c:v>12.1530274134808</c:v>
                </c:pt>
                <c:pt idx="167">
                  <c:v>12.123439161306299</c:v>
                </c:pt>
                <c:pt idx="168">
                  <c:v>12.0961236830787</c:v>
                </c:pt>
                <c:pt idx="169">
                  <c:v>12.07118803467</c:v>
                </c:pt>
                <c:pt idx="170">
                  <c:v>12.0487228335711</c:v>
                </c:pt>
                <c:pt idx="171">
                  <c:v>12.0288264607986</c:v>
                </c:pt>
                <c:pt idx="172">
                  <c:v>12.011628386419</c:v>
                </c:pt>
                <c:pt idx="173">
                  <c:v>11.997189364413799</c:v>
                </c:pt>
                <c:pt idx="174">
                  <c:v>11.985603566596</c:v>
                </c:pt>
                <c:pt idx="175">
                  <c:v>11.976984068300199</c:v>
                </c:pt>
                <c:pt idx="176">
                  <c:v>11.9714241985365</c:v>
                </c:pt>
                <c:pt idx="177">
                  <c:v>11.9690392511254</c:v>
                </c:pt>
                <c:pt idx="178">
                  <c:v>11.9699082389017</c:v>
                </c:pt>
                <c:pt idx="179">
                  <c:v>11.974148245076201</c:v>
                </c:pt>
                <c:pt idx="180">
                  <c:v>11.981327104053699</c:v>
                </c:pt>
                <c:pt idx="181">
                  <c:v>11.984285120648901</c:v>
                </c:pt>
                <c:pt idx="182">
                  <c:v>11.9804836998875</c:v>
                </c:pt>
                <c:pt idx="183">
                  <c:v>11.9697798949489</c:v>
                </c:pt>
                <c:pt idx="184">
                  <c:v>11.952023422681201</c:v>
                </c:pt>
                <c:pt idx="185">
                  <c:v>11.9270735304396</c:v>
                </c:pt>
                <c:pt idx="186">
                  <c:v>11.894764260829399</c:v>
                </c:pt>
                <c:pt idx="187">
                  <c:v>11.854972313673899</c:v>
                </c:pt>
                <c:pt idx="188">
                  <c:v>11.8075598810142</c:v>
                </c:pt>
                <c:pt idx="189">
                  <c:v>11.752426883192699</c:v>
                </c:pt>
                <c:pt idx="190">
                  <c:v>11.689410206384901</c:v>
                </c:pt>
                <c:pt idx="191">
                  <c:v>11.6184087582792</c:v>
                </c:pt>
                <c:pt idx="192">
                  <c:v>11.5286616668084</c:v>
                </c:pt>
                <c:pt idx="193">
                  <c:v>11.438544943997501</c:v>
                </c:pt>
                <c:pt idx="194">
                  <c:v>11.366681463203401</c:v>
                </c:pt>
                <c:pt idx="195">
                  <c:v>11.3135864500842</c:v>
                </c:pt>
                <c:pt idx="196">
                  <c:v>11.2797334521217</c:v>
                </c:pt>
                <c:pt idx="197">
                  <c:v>11.2656360037497</c:v>
                </c:pt>
                <c:pt idx="198">
                  <c:v>11.2717820834915</c:v>
                </c:pt>
                <c:pt idx="199">
                  <c:v>11.298660202302999</c:v>
                </c:pt>
                <c:pt idx="200">
                  <c:v>11.3580677074899</c:v>
                </c:pt>
                <c:pt idx="201">
                  <c:v>11.427322007298599</c:v>
                </c:pt>
                <c:pt idx="202">
                  <c:v>11.4854460021003</c:v>
                </c:pt>
                <c:pt idx="203">
                  <c:v>11.532155177642499</c:v>
                </c:pt>
                <c:pt idx="204">
                  <c:v>11.5671846251365</c:v>
                </c:pt>
                <c:pt idx="205">
                  <c:v>11.590283057841599</c:v>
                </c:pt>
                <c:pt idx="206">
                  <c:v>11.6010599786554</c:v>
                </c:pt>
                <c:pt idx="207">
                  <c:v>11.599331786818601</c:v>
                </c:pt>
                <c:pt idx="208">
                  <c:v>11.5847975044401</c:v>
                </c:pt>
                <c:pt idx="209">
                  <c:v>11.557237721590401</c:v>
                </c:pt>
                <c:pt idx="210">
                  <c:v>11.5163254098557</c:v>
                </c:pt>
                <c:pt idx="211">
                  <c:v>11.461834726743101</c:v>
                </c:pt>
                <c:pt idx="212">
                  <c:v>11.393483634035199</c:v>
                </c:pt>
                <c:pt idx="213">
                  <c:v>11.3110206692023</c:v>
                </c:pt>
                <c:pt idx="214">
                  <c:v>11.214200978157701</c:v>
                </c:pt>
                <c:pt idx="215">
                  <c:v>11.1027622816746</c:v>
                </c:pt>
                <c:pt idx="216">
                  <c:v>10.976431666902799</c:v>
                </c:pt>
                <c:pt idx="217">
                  <c:v>10.8349707759529</c:v>
                </c:pt>
                <c:pt idx="218">
                  <c:v>10.6780995165629</c:v>
                </c:pt>
                <c:pt idx="219">
                  <c:v>10.5055628992179</c:v>
                </c:pt>
                <c:pt idx="220">
                  <c:v>10.459163880414</c:v>
                </c:pt>
                <c:pt idx="221">
                  <c:v>10.543724340541001</c:v>
                </c:pt>
                <c:pt idx="222">
                  <c:v>10.619040880895801</c:v>
                </c:pt>
                <c:pt idx="223">
                  <c:v>10.684931592996101</c:v>
                </c:pt>
                <c:pt idx="224">
                  <c:v>10.741245923409499</c:v>
                </c:pt>
                <c:pt idx="225">
                  <c:v>10.787818284975099</c:v>
                </c:pt>
                <c:pt idx="226">
                  <c:v>10.824512639462201</c:v>
                </c:pt>
                <c:pt idx="227">
                  <c:v>10.8511709374056</c:v>
                </c:pt>
                <c:pt idx="228">
                  <c:v>10.8677011579401</c:v>
                </c:pt>
                <c:pt idx="229">
                  <c:v>10.874007211774501</c:v>
                </c:pt>
                <c:pt idx="230">
                  <c:v>10.869907108760801</c:v>
                </c:pt>
                <c:pt idx="231">
                  <c:v>10.8553272195239</c:v>
                </c:pt>
                <c:pt idx="232">
                  <c:v>10.8301959599274</c:v>
                </c:pt>
                <c:pt idx="233">
                  <c:v>10.7944073226714</c:v>
                </c:pt>
                <c:pt idx="234">
                  <c:v>10.7479134930791</c:v>
                </c:pt>
                <c:pt idx="235">
                  <c:v>10.6906263185429</c:v>
                </c:pt>
                <c:pt idx="236">
                  <c:v>10.622512695955701</c:v>
                </c:pt>
                <c:pt idx="237">
                  <c:v>10.5435729264944</c:v>
                </c:pt>
                <c:pt idx="238">
                  <c:v>10.453683032887501</c:v>
                </c:pt>
                <c:pt idx="239">
                  <c:v>10.352844231983701</c:v>
                </c:pt>
                <c:pt idx="240">
                  <c:v>10.271360833668901</c:v>
                </c:pt>
                <c:pt idx="241">
                  <c:v>10.2175261710728</c:v>
                </c:pt>
                <c:pt idx="242">
                  <c:v>10.1652291120574</c:v>
                </c:pt>
                <c:pt idx="243">
                  <c:v>10.1153098481638</c:v>
                </c:pt>
                <c:pt idx="244">
                  <c:v>10.068683036185901</c:v>
                </c:pt>
                <c:pt idx="245">
                  <c:v>10.0263804631978</c:v>
                </c:pt>
                <c:pt idx="246">
                  <c:v>9.9894549638589805</c:v>
                </c:pt>
                <c:pt idx="247">
                  <c:v>9.9589983830963895</c:v>
                </c:pt>
                <c:pt idx="248">
                  <c:v>9.9362550024021701</c:v>
                </c:pt>
                <c:pt idx="249">
                  <c:v>9.9224663540278097</c:v>
                </c:pt>
                <c:pt idx="250">
                  <c:v>9.9190135353294799</c:v>
                </c:pt>
                <c:pt idx="251">
                  <c:v>9.9272844325357994</c:v>
                </c:pt>
                <c:pt idx="252">
                  <c:v>9.9487669583487701</c:v>
                </c:pt>
                <c:pt idx="253">
                  <c:v>9.9849894211661105</c:v>
                </c:pt>
                <c:pt idx="254">
                  <c:v>10.037609223698301</c:v>
                </c:pt>
                <c:pt idx="255">
                  <c:v>10.1082999842245</c:v>
                </c:pt>
                <c:pt idx="256">
                  <c:v>9.8557651789381602</c:v>
                </c:pt>
                <c:pt idx="257">
                  <c:v>9.30132071898608</c:v>
                </c:pt>
                <c:pt idx="258">
                  <c:v>8.7937254808474705</c:v>
                </c:pt>
                <c:pt idx="259">
                  <c:v>8.3291684767272702</c:v>
                </c:pt>
                <c:pt idx="260">
                  <c:v>8.5654286973191596</c:v>
                </c:pt>
                <c:pt idx="261">
                  <c:v>9.3867486443308596</c:v>
                </c:pt>
                <c:pt idx="262">
                  <c:v>10.082303271782701</c:v>
                </c:pt>
                <c:pt idx="263">
                  <c:v>10.6497600990396</c:v>
                </c:pt>
                <c:pt idx="264">
                  <c:v>11.086856367083399</c:v>
                </c:pt>
                <c:pt idx="265">
                  <c:v>11.391275594126199</c:v>
                </c:pt>
                <c:pt idx="266">
                  <c:v>11.560965206807801</c:v>
                </c:pt>
                <c:pt idx="267">
                  <c:v>11.593697229913801</c:v>
                </c:pt>
                <c:pt idx="268">
                  <c:v>11.487452457455699</c:v>
                </c:pt>
                <c:pt idx="269">
                  <c:v>11.240173837455201</c:v>
                </c:pt>
                <c:pt idx="270">
                  <c:v>10.849732023027199</c:v>
                </c:pt>
                <c:pt idx="271">
                  <c:v>10.3142229185007</c:v>
                </c:pt>
                <c:pt idx="272">
                  <c:v>9.6316705157209093</c:v>
                </c:pt>
                <c:pt idx="273">
                  <c:v>8.7999281116725605</c:v>
                </c:pt>
                <c:pt idx="274">
                  <c:v>7.8169980300039699</c:v>
                </c:pt>
                <c:pt idx="275">
                  <c:v>6.6809064289771403</c:v>
                </c:pt>
                <c:pt idx="276">
                  <c:v>5.3894557556829898</c:v>
                </c:pt>
                <c:pt idx="277">
                  <c:v>3.9405700798768</c:v>
                </c:pt>
                <c:pt idx="278">
                  <c:v>2.3322172551703302</c:v>
                </c:pt>
                <c:pt idx="279">
                  <c:v>0.56203679209160695</c:v>
                </c:pt>
                <c:pt idx="280">
                  <c:v>1.5226051571744099</c:v>
                </c:pt>
                <c:pt idx="281">
                  <c:v>5.0125546167889299</c:v>
                </c:pt>
                <c:pt idx="282">
                  <c:v>8.0500454370277499</c:v>
                </c:pt>
                <c:pt idx="283">
                  <c:v>10.629986173070099</c:v>
                </c:pt>
                <c:pt idx="284">
                  <c:v>12.747647085516</c:v>
                </c:pt>
                <c:pt idx="285">
                  <c:v>14.398747960798399</c:v>
                </c:pt>
                <c:pt idx="286">
                  <c:v>15.579323313652001</c:v>
                </c:pt>
                <c:pt idx="287">
                  <c:v>16.2859278098177</c:v>
                </c:pt>
                <c:pt idx="288">
                  <c:v>16.515473471830799</c:v>
                </c:pt>
                <c:pt idx="289">
                  <c:v>16.265315223305802</c:v>
                </c:pt>
                <c:pt idx="290">
                  <c:v>15.5326965610451</c:v>
                </c:pt>
                <c:pt idx="291">
                  <c:v>14.316126656943601</c:v>
                </c:pt>
                <c:pt idx="292">
                  <c:v>12.6136491026159</c:v>
                </c:pt>
                <c:pt idx="293">
                  <c:v>10.424025641539799</c:v>
                </c:pt>
                <c:pt idx="294">
                  <c:v>7.7461436402360002</c:v>
                </c:pt>
                <c:pt idx="295">
                  <c:v>4.5798991670748803</c:v>
                </c:pt>
                <c:pt idx="296">
                  <c:v>0.92448900094515796</c:v>
                </c:pt>
                <c:pt idx="297">
                  <c:v>-3.2198016694757898</c:v>
                </c:pt>
                <c:pt idx="298">
                  <c:v>-7.8528825822271404</c:v>
                </c:pt>
                <c:pt idx="299">
                  <c:v>-12.974420359062</c:v>
                </c:pt>
                <c:pt idx="300">
                  <c:v>-11.400272375889701</c:v>
                </c:pt>
                <c:pt idx="301">
                  <c:v>-3.5598474848064101</c:v>
                </c:pt>
                <c:pt idx="302">
                  <c:v>3.18889017396749</c:v>
                </c:pt>
                <c:pt idx="303">
                  <c:v>8.8451814597078506</c:v>
                </c:pt>
                <c:pt idx="304">
                  <c:v>13.4127266179449</c:v>
                </c:pt>
                <c:pt idx="305">
                  <c:v>16.8948900125203</c:v>
                </c:pt>
                <c:pt idx="306">
                  <c:v>19.296076947086501</c:v>
                </c:pt>
                <c:pt idx="307">
                  <c:v>20.622520384912502</c:v>
                </c:pt>
                <c:pt idx="308">
                  <c:v>20.880012294271001</c:v>
                </c:pt>
                <c:pt idx="309">
                  <c:v>20.074093796843702</c:v>
                </c:pt>
                <c:pt idx="310">
                  <c:v>18.222990060689401</c:v>
                </c:pt>
                <c:pt idx="311">
                  <c:v>15.3247660878225</c:v>
                </c:pt>
                <c:pt idx="312">
                  <c:v>11.389256344695999</c:v>
                </c:pt>
                <c:pt idx="313">
                  <c:v>6.4254993121130299</c:v>
                </c:pt>
                <c:pt idx="314">
                  <c:v>0.44706891244679903</c:v>
                </c:pt>
                <c:pt idx="315">
                  <c:v>-6.5302049355988503</c:v>
                </c:pt>
                <c:pt idx="316">
                  <c:v>-14.4989375397499</c:v>
                </c:pt>
                <c:pt idx="317">
                  <c:v>-23.3176703075648</c:v>
                </c:pt>
                <c:pt idx="318">
                  <c:v>-33.4108871989907</c:v>
                </c:pt>
                <c:pt idx="319">
                  <c:v>-44.685835921586197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E1-41C2-80BD-01733299A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398480"/>
        <c:axId val="1799396080"/>
      </c:scatterChart>
      <c:valAx>
        <c:axId val="179939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99396080"/>
        <c:crosses val="autoZero"/>
        <c:crossBetween val="midCat"/>
      </c:valAx>
      <c:valAx>
        <c:axId val="179939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9939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1"/>
          <c:tx>
            <c:v>S-IGA cubic</c:v>
          </c:tx>
          <c:spPr>
            <a:ln w="15875">
              <a:solidFill>
                <a:srgbClr val="00B0F0"/>
              </a:solidFill>
            </a:ln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final4!$BU$2:$BU$321</c:f>
              <c:numCache>
                <c:formatCode>0.00E+00</c:formatCode>
                <c:ptCount val="320"/>
                <c:pt idx="0">
                  <c:v>1.5625000000000001E-3</c:v>
                </c:pt>
                <c:pt idx="1">
                  <c:v>4.6874999999999998E-3</c:v>
                </c:pt>
                <c:pt idx="2">
                  <c:v>7.8125E-3</c:v>
                </c:pt>
                <c:pt idx="3">
                  <c:v>1.0937499999999999E-2</c:v>
                </c:pt>
                <c:pt idx="4">
                  <c:v>1.40625E-2</c:v>
                </c:pt>
                <c:pt idx="5">
                  <c:v>1.7187500000000001E-2</c:v>
                </c:pt>
                <c:pt idx="6">
                  <c:v>2.0312500000000001E-2</c:v>
                </c:pt>
                <c:pt idx="7">
                  <c:v>2.34375E-2</c:v>
                </c:pt>
                <c:pt idx="8">
                  <c:v>2.6562499999999999E-2</c:v>
                </c:pt>
                <c:pt idx="9">
                  <c:v>2.9687499999999999E-2</c:v>
                </c:pt>
                <c:pt idx="10">
                  <c:v>3.2812500000000001E-2</c:v>
                </c:pt>
                <c:pt idx="11">
                  <c:v>3.5937499999999997E-2</c:v>
                </c:pt>
                <c:pt idx="12">
                  <c:v>3.90625E-2</c:v>
                </c:pt>
                <c:pt idx="13">
                  <c:v>4.2187500000000003E-2</c:v>
                </c:pt>
                <c:pt idx="14">
                  <c:v>4.5312499999999999E-2</c:v>
                </c:pt>
                <c:pt idx="15">
                  <c:v>4.8437500000000001E-2</c:v>
                </c:pt>
                <c:pt idx="16">
                  <c:v>5.1562499999999997E-2</c:v>
                </c:pt>
                <c:pt idx="17">
                  <c:v>5.46875E-2</c:v>
                </c:pt>
                <c:pt idx="18">
                  <c:v>5.7812500000000003E-2</c:v>
                </c:pt>
                <c:pt idx="19">
                  <c:v>6.0937499999999999E-2</c:v>
                </c:pt>
                <c:pt idx="20">
                  <c:v>6.4062499999999994E-2</c:v>
                </c:pt>
                <c:pt idx="21">
                  <c:v>6.7187499999999997E-2</c:v>
                </c:pt>
                <c:pt idx="22">
                  <c:v>7.03125E-2</c:v>
                </c:pt>
                <c:pt idx="23">
                  <c:v>7.3437500000000003E-2</c:v>
                </c:pt>
                <c:pt idx="24">
                  <c:v>7.6562500000000006E-2</c:v>
                </c:pt>
                <c:pt idx="25">
                  <c:v>7.9687499999999994E-2</c:v>
                </c:pt>
                <c:pt idx="26">
                  <c:v>8.2812499999999997E-2</c:v>
                </c:pt>
                <c:pt idx="27">
                  <c:v>8.59375E-2</c:v>
                </c:pt>
                <c:pt idx="28">
                  <c:v>8.9062500000000003E-2</c:v>
                </c:pt>
                <c:pt idx="29">
                  <c:v>9.2187500000000006E-2</c:v>
                </c:pt>
                <c:pt idx="30">
                  <c:v>9.5312499999999994E-2</c:v>
                </c:pt>
                <c:pt idx="31">
                  <c:v>9.8437499999999997E-2</c:v>
                </c:pt>
                <c:pt idx="32">
                  <c:v>0.1015625</c:v>
                </c:pt>
                <c:pt idx="33">
                  <c:v>0.1046875</c:v>
                </c:pt>
                <c:pt idx="34">
                  <c:v>0.10781250000000001</c:v>
                </c:pt>
                <c:pt idx="35">
                  <c:v>0.11093749999999999</c:v>
                </c:pt>
                <c:pt idx="36">
                  <c:v>0.1140625</c:v>
                </c:pt>
                <c:pt idx="37">
                  <c:v>0.1171875</c:v>
                </c:pt>
                <c:pt idx="38">
                  <c:v>0.1203125</c:v>
                </c:pt>
                <c:pt idx="39">
                  <c:v>0.12343750000000001</c:v>
                </c:pt>
                <c:pt idx="40">
                  <c:v>0.12656249999999999</c:v>
                </c:pt>
                <c:pt idx="41">
                  <c:v>0.12968750000000001</c:v>
                </c:pt>
                <c:pt idx="42">
                  <c:v>0.1328125</c:v>
                </c:pt>
                <c:pt idx="43">
                  <c:v>0.13593749999999999</c:v>
                </c:pt>
                <c:pt idx="44">
                  <c:v>0.13906250000000001</c:v>
                </c:pt>
                <c:pt idx="45">
                  <c:v>0.14218749999999999</c:v>
                </c:pt>
                <c:pt idx="46">
                  <c:v>0.14531250000000001</c:v>
                </c:pt>
                <c:pt idx="47">
                  <c:v>0.1484375</c:v>
                </c:pt>
                <c:pt idx="48">
                  <c:v>0.15156249999999999</c:v>
                </c:pt>
                <c:pt idx="49">
                  <c:v>0.15468750000000001</c:v>
                </c:pt>
                <c:pt idx="50">
                  <c:v>0.15781249999999999</c:v>
                </c:pt>
                <c:pt idx="51">
                  <c:v>0.16093750000000001</c:v>
                </c:pt>
                <c:pt idx="52">
                  <c:v>0.1640625</c:v>
                </c:pt>
                <c:pt idx="53">
                  <c:v>0.16718749999999999</c:v>
                </c:pt>
                <c:pt idx="54">
                  <c:v>0.17031250000000001</c:v>
                </c:pt>
                <c:pt idx="55">
                  <c:v>0.17343749999999999</c:v>
                </c:pt>
                <c:pt idx="56">
                  <c:v>0.17656250000000001</c:v>
                </c:pt>
                <c:pt idx="57">
                  <c:v>0.1796875</c:v>
                </c:pt>
                <c:pt idx="58">
                  <c:v>0.18281249999999999</c:v>
                </c:pt>
                <c:pt idx="59">
                  <c:v>0.18593750000000001</c:v>
                </c:pt>
                <c:pt idx="60">
                  <c:v>0.18906249999999999</c:v>
                </c:pt>
                <c:pt idx="61">
                  <c:v>0.19218750000000001</c:v>
                </c:pt>
                <c:pt idx="62">
                  <c:v>0.1953125</c:v>
                </c:pt>
                <c:pt idx="63">
                  <c:v>0.19843749999999999</c:v>
                </c:pt>
                <c:pt idx="64">
                  <c:v>0.20156260000000001</c:v>
                </c:pt>
                <c:pt idx="65">
                  <c:v>0.2046876</c:v>
                </c:pt>
                <c:pt idx="66">
                  <c:v>0.20781259999999999</c:v>
                </c:pt>
                <c:pt idx="67">
                  <c:v>0.2109376</c:v>
                </c:pt>
                <c:pt idx="68">
                  <c:v>0.21406259999999999</c:v>
                </c:pt>
                <c:pt idx="69">
                  <c:v>0.21718760000000001</c:v>
                </c:pt>
                <c:pt idx="70">
                  <c:v>0.2203126</c:v>
                </c:pt>
                <c:pt idx="71">
                  <c:v>0.22343759999999999</c:v>
                </c:pt>
                <c:pt idx="72">
                  <c:v>0.2265626</c:v>
                </c:pt>
                <c:pt idx="73">
                  <c:v>0.22968740000000001</c:v>
                </c:pt>
                <c:pt idx="74">
                  <c:v>0.23281260000000001</c:v>
                </c:pt>
                <c:pt idx="75">
                  <c:v>0.23593739999999999</c:v>
                </c:pt>
                <c:pt idx="76">
                  <c:v>0.23906259999999999</c:v>
                </c:pt>
                <c:pt idx="77">
                  <c:v>0.2421876</c:v>
                </c:pt>
                <c:pt idx="78">
                  <c:v>0.24531240000000001</c:v>
                </c:pt>
                <c:pt idx="79">
                  <c:v>0.24843760000000001</c:v>
                </c:pt>
                <c:pt idx="80">
                  <c:v>0.25156260000000003</c:v>
                </c:pt>
                <c:pt idx="81">
                  <c:v>0.25468760000000001</c:v>
                </c:pt>
                <c:pt idx="82">
                  <c:v>0.2578124</c:v>
                </c:pt>
                <c:pt idx="83">
                  <c:v>0.26093739999999999</c:v>
                </c:pt>
                <c:pt idx="84">
                  <c:v>0.26406239999999997</c:v>
                </c:pt>
                <c:pt idx="85">
                  <c:v>0.26718760000000003</c:v>
                </c:pt>
                <c:pt idx="86">
                  <c:v>0.27031260000000001</c:v>
                </c:pt>
                <c:pt idx="87">
                  <c:v>0.2734376</c:v>
                </c:pt>
                <c:pt idx="88">
                  <c:v>0.27656239999999999</c:v>
                </c:pt>
                <c:pt idx="89">
                  <c:v>0.27968739999999997</c:v>
                </c:pt>
                <c:pt idx="90">
                  <c:v>0.28281260000000003</c:v>
                </c:pt>
                <c:pt idx="91">
                  <c:v>0.28593760000000001</c:v>
                </c:pt>
                <c:pt idx="92">
                  <c:v>0.2890624</c:v>
                </c:pt>
                <c:pt idx="93">
                  <c:v>0.29218739999999999</c:v>
                </c:pt>
                <c:pt idx="94">
                  <c:v>0.29531239999999997</c:v>
                </c:pt>
                <c:pt idx="95">
                  <c:v>0.29843760000000003</c:v>
                </c:pt>
                <c:pt idx="96">
                  <c:v>0.30156260000000001</c:v>
                </c:pt>
                <c:pt idx="97">
                  <c:v>0.3046876</c:v>
                </c:pt>
                <c:pt idx="98">
                  <c:v>0.30781259999999999</c:v>
                </c:pt>
                <c:pt idx="99">
                  <c:v>0.31093739999999997</c:v>
                </c:pt>
                <c:pt idx="100">
                  <c:v>0.31406260000000003</c:v>
                </c:pt>
                <c:pt idx="101">
                  <c:v>0.31718760000000001</c:v>
                </c:pt>
                <c:pt idx="102">
                  <c:v>0.3203124</c:v>
                </c:pt>
                <c:pt idx="103">
                  <c:v>0.32343739999999999</c:v>
                </c:pt>
                <c:pt idx="104">
                  <c:v>0.32656239999999997</c:v>
                </c:pt>
                <c:pt idx="105">
                  <c:v>0.32968760000000003</c:v>
                </c:pt>
                <c:pt idx="106">
                  <c:v>0.33281260000000001</c:v>
                </c:pt>
                <c:pt idx="107">
                  <c:v>0.3359376</c:v>
                </c:pt>
                <c:pt idx="108">
                  <c:v>0.33906239999999999</c:v>
                </c:pt>
                <c:pt idx="109">
                  <c:v>0.34218739999999997</c:v>
                </c:pt>
                <c:pt idx="110">
                  <c:v>0.34531260000000003</c:v>
                </c:pt>
                <c:pt idx="111">
                  <c:v>0.34843760000000001</c:v>
                </c:pt>
                <c:pt idx="112">
                  <c:v>0.3515624</c:v>
                </c:pt>
                <c:pt idx="113">
                  <c:v>0.35468739999999999</c:v>
                </c:pt>
                <c:pt idx="114">
                  <c:v>0.35781239999999997</c:v>
                </c:pt>
                <c:pt idx="115">
                  <c:v>0.36093760000000003</c:v>
                </c:pt>
                <c:pt idx="116">
                  <c:v>0.36406260000000001</c:v>
                </c:pt>
                <c:pt idx="117">
                  <c:v>0.3671876</c:v>
                </c:pt>
                <c:pt idx="118">
                  <c:v>0.37031239999999999</c:v>
                </c:pt>
                <c:pt idx="119">
                  <c:v>0.37343739999999997</c:v>
                </c:pt>
                <c:pt idx="120">
                  <c:v>0.37656260000000003</c:v>
                </c:pt>
                <c:pt idx="121">
                  <c:v>0.37968760000000001</c:v>
                </c:pt>
                <c:pt idx="122">
                  <c:v>0.3828126</c:v>
                </c:pt>
                <c:pt idx="123">
                  <c:v>0.38593739999999999</c:v>
                </c:pt>
                <c:pt idx="124">
                  <c:v>0.38906259999999998</c:v>
                </c:pt>
                <c:pt idx="125">
                  <c:v>0.39218760000000003</c:v>
                </c:pt>
                <c:pt idx="126">
                  <c:v>0.39531260000000001</c:v>
                </c:pt>
                <c:pt idx="127">
                  <c:v>0.3984376</c:v>
                </c:pt>
                <c:pt idx="128">
                  <c:v>0.40156239999999999</c:v>
                </c:pt>
                <c:pt idx="129">
                  <c:v>0.40468739999999997</c:v>
                </c:pt>
                <c:pt idx="130">
                  <c:v>0.40781260000000003</c:v>
                </c:pt>
                <c:pt idx="131">
                  <c:v>0.41093760000000001</c:v>
                </c:pt>
                <c:pt idx="132">
                  <c:v>0.4140624</c:v>
                </c:pt>
                <c:pt idx="133">
                  <c:v>0.41718739999999999</c:v>
                </c:pt>
                <c:pt idx="134">
                  <c:v>0.42031259999999998</c:v>
                </c:pt>
                <c:pt idx="135">
                  <c:v>0.42343760000000003</c:v>
                </c:pt>
                <c:pt idx="136">
                  <c:v>0.42656260000000001</c:v>
                </c:pt>
                <c:pt idx="137">
                  <c:v>0.4296876</c:v>
                </c:pt>
                <c:pt idx="138">
                  <c:v>0.43281259999999999</c:v>
                </c:pt>
                <c:pt idx="139">
                  <c:v>0.43593739999999997</c:v>
                </c:pt>
                <c:pt idx="140">
                  <c:v>0.43906260000000003</c:v>
                </c:pt>
                <c:pt idx="141">
                  <c:v>0.44218760000000001</c:v>
                </c:pt>
                <c:pt idx="142">
                  <c:v>0.4453126</c:v>
                </c:pt>
                <c:pt idx="143">
                  <c:v>0.44843739999999999</c:v>
                </c:pt>
                <c:pt idx="144">
                  <c:v>0.45156259999999998</c:v>
                </c:pt>
                <c:pt idx="145">
                  <c:v>0.45468760000000003</c:v>
                </c:pt>
                <c:pt idx="146">
                  <c:v>0.45781260000000001</c:v>
                </c:pt>
                <c:pt idx="147">
                  <c:v>0.4609376</c:v>
                </c:pt>
                <c:pt idx="148">
                  <c:v>0.46406259999999999</c:v>
                </c:pt>
                <c:pt idx="149">
                  <c:v>0.46718739999999997</c:v>
                </c:pt>
                <c:pt idx="150">
                  <c:v>0.47031260000000003</c:v>
                </c:pt>
                <c:pt idx="151">
                  <c:v>0.47343760000000001</c:v>
                </c:pt>
                <c:pt idx="152">
                  <c:v>0.4765624</c:v>
                </c:pt>
                <c:pt idx="153">
                  <c:v>0.47968739999999999</c:v>
                </c:pt>
                <c:pt idx="154">
                  <c:v>0.48281259999999998</c:v>
                </c:pt>
                <c:pt idx="155">
                  <c:v>0.48593760000000003</c:v>
                </c:pt>
                <c:pt idx="156">
                  <c:v>0.48906260000000001</c:v>
                </c:pt>
                <c:pt idx="157">
                  <c:v>0.4921876</c:v>
                </c:pt>
                <c:pt idx="158">
                  <c:v>0.49531239999999999</c:v>
                </c:pt>
                <c:pt idx="159">
                  <c:v>0.49843739999999997</c:v>
                </c:pt>
                <c:pt idx="160">
                  <c:v>0.50156259999999997</c:v>
                </c:pt>
                <c:pt idx="161">
                  <c:v>0.50468740000000001</c:v>
                </c:pt>
                <c:pt idx="162">
                  <c:v>0.50781240000000005</c:v>
                </c:pt>
                <c:pt idx="163">
                  <c:v>0.51093759999999999</c:v>
                </c:pt>
                <c:pt idx="164">
                  <c:v>0.51406240000000003</c:v>
                </c:pt>
                <c:pt idx="165">
                  <c:v>0.51718759999999997</c:v>
                </c:pt>
                <c:pt idx="166">
                  <c:v>0.52031240000000001</c:v>
                </c:pt>
                <c:pt idx="167">
                  <c:v>0.52343759999999995</c:v>
                </c:pt>
                <c:pt idx="168">
                  <c:v>0.52656259999999999</c:v>
                </c:pt>
                <c:pt idx="169">
                  <c:v>0.52968740000000003</c:v>
                </c:pt>
                <c:pt idx="170">
                  <c:v>0.53281259999999997</c:v>
                </c:pt>
                <c:pt idx="171">
                  <c:v>0.53593740000000001</c:v>
                </c:pt>
                <c:pt idx="172">
                  <c:v>0.53906240000000005</c:v>
                </c:pt>
                <c:pt idx="173">
                  <c:v>0.54218759999999999</c:v>
                </c:pt>
                <c:pt idx="174">
                  <c:v>0.54531240000000003</c:v>
                </c:pt>
                <c:pt idx="175">
                  <c:v>0.54843759999999997</c:v>
                </c:pt>
                <c:pt idx="176">
                  <c:v>0.55156240000000001</c:v>
                </c:pt>
                <c:pt idx="177">
                  <c:v>0.55468759999999995</c:v>
                </c:pt>
                <c:pt idx="178">
                  <c:v>0.55781259999999999</c:v>
                </c:pt>
                <c:pt idx="179">
                  <c:v>0.56093740000000003</c:v>
                </c:pt>
                <c:pt idx="180">
                  <c:v>0.56406259999999997</c:v>
                </c:pt>
                <c:pt idx="181">
                  <c:v>0.56718740000000001</c:v>
                </c:pt>
                <c:pt idx="182">
                  <c:v>0.57031240000000005</c:v>
                </c:pt>
                <c:pt idx="183">
                  <c:v>0.57343739999999999</c:v>
                </c:pt>
                <c:pt idx="184">
                  <c:v>0.57656240000000003</c:v>
                </c:pt>
                <c:pt idx="185">
                  <c:v>0.57968759999999997</c:v>
                </c:pt>
                <c:pt idx="186">
                  <c:v>0.58281240000000001</c:v>
                </c:pt>
                <c:pt idx="187">
                  <c:v>0.58593759999999995</c:v>
                </c:pt>
                <c:pt idx="188">
                  <c:v>0.58906259999999999</c:v>
                </c:pt>
                <c:pt idx="189">
                  <c:v>0.59218740000000003</c:v>
                </c:pt>
                <c:pt idx="190">
                  <c:v>0.59531259999999997</c:v>
                </c:pt>
                <c:pt idx="191">
                  <c:v>0.59843740000000001</c:v>
                </c:pt>
                <c:pt idx="192">
                  <c:v>0.60156240000000005</c:v>
                </c:pt>
                <c:pt idx="193">
                  <c:v>0.60468739999999999</c:v>
                </c:pt>
                <c:pt idx="194">
                  <c:v>0.60781240000000003</c:v>
                </c:pt>
                <c:pt idx="195">
                  <c:v>0.61093759999999997</c:v>
                </c:pt>
                <c:pt idx="196">
                  <c:v>0.61406260000000001</c:v>
                </c:pt>
                <c:pt idx="197">
                  <c:v>0.61718759999999995</c:v>
                </c:pt>
                <c:pt idx="198">
                  <c:v>0.62031239999999999</c:v>
                </c:pt>
                <c:pt idx="199">
                  <c:v>0.62343740000000003</c:v>
                </c:pt>
                <c:pt idx="200">
                  <c:v>0.62656259999999997</c:v>
                </c:pt>
                <c:pt idx="201">
                  <c:v>0.62968740000000001</c:v>
                </c:pt>
                <c:pt idx="202">
                  <c:v>0.63281240000000005</c:v>
                </c:pt>
                <c:pt idx="203">
                  <c:v>0.63593759999999999</c:v>
                </c:pt>
                <c:pt idx="204">
                  <c:v>0.63906240000000003</c:v>
                </c:pt>
                <c:pt idx="205">
                  <c:v>0.64218759999999997</c:v>
                </c:pt>
                <c:pt idx="206">
                  <c:v>0.64531240000000001</c:v>
                </c:pt>
                <c:pt idx="207">
                  <c:v>0.64843759999999995</c:v>
                </c:pt>
                <c:pt idx="208">
                  <c:v>0.65156259999999999</c:v>
                </c:pt>
                <c:pt idx="209">
                  <c:v>0.65468740000000003</c:v>
                </c:pt>
                <c:pt idx="210">
                  <c:v>0.65781259999999997</c:v>
                </c:pt>
                <c:pt idx="211">
                  <c:v>0.66093740000000001</c:v>
                </c:pt>
                <c:pt idx="212">
                  <c:v>0.66406240000000005</c:v>
                </c:pt>
                <c:pt idx="213">
                  <c:v>0.66718759999999999</c:v>
                </c:pt>
                <c:pt idx="214">
                  <c:v>0.67031240000000003</c:v>
                </c:pt>
                <c:pt idx="215">
                  <c:v>0.67343759999999997</c:v>
                </c:pt>
                <c:pt idx="216">
                  <c:v>0.67656240000000001</c:v>
                </c:pt>
                <c:pt idx="217">
                  <c:v>0.67968759999999995</c:v>
                </c:pt>
                <c:pt idx="218">
                  <c:v>0.68281239999999999</c:v>
                </c:pt>
                <c:pt idx="219">
                  <c:v>0.68593740000000003</c:v>
                </c:pt>
                <c:pt idx="220">
                  <c:v>0.68906259999999997</c:v>
                </c:pt>
                <c:pt idx="221">
                  <c:v>0.69218740000000001</c:v>
                </c:pt>
                <c:pt idx="222">
                  <c:v>0.69531259999999995</c:v>
                </c:pt>
                <c:pt idx="223">
                  <c:v>0.69843759999999999</c:v>
                </c:pt>
                <c:pt idx="224">
                  <c:v>0.70156240000000003</c:v>
                </c:pt>
                <c:pt idx="225">
                  <c:v>0.70468759999999997</c:v>
                </c:pt>
                <c:pt idx="226">
                  <c:v>0.70781240000000001</c:v>
                </c:pt>
                <c:pt idx="227">
                  <c:v>0.71093759999999995</c:v>
                </c:pt>
                <c:pt idx="228">
                  <c:v>0.71406259999999999</c:v>
                </c:pt>
                <c:pt idx="229">
                  <c:v>0.71718740000000003</c:v>
                </c:pt>
                <c:pt idx="230">
                  <c:v>0.72031259999999997</c:v>
                </c:pt>
                <c:pt idx="231">
                  <c:v>0.72343740000000001</c:v>
                </c:pt>
                <c:pt idx="232">
                  <c:v>0.72656240000000005</c:v>
                </c:pt>
                <c:pt idx="233">
                  <c:v>0.72968759999999999</c:v>
                </c:pt>
                <c:pt idx="234">
                  <c:v>0.73281240000000003</c:v>
                </c:pt>
                <c:pt idx="235">
                  <c:v>0.73593759999999997</c:v>
                </c:pt>
                <c:pt idx="236">
                  <c:v>0.73906240000000001</c:v>
                </c:pt>
                <c:pt idx="237">
                  <c:v>0.74218759999999995</c:v>
                </c:pt>
                <c:pt idx="238">
                  <c:v>0.74531239999999999</c:v>
                </c:pt>
                <c:pt idx="239">
                  <c:v>0.74843740000000003</c:v>
                </c:pt>
                <c:pt idx="240">
                  <c:v>0.75156259999999997</c:v>
                </c:pt>
                <c:pt idx="241">
                  <c:v>0.75468740000000001</c:v>
                </c:pt>
                <c:pt idx="242">
                  <c:v>0.75781240000000005</c:v>
                </c:pt>
                <c:pt idx="243">
                  <c:v>0.76093739999999999</c:v>
                </c:pt>
                <c:pt idx="244">
                  <c:v>0.76406240000000003</c:v>
                </c:pt>
                <c:pt idx="245">
                  <c:v>0.76718759999999997</c:v>
                </c:pt>
                <c:pt idx="246">
                  <c:v>0.77031240000000001</c:v>
                </c:pt>
                <c:pt idx="247">
                  <c:v>0.77343759999999995</c:v>
                </c:pt>
                <c:pt idx="248">
                  <c:v>0.77656259999999999</c:v>
                </c:pt>
                <c:pt idx="249">
                  <c:v>0.77968740000000003</c:v>
                </c:pt>
                <c:pt idx="250">
                  <c:v>0.78281259999999997</c:v>
                </c:pt>
                <c:pt idx="251">
                  <c:v>0.78593740000000001</c:v>
                </c:pt>
                <c:pt idx="252">
                  <c:v>0.78906240000000005</c:v>
                </c:pt>
                <c:pt idx="253">
                  <c:v>0.79218759999999999</c:v>
                </c:pt>
                <c:pt idx="254">
                  <c:v>0.79531240000000003</c:v>
                </c:pt>
                <c:pt idx="255">
                  <c:v>0.79843759999999997</c:v>
                </c:pt>
                <c:pt idx="256">
                  <c:v>0.80156240000000001</c:v>
                </c:pt>
                <c:pt idx="257">
                  <c:v>0.80468759999999995</c:v>
                </c:pt>
                <c:pt idx="258">
                  <c:v>0.80781239999999999</c:v>
                </c:pt>
                <c:pt idx="259">
                  <c:v>0.81093740000000003</c:v>
                </c:pt>
                <c:pt idx="260">
                  <c:v>0.81406259999999997</c:v>
                </c:pt>
                <c:pt idx="261">
                  <c:v>0.81718740000000001</c:v>
                </c:pt>
                <c:pt idx="262">
                  <c:v>0.82031240000000005</c:v>
                </c:pt>
                <c:pt idx="263">
                  <c:v>0.82343759999999999</c:v>
                </c:pt>
                <c:pt idx="264">
                  <c:v>0.82656260000000004</c:v>
                </c:pt>
                <c:pt idx="265">
                  <c:v>0.82968759999999997</c:v>
                </c:pt>
                <c:pt idx="266">
                  <c:v>0.83281240000000001</c:v>
                </c:pt>
                <c:pt idx="267">
                  <c:v>0.83593759999999995</c:v>
                </c:pt>
                <c:pt idx="268">
                  <c:v>0.83906259999999999</c:v>
                </c:pt>
                <c:pt idx="269">
                  <c:v>0.84218740000000003</c:v>
                </c:pt>
                <c:pt idx="270">
                  <c:v>0.84531259999999997</c:v>
                </c:pt>
                <c:pt idx="271">
                  <c:v>0.84843740000000001</c:v>
                </c:pt>
                <c:pt idx="272">
                  <c:v>0.85156240000000005</c:v>
                </c:pt>
                <c:pt idx="273">
                  <c:v>0.85468759999999999</c:v>
                </c:pt>
                <c:pt idx="274">
                  <c:v>0.85781260000000004</c:v>
                </c:pt>
                <c:pt idx="275">
                  <c:v>0.86093759999999997</c:v>
                </c:pt>
                <c:pt idx="276">
                  <c:v>0.86406240000000001</c:v>
                </c:pt>
                <c:pt idx="277">
                  <c:v>0.86718759999999995</c:v>
                </c:pt>
                <c:pt idx="278">
                  <c:v>0.87031259999999999</c:v>
                </c:pt>
                <c:pt idx="279">
                  <c:v>0.87343740000000003</c:v>
                </c:pt>
                <c:pt idx="280">
                  <c:v>0.87656259999999997</c:v>
                </c:pt>
                <c:pt idx="281">
                  <c:v>0.87968740000000001</c:v>
                </c:pt>
                <c:pt idx="282">
                  <c:v>0.88281259999999995</c:v>
                </c:pt>
                <c:pt idx="283">
                  <c:v>0.88593759999999999</c:v>
                </c:pt>
                <c:pt idx="284">
                  <c:v>0.88906240000000003</c:v>
                </c:pt>
                <c:pt idx="285">
                  <c:v>0.89218759999999997</c:v>
                </c:pt>
                <c:pt idx="286">
                  <c:v>0.89531240000000001</c:v>
                </c:pt>
                <c:pt idx="287">
                  <c:v>0.89843759999999995</c:v>
                </c:pt>
                <c:pt idx="288">
                  <c:v>0.90156259999999999</c:v>
                </c:pt>
                <c:pt idx="289">
                  <c:v>0.90468740000000003</c:v>
                </c:pt>
                <c:pt idx="290">
                  <c:v>0.90781259999999997</c:v>
                </c:pt>
                <c:pt idx="291">
                  <c:v>0.91093760000000001</c:v>
                </c:pt>
                <c:pt idx="292">
                  <c:v>0.91406240000000005</c:v>
                </c:pt>
                <c:pt idx="293">
                  <c:v>0.91718759999999999</c:v>
                </c:pt>
                <c:pt idx="294">
                  <c:v>0.92031240000000003</c:v>
                </c:pt>
                <c:pt idx="295">
                  <c:v>0.92343759999999997</c:v>
                </c:pt>
                <c:pt idx="296">
                  <c:v>0.92656240000000001</c:v>
                </c:pt>
                <c:pt idx="297">
                  <c:v>0.92968759999999995</c:v>
                </c:pt>
                <c:pt idx="298">
                  <c:v>0.93281239999999999</c:v>
                </c:pt>
                <c:pt idx="299">
                  <c:v>0.93593740000000003</c:v>
                </c:pt>
                <c:pt idx="300">
                  <c:v>0.93906259999999997</c:v>
                </c:pt>
                <c:pt idx="301">
                  <c:v>0.94218760000000001</c:v>
                </c:pt>
                <c:pt idx="302">
                  <c:v>0.94531240000000005</c:v>
                </c:pt>
                <c:pt idx="303">
                  <c:v>0.94843759999999999</c:v>
                </c:pt>
                <c:pt idx="304">
                  <c:v>0.95156240000000003</c:v>
                </c:pt>
                <c:pt idx="305">
                  <c:v>0.95468759999999997</c:v>
                </c:pt>
                <c:pt idx="306">
                  <c:v>0.95781240000000001</c:v>
                </c:pt>
                <c:pt idx="307">
                  <c:v>0.96093759999999995</c:v>
                </c:pt>
                <c:pt idx="308">
                  <c:v>0.96406259999999999</c:v>
                </c:pt>
                <c:pt idx="309">
                  <c:v>0.96718740000000003</c:v>
                </c:pt>
                <c:pt idx="310">
                  <c:v>0.97031259999999997</c:v>
                </c:pt>
                <c:pt idx="311">
                  <c:v>0.97343760000000001</c:v>
                </c:pt>
                <c:pt idx="312">
                  <c:v>0.97656240000000005</c:v>
                </c:pt>
                <c:pt idx="313">
                  <c:v>0.97968759999999999</c:v>
                </c:pt>
                <c:pt idx="314">
                  <c:v>0.98281240000000003</c:v>
                </c:pt>
                <c:pt idx="315">
                  <c:v>0.98593759999999997</c:v>
                </c:pt>
                <c:pt idx="316">
                  <c:v>0.98906240000000001</c:v>
                </c:pt>
                <c:pt idx="317">
                  <c:v>0.99218759999999995</c:v>
                </c:pt>
                <c:pt idx="318">
                  <c:v>0.99531259999999999</c:v>
                </c:pt>
                <c:pt idx="319">
                  <c:v>0.99843760000000004</c:v>
                </c:pt>
              </c:numCache>
            </c:numRef>
          </c:xVal>
          <c:yVal>
            <c:numRef>
              <c:f>final4!$BV$2:$BV$321</c:f>
              <c:numCache>
                <c:formatCode>0.00E+00</c:formatCode>
                <c:ptCount val="320"/>
                <c:pt idx="0">
                  <c:v>13.7059822519522</c:v>
                </c:pt>
                <c:pt idx="1">
                  <c:v>13.704422822678399</c:v>
                </c:pt>
                <c:pt idx="2">
                  <c:v>13.703135393172699</c:v>
                </c:pt>
                <c:pt idx="3">
                  <c:v>13.7020818743229</c:v>
                </c:pt>
                <c:pt idx="4">
                  <c:v>13.7012240491539</c:v>
                </c:pt>
                <c:pt idx="5">
                  <c:v>13.700523592416801</c:v>
                </c:pt>
                <c:pt idx="6">
                  <c:v>13.699942079455599</c:v>
                </c:pt>
                <c:pt idx="7">
                  <c:v>13.699441008455301</c:v>
                </c:pt>
                <c:pt idx="8">
                  <c:v>13.698981850165399</c:v>
                </c:pt>
                <c:pt idx="9">
                  <c:v>13.698525871020401</c:v>
                </c:pt>
                <c:pt idx="10">
                  <c:v>13.6980344526233</c:v>
                </c:pt>
                <c:pt idx="11">
                  <c:v>13.6974689164333</c:v>
                </c:pt>
                <c:pt idx="12">
                  <c:v>13.696790548095301</c:v>
                </c:pt>
                <c:pt idx="13">
                  <c:v>13.6959606346581</c:v>
                </c:pt>
                <c:pt idx="14">
                  <c:v>13.694940466706599</c:v>
                </c:pt>
                <c:pt idx="15">
                  <c:v>13.6936914024553</c:v>
                </c:pt>
                <c:pt idx="16">
                  <c:v>13.692174826500599</c:v>
                </c:pt>
                <c:pt idx="17">
                  <c:v>13.6903521318791</c:v>
                </c:pt>
                <c:pt idx="18">
                  <c:v>13.6881848819207</c:v>
                </c:pt>
                <c:pt idx="19">
                  <c:v>13.685631907752301</c:v>
                </c:pt>
                <c:pt idx="20">
                  <c:v>13.6826658535766</c:v>
                </c:pt>
                <c:pt idx="21">
                  <c:v>13.6794513313846</c:v>
                </c:pt>
                <c:pt idx="22">
                  <c:v>13.676092655443</c:v>
                </c:pt>
                <c:pt idx="23">
                  <c:v>13.6726330710003</c:v>
                </c:pt>
                <c:pt idx="24">
                  <c:v>13.6691159712974</c:v>
                </c:pt>
                <c:pt idx="25">
                  <c:v>13.665584472404101</c:v>
                </c:pt>
                <c:pt idx="26">
                  <c:v>13.6620818472802</c:v>
                </c:pt>
                <c:pt idx="27">
                  <c:v>13.658651226759799</c:v>
                </c:pt>
                <c:pt idx="28">
                  <c:v>13.655335969040699</c:v>
                </c:pt>
                <c:pt idx="29">
                  <c:v>13.652179300292399</c:v>
                </c:pt>
                <c:pt idx="30">
                  <c:v>13.649224484517999</c:v>
                </c:pt>
                <c:pt idx="31">
                  <c:v>13.646514643762</c:v>
                </c:pt>
                <c:pt idx="32">
                  <c:v>13.6440932325166</c:v>
                </c:pt>
                <c:pt idx="33">
                  <c:v>13.6420032350526</c:v>
                </c:pt>
                <c:pt idx="34">
                  <c:v>13.640287943922401</c:v>
                </c:pt>
                <c:pt idx="35">
                  <c:v>13.638990897014899</c:v>
                </c:pt>
                <c:pt idx="36">
                  <c:v>13.638155745180599</c:v>
                </c:pt>
                <c:pt idx="37">
                  <c:v>13.6378247003203</c:v>
                </c:pt>
                <c:pt idx="38">
                  <c:v>13.6380417762514</c:v>
                </c:pt>
                <c:pt idx="39">
                  <c:v>13.638849659457</c:v>
                </c:pt>
                <c:pt idx="40">
                  <c:v>13.637451682506301</c:v>
                </c:pt>
                <c:pt idx="41">
                  <c:v>13.633016796975999</c:v>
                </c:pt>
                <c:pt idx="42">
                  <c:v>13.6279819020657</c:v>
                </c:pt>
                <c:pt idx="43">
                  <c:v>13.622282745379099</c:v>
                </c:pt>
                <c:pt idx="44">
                  <c:v>13.615855696360599</c:v>
                </c:pt>
                <c:pt idx="45">
                  <c:v>13.6086369950453</c:v>
                </c:pt>
                <c:pt idx="46">
                  <c:v>13.600562962204</c:v>
                </c:pt>
                <c:pt idx="47">
                  <c:v>13.591570148332</c:v>
                </c:pt>
                <c:pt idx="48">
                  <c:v>13.581595004432399</c:v>
                </c:pt>
                <c:pt idx="49">
                  <c:v>13.5705722641466</c:v>
                </c:pt>
                <c:pt idx="50">
                  <c:v>13.5584455349645</c:v>
                </c:pt>
                <c:pt idx="51">
                  <c:v>13.545147166103201</c:v>
                </c:pt>
                <c:pt idx="52">
                  <c:v>13.5306123930255</c:v>
                </c:pt>
                <c:pt idx="53">
                  <c:v>13.5147877887131</c:v>
                </c:pt>
                <c:pt idx="54">
                  <c:v>13.497606584574299</c:v>
                </c:pt>
                <c:pt idx="55">
                  <c:v>13.4790074616336</c:v>
                </c:pt>
                <c:pt idx="56">
                  <c:v>13.458930073064201</c:v>
                </c:pt>
                <c:pt idx="57">
                  <c:v>13.437313342741399</c:v>
                </c:pt>
                <c:pt idx="58">
                  <c:v>13.414096463418501</c:v>
                </c:pt>
                <c:pt idx="59">
                  <c:v>13.389218338544101</c:v>
                </c:pt>
                <c:pt idx="60">
                  <c:v>13.397482279588599</c:v>
                </c:pt>
                <c:pt idx="61">
                  <c:v>13.443883786259001</c:v>
                </c:pt>
                <c:pt idx="62">
                  <c:v>13.495790104850499</c:v>
                </c:pt>
                <c:pt idx="63">
                  <c:v>13.5533873541258</c:v>
                </c:pt>
                <c:pt idx="64">
                  <c:v>13.578243900729801</c:v>
                </c:pt>
                <c:pt idx="65">
                  <c:v>13.565808714708</c:v>
                </c:pt>
                <c:pt idx="66">
                  <c:v>13.552795550102299</c:v>
                </c:pt>
                <c:pt idx="67">
                  <c:v>13.539202557782099</c:v>
                </c:pt>
                <c:pt idx="68">
                  <c:v>13.525032488849799</c:v>
                </c:pt>
                <c:pt idx="69">
                  <c:v>13.5102860328265</c:v>
                </c:pt>
                <c:pt idx="70">
                  <c:v>13.494965214210399</c:v>
                </c:pt>
                <c:pt idx="71">
                  <c:v>13.4790733482437</c:v>
                </c:pt>
                <c:pt idx="72">
                  <c:v>13.4626110589225</c:v>
                </c:pt>
                <c:pt idx="73">
                  <c:v>13.445582264900899</c:v>
                </c:pt>
                <c:pt idx="74">
                  <c:v>13.4279873991724</c:v>
                </c:pt>
                <c:pt idx="75">
                  <c:v>13.409832345012401</c:v>
                </c:pt>
                <c:pt idx="76">
                  <c:v>13.391122153487499</c:v>
                </c:pt>
                <c:pt idx="77">
                  <c:v>13.3718597476488</c:v>
                </c:pt>
                <c:pt idx="78">
                  <c:v>13.352052746889701</c:v>
                </c:pt>
                <c:pt idx="79">
                  <c:v>13.331703621183101</c:v>
                </c:pt>
                <c:pt idx="80">
                  <c:v>13.315984083399099</c:v>
                </c:pt>
                <c:pt idx="81">
                  <c:v>13.3055147568721</c:v>
                </c:pt>
                <c:pt idx="82">
                  <c:v>13.2953907305497</c:v>
                </c:pt>
                <c:pt idx="83">
                  <c:v>13.285645481515999</c:v>
                </c:pt>
                <c:pt idx="84">
                  <c:v>13.276318111221901</c:v>
                </c:pt>
                <c:pt idx="85">
                  <c:v>13.267443250806201</c:v>
                </c:pt>
                <c:pt idx="86">
                  <c:v>13.2590550887303</c:v>
                </c:pt>
                <c:pt idx="87">
                  <c:v>13.2511863644055</c:v>
                </c:pt>
                <c:pt idx="88">
                  <c:v>13.243875550438499</c:v>
                </c:pt>
                <c:pt idx="89">
                  <c:v>13.237153759001499</c:v>
                </c:pt>
                <c:pt idx="90">
                  <c:v>13.2310473422505</c:v>
                </c:pt>
                <c:pt idx="91">
                  <c:v>13.2256058084778</c:v>
                </c:pt>
                <c:pt idx="92">
                  <c:v>13.220855290379699</c:v>
                </c:pt>
                <c:pt idx="93">
                  <c:v>13.216833798609599</c:v>
                </c:pt>
                <c:pt idx="94">
                  <c:v>13.2135739558942</c:v>
                </c:pt>
                <c:pt idx="95">
                  <c:v>13.211110648938799</c:v>
                </c:pt>
                <c:pt idx="96">
                  <c:v>13.2094752177491</c:v>
                </c:pt>
                <c:pt idx="97">
                  <c:v>13.208704265577101</c:v>
                </c:pt>
                <c:pt idx="98">
                  <c:v>13.2088321871129</c:v>
                </c:pt>
                <c:pt idx="99">
                  <c:v>13.209896768996501</c:v>
                </c:pt>
                <c:pt idx="100">
                  <c:v>13.2061064731106</c:v>
                </c:pt>
                <c:pt idx="101">
                  <c:v>13.195996790894499</c:v>
                </c:pt>
                <c:pt idx="102">
                  <c:v>13.184739339161601</c:v>
                </c:pt>
                <c:pt idx="103">
                  <c:v>13.1722647326218</c:v>
                </c:pt>
                <c:pt idx="104">
                  <c:v>13.1585107496762</c:v>
                </c:pt>
                <c:pt idx="105">
                  <c:v>13.143412613572</c:v>
                </c:pt>
                <c:pt idx="106">
                  <c:v>13.126912162432401</c:v>
                </c:pt>
                <c:pt idx="107">
                  <c:v>13.108942388229901</c:v>
                </c:pt>
                <c:pt idx="108">
                  <c:v>13.089442129817799</c:v>
                </c:pt>
                <c:pt idx="109">
                  <c:v>13.068352046910499</c:v>
                </c:pt>
                <c:pt idx="110">
                  <c:v>13.045620236524099</c:v>
                </c:pt>
                <c:pt idx="111">
                  <c:v>13.021176966829801</c:v>
                </c:pt>
                <c:pt idx="112">
                  <c:v>12.994959295711</c:v>
                </c:pt>
                <c:pt idx="113">
                  <c:v>12.966916455773299</c:v>
                </c:pt>
                <c:pt idx="114">
                  <c:v>12.936973850407499</c:v>
                </c:pt>
                <c:pt idx="115">
                  <c:v>12.905088465362899</c:v>
                </c:pt>
                <c:pt idx="116">
                  <c:v>12.8711863174992</c:v>
                </c:pt>
                <c:pt idx="117">
                  <c:v>12.8352213209428</c:v>
                </c:pt>
                <c:pt idx="118">
                  <c:v>12.797136317514299</c:v>
                </c:pt>
                <c:pt idx="119">
                  <c:v>12.7568777515446</c:v>
                </c:pt>
                <c:pt idx="120">
                  <c:v>12.7402997892105</c:v>
                </c:pt>
                <c:pt idx="121">
                  <c:v>12.754085868022299</c:v>
                </c:pt>
                <c:pt idx="122">
                  <c:v>12.7754572202187</c:v>
                </c:pt>
                <c:pt idx="123">
                  <c:v>12.804740989772901</c:v>
                </c:pt>
                <c:pt idx="124">
                  <c:v>12.842268344056899</c:v>
                </c:pt>
                <c:pt idx="125">
                  <c:v>12.8883538289572</c:v>
                </c:pt>
                <c:pt idx="126">
                  <c:v>12.9433119625863</c:v>
                </c:pt>
                <c:pt idx="127">
                  <c:v>13.007469704284601</c:v>
                </c:pt>
                <c:pt idx="128">
                  <c:v>13.0299688748348</c:v>
                </c:pt>
                <c:pt idx="129">
                  <c:v>13.001885256823901</c:v>
                </c:pt>
                <c:pt idx="130">
                  <c:v>12.970553329229601</c:v>
                </c:pt>
                <c:pt idx="131">
                  <c:v>12.935856627918501</c:v>
                </c:pt>
                <c:pt idx="132">
                  <c:v>12.8976456718344</c:v>
                </c:pt>
                <c:pt idx="133">
                  <c:v>12.855814124176799</c:v>
                </c:pt>
                <c:pt idx="134">
                  <c:v>12.810218139404199</c:v>
                </c:pt>
                <c:pt idx="135">
                  <c:v>12.7607359756585</c:v>
                </c:pt>
                <c:pt idx="136">
                  <c:v>12.7072473747925</c:v>
                </c:pt>
                <c:pt idx="137">
                  <c:v>12.649617948618999</c:v>
                </c:pt>
                <c:pt idx="138">
                  <c:v>12.587735409678301</c:v>
                </c:pt>
                <c:pt idx="139">
                  <c:v>12.5214704523133</c:v>
                </c:pt>
                <c:pt idx="140">
                  <c:v>12.485560771165201</c:v>
                </c:pt>
                <c:pt idx="141">
                  <c:v>12.483060834931701</c:v>
                </c:pt>
                <c:pt idx="142">
                  <c:v>12.480382207770299</c:v>
                </c:pt>
                <c:pt idx="143">
                  <c:v>12.477510308846</c:v>
                </c:pt>
                <c:pt idx="144">
                  <c:v>12.4744381244595</c:v>
                </c:pt>
                <c:pt idx="145">
                  <c:v>12.471153348955299</c:v>
                </c:pt>
                <c:pt idx="146">
                  <c:v>12.467650143123</c:v>
                </c:pt>
                <c:pt idx="147">
                  <c:v>12.4639045103343</c:v>
                </c:pt>
                <c:pt idx="148">
                  <c:v>12.4599095644323</c:v>
                </c:pt>
                <c:pt idx="149">
                  <c:v>12.455654812267101</c:v>
                </c:pt>
                <c:pt idx="150">
                  <c:v>12.4511412066775</c:v>
                </c:pt>
                <c:pt idx="151">
                  <c:v>12.4463526193575</c:v>
                </c:pt>
                <c:pt idx="152">
                  <c:v>12.4412900460028</c:v>
                </c:pt>
                <c:pt idx="153">
                  <c:v>12.435941787048501</c:v>
                </c:pt>
                <c:pt idx="154">
                  <c:v>12.430302801483499</c:v>
                </c:pt>
                <c:pt idx="155">
                  <c:v>12.424375319670499</c:v>
                </c:pt>
                <c:pt idx="156">
                  <c:v>12.418160705324</c:v>
                </c:pt>
                <c:pt idx="157">
                  <c:v>12.411642126435201</c:v>
                </c:pt>
                <c:pt idx="158">
                  <c:v>12.404826542500899</c:v>
                </c:pt>
                <c:pt idx="159">
                  <c:v>12.397700884613201</c:v>
                </c:pt>
                <c:pt idx="160">
                  <c:v>12.3728557652934</c:v>
                </c:pt>
                <c:pt idx="161">
                  <c:v>12.331661663395</c:v>
                </c:pt>
                <c:pt idx="162">
                  <c:v>12.292154735550801</c:v>
                </c:pt>
                <c:pt idx="163">
                  <c:v>12.254439236612599</c:v>
                </c:pt>
                <c:pt idx="164">
                  <c:v>12.2186203259979</c:v>
                </c:pt>
                <c:pt idx="165">
                  <c:v>12.184781371528</c:v>
                </c:pt>
                <c:pt idx="166">
                  <c:v>12.1530274134808</c:v>
                </c:pt>
                <c:pt idx="167">
                  <c:v>12.123439161306299</c:v>
                </c:pt>
                <c:pt idx="168">
                  <c:v>12.0961236830787</c:v>
                </c:pt>
                <c:pt idx="169">
                  <c:v>12.07118803467</c:v>
                </c:pt>
                <c:pt idx="170">
                  <c:v>12.0487228335711</c:v>
                </c:pt>
                <c:pt idx="171">
                  <c:v>12.0288264607986</c:v>
                </c:pt>
                <c:pt idx="172">
                  <c:v>12.011628386419</c:v>
                </c:pt>
                <c:pt idx="173">
                  <c:v>11.997189364413799</c:v>
                </c:pt>
                <c:pt idx="174">
                  <c:v>11.985603566596</c:v>
                </c:pt>
                <c:pt idx="175">
                  <c:v>11.976984068300199</c:v>
                </c:pt>
                <c:pt idx="176">
                  <c:v>11.9714241985365</c:v>
                </c:pt>
                <c:pt idx="177">
                  <c:v>11.9690392511254</c:v>
                </c:pt>
                <c:pt idx="178">
                  <c:v>11.9699082389017</c:v>
                </c:pt>
                <c:pt idx="179">
                  <c:v>11.974148245076201</c:v>
                </c:pt>
                <c:pt idx="180">
                  <c:v>11.981327104053699</c:v>
                </c:pt>
                <c:pt idx="181">
                  <c:v>11.984285120648901</c:v>
                </c:pt>
                <c:pt idx="182">
                  <c:v>11.9804836998875</c:v>
                </c:pt>
                <c:pt idx="183">
                  <c:v>11.9697798949489</c:v>
                </c:pt>
                <c:pt idx="184">
                  <c:v>11.952023422681201</c:v>
                </c:pt>
                <c:pt idx="185">
                  <c:v>11.9270735304396</c:v>
                </c:pt>
                <c:pt idx="186">
                  <c:v>11.894764260829399</c:v>
                </c:pt>
                <c:pt idx="187">
                  <c:v>11.854972313673899</c:v>
                </c:pt>
                <c:pt idx="188">
                  <c:v>11.8075598810142</c:v>
                </c:pt>
                <c:pt idx="189">
                  <c:v>11.752426883192699</c:v>
                </c:pt>
                <c:pt idx="190">
                  <c:v>11.689410206384901</c:v>
                </c:pt>
                <c:pt idx="191">
                  <c:v>11.6184087582792</c:v>
                </c:pt>
                <c:pt idx="192">
                  <c:v>11.5286616668084</c:v>
                </c:pt>
                <c:pt idx="193">
                  <c:v>11.438544943997501</c:v>
                </c:pt>
                <c:pt idx="194">
                  <c:v>11.366681463203401</c:v>
                </c:pt>
                <c:pt idx="195">
                  <c:v>11.3135864500842</c:v>
                </c:pt>
                <c:pt idx="196">
                  <c:v>11.2797334521217</c:v>
                </c:pt>
                <c:pt idx="197">
                  <c:v>11.2656360037497</c:v>
                </c:pt>
                <c:pt idx="198">
                  <c:v>11.2717820834915</c:v>
                </c:pt>
                <c:pt idx="199">
                  <c:v>11.298660202302999</c:v>
                </c:pt>
                <c:pt idx="200">
                  <c:v>11.3580677074899</c:v>
                </c:pt>
                <c:pt idx="201">
                  <c:v>11.427322007298599</c:v>
                </c:pt>
                <c:pt idx="202">
                  <c:v>11.4854460021003</c:v>
                </c:pt>
                <c:pt idx="203">
                  <c:v>11.532155177642499</c:v>
                </c:pt>
                <c:pt idx="204">
                  <c:v>11.5671846251365</c:v>
                </c:pt>
                <c:pt idx="205">
                  <c:v>11.590283057841599</c:v>
                </c:pt>
                <c:pt idx="206">
                  <c:v>11.6010599786554</c:v>
                </c:pt>
                <c:pt idx="207">
                  <c:v>11.599331786818601</c:v>
                </c:pt>
                <c:pt idx="208">
                  <c:v>11.5847975044401</c:v>
                </c:pt>
                <c:pt idx="209">
                  <c:v>11.557237721590401</c:v>
                </c:pt>
                <c:pt idx="210">
                  <c:v>11.5163254098557</c:v>
                </c:pt>
                <c:pt idx="211">
                  <c:v>11.461834726743101</c:v>
                </c:pt>
                <c:pt idx="212">
                  <c:v>11.393483634035199</c:v>
                </c:pt>
                <c:pt idx="213">
                  <c:v>11.3110206692023</c:v>
                </c:pt>
                <c:pt idx="214">
                  <c:v>11.214200978157701</c:v>
                </c:pt>
                <c:pt idx="215">
                  <c:v>11.1027622816746</c:v>
                </c:pt>
                <c:pt idx="216">
                  <c:v>10.976431666902799</c:v>
                </c:pt>
                <c:pt idx="217">
                  <c:v>10.8349707759529</c:v>
                </c:pt>
                <c:pt idx="218">
                  <c:v>10.6780995165629</c:v>
                </c:pt>
                <c:pt idx="219">
                  <c:v>10.5055628992179</c:v>
                </c:pt>
                <c:pt idx="220">
                  <c:v>10.459163880414</c:v>
                </c:pt>
                <c:pt idx="221">
                  <c:v>10.543724340541001</c:v>
                </c:pt>
                <c:pt idx="222">
                  <c:v>10.619040880895801</c:v>
                </c:pt>
                <c:pt idx="223">
                  <c:v>10.684931592996101</c:v>
                </c:pt>
                <c:pt idx="224">
                  <c:v>10.741245923409499</c:v>
                </c:pt>
                <c:pt idx="225">
                  <c:v>10.787818284975099</c:v>
                </c:pt>
                <c:pt idx="226">
                  <c:v>10.824512639462201</c:v>
                </c:pt>
                <c:pt idx="227">
                  <c:v>10.8511709374056</c:v>
                </c:pt>
                <c:pt idx="228">
                  <c:v>10.8677011579401</c:v>
                </c:pt>
                <c:pt idx="229">
                  <c:v>10.874007211774501</c:v>
                </c:pt>
                <c:pt idx="230">
                  <c:v>10.869907108760801</c:v>
                </c:pt>
                <c:pt idx="231">
                  <c:v>10.8553272195239</c:v>
                </c:pt>
                <c:pt idx="232">
                  <c:v>10.8301959599274</c:v>
                </c:pt>
                <c:pt idx="233">
                  <c:v>10.7944073226714</c:v>
                </c:pt>
                <c:pt idx="234">
                  <c:v>10.7479134930791</c:v>
                </c:pt>
                <c:pt idx="235">
                  <c:v>10.6906263185429</c:v>
                </c:pt>
                <c:pt idx="236">
                  <c:v>10.622512695955701</c:v>
                </c:pt>
                <c:pt idx="237">
                  <c:v>10.5435729264944</c:v>
                </c:pt>
                <c:pt idx="238">
                  <c:v>10.453683032887501</c:v>
                </c:pt>
                <c:pt idx="239">
                  <c:v>10.352844231983701</c:v>
                </c:pt>
                <c:pt idx="240">
                  <c:v>10.271360833668901</c:v>
                </c:pt>
                <c:pt idx="241">
                  <c:v>10.2175261710728</c:v>
                </c:pt>
                <c:pt idx="242">
                  <c:v>10.1652291120574</c:v>
                </c:pt>
                <c:pt idx="243">
                  <c:v>10.1153098481638</c:v>
                </c:pt>
                <c:pt idx="244">
                  <c:v>10.068683036185901</c:v>
                </c:pt>
                <c:pt idx="245">
                  <c:v>10.0263804631978</c:v>
                </c:pt>
                <c:pt idx="246">
                  <c:v>9.9894549638589805</c:v>
                </c:pt>
                <c:pt idx="247">
                  <c:v>9.9589983830963895</c:v>
                </c:pt>
                <c:pt idx="248">
                  <c:v>9.9362550024021701</c:v>
                </c:pt>
                <c:pt idx="249">
                  <c:v>9.9224663540278097</c:v>
                </c:pt>
                <c:pt idx="250">
                  <c:v>9.9190135353294799</c:v>
                </c:pt>
                <c:pt idx="251">
                  <c:v>9.9272844325357994</c:v>
                </c:pt>
                <c:pt idx="252">
                  <c:v>9.9487669583487701</c:v>
                </c:pt>
                <c:pt idx="253">
                  <c:v>9.9849894211661105</c:v>
                </c:pt>
                <c:pt idx="254">
                  <c:v>10.037609223698301</c:v>
                </c:pt>
                <c:pt idx="255">
                  <c:v>10.1082999842245</c:v>
                </c:pt>
                <c:pt idx="256">
                  <c:v>9.8557651789381602</c:v>
                </c:pt>
                <c:pt idx="257">
                  <c:v>9.30132071898608</c:v>
                </c:pt>
                <c:pt idx="258">
                  <c:v>8.7937254808474705</c:v>
                </c:pt>
                <c:pt idx="259">
                  <c:v>8.3291684767272702</c:v>
                </c:pt>
                <c:pt idx="260">
                  <c:v>8.5654286973191596</c:v>
                </c:pt>
                <c:pt idx="261">
                  <c:v>9.3867486443308596</c:v>
                </c:pt>
                <c:pt idx="262">
                  <c:v>10.082303271782701</c:v>
                </c:pt>
                <c:pt idx="263">
                  <c:v>10.6497600990396</c:v>
                </c:pt>
                <c:pt idx="264">
                  <c:v>11.086856367083399</c:v>
                </c:pt>
                <c:pt idx="265">
                  <c:v>11.391275594126199</c:v>
                </c:pt>
                <c:pt idx="266">
                  <c:v>11.560965206807801</c:v>
                </c:pt>
                <c:pt idx="267">
                  <c:v>11.593697229913801</c:v>
                </c:pt>
                <c:pt idx="268">
                  <c:v>11.487452457455699</c:v>
                </c:pt>
                <c:pt idx="269">
                  <c:v>11.240173837455201</c:v>
                </c:pt>
                <c:pt idx="270">
                  <c:v>10.849732023027199</c:v>
                </c:pt>
                <c:pt idx="271">
                  <c:v>10.3142229185007</c:v>
                </c:pt>
                <c:pt idx="272">
                  <c:v>9.6316705157209093</c:v>
                </c:pt>
                <c:pt idx="273">
                  <c:v>8.7999281116725605</c:v>
                </c:pt>
                <c:pt idx="274">
                  <c:v>7.8169980300039699</c:v>
                </c:pt>
                <c:pt idx="275">
                  <c:v>6.6809064289771403</c:v>
                </c:pt>
                <c:pt idx="276">
                  <c:v>5.3894557556829898</c:v>
                </c:pt>
                <c:pt idx="277">
                  <c:v>3.9405700798768</c:v>
                </c:pt>
                <c:pt idx="278">
                  <c:v>2.3322172551703302</c:v>
                </c:pt>
                <c:pt idx="279">
                  <c:v>0.56203679209160695</c:v>
                </c:pt>
                <c:pt idx="280">
                  <c:v>1.5226051571744099</c:v>
                </c:pt>
                <c:pt idx="281">
                  <c:v>5.0125546167889299</c:v>
                </c:pt>
                <c:pt idx="282">
                  <c:v>8.0500454370277499</c:v>
                </c:pt>
                <c:pt idx="283">
                  <c:v>10.629986173070099</c:v>
                </c:pt>
                <c:pt idx="284">
                  <c:v>12.747647085516</c:v>
                </c:pt>
                <c:pt idx="285">
                  <c:v>14.398747960798399</c:v>
                </c:pt>
                <c:pt idx="286">
                  <c:v>15.579323313652001</c:v>
                </c:pt>
                <c:pt idx="287">
                  <c:v>16.2859278098177</c:v>
                </c:pt>
                <c:pt idx="288">
                  <c:v>16.515473471830799</c:v>
                </c:pt>
                <c:pt idx="289">
                  <c:v>16.265315223305802</c:v>
                </c:pt>
                <c:pt idx="290">
                  <c:v>15.5326965610451</c:v>
                </c:pt>
                <c:pt idx="291">
                  <c:v>14.316126656943601</c:v>
                </c:pt>
                <c:pt idx="292">
                  <c:v>12.6136491026159</c:v>
                </c:pt>
                <c:pt idx="293">
                  <c:v>10.424025641539799</c:v>
                </c:pt>
                <c:pt idx="294">
                  <c:v>7.7461436402360002</c:v>
                </c:pt>
                <c:pt idx="295">
                  <c:v>4.5798991670748803</c:v>
                </c:pt>
                <c:pt idx="296">
                  <c:v>0.92448900094515796</c:v>
                </c:pt>
                <c:pt idx="297">
                  <c:v>-3.2198016694757898</c:v>
                </c:pt>
                <c:pt idx="298">
                  <c:v>-7.8528825822271404</c:v>
                </c:pt>
                <c:pt idx="299">
                  <c:v>-12.974420359062</c:v>
                </c:pt>
                <c:pt idx="300">
                  <c:v>-11.400272375889701</c:v>
                </c:pt>
                <c:pt idx="301">
                  <c:v>-3.5598474848064101</c:v>
                </c:pt>
                <c:pt idx="302">
                  <c:v>3.18889017396749</c:v>
                </c:pt>
                <c:pt idx="303">
                  <c:v>8.8451814597078506</c:v>
                </c:pt>
                <c:pt idx="304">
                  <c:v>13.4127266179449</c:v>
                </c:pt>
                <c:pt idx="305">
                  <c:v>16.8948900125203</c:v>
                </c:pt>
                <c:pt idx="306">
                  <c:v>19.296076947086501</c:v>
                </c:pt>
                <c:pt idx="307">
                  <c:v>20.622520384912502</c:v>
                </c:pt>
                <c:pt idx="308">
                  <c:v>20.880012294271001</c:v>
                </c:pt>
                <c:pt idx="309">
                  <c:v>20.074093796843702</c:v>
                </c:pt>
                <c:pt idx="310">
                  <c:v>18.222990060689401</c:v>
                </c:pt>
                <c:pt idx="311">
                  <c:v>15.3247660878225</c:v>
                </c:pt>
                <c:pt idx="312">
                  <c:v>11.389256344695999</c:v>
                </c:pt>
                <c:pt idx="313">
                  <c:v>6.4254993121130299</c:v>
                </c:pt>
                <c:pt idx="314">
                  <c:v>0.44706891244679903</c:v>
                </c:pt>
                <c:pt idx="315">
                  <c:v>-6.5302049355988503</c:v>
                </c:pt>
                <c:pt idx="316">
                  <c:v>-14.4989375397499</c:v>
                </c:pt>
                <c:pt idx="317">
                  <c:v>-23.3176703075648</c:v>
                </c:pt>
                <c:pt idx="318">
                  <c:v>-33.4108871989907</c:v>
                </c:pt>
                <c:pt idx="319">
                  <c:v>-44.685835921586197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AE-4DD1-A2D6-1F6A01218DF0}"/>
            </c:ext>
          </c:extLst>
        </c:ser>
        <c:ser>
          <c:idx val="1"/>
          <c:order val="2"/>
          <c:tx>
            <c:v>IGA</c:v>
          </c:tx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final4!$BG$2:$BG$321</c:f>
              <c:numCache>
                <c:formatCode>0.00E+00</c:formatCode>
                <c:ptCount val="320"/>
                <c:pt idx="0">
                  <c:v>1.5625000000000001E-3</c:v>
                </c:pt>
                <c:pt idx="1">
                  <c:v>4.6874999999999998E-3</c:v>
                </c:pt>
                <c:pt idx="2">
                  <c:v>7.8125E-3</c:v>
                </c:pt>
                <c:pt idx="3">
                  <c:v>1.0937499999999999E-2</c:v>
                </c:pt>
                <c:pt idx="4">
                  <c:v>1.40625E-2</c:v>
                </c:pt>
                <c:pt idx="5">
                  <c:v>1.7187500000000001E-2</c:v>
                </c:pt>
                <c:pt idx="6">
                  <c:v>2.0312500000000001E-2</c:v>
                </c:pt>
                <c:pt idx="7">
                  <c:v>2.34375E-2</c:v>
                </c:pt>
                <c:pt idx="8">
                  <c:v>2.6562499999999999E-2</c:v>
                </c:pt>
                <c:pt idx="9">
                  <c:v>2.9687499999999999E-2</c:v>
                </c:pt>
                <c:pt idx="10">
                  <c:v>3.2812500000000001E-2</c:v>
                </c:pt>
                <c:pt idx="11">
                  <c:v>3.5937499999999997E-2</c:v>
                </c:pt>
                <c:pt idx="12">
                  <c:v>3.90625E-2</c:v>
                </c:pt>
                <c:pt idx="13">
                  <c:v>4.2187500000000003E-2</c:v>
                </c:pt>
                <c:pt idx="14">
                  <c:v>4.5312499999999999E-2</c:v>
                </c:pt>
                <c:pt idx="15">
                  <c:v>4.8437500000000001E-2</c:v>
                </c:pt>
                <c:pt idx="16">
                  <c:v>5.1562499999999997E-2</c:v>
                </c:pt>
                <c:pt idx="17">
                  <c:v>5.46875E-2</c:v>
                </c:pt>
                <c:pt idx="18">
                  <c:v>5.7812500000000003E-2</c:v>
                </c:pt>
                <c:pt idx="19">
                  <c:v>6.0937499999999999E-2</c:v>
                </c:pt>
                <c:pt idx="20">
                  <c:v>6.4062499999999994E-2</c:v>
                </c:pt>
                <c:pt idx="21">
                  <c:v>6.7187499999999997E-2</c:v>
                </c:pt>
                <c:pt idx="22">
                  <c:v>7.03125E-2</c:v>
                </c:pt>
                <c:pt idx="23">
                  <c:v>7.3437500000000003E-2</c:v>
                </c:pt>
                <c:pt idx="24">
                  <c:v>7.6562500000000006E-2</c:v>
                </c:pt>
                <c:pt idx="25">
                  <c:v>7.9687499999999994E-2</c:v>
                </c:pt>
                <c:pt idx="26">
                  <c:v>8.2812499999999997E-2</c:v>
                </c:pt>
                <c:pt idx="27">
                  <c:v>8.59375E-2</c:v>
                </c:pt>
                <c:pt idx="28">
                  <c:v>8.9062500000000003E-2</c:v>
                </c:pt>
                <c:pt idx="29">
                  <c:v>9.2187500000000006E-2</c:v>
                </c:pt>
                <c:pt idx="30">
                  <c:v>9.5312499999999994E-2</c:v>
                </c:pt>
                <c:pt idx="31">
                  <c:v>9.8437499999999997E-2</c:v>
                </c:pt>
                <c:pt idx="32">
                  <c:v>0.1015625</c:v>
                </c:pt>
                <c:pt idx="33">
                  <c:v>0.1046875</c:v>
                </c:pt>
                <c:pt idx="34">
                  <c:v>0.10781250000000001</c:v>
                </c:pt>
                <c:pt idx="35">
                  <c:v>0.11093749999999999</c:v>
                </c:pt>
                <c:pt idx="36">
                  <c:v>0.1140625</c:v>
                </c:pt>
                <c:pt idx="37">
                  <c:v>0.1171875</c:v>
                </c:pt>
                <c:pt idx="38">
                  <c:v>0.1203125</c:v>
                </c:pt>
                <c:pt idx="39">
                  <c:v>0.12343750000000001</c:v>
                </c:pt>
                <c:pt idx="40">
                  <c:v>0.12656249999999999</c:v>
                </c:pt>
                <c:pt idx="41">
                  <c:v>0.12968750000000001</c:v>
                </c:pt>
                <c:pt idx="42">
                  <c:v>0.1328125</c:v>
                </c:pt>
                <c:pt idx="43">
                  <c:v>0.13593749999999999</c:v>
                </c:pt>
                <c:pt idx="44">
                  <c:v>0.13906250000000001</c:v>
                </c:pt>
                <c:pt idx="45">
                  <c:v>0.14218749999999999</c:v>
                </c:pt>
                <c:pt idx="46">
                  <c:v>0.14531250000000001</c:v>
                </c:pt>
                <c:pt idx="47">
                  <c:v>0.1484375</c:v>
                </c:pt>
                <c:pt idx="48">
                  <c:v>0.15156249999999999</c:v>
                </c:pt>
                <c:pt idx="49">
                  <c:v>0.15468750000000001</c:v>
                </c:pt>
                <c:pt idx="50">
                  <c:v>0.15781249999999999</c:v>
                </c:pt>
                <c:pt idx="51">
                  <c:v>0.16093750000000001</c:v>
                </c:pt>
                <c:pt idx="52">
                  <c:v>0.1640625</c:v>
                </c:pt>
                <c:pt idx="53">
                  <c:v>0.16718749999999999</c:v>
                </c:pt>
                <c:pt idx="54">
                  <c:v>0.17031250000000001</c:v>
                </c:pt>
                <c:pt idx="55">
                  <c:v>0.17343749999999999</c:v>
                </c:pt>
                <c:pt idx="56">
                  <c:v>0.17656250000000001</c:v>
                </c:pt>
                <c:pt idx="57">
                  <c:v>0.1796875</c:v>
                </c:pt>
                <c:pt idx="58">
                  <c:v>0.18281249999999999</c:v>
                </c:pt>
                <c:pt idx="59">
                  <c:v>0.18593750000000001</c:v>
                </c:pt>
                <c:pt idx="60">
                  <c:v>0.18906249999999999</c:v>
                </c:pt>
                <c:pt idx="61">
                  <c:v>0.19218750000000001</c:v>
                </c:pt>
                <c:pt idx="62">
                  <c:v>0.1953125</c:v>
                </c:pt>
                <c:pt idx="63">
                  <c:v>0.19843749999999999</c:v>
                </c:pt>
                <c:pt idx="64">
                  <c:v>0.20156260000000001</c:v>
                </c:pt>
                <c:pt idx="65">
                  <c:v>0.2046876</c:v>
                </c:pt>
                <c:pt idx="66">
                  <c:v>0.20781259999999999</c:v>
                </c:pt>
                <c:pt idx="67">
                  <c:v>0.2109376</c:v>
                </c:pt>
                <c:pt idx="68">
                  <c:v>0.21406259999999999</c:v>
                </c:pt>
                <c:pt idx="69">
                  <c:v>0.21718760000000001</c:v>
                </c:pt>
                <c:pt idx="70">
                  <c:v>0.2203126</c:v>
                </c:pt>
                <c:pt idx="71">
                  <c:v>0.22343759999999999</c:v>
                </c:pt>
                <c:pt idx="72">
                  <c:v>0.2265626</c:v>
                </c:pt>
                <c:pt idx="73">
                  <c:v>0.22968740000000001</c:v>
                </c:pt>
                <c:pt idx="74">
                  <c:v>0.23281260000000001</c:v>
                </c:pt>
                <c:pt idx="75">
                  <c:v>0.23593739999999999</c:v>
                </c:pt>
                <c:pt idx="76">
                  <c:v>0.23906259999999999</c:v>
                </c:pt>
                <c:pt idx="77">
                  <c:v>0.2421876</c:v>
                </c:pt>
                <c:pt idx="78">
                  <c:v>0.24531240000000001</c:v>
                </c:pt>
                <c:pt idx="79">
                  <c:v>0.24843760000000001</c:v>
                </c:pt>
                <c:pt idx="80">
                  <c:v>0.25156260000000003</c:v>
                </c:pt>
                <c:pt idx="81">
                  <c:v>0.25468760000000001</c:v>
                </c:pt>
                <c:pt idx="82">
                  <c:v>0.2578124</c:v>
                </c:pt>
                <c:pt idx="83">
                  <c:v>0.26093739999999999</c:v>
                </c:pt>
                <c:pt idx="84">
                  <c:v>0.26406239999999997</c:v>
                </c:pt>
                <c:pt idx="85">
                  <c:v>0.26718760000000003</c:v>
                </c:pt>
                <c:pt idx="86">
                  <c:v>0.27031260000000001</c:v>
                </c:pt>
                <c:pt idx="87">
                  <c:v>0.2734376</c:v>
                </c:pt>
                <c:pt idx="88">
                  <c:v>0.27656239999999999</c:v>
                </c:pt>
                <c:pt idx="89">
                  <c:v>0.27968739999999997</c:v>
                </c:pt>
                <c:pt idx="90">
                  <c:v>0.28281260000000003</c:v>
                </c:pt>
                <c:pt idx="91">
                  <c:v>0.28593760000000001</c:v>
                </c:pt>
                <c:pt idx="92">
                  <c:v>0.2890624</c:v>
                </c:pt>
                <c:pt idx="93">
                  <c:v>0.29218739999999999</c:v>
                </c:pt>
                <c:pt idx="94">
                  <c:v>0.29531239999999997</c:v>
                </c:pt>
                <c:pt idx="95">
                  <c:v>0.29843760000000003</c:v>
                </c:pt>
                <c:pt idx="96">
                  <c:v>0.30156260000000001</c:v>
                </c:pt>
                <c:pt idx="97">
                  <c:v>0.3046876</c:v>
                </c:pt>
                <c:pt idx="98">
                  <c:v>0.30781259999999999</c:v>
                </c:pt>
                <c:pt idx="99">
                  <c:v>0.31093739999999997</c:v>
                </c:pt>
                <c:pt idx="100">
                  <c:v>0.31406260000000003</c:v>
                </c:pt>
                <c:pt idx="101">
                  <c:v>0.31718760000000001</c:v>
                </c:pt>
                <c:pt idx="102">
                  <c:v>0.3203124</c:v>
                </c:pt>
                <c:pt idx="103">
                  <c:v>0.32343739999999999</c:v>
                </c:pt>
                <c:pt idx="104">
                  <c:v>0.32656239999999997</c:v>
                </c:pt>
                <c:pt idx="105">
                  <c:v>0.32968760000000003</c:v>
                </c:pt>
                <c:pt idx="106">
                  <c:v>0.33281260000000001</c:v>
                </c:pt>
                <c:pt idx="107">
                  <c:v>0.3359376</c:v>
                </c:pt>
                <c:pt idx="108">
                  <c:v>0.33906239999999999</c:v>
                </c:pt>
                <c:pt idx="109">
                  <c:v>0.34218739999999997</c:v>
                </c:pt>
                <c:pt idx="110">
                  <c:v>0.34531260000000003</c:v>
                </c:pt>
                <c:pt idx="111">
                  <c:v>0.34843760000000001</c:v>
                </c:pt>
                <c:pt idx="112">
                  <c:v>0.3515624</c:v>
                </c:pt>
                <c:pt idx="113">
                  <c:v>0.35468739999999999</c:v>
                </c:pt>
                <c:pt idx="114">
                  <c:v>0.35781239999999997</c:v>
                </c:pt>
                <c:pt idx="115">
                  <c:v>0.36093760000000003</c:v>
                </c:pt>
                <c:pt idx="116">
                  <c:v>0.36406260000000001</c:v>
                </c:pt>
                <c:pt idx="117">
                  <c:v>0.3671876</c:v>
                </c:pt>
                <c:pt idx="118">
                  <c:v>0.37031239999999999</c:v>
                </c:pt>
                <c:pt idx="119">
                  <c:v>0.37343739999999997</c:v>
                </c:pt>
                <c:pt idx="120">
                  <c:v>0.37656260000000003</c:v>
                </c:pt>
                <c:pt idx="121">
                  <c:v>0.37968760000000001</c:v>
                </c:pt>
                <c:pt idx="122">
                  <c:v>0.3828126</c:v>
                </c:pt>
                <c:pt idx="123">
                  <c:v>0.38593739999999999</c:v>
                </c:pt>
                <c:pt idx="124">
                  <c:v>0.38906259999999998</c:v>
                </c:pt>
                <c:pt idx="125">
                  <c:v>0.39218760000000003</c:v>
                </c:pt>
                <c:pt idx="126">
                  <c:v>0.39531260000000001</c:v>
                </c:pt>
                <c:pt idx="127">
                  <c:v>0.3984376</c:v>
                </c:pt>
                <c:pt idx="128">
                  <c:v>0.40156239999999999</c:v>
                </c:pt>
                <c:pt idx="129">
                  <c:v>0.40468739999999997</c:v>
                </c:pt>
                <c:pt idx="130">
                  <c:v>0.40781260000000003</c:v>
                </c:pt>
                <c:pt idx="131">
                  <c:v>0.41093760000000001</c:v>
                </c:pt>
                <c:pt idx="132">
                  <c:v>0.4140624</c:v>
                </c:pt>
                <c:pt idx="133">
                  <c:v>0.41718739999999999</c:v>
                </c:pt>
                <c:pt idx="134">
                  <c:v>0.42031259999999998</c:v>
                </c:pt>
                <c:pt idx="135">
                  <c:v>0.42343760000000003</c:v>
                </c:pt>
                <c:pt idx="136">
                  <c:v>0.42656260000000001</c:v>
                </c:pt>
                <c:pt idx="137">
                  <c:v>0.4296876</c:v>
                </c:pt>
                <c:pt idx="138">
                  <c:v>0.43281259999999999</c:v>
                </c:pt>
                <c:pt idx="139">
                  <c:v>0.43593739999999997</c:v>
                </c:pt>
                <c:pt idx="140">
                  <c:v>0.43906260000000003</c:v>
                </c:pt>
                <c:pt idx="141">
                  <c:v>0.44218760000000001</c:v>
                </c:pt>
                <c:pt idx="142">
                  <c:v>0.4453126</c:v>
                </c:pt>
                <c:pt idx="143">
                  <c:v>0.44843739999999999</c:v>
                </c:pt>
                <c:pt idx="144">
                  <c:v>0.45156259999999998</c:v>
                </c:pt>
                <c:pt idx="145">
                  <c:v>0.45468760000000003</c:v>
                </c:pt>
                <c:pt idx="146">
                  <c:v>0.45781260000000001</c:v>
                </c:pt>
                <c:pt idx="147">
                  <c:v>0.4609376</c:v>
                </c:pt>
                <c:pt idx="148">
                  <c:v>0.46406259999999999</c:v>
                </c:pt>
                <c:pt idx="149">
                  <c:v>0.46718739999999997</c:v>
                </c:pt>
                <c:pt idx="150">
                  <c:v>0.47031260000000003</c:v>
                </c:pt>
                <c:pt idx="151">
                  <c:v>0.47343760000000001</c:v>
                </c:pt>
                <c:pt idx="152">
                  <c:v>0.4765624</c:v>
                </c:pt>
                <c:pt idx="153">
                  <c:v>0.47968739999999999</c:v>
                </c:pt>
                <c:pt idx="154">
                  <c:v>0.48281259999999998</c:v>
                </c:pt>
                <c:pt idx="155">
                  <c:v>0.48593760000000003</c:v>
                </c:pt>
                <c:pt idx="156">
                  <c:v>0.48906260000000001</c:v>
                </c:pt>
                <c:pt idx="157">
                  <c:v>0.4921876</c:v>
                </c:pt>
                <c:pt idx="158">
                  <c:v>0.49531239999999999</c:v>
                </c:pt>
                <c:pt idx="159">
                  <c:v>0.49843739999999997</c:v>
                </c:pt>
                <c:pt idx="160">
                  <c:v>0.50156259999999997</c:v>
                </c:pt>
                <c:pt idx="161">
                  <c:v>0.50468740000000001</c:v>
                </c:pt>
                <c:pt idx="162">
                  <c:v>0.50781240000000005</c:v>
                </c:pt>
                <c:pt idx="163">
                  <c:v>0.51093759999999999</c:v>
                </c:pt>
                <c:pt idx="164">
                  <c:v>0.51406240000000003</c:v>
                </c:pt>
                <c:pt idx="165">
                  <c:v>0.51718759999999997</c:v>
                </c:pt>
                <c:pt idx="166">
                  <c:v>0.52031240000000001</c:v>
                </c:pt>
                <c:pt idx="167">
                  <c:v>0.52343759999999995</c:v>
                </c:pt>
                <c:pt idx="168">
                  <c:v>0.52656259999999999</c:v>
                </c:pt>
                <c:pt idx="169">
                  <c:v>0.52968740000000003</c:v>
                </c:pt>
                <c:pt idx="170">
                  <c:v>0.53281259999999997</c:v>
                </c:pt>
                <c:pt idx="171">
                  <c:v>0.53593740000000001</c:v>
                </c:pt>
                <c:pt idx="172">
                  <c:v>0.53906240000000005</c:v>
                </c:pt>
                <c:pt idx="173">
                  <c:v>0.54218759999999999</c:v>
                </c:pt>
                <c:pt idx="174">
                  <c:v>0.54531240000000003</c:v>
                </c:pt>
                <c:pt idx="175">
                  <c:v>0.54843759999999997</c:v>
                </c:pt>
                <c:pt idx="176">
                  <c:v>0.55156240000000001</c:v>
                </c:pt>
                <c:pt idx="177">
                  <c:v>0.55468759999999995</c:v>
                </c:pt>
                <c:pt idx="178">
                  <c:v>0.55781259999999999</c:v>
                </c:pt>
                <c:pt idx="179">
                  <c:v>0.56093740000000003</c:v>
                </c:pt>
                <c:pt idx="180">
                  <c:v>0.56406259999999997</c:v>
                </c:pt>
                <c:pt idx="181">
                  <c:v>0.56718740000000001</c:v>
                </c:pt>
                <c:pt idx="182">
                  <c:v>0.57031240000000005</c:v>
                </c:pt>
                <c:pt idx="183">
                  <c:v>0.57343739999999999</c:v>
                </c:pt>
                <c:pt idx="184">
                  <c:v>0.57656240000000003</c:v>
                </c:pt>
                <c:pt idx="185">
                  <c:v>0.57968759999999997</c:v>
                </c:pt>
                <c:pt idx="186">
                  <c:v>0.58281240000000001</c:v>
                </c:pt>
                <c:pt idx="187">
                  <c:v>0.58593759999999995</c:v>
                </c:pt>
                <c:pt idx="188">
                  <c:v>0.58906259999999999</c:v>
                </c:pt>
                <c:pt idx="189">
                  <c:v>0.59218740000000003</c:v>
                </c:pt>
                <c:pt idx="190">
                  <c:v>0.59531259999999997</c:v>
                </c:pt>
                <c:pt idx="191">
                  <c:v>0.59843740000000001</c:v>
                </c:pt>
                <c:pt idx="192">
                  <c:v>0.60156240000000005</c:v>
                </c:pt>
                <c:pt idx="193">
                  <c:v>0.60468739999999999</c:v>
                </c:pt>
                <c:pt idx="194">
                  <c:v>0.60781240000000003</c:v>
                </c:pt>
                <c:pt idx="195">
                  <c:v>0.61093759999999997</c:v>
                </c:pt>
                <c:pt idx="196">
                  <c:v>0.61406260000000001</c:v>
                </c:pt>
                <c:pt idx="197">
                  <c:v>0.61718759999999995</c:v>
                </c:pt>
                <c:pt idx="198">
                  <c:v>0.62031239999999999</c:v>
                </c:pt>
                <c:pt idx="199">
                  <c:v>0.62343740000000003</c:v>
                </c:pt>
                <c:pt idx="200">
                  <c:v>0.62656259999999997</c:v>
                </c:pt>
                <c:pt idx="201">
                  <c:v>0.62968740000000001</c:v>
                </c:pt>
                <c:pt idx="202">
                  <c:v>0.63281240000000005</c:v>
                </c:pt>
                <c:pt idx="203">
                  <c:v>0.63593759999999999</c:v>
                </c:pt>
                <c:pt idx="204">
                  <c:v>0.63906240000000003</c:v>
                </c:pt>
                <c:pt idx="205">
                  <c:v>0.64218759999999997</c:v>
                </c:pt>
                <c:pt idx="206">
                  <c:v>0.64531240000000001</c:v>
                </c:pt>
                <c:pt idx="207">
                  <c:v>0.64843759999999995</c:v>
                </c:pt>
                <c:pt idx="208">
                  <c:v>0.65156259999999999</c:v>
                </c:pt>
                <c:pt idx="209">
                  <c:v>0.65468740000000003</c:v>
                </c:pt>
                <c:pt idx="210">
                  <c:v>0.65781259999999997</c:v>
                </c:pt>
                <c:pt idx="211">
                  <c:v>0.66093740000000001</c:v>
                </c:pt>
                <c:pt idx="212">
                  <c:v>0.66406240000000005</c:v>
                </c:pt>
                <c:pt idx="213">
                  <c:v>0.66718759999999999</c:v>
                </c:pt>
                <c:pt idx="214">
                  <c:v>0.67031240000000003</c:v>
                </c:pt>
                <c:pt idx="215">
                  <c:v>0.67343759999999997</c:v>
                </c:pt>
                <c:pt idx="216">
                  <c:v>0.67656240000000001</c:v>
                </c:pt>
                <c:pt idx="217">
                  <c:v>0.67968759999999995</c:v>
                </c:pt>
                <c:pt idx="218">
                  <c:v>0.68281239999999999</c:v>
                </c:pt>
                <c:pt idx="219">
                  <c:v>0.68593740000000003</c:v>
                </c:pt>
                <c:pt idx="220">
                  <c:v>0.68906259999999997</c:v>
                </c:pt>
                <c:pt idx="221">
                  <c:v>0.69218740000000001</c:v>
                </c:pt>
                <c:pt idx="222">
                  <c:v>0.69531259999999995</c:v>
                </c:pt>
                <c:pt idx="223">
                  <c:v>0.69843759999999999</c:v>
                </c:pt>
                <c:pt idx="224">
                  <c:v>0.70156240000000003</c:v>
                </c:pt>
                <c:pt idx="225">
                  <c:v>0.70468759999999997</c:v>
                </c:pt>
                <c:pt idx="226">
                  <c:v>0.70781240000000001</c:v>
                </c:pt>
                <c:pt idx="227">
                  <c:v>0.71093759999999995</c:v>
                </c:pt>
                <c:pt idx="228">
                  <c:v>0.71406259999999999</c:v>
                </c:pt>
                <c:pt idx="229">
                  <c:v>0.71718740000000003</c:v>
                </c:pt>
                <c:pt idx="230">
                  <c:v>0.72031259999999997</c:v>
                </c:pt>
                <c:pt idx="231">
                  <c:v>0.72343740000000001</c:v>
                </c:pt>
                <c:pt idx="232">
                  <c:v>0.72656240000000005</c:v>
                </c:pt>
                <c:pt idx="233">
                  <c:v>0.72968759999999999</c:v>
                </c:pt>
                <c:pt idx="234">
                  <c:v>0.73281240000000003</c:v>
                </c:pt>
                <c:pt idx="235">
                  <c:v>0.73593759999999997</c:v>
                </c:pt>
                <c:pt idx="236">
                  <c:v>0.73906240000000001</c:v>
                </c:pt>
                <c:pt idx="237">
                  <c:v>0.74218759999999995</c:v>
                </c:pt>
                <c:pt idx="238">
                  <c:v>0.74531239999999999</c:v>
                </c:pt>
                <c:pt idx="239">
                  <c:v>0.74843740000000003</c:v>
                </c:pt>
                <c:pt idx="240">
                  <c:v>0.75156259999999997</c:v>
                </c:pt>
                <c:pt idx="241">
                  <c:v>0.75468740000000001</c:v>
                </c:pt>
                <c:pt idx="242">
                  <c:v>0.75781240000000005</c:v>
                </c:pt>
                <c:pt idx="243">
                  <c:v>0.76093739999999999</c:v>
                </c:pt>
                <c:pt idx="244">
                  <c:v>0.76406240000000003</c:v>
                </c:pt>
                <c:pt idx="245">
                  <c:v>0.76718759999999997</c:v>
                </c:pt>
                <c:pt idx="246">
                  <c:v>0.77031240000000001</c:v>
                </c:pt>
                <c:pt idx="247">
                  <c:v>0.77343759999999995</c:v>
                </c:pt>
                <c:pt idx="248">
                  <c:v>0.77656259999999999</c:v>
                </c:pt>
                <c:pt idx="249">
                  <c:v>0.77968740000000003</c:v>
                </c:pt>
                <c:pt idx="250">
                  <c:v>0.78281259999999997</c:v>
                </c:pt>
                <c:pt idx="251">
                  <c:v>0.78593740000000001</c:v>
                </c:pt>
                <c:pt idx="252">
                  <c:v>0.78906240000000005</c:v>
                </c:pt>
                <c:pt idx="253">
                  <c:v>0.79218759999999999</c:v>
                </c:pt>
                <c:pt idx="254">
                  <c:v>0.79531240000000003</c:v>
                </c:pt>
                <c:pt idx="255">
                  <c:v>0.79843759999999997</c:v>
                </c:pt>
                <c:pt idx="256">
                  <c:v>0.80156240000000001</c:v>
                </c:pt>
                <c:pt idx="257">
                  <c:v>0.80468759999999995</c:v>
                </c:pt>
                <c:pt idx="258">
                  <c:v>0.80781239999999999</c:v>
                </c:pt>
                <c:pt idx="259">
                  <c:v>0.81093740000000003</c:v>
                </c:pt>
                <c:pt idx="260">
                  <c:v>0.81406259999999997</c:v>
                </c:pt>
                <c:pt idx="261">
                  <c:v>0.81718740000000001</c:v>
                </c:pt>
                <c:pt idx="262">
                  <c:v>0.82031240000000005</c:v>
                </c:pt>
                <c:pt idx="263">
                  <c:v>0.82343759999999999</c:v>
                </c:pt>
                <c:pt idx="264">
                  <c:v>0.82656260000000004</c:v>
                </c:pt>
                <c:pt idx="265">
                  <c:v>0.82968759999999997</c:v>
                </c:pt>
                <c:pt idx="266">
                  <c:v>0.83281240000000001</c:v>
                </c:pt>
                <c:pt idx="267">
                  <c:v>0.83593759999999995</c:v>
                </c:pt>
                <c:pt idx="268">
                  <c:v>0.83906259999999999</c:v>
                </c:pt>
                <c:pt idx="269">
                  <c:v>0.84218740000000003</c:v>
                </c:pt>
                <c:pt idx="270">
                  <c:v>0.84531259999999997</c:v>
                </c:pt>
                <c:pt idx="271">
                  <c:v>0.84843740000000001</c:v>
                </c:pt>
                <c:pt idx="272">
                  <c:v>0.85156240000000005</c:v>
                </c:pt>
                <c:pt idx="273">
                  <c:v>0.85468759999999999</c:v>
                </c:pt>
                <c:pt idx="274">
                  <c:v>0.85781260000000004</c:v>
                </c:pt>
                <c:pt idx="275">
                  <c:v>0.86093759999999997</c:v>
                </c:pt>
                <c:pt idx="276">
                  <c:v>0.86406240000000001</c:v>
                </c:pt>
                <c:pt idx="277">
                  <c:v>0.86718759999999995</c:v>
                </c:pt>
                <c:pt idx="278">
                  <c:v>0.87031259999999999</c:v>
                </c:pt>
                <c:pt idx="279">
                  <c:v>0.87343740000000003</c:v>
                </c:pt>
                <c:pt idx="280">
                  <c:v>0.87656259999999997</c:v>
                </c:pt>
                <c:pt idx="281">
                  <c:v>0.87968740000000001</c:v>
                </c:pt>
                <c:pt idx="282">
                  <c:v>0.88281259999999995</c:v>
                </c:pt>
                <c:pt idx="283">
                  <c:v>0.88593759999999999</c:v>
                </c:pt>
                <c:pt idx="284">
                  <c:v>0.88906240000000003</c:v>
                </c:pt>
                <c:pt idx="285">
                  <c:v>0.89218759999999997</c:v>
                </c:pt>
                <c:pt idx="286">
                  <c:v>0.89531240000000001</c:v>
                </c:pt>
                <c:pt idx="287">
                  <c:v>0.89843759999999995</c:v>
                </c:pt>
                <c:pt idx="288">
                  <c:v>0.90156259999999999</c:v>
                </c:pt>
                <c:pt idx="289">
                  <c:v>0.90468740000000003</c:v>
                </c:pt>
                <c:pt idx="290">
                  <c:v>0.90781259999999997</c:v>
                </c:pt>
                <c:pt idx="291">
                  <c:v>0.91093760000000001</c:v>
                </c:pt>
                <c:pt idx="292">
                  <c:v>0.91406240000000005</c:v>
                </c:pt>
                <c:pt idx="293">
                  <c:v>0.91718759999999999</c:v>
                </c:pt>
                <c:pt idx="294">
                  <c:v>0.92031240000000003</c:v>
                </c:pt>
                <c:pt idx="295">
                  <c:v>0.92343759999999997</c:v>
                </c:pt>
                <c:pt idx="296">
                  <c:v>0.92656240000000001</c:v>
                </c:pt>
                <c:pt idx="297">
                  <c:v>0.92968759999999995</c:v>
                </c:pt>
                <c:pt idx="298">
                  <c:v>0.93281239999999999</c:v>
                </c:pt>
                <c:pt idx="299">
                  <c:v>0.93593740000000003</c:v>
                </c:pt>
                <c:pt idx="300">
                  <c:v>0.93906259999999997</c:v>
                </c:pt>
                <c:pt idx="301">
                  <c:v>0.94218760000000001</c:v>
                </c:pt>
                <c:pt idx="302">
                  <c:v>0.94531240000000005</c:v>
                </c:pt>
                <c:pt idx="303">
                  <c:v>0.94843759999999999</c:v>
                </c:pt>
                <c:pt idx="304">
                  <c:v>0.95156240000000003</c:v>
                </c:pt>
                <c:pt idx="305">
                  <c:v>0.95468759999999997</c:v>
                </c:pt>
                <c:pt idx="306">
                  <c:v>0.95781240000000001</c:v>
                </c:pt>
                <c:pt idx="307">
                  <c:v>0.96093759999999995</c:v>
                </c:pt>
                <c:pt idx="308">
                  <c:v>0.96406259999999999</c:v>
                </c:pt>
                <c:pt idx="309">
                  <c:v>0.96718740000000003</c:v>
                </c:pt>
                <c:pt idx="310">
                  <c:v>0.97031259999999997</c:v>
                </c:pt>
                <c:pt idx="311">
                  <c:v>0.97343760000000001</c:v>
                </c:pt>
                <c:pt idx="312">
                  <c:v>0.97656240000000005</c:v>
                </c:pt>
                <c:pt idx="313">
                  <c:v>0.97968759999999999</c:v>
                </c:pt>
                <c:pt idx="314">
                  <c:v>0.98281240000000003</c:v>
                </c:pt>
                <c:pt idx="315">
                  <c:v>0.98593759999999997</c:v>
                </c:pt>
                <c:pt idx="316">
                  <c:v>0.98906240000000001</c:v>
                </c:pt>
                <c:pt idx="317">
                  <c:v>0.99218759999999995</c:v>
                </c:pt>
                <c:pt idx="318">
                  <c:v>0.99531259999999999</c:v>
                </c:pt>
                <c:pt idx="319">
                  <c:v>0.99843760000000004</c:v>
                </c:pt>
              </c:numCache>
            </c:numRef>
          </c:xVal>
          <c:yVal>
            <c:numRef>
              <c:f>final4!$BH$2:$BH$321</c:f>
              <c:numCache>
                <c:formatCode>0.00E+00</c:formatCode>
                <c:ptCount val="320"/>
                <c:pt idx="0">
                  <c:v>13.696377937543399</c:v>
                </c:pt>
                <c:pt idx="1">
                  <c:v>13.6962199441761</c:v>
                </c:pt>
                <c:pt idx="2">
                  <c:v>13.6959514989742</c:v>
                </c:pt>
                <c:pt idx="3">
                  <c:v>13.6955735809623</c:v>
                </c:pt>
                <c:pt idx="4">
                  <c:v>13.695087172509</c:v>
                </c:pt>
                <c:pt idx="5">
                  <c:v>13.6944930203694</c:v>
                </c:pt>
                <c:pt idx="6">
                  <c:v>13.693792256737201</c:v>
                </c:pt>
                <c:pt idx="7">
                  <c:v>13.6929859598667</c:v>
                </c:pt>
                <c:pt idx="8">
                  <c:v>13.6920750896029</c:v>
                </c:pt>
                <c:pt idx="9">
                  <c:v>13.6910606509144</c:v>
                </c:pt>
                <c:pt idx="10">
                  <c:v>13.689943650014699</c:v>
                </c:pt>
                <c:pt idx="11">
                  <c:v>13.6887251003304</c:v>
                </c:pt>
                <c:pt idx="12">
                  <c:v>13.687406051516</c:v>
                </c:pt>
                <c:pt idx="13">
                  <c:v>13.685987454556701</c:v>
                </c:pt>
                <c:pt idx="14">
                  <c:v>13.684470374058799</c:v>
                </c:pt>
                <c:pt idx="15">
                  <c:v>13.682855837749999</c:v>
                </c:pt>
                <c:pt idx="16">
                  <c:v>13.681144880003</c:v>
                </c:pt>
                <c:pt idx="17">
                  <c:v>13.679338532660299</c:v>
                </c:pt>
                <c:pt idx="18">
                  <c:v>13.677437861820501</c:v>
                </c:pt>
                <c:pt idx="19">
                  <c:v>13.6754439127656</c:v>
                </c:pt>
                <c:pt idx="20">
                  <c:v>13.6732309379474</c:v>
                </c:pt>
                <c:pt idx="21">
                  <c:v>13.6707863832988</c:v>
                </c:pt>
                <c:pt idx="22">
                  <c:v>13.668234175909999</c:v>
                </c:pt>
                <c:pt idx="23">
                  <c:v>13.665577037797</c:v>
                </c:pt>
                <c:pt idx="24">
                  <c:v>13.6628178589327</c:v>
                </c:pt>
                <c:pt idx="25">
                  <c:v>13.6599596315698</c:v>
                </c:pt>
                <c:pt idx="26">
                  <c:v>13.6570050351381</c:v>
                </c:pt>
                <c:pt idx="27">
                  <c:v>13.6539570647471</c:v>
                </c:pt>
                <c:pt idx="28">
                  <c:v>13.6508185437572</c:v>
                </c:pt>
                <c:pt idx="29">
                  <c:v>13.647592420778199</c:v>
                </c:pt>
                <c:pt idx="30">
                  <c:v>13.6442814775729</c:v>
                </c:pt>
                <c:pt idx="31">
                  <c:v>13.6408887341248</c:v>
                </c:pt>
                <c:pt idx="32">
                  <c:v>13.6374171959988</c:v>
                </c:pt>
                <c:pt idx="33">
                  <c:v>13.6338696958612</c:v>
                </c:pt>
                <c:pt idx="34">
                  <c:v>13.630249816716301</c:v>
                </c:pt>
                <c:pt idx="35">
                  <c:v>13.626559475658301</c:v>
                </c:pt>
                <c:pt idx="36">
                  <c:v>13.6228022780658</c:v>
                </c:pt>
                <c:pt idx="37">
                  <c:v>13.6189807396922</c:v>
                </c:pt>
                <c:pt idx="38">
                  <c:v>13.615098126457401</c:v>
                </c:pt>
                <c:pt idx="39">
                  <c:v>13.611157545201801</c:v>
                </c:pt>
                <c:pt idx="40">
                  <c:v>13.606776832530601</c:v>
                </c:pt>
                <c:pt idx="41">
                  <c:v>13.6019262999499</c:v>
                </c:pt>
                <c:pt idx="42">
                  <c:v>13.5969826919765</c:v>
                </c:pt>
                <c:pt idx="43">
                  <c:v>13.5919504169745</c:v>
                </c:pt>
                <c:pt idx="44">
                  <c:v>13.586834570627699</c:v>
                </c:pt>
                <c:pt idx="45">
                  <c:v>13.581639817137001</c:v>
                </c:pt>
                <c:pt idx="46">
                  <c:v>13.576371029163701</c:v>
                </c:pt>
                <c:pt idx="47">
                  <c:v>13.571033504495</c:v>
                </c:pt>
                <c:pt idx="48">
                  <c:v>13.565631877785201</c:v>
                </c:pt>
                <c:pt idx="49">
                  <c:v>13.5601713673954</c:v>
                </c:pt>
                <c:pt idx="50">
                  <c:v>13.5546569321838</c:v>
                </c:pt>
                <c:pt idx="51">
                  <c:v>13.5490936477688</c:v>
                </c:pt>
                <c:pt idx="52">
                  <c:v>13.5434867295234</c:v>
                </c:pt>
                <c:pt idx="53">
                  <c:v>13.5378402386362</c:v>
                </c:pt>
                <c:pt idx="54">
                  <c:v>13.5321611186466</c:v>
                </c:pt>
                <c:pt idx="55">
                  <c:v>13.5264532552153</c:v>
                </c:pt>
                <c:pt idx="56">
                  <c:v>13.5207230836739</c:v>
                </c:pt>
                <c:pt idx="57">
                  <c:v>13.5149750715862</c:v>
                </c:pt>
                <c:pt idx="58">
                  <c:v>13.5092130512458</c:v>
                </c:pt>
                <c:pt idx="59">
                  <c:v>13.503440807539</c:v>
                </c:pt>
                <c:pt idx="60">
                  <c:v>13.4969804803817</c:v>
                </c:pt>
                <c:pt idx="61">
                  <c:v>13.4897884958901</c:v>
                </c:pt>
                <c:pt idx="62">
                  <c:v>13.482520605655001</c:v>
                </c:pt>
                <c:pt idx="63">
                  <c:v>13.4751815705035</c:v>
                </c:pt>
                <c:pt idx="64">
                  <c:v>13.467775741632</c:v>
                </c:pt>
                <c:pt idx="65">
                  <c:v>13.4602971306751</c:v>
                </c:pt>
                <c:pt idx="66">
                  <c:v>13.4527676223227</c:v>
                </c:pt>
                <c:pt idx="67">
                  <c:v>13.4451844973894</c:v>
                </c:pt>
                <c:pt idx="68">
                  <c:v>13.437553778855699</c:v>
                </c:pt>
                <c:pt idx="69">
                  <c:v>13.429879049398499</c:v>
                </c:pt>
                <c:pt idx="70">
                  <c:v>13.422167070259601</c:v>
                </c:pt>
                <c:pt idx="71">
                  <c:v>13.414418488301401</c:v>
                </c:pt>
                <c:pt idx="72">
                  <c:v>13.4066378942991</c:v>
                </c:pt>
                <c:pt idx="73">
                  <c:v>13.398833647243301</c:v>
                </c:pt>
                <c:pt idx="74">
                  <c:v>13.3910126024559</c:v>
                </c:pt>
                <c:pt idx="75">
                  <c:v>13.383175116492801</c:v>
                </c:pt>
                <c:pt idx="76">
                  <c:v>13.3753271179755</c:v>
                </c:pt>
                <c:pt idx="77">
                  <c:v>13.367475158050899</c:v>
                </c:pt>
                <c:pt idx="78">
                  <c:v>13.359624801774601</c:v>
                </c:pt>
                <c:pt idx="79">
                  <c:v>13.351780177260499</c:v>
                </c:pt>
                <c:pt idx="80">
                  <c:v>13.3430492651822</c:v>
                </c:pt>
                <c:pt idx="81">
                  <c:v>13.3333919940331</c:v>
                </c:pt>
                <c:pt idx="82">
                  <c:v>13.3237048248742</c:v>
                </c:pt>
                <c:pt idx="83">
                  <c:v>13.313995431583001</c:v>
                </c:pt>
                <c:pt idx="84">
                  <c:v>13.304273338201901</c:v>
                </c:pt>
                <c:pt idx="85">
                  <c:v>13.2945256852604</c:v>
                </c:pt>
                <c:pt idx="86">
                  <c:v>13.2847901424241</c:v>
                </c:pt>
                <c:pt idx="87">
                  <c:v>13.2750605781834</c:v>
                </c:pt>
                <c:pt idx="88">
                  <c:v>13.2653400996254</c:v>
                </c:pt>
                <c:pt idx="89">
                  <c:v>13.2556340507185</c:v>
                </c:pt>
                <c:pt idx="90">
                  <c:v>13.2459519421897</c:v>
                </c:pt>
                <c:pt idx="91">
                  <c:v>13.236301787418499</c:v>
                </c:pt>
                <c:pt idx="92">
                  <c:v>13.2266893432319</c:v>
                </c:pt>
                <c:pt idx="93">
                  <c:v>13.217122327912</c:v>
                </c:pt>
                <c:pt idx="94">
                  <c:v>13.2076056060603</c:v>
                </c:pt>
                <c:pt idx="95">
                  <c:v>13.1981482484743</c:v>
                </c:pt>
                <c:pt idx="96">
                  <c:v>13.188759353968701</c:v>
                </c:pt>
                <c:pt idx="97">
                  <c:v>13.179444415469501</c:v>
                </c:pt>
                <c:pt idx="98">
                  <c:v>13.1702108524668</c:v>
                </c:pt>
                <c:pt idx="99">
                  <c:v>13.161066594102699</c:v>
                </c:pt>
                <c:pt idx="100">
                  <c:v>13.149762975155401</c:v>
                </c:pt>
                <c:pt idx="101">
                  <c:v>13.136304830377901</c:v>
                </c:pt>
                <c:pt idx="102">
                  <c:v>13.122958164976399</c:v>
                </c:pt>
                <c:pt idx="103">
                  <c:v>13.109744534395499</c:v>
                </c:pt>
                <c:pt idx="104">
                  <c:v>13.0966780242876</c:v>
                </c:pt>
                <c:pt idx="105">
                  <c:v>13.0837726809347</c:v>
                </c:pt>
                <c:pt idx="106">
                  <c:v>13.071044775138599</c:v>
                </c:pt>
                <c:pt idx="107">
                  <c:v>13.058510620695399</c:v>
                </c:pt>
                <c:pt idx="108">
                  <c:v>13.0461924766972</c:v>
                </c:pt>
                <c:pt idx="109">
                  <c:v>13.0341075135621</c:v>
                </c:pt>
                <c:pt idx="110">
                  <c:v>13.022294281699599</c:v>
                </c:pt>
                <c:pt idx="111">
                  <c:v>13.0107327855394</c:v>
                </c:pt>
                <c:pt idx="112">
                  <c:v>12.9994452317632</c:v>
                </c:pt>
                <c:pt idx="113">
                  <c:v>12.988464104553699</c:v>
                </c:pt>
                <c:pt idx="114">
                  <c:v>12.9778026113714</c:v>
                </c:pt>
                <c:pt idx="115">
                  <c:v>12.9674791367485</c:v>
                </c:pt>
                <c:pt idx="116">
                  <c:v>12.957512908256801</c:v>
                </c:pt>
                <c:pt idx="117">
                  <c:v>12.947923155468599</c:v>
                </c:pt>
                <c:pt idx="118">
                  <c:v>12.938742226069399</c:v>
                </c:pt>
                <c:pt idx="119">
                  <c:v>12.9299643930486</c:v>
                </c:pt>
                <c:pt idx="120">
                  <c:v>12.9177706401058</c:v>
                </c:pt>
                <c:pt idx="121">
                  <c:v>12.9018493547714</c:v>
                </c:pt>
                <c:pt idx="122">
                  <c:v>12.8859322693088</c:v>
                </c:pt>
                <c:pt idx="123">
                  <c:v>12.870020426558799</c:v>
                </c:pt>
                <c:pt idx="124">
                  <c:v>12.854130165041299</c:v>
                </c:pt>
                <c:pt idx="125">
                  <c:v>12.838273407045</c:v>
                </c:pt>
                <c:pt idx="126">
                  <c:v>12.822461977906601</c:v>
                </c:pt>
                <c:pt idx="127">
                  <c:v>12.806710347853</c:v>
                </c:pt>
                <c:pt idx="128">
                  <c:v>12.791020563369599</c:v>
                </c:pt>
                <c:pt idx="129">
                  <c:v>12.7754076134046</c:v>
                </c:pt>
                <c:pt idx="130">
                  <c:v>12.759888684877399</c:v>
                </c:pt>
                <c:pt idx="131">
                  <c:v>12.744465997620599</c:v>
                </c:pt>
                <c:pt idx="132">
                  <c:v>12.7291538804671</c:v>
                </c:pt>
                <c:pt idx="133">
                  <c:v>12.713967647655499</c:v>
                </c:pt>
                <c:pt idx="134">
                  <c:v>12.6989200466602</c:v>
                </c:pt>
                <c:pt idx="135">
                  <c:v>12.684026188683999</c:v>
                </c:pt>
                <c:pt idx="136">
                  <c:v>12.669303167366399</c:v>
                </c:pt>
                <c:pt idx="137">
                  <c:v>12.6547588577382</c:v>
                </c:pt>
                <c:pt idx="138">
                  <c:v>12.6404156470286</c:v>
                </c:pt>
                <c:pt idx="139">
                  <c:v>12.626279439801101</c:v>
                </c:pt>
                <c:pt idx="140">
                  <c:v>12.6133315616202</c:v>
                </c:pt>
                <c:pt idx="141">
                  <c:v>12.601127508005201</c:v>
                </c:pt>
                <c:pt idx="142">
                  <c:v>12.588498392211401</c:v>
                </c:pt>
                <c:pt idx="143">
                  <c:v>12.575416610656101</c:v>
                </c:pt>
                <c:pt idx="144">
                  <c:v>12.561884613670999</c:v>
                </c:pt>
                <c:pt idx="145">
                  <c:v>12.547884502665299</c:v>
                </c:pt>
                <c:pt idx="146">
                  <c:v>12.533403573705399</c:v>
                </c:pt>
                <c:pt idx="147">
                  <c:v>12.518433012877299</c:v>
                </c:pt>
                <c:pt idx="148">
                  <c:v>12.5029724802381</c:v>
                </c:pt>
                <c:pt idx="149">
                  <c:v>12.486997332172701</c:v>
                </c:pt>
                <c:pt idx="150">
                  <c:v>12.470519032096099</c:v>
                </c:pt>
                <c:pt idx="151">
                  <c:v>12.453504673913701</c:v>
                </c:pt>
                <c:pt idx="152">
                  <c:v>12.4359632370247</c:v>
                </c:pt>
                <c:pt idx="153">
                  <c:v>12.417884906932301</c:v>
                </c:pt>
                <c:pt idx="154">
                  <c:v>12.399259409842401</c:v>
                </c:pt>
                <c:pt idx="155">
                  <c:v>12.380078150381401</c:v>
                </c:pt>
                <c:pt idx="156">
                  <c:v>12.360338112436599</c:v>
                </c:pt>
                <c:pt idx="157">
                  <c:v>12.340047342398201</c:v>
                </c:pt>
                <c:pt idx="158">
                  <c:v>12.319191723070899</c:v>
                </c:pt>
                <c:pt idx="159">
                  <c:v>12.2977737034448</c:v>
                </c:pt>
                <c:pt idx="160">
                  <c:v>12.274856342715101</c:v>
                </c:pt>
                <c:pt idx="161">
                  <c:v>12.2513806876646</c:v>
                </c:pt>
                <c:pt idx="162">
                  <c:v>12.2286783181363</c:v>
                </c:pt>
                <c:pt idx="163">
                  <c:v>12.2068066036676</c:v>
                </c:pt>
                <c:pt idx="164">
                  <c:v>12.1857985752016</c:v>
                </c:pt>
                <c:pt idx="165">
                  <c:v>12.165706257533101</c:v>
                </c:pt>
                <c:pt idx="166">
                  <c:v>12.1465886848952</c:v>
                </c:pt>
                <c:pt idx="167">
                  <c:v>12.128496502643699</c:v>
                </c:pt>
                <c:pt idx="168">
                  <c:v>12.1114989074419</c:v>
                </c:pt>
                <c:pt idx="169">
                  <c:v>12.0956030423432</c:v>
                </c:pt>
                <c:pt idx="170">
                  <c:v>12.0808824735514</c:v>
                </c:pt>
                <c:pt idx="171">
                  <c:v>12.0674001072883</c:v>
                </c:pt>
                <c:pt idx="172">
                  <c:v>12.055214020248901</c:v>
                </c:pt>
                <c:pt idx="173">
                  <c:v>12.044383575065201</c:v>
                </c:pt>
                <c:pt idx="174">
                  <c:v>12.034985756919401</c:v>
                </c:pt>
                <c:pt idx="175">
                  <c:v>12.0270593820762</c:v>
                </c:pt>
                <c:pt idx="176">
                  <c:v>12.020687550208701</c:v>
                </c:pt>
                <c:pt idx="177">
                  <c:v>12.015924235374399</c:v>
                </c:pt>
                <c:pt idx="178">
                  <c:v>12.0128401493411</c:v>
                </c:pt>
                <c:pt idx="179">
                  <c:v>12.0115254478414</c:v>
                </c:pt>
                <c:pt idx="180">
                  <c:v>11.9910140335063</c:v>
                </c:pt>
                <c:pt idx="181">
                  <c:v>11.9505613751965</c:v>
                </c:pt>
                <c:pt idx="182">
                  <c:v>11.9108844939507</c:v>
                </c:pt>
                <c:pt idx="183">
                  <c:v>11.872057624473999</c:v>
                </c:pt>
                <c:pt idx="184">
                  <c:v>11.834140948884</c:v>
                </c:pt>
                <c:pt idx="185">
                  <c:v>11.7971848323511</c:v>
                </c:pt>
                <c:pt idx="186">
                  <c:v>11.7612478127309</c:v>
                </c:pt>
                <c:pt idx="187">
                  <c:v>11.7264152396029</c:v>
                </c:pt>
                <c:pt idx="188">
                  <c:v>11.692757380419801</c:v>
                </c:pt>
                <c:pt idx="189">
                  <c:v>11.660321521815201</c:v>
                </c:pt>
                <c:pt idx="190">
                  <c:v>11.629169800762</c:v>
                </c:pt>
                <c:pt idx="191">
                  <c:v>11.5993791079845</c:v>
                </c:pt>
                <c:pt idx="192">
                  <c:v>11.5710092164303</c:v>
                </c:pt>
                <c:pt idx="193">
                  <c:v>11.5441260391984</c:v>
                </c:pt>
                <c:pt idx="194">
                  <c:v>11.5188090847972</c:v>
                </c:pt>
                <c:pt idx="195">
                  <c:v>11.495117873364601</c:v>
                </c:pt>
                <c:pt idx="196">
                  <c:v>11.4731338735796</c:v>
                </c:pt>
                <c:pt idx="197">
                  <c:v>11.452919747711301</c:v>
                </c:pt>
                <c:pt idx="198">
                  <c:v>11.4345489909959</c:v>
                </c:pt>
                <c:pt idx="199">
                  <c:v>11.4181072921654</c:v>
                </c:pt>
                <c:pt idx="200">
                  <c:v>11.4309026242599</c:v>
                </c:pt>
                <c:pt idx="201">
                  <c:v>11.465856288068199</c:v>
                </c:pt>
                <c:pt idx="202">
                  <c:v>11.492628794426601</c:v>
                </c:pt>
                <c:pt idx="203">
                  <c:v>11.511072447733</c:v>
                </c:pt>
                <c:pt idx="204">
                  <c:v>11.5208757304892</c:v>
                </c:pt>
                <c:pt idx="205">
                  <c:v>11.521892520803201</c:v>
                </c:pt>
                <c:pt idx="206">
                  <c:v>11.513903808796</c:v>
                </c:pt>
                <c:pt idx="207">
                  <c:v>11.4967457196531</c:v>
                </c:pt>
                <c:pt idx="208">
                  <c:v>11.4702326596804</c:v>
                </c:pt>
                <c:pt idx="209">
                  <c:v>11.434172497881001</c:v>
                </c:pt>
                <c:pt idx="210">
                  <c:v>11.3883533914357</c:v>
                </c:pt>
                <c:pt idx="211">
                  <c:v>11.3326145691435</c:v>
                </c:pt>
                <c:pt idx="212">
                  <c:v>11.266793214956699</c:v>
                </c:pt>
                <c:pt idx="213">
                  <c:v>11.1906726328102</c:v>
                </c:pt>
                <c:pt idx="214">
                  <c:v>11.104101226025501</c:v>
                </c:pt>
                <c:pt idx="215">
                  <c:v>11.006895315820801</c:v>
                </c:pt>
                <c:pt idx="216">
                  <c:v>10.8988908294039</c:v>
                </c:pt>
                <c:pt idx="217">
                  <c:v>10.7799116234417</c:v>
                </c:pt>
                <c:pt idx="218">
                  <c:v>10.649791331630601</c:v>
                </c:pt>
                <c:pt idx="219">
                  <c:v>10.5083578732884</c:v>
                </c:pt>
                <c:pt idx="220">
                  <c:v>10.477736469055801</c:v>
                </c:pt>
                <c:pt idx="221">
                  <c:v>10.5600272163318</c:v>
                </c:pt>
                <c:pt idx="222">
                  <c:v>10.6337944972556</c:v>
                </c:pt>
                <c:pt idx="223">
                  <c:v>10.6989771553244</c:v>
                </c:pt>
                <c:pt idx="224">
                  <c:v>10.7555272550994</c:v>
                </c:pt>
                <c:pt idx="225">
                  <c:v>10.8033711988765</c:v>
                </c:pt>
                <c:pt idx="226">
                  <c:v>10.842493603751</c:v>
                </c:pt>
                <c:pt idx="227">
                  <c:v>10.872916753209999</c:v>
                </c:pt>
                <c:pt idx="228">
                  <c:v>10.894638103436099</c:v>
                </c:pt>
                <c:pt idx="229">
                  <c:v>10.9076674355093</c:v>
                </c:pt>
                <c:pt idx="230">
                  <c:v>10.9120851213133</c:v>
                </c:pt>
                <c:pt idx="231">
                  <c:v>10.9079618365058</c:v>
                </c:pt>
                <c:pt idx="232">
                  <c:v>10.895361866606899</c:v>
                </c:pt>
                <c:pt idx="233">
                  <c:v>10.874376958027799</c:v>
                </c:pt>
                <c:pt idx="234">
                  <c:v>10.8451603117479</c:v>
                </c:pt>
                <c:pt idx="235">
                  <c:v>10.8078371503791</c:v>
                </c:pt>
                <c:pt idx="236">
                  <c:v>10.7625386965454</c:v>
                </c:pt>
                <c:pt idx="237">
                  <c:v>10.709432375736201</c:v>
                </c:pt>
                <c:pt idx="238">
                  <c:v>10.6487441615721</c:v>
                </c:pt>
                <c:pt idx="239">
                  <c:v>10.5806518544578</c:v>
                </c:pt>
                <c:pt idx="240">
                  <c:v>10.490574473524299</c:v>
                </c:pt>
                <c:pt idx="241">
                  <c:v>10.3853083395434</c:v>
                </c:pt>
                <c:pt idx="242">
                  <c:v>10.282604196738999</c:v>
                </c:pt>
                <c:pt idx="243">
                  <c:v>10.182704926202501</c:v>
                </c:pt>
                <c:pt idx="244">
                  <c:v>10.0858772693361</c:v>
                </c:pt>
                <c:pt idx="245">
                  <c:v>9.9923416092598298</c:v>
                </c:pt>
                <c:pt idx="246">
                  <c:v>9.9024031448176508</c:v>
                </c:pt>
                <c:pt idx="247">
                  <c:v>9.8163563636356201</c:v>
                </c:pt>
                <c:pt idx="248">
                  <c:v>9.7345450504604205</c:v>
                </c:pt>
                <c:pt idx="249">
                  <c:v>9.6571890134151097</c:v>
                </c:pt>
                <c:pt idx="250">
                  <c:v>9.5847122680824892</c:v>
                </c:pt>
                <c:pt idx="251">
                  <c:v>9.5173226599346403</c:v>
                </c:pt>
                <c:pt idx="252">
                  <c:v>9.4553726238557907</c:v>
                </c:pt>
                <c:pt idx="253">
                  <c:v>9.3991622530316903</c:v>
                </c:pt>
                <c:pt idx="254">
                  <c:v>9.3490018306378708</c:v>
                </c:pt>
                <c:pt idx="255">
                  <c:v>9.3052165835453593</c:v>
                </c:pt>
                <c:pt idx="256">
                  <c:v>9.2680418091812307</c:v>
                </c:pt>
                <c:pt idx="257">
                  <c:v>9.2377981709255206</c:v>
                </c:pt>
                <c:pt idx="258">
                  <c:v>9.2148056595328907</c:v>
                </c:pt>
                <c:pt idx="259">
                  <c:v>9.1991795721460807</c:v>
                </c:pt>
                <c:pt idx="260">
                  <c:v>9.5497281317336107</c:v>
                </c:pt>
                <c:pt idx="261">
                  <c:v>10.184095452738701</c:v>
                </c:pt>
                <c:pt idx="262">
                  <c:v>10.7082104192359</c:v>
                </c:pt>
                <c:pt idx="263">
                  <c:v>11.1196177100603</c:v>
                </c:pt>
                <c:pt idx="264">
                  <c:v>11.4160475201371</c:v>
                </c:pt>
                <c:pt idx="265">
                  <c:v>11.5953174033625</c:v>
                </c:pt>
                <c:pt idx="266">
                  <c:v>11.6550654147121</c:v>
                </c:pt>
                <c:pt idx="267">
                  <c:v>11.5930979190899</c:v>
                </c:pt>
                <c:pt idx="268">
                  <c:v>11.4071480319906</c:v>
                </c:pt>
                <c:pt idx="269">
                  <c:v>11.094965863757899</c:v>
                </c:pt>
                <c:pt idx="270">
                  <c:v>10.654218842942401</c:v>
                </c:pt>
                <c:pt idx="271">
                  <c:v>10.0826730292078</c:v>
                </c:pt>
                <c:pt idx="272">
                  <c:v>9.3779374493658594</c:v>
                </c:pt>
                <c:pt idx="273">
                  <c:v>8.5375904261311408</c:v>
                </c:pt>
                <c:pt idx="274">
                  <c:v>7.5591700581752104</c:v>
                </c:pt>
                <c:pt idx="275">
                  <c:v>6.4402609574548597</c:v>
                </c:pt>
                <c:pt idx="276">
                  <c:v>5.1782028436446703</c:v>
                </c:pt>
                <c:pt idx="277">
                  <c:v>3.7705543546619</c:v>
                </c:pt>
                <c:pt idx="278">
                  <c:v>2.2143838461599401</c:v>
                </c:pt>
                <c:pt idx="279">
                  <c:v>0.50680817270954504</c:v>
                </c:pt>
                <c:pt idx="280">
                  <c:v>1.5060929684018001</c:v>
                </c:pt>
                <c:pt idx="281">
                  <c:v>5.0031737686790203</c:v>
                </c:pt>
                <c:pt idx="282">
                  <c:v>8.0469906227784698</c:v>
                </c:pt>
                <c:pt idx="283">
                  <c:v>10.6323352222189</c:v>
                </c:pt>
                <c:pt idx="284">
                  <c:v>12.754546069974801</c:v>
                </c:pt>
                <c:pt idx="285">
                  <c:v>14.4094126726576</c:v>
                </c:pt>
                <c:pt idx="286">
                  <c:v>15.5932062075874</c:v>
                </c:pt>
                <c:pt idx="287">
                  <c:v>16.3026348604247</c:v>
                </c:pt>
                <c:pt idx="288">
                  <c:v>16.534722919764299</c:v>
                </c:pt>
                <c:pt idx="289">
                  <c:v>16.286938367280101</c:v>
                </c:pt>
                <c:pt idx="290">
                  <c:v>15.557481512651</c:v>
                </c:pt>
                <c:pt idx="291">
                  <c:v>14.3449037500089</c:v>
                </c:pt>
                <c:pt idx="292">
                  <c:v>12.647695306785</c:v>
                </c:pt>
                <c:pt idx="293">
                  <c:v>10.4654582498196</c:v>
                </c:pt>
                <c:pt idx="294">
                  <c:v>7.7977590994818602</c:v>
                </c:pt>
                <c:pt idx="295">
                  <c:v>4.6448689836522901</c:v>
                </c:pt>
                <c:pt idx="296">
                  <c:v>1.0080022499980901</c:v>
                </c:pt>
                <c:pt idx="297">
                  <c:v>-3.1124546414286698</c:v>
                </c:pt>
                <c:pt idx="298">
                  <c:v>-7.7148876104311404</c:v>
                </c:pt>
                <c:pt idx="299">
                  <c:v>-12.797763663025099</c:v>
                </c:pt>
                <c:pt idx="300">
                  <c:v>-11.2486543254222</c:v>
                </c:pt>
                <c:pt idx="301">
                  <c:v>-3.5000695964838702</c:v>
                </c:pt>
                <c:pt idx="302">
                  <c:v>3.1614025854348902</c:v>
                </c:pt>
                <c:pt idx="303">
                  <c:v>8.7365378812205101</c:v>
                </c:pt>
                <c:pt idx="304">
                  <c:v>13.2301104618815</c:v>
                </c:pt>
                <c:pt idx="305">
                  <c:v>16.646962548707901</c:v>
                </c:pt>
                <c:pt idx="306">
                  <c:v>18.993477461753301</c:v>
                </c:pt>
                <c:pt idx="307">
                  <c:v>20.278206922886</c:v>
                </c:pt>
                <c:pt idx="308">
                  <c:v>20.508901160333899</c:v>
                </c:pt>
                <c:pt idx="309">
                  <c:v>19.6957342761267</c:v>
                </c:pt>
                <c:pt idx="310">
                  <c:v>17.8496433211976</c:v>
                </c:pt>
                <c:pt idx="311">
                  <c:v>14.98845130386</c:v>
                </c:pt>
                <c:pt idx="312">
                  <c:v>11.1151836276743</c:v>
                </c:pt>
                <c:pt idx="313">
                  <c:v>6.2572783933278302</c:v>
                </c:pt>
                <c:pt idx="314">
                  <c:v>0.399605454491542</c:v>
                </c:pt>
                <c:pt idx="315">
                  <c:v>-6.4247124070033097</c:v>
                </c:pt>
                <c:pt idx="316">
                  <c:v>-14.1671585551797</c:v>
                </c:pt>
                <c:pt idx="317">
                  <c:v>-22.850765490286001</c:v>
                </c:pt>
                <c:pt idx="318">
                  <c:v>-32.2977723302782</c:v>
                </c:pt>
                <c:pt idx="319">
                  <c:v>-43.338106780593399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AE-4DD1-A2D6-1F6A01218DF0}"/>
            </c:ext>
          </c:extLst>
        </c:ser>
        <c:ser>
          <c:idx val="3"/>
          <c:order val="3"/>
          <c:tx>
            <c:v>FEM</c:v>
          </c:tx>
          <c:spPr>
            <a:ln w="15875">
              <a:solidFill>
                <a:schemeClr val="tx1"/>
              </a:solidFill>
            </a:ln>
          </c:spPr>
          <c:marker>
            <c:symbol val="x"/>
            <c:size val="8"/>
            <c:spPr>
              <a:ln>
                <a:solidFill>
                  <a:schemeClr val="tx1"/>
                </a:solidFill>
              </a:ln>
            </c:spPr>
          </c:marker>
          <c:xVal>
            <c:numRef>
              <c:f>final4!$AM$14:$AM$62</c:f>
              <c:numCache>
                <c:formatCode>0.00E+00</c:formatCode>
                <c:ptCount val="49"/>
                <c:pt idx="0">
                  <c:v>0</c:v>
                </c:pt>
                <c:pt idx="1">
                  <c:v>2.0833399999999998E-2</c:v>
                </c:pt>
                <c:pt idx="2">
                  <c:v>4.1666599999999998E-2</c:v>
                </c:pt>
                <c:pt idx="3">
                  <c:v>6.25E-2</c:v>
                </c:pt>
                <c:pt idx="4">
                  <c:v>8.3333400000000002E-2</c:v>
                </c:pt>
                <c:pt idx="5">
                  <c:v>0.1041666</c:v>
                </c:pt>
                <c:pt idx="6">
                  <c:v>0.125</c:v>
                </c:pt>
                <c:pt idx="7">
                  <c:v>0.1458334</c:v>
                </c:pt>
                <c:pt idx="8">
                  <c:v>0.1666666</c:v>
                </c:pt>
                <c:pt idx="9">
                  <c:v>0.1875</c:v>
                </c:pt>
                <c:pt idx="10">
                  <c:v>0.20833399999999999</c:v>
                </c:pt>
                <c:pt idx="11">
                  <c:v>0.22916600000000001</c:v>
                </c:pt>
                <c:pt idx="12">
                  <c:v>0.25</c:v>
                </c:pt>
                <c:pt idx="13">
                  <c:v>0.27083400000000002</c:v>
                </c:pt>
                <c:pt idx="14">
                  <c:v>0.29166599999999998</c:v>
                </c:pt>
                <c:pt idx="15">
                  <c:v>0.3125</c:v>
                </c:pt>
                <c:pt idx="16">
                  <c:v>0.33333400000000002</c:v>
                </c:pt>
                <c:pt idx="17">
                  <c:v>0.35416599999999998</c:v>
                </c:pt>
                <c:pt idx="18">
                  <c:v>0.375</c:v>
                </c:pt>
                <c:pt idx="19">
                  <c:v>0.39583400000000002</c:v>
                </c:pt>
                <c:pt idx="20">
                  <c:v>0.41666599999999998</c:v>
                </c:pt>
                <c:pt idx="21">
                  <c:v>0.4375</c:v>
                </c:pt>
                <c:pt idx="22">
                  <c:v>0.45833400000000002</c:v>
                </c:pt>
                <c:pt idx="23">
                  <c:v>0.47916599999999998</c:v>
                </c:pt>
                <c:pt idx="24">
                  <c:v>0.5</c:v>
                </c:pt>
                <c:pt idx="25">
                  <c:v>0.52083400000000002</c:v>
                </c:pt>
                <c:pt idx="26">
                  <c:v>0.54166599999999998</c:v>
                </c:pt>
                <c:pt idx="27">
                  <c:v>0.5625</c:v>
                </c:pt>
                <c:pt idx="28">
                  <c:v>0.58333400000000002</c:v>
                </c:pt>
                <c:pt idx="29">
                  <c:v>0.60416599999999998</c:v>
                </c:pt>
                <c:pt idx="30">
                  <c:v>0.625</c:v>
                </c:pt>
                <c:pt idx="31">
                  <c:v>0.64583400000000002</c:v>
                </c:pt>
                <c:pt idx="32">
                  <c:v>0.66666599999999998</c:v>
                </c:pt>
                <c:pt idx="33">
                  <c:v>0.6875</c:v>
                </c:pt>
                <c:pt idx="34">
                  <c:v>0.70833400000000002</c:v>
                </c:pt>
                <c:pt idx="35">
                  <c:v>0.72916599999999998</c:v>
                </c:pt>
                <c:pt idx="36">
                  <c:v>0.75</c:v>
                </c:pt>
                <c:pt idx="37">
                  <c:v>0.77083400000000002</c:v>
                </c:pt>
                <c:pt idx="38">
                  <c:v>0.79166599999999998</c:v>
                </c:pt>
                <c:pt idx="39">
                  <c:v>0.8125</c:v>
                </c:pt>
                <c:pt idx="40">
                  <c:v>0.83333400000000002</c:v>
                </c:pt>
                <c:pt idx="41">
                  <c:v>0.85416599999999998</c:v>
                </c:pt>
                <c:pt idx="42">
                  <c:v>0.875</c:v>
                </c:pt>
                <c:pt idx="43">
                  <c:v>0.89583400000000002</c:v>
                </c:pt>
                <c:pt idx="44">
                  <c:v>0.91666599999999998</c:v>
                </c:pt>
                <c:pt idx="45">
                  <c:v>0.9375</c:v>
                </c:pt>
                <c:pt idx="46">
                  <c:v>0.95833400000000002</c:v>
                </c:pt>
                <c:pt idx="47">
                  <c:v>0.97916599999999998</c:v>
                </c:pt>
                <c:pt idx="48">
                  <c:v>1</c:v>
                </c:pt>
              </c:numCache>
            </c:numRef>
          </c:xVal>
          <c:yVal>
            <c:numRef>
              <c:f>final4!$AN$14:$AN$62</c:f>
              <c:numCache>
                <c:formatCode>0.00E+00</c:formatCode>
                <c:ptCount val="49"/>
                <c:pt idx="0">
                  <c:v>13.433400000000001</c:v>
                </c:pt>
                <c:pt idx="1">
                  <c:v>13.428599999999999</c:v>
                </c:pt>
                <c:pt idx="2">
                  <c:v>13.4238</c:v>
                </c:pt>
                <c:pt idx="3">
                  <c:v>13.4094</c:v>
                </c:pt>
                <c:pt idx="4">
                  <c:v>13.3949</c:v>
                </c:pt>
                <c:pt idx="5">
                  <c:v>13.370900000000001</c:v>
                </c:pt>
                <c:pt idx="6">
                  <c:v>13.3468</c:v>
                </c:pt>
                <c:pt idx="7">
                  <c:v>13.3131</c:v>
                </c:pt>
                <c:pt idx="8">
                  <c:v>13.279500000000001</c:v>
                </c:pt>
                <c:pt idx="9">
                  <c:v>13.2361</c:v>
                </c:pt>
                <c:pt idx="10">
                  <c:v>13.1928</c:v>
                </c:pt>
                <c:pt idx="11">
                  <c:v>13.139799999999999</c:v>
                </c:pt>
                <c:pt idx="12">
                  <c:v>13.0869</c:v>
                </c:pt>
                <c:pt idx="13">
                  <c:v>13.0242</c:v>
                </c:pt>
                <c:pt idx="14">
                  <c:v>12.961499999999999</c:v>
                </c:pt>
                <c:pt idx="15">
                  <c:v>12.889099999999999</c:v>
                </c:pt>
                <c:pt idx="16">
                  <c:v>12.816800000000001</c:v>
                </c:pt>
                <c:pt idx="17">
                  <c:v>12.7346</c:v>
                </c:pt>
                <c:pt idx="18">
                  <c:v>12.6524</c:v>
                </c:pt>
                <c:pt idx="19">
                  <c:v>12.5604</c:v>
                </c:pt>
                <c:pt idx="20">
                  <c:v>12.468299999999999</c:v>
                </c:pt>
                <c:pt idx="21">
                  <c:v>12.366099999999999</c:v>
                </c:pt>
                <c:pt idx="22">
                  <c:v>12.2639</c:v>
                </c:pt>
                <c:pt idx="23">
                  <c:v>12.151300000000001</c:v>
                </c:pt>
                <c:pt idx="24">
                  <c:v>12.0387</c:v>
                </c:pt>
                <c:pt idx="25">
                  <c:v>11.915100000000001</c:v>
                </c:pt>
                <c:pt idx="26">
                  <c:v>11.791499999999999</c:v>
                </c:pt>
                <c:pt idx="27">
                  <c:v>11.656000000000001</c:v>
                </c:pt>
                <c:pt idx="28">
                  <c:v>11.5205</c:v>
                </c:pt>
                <c:pt idx="29">
                  <c:v>11.3714</c:v>
                </c:pt>
                <c:pt idx="30">
                  <c:v>11.222300000000001</c:v>
                </c:pt>
                <c:pt idx="31">
                  <c:v>11.0572</c:v>
                </c:pt>
                <c:pt idx="32">
                  <c:v>10.891999999999999</c:v>
                </c:pt>
                <c:pt idx="33">
                  <c:v>10.707599999999999</c:v>
                </c:pt>
                <c:pt idx="34">
                  <c:v>10.523099999999999</c:v>
                </c:pt>
                <c:pt idx="35">
                  <c:v>10.3154</c:v>
                </c:pt>
                <c:pt idx="36">
                  <c:v>10.1076</c:v>
                </c:pt>
                <c:pt idx="37">
                  <c:v>9.8723100000000006</c:v>
                </c:pt>
                <c:pt idx="38">
                  <c:v>9.6369900000000008</c:v>
                </c:pt>
                <c:pt idx="39">
                  <c:v>9.3722799999999999</c:v>
                </c:pt>
                <c:pt idx="40">
                  <c:v>9.1075700000000008</c:v>
                </c:pt>
                <c:pt idx="41">
                  <c:v>8.8015799999999995</c:v>
                </c:pt>
                <c:pt idx="42">
                  <c:v>8.4955999999999996</c:v>
                </c:pt>
                <c:pt idx="43">
                  <c:v>8.2087299999999992</c:v>
                </c:pt>
                <c:pt idx="44">
                  <c:v>7.9218599999999997</c:v>
                </c:pt>
                <c:pt idx="45">
                  <c:v>6.7829300000000003</c:v>
                </c:pt>
                <c:pt idx="46">
                  <c:v>5.6440000000000001</c:v>
                </c:pt>
                <c:pt idx="47">
                  <c:v>5.7351599999999996</c:v>
                </c:pt>
                <c:pt idx="48">
                  <c:v>5.8263100000000003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AE-4DD1-A2D6-1F6A01218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v>S-IGA no blending</c:v>
                </c:tx>
                <c:spPr>
                  <a:ln w="15875">
                    <a:solidFill>
                      <a:schemeClr val="accent3">
                        <a:lumMod val="60000"/>
                        <a:lumOff val="40000"/>
                      </a:schemeClr>
                    </a:solidFill>
                  </a:ln>
                </c:spPr>
                <c:marker>
                  <c:symbol val="square"/>
                  <c:size val="3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final4!$L$20:$L$35</c15:sqref>
                        </c15:formulaRef>
                      </c:ext>
                    </c:extLst>
                    <c:numCache>
                      <c:formatCode>0.00E+00</c:formatCode>
                      <c:ptCount val="16"/>
                      <c:pt idx="0">
                        <c:v>3.125E-2</c:v>
                      </c:pt>
                      <c:pt idx="1">
                        <c:v>9.375E-2</c:v>
                      </c:pt>
                      <c:pt idx="2">
                        <c:v>0.15625</c:v>
                      </c:pt>
                      <c:pt idx="3">
                        <c:v>0.21875</c:v>
                      </c:pt>
                      <c:pt idx="4">
                        <c:v>0.28125</c:v>
                      </c:pt>
                      <c:pt idx="5">
                        <c:v>0.34375</c:v>
                      </c:pt>
                      <c:pt idx="6">
                        <c:v>0.40625</c:v>
                      </c:pt>
                      <c:pt idx="7">
                        <c:v>0.46875</c:v>
                      </c:pt>
                      <c:pt idx="8">
                        <c:v>0.53125</c:v>
                      </c:pt>
                      <c:pt idx="9">
                        <c:v>0.59375</c:v>
                      </c:pt>
                      <c:pt idx="10">
                        <c:v>0.65625</c:v>
                      </c:pt>
                      <c:pt idx="11">
                        <c:v>0.71875</c:v>
                      </c:pt>
                      <c:pt idx="12">
                        <c:v>0.78125</c:v>
                      </c:pt>
                      <c:pt idx="13">
                        <c:v>0.84375</c:v>
                      </c:pt>
                      <c:pt idx="14">
                        <c:v>0.90625</c:v>
                      </c:pt>
                      <c:pt idx="15">
                        <c:v>0.96875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final4!$M$20:$M$35</c15:sqref>
                        </c15:formulaRef>
                      </c:ext>
                    </c:extLst>
                    <c:numCache>
                      <c:formatCode>0.00E+00</c:formatCode>
                      <c:ptCount val="16"/>
                      <c:pt idx="0">
                        <c:v>14.30174308305665</c:v>
                      </c:pt>
                      <c:pt idx="1">
                        <c:v>14.260808799000401</c:v>
                      </c:pt>
                      <c:pt idx="2">
                        <c:v>14.1549328641548</c:v>
                      </c:pt>
                      <c:pt idx="3">
                        <c:v>14.2219783910822</c:v>
                      </c:pt>
                      <c:pt idx="4">
                        <c:v>13.8279349423353</c:v>
                      </c:pt>
                      <c:pt idx="5">
                        <c:v>13.57069714619605</c:v>
                      </c:pt>
                      <c:pt idx="6">
                        <c:v>13.5537890030336</c:v>
                      </c:pt>
                      <c:pt idx="7">
                        <c:v>12.96523103464475</c:v>
                      </c:pt>
                      <c:pt idx="8">
                        <c:v>12.5485241564412</c:v>
                      </c:pt>
                      <c:pt idx="9">
                        <c:v>12.2552726926801</c:v>
                      </c:pt>
                      <c:pt idx="10">
                        <c:v>11.7645954220866</c:v>
                      </c:pt>
                      <c:pt idx="11">
                        <c:v>11.096257404845501</c:v>
                      </c:pt>
                      <c:pt idx="12">
                        <c:v>10.54134429602575</c:v>
                      </c:pt>
                      <c:pt idx="13">
                        <c:v>8.9924716634169997</c:v>
                      </c:pt>
                      <c:pt idx="14">
                        <c:v>9.1911470412146006</c:v>
                      </c:pt>
                      <c:pt idx="15">
                        <c:v>5.1914766427063004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97AE-4DD1-A2D6-1F6A01218DF0}"/>
                  </c:ext>
                </c:extLst>
              </c15:ser>
            </c15:filteredScatterSeries>
          </c:ext>
        </c:extLst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68576245595"/>
          <c:y val="0.4055893426403932"/>
          <c:w val="0.38326658891201126"/>
          <c:h val="0.3851994905351166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6" Type="http://schemas.openxmlformats.org/officeDocument/2006/relationships/chart" Target="../charts/chart37.xml"/><Relationship Id="rId5" Type="http://schemas.openxmlformats.org/officeDocument/2006/relationships/chart" Target="../charts/chart36.xml"/><Relationship Id="rId4" Type="http://schemas.openxmlformats.org/officeDocument/2006/relationships/chart" Target="../charts/chart3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6" Type="http://schemas.openxmlformats.org/officeDocument/2006/relationships/chart" Target="../charts/chart43.xml"/><Relationship Id="rId5" Type="http://schemas.openxmlformats.org/officeDocument/2006/relationships/chart" Target="../charts/chart42.xml"/><Relationship Id="rId4" Type="http://schemas.openxmlformats.org/officeDocument/2006/relationships/chart" Target="../charts/chart41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1.xml"/><Relationship Id="rId3" Type="http://schemas.openxmlformats.org/officeDocument/2006/relationships/chart" Target="../charts/chart46.xml"/><Relationship Id="rId7" Type="http://schemas.openxmlformats.org/officeDocument/2006/relationships/chart" Target="../charts/chart50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Relationship Id="rId6" Type="http://schemas.openxmlformats.org/officeDocument/2006/relationships/chart" Target="../charts/chart49.xml"/><Relationship Id="rId5" Type="http://schemas.openxmlformats.org/officeDocument/2006/relationships/chart" Target="../charts/chart48.xml"/><Relationship Id="rId4" Type="http://schemas.openxmlformats.org/officeDocument/2006/relationships/chart" Target="../charts/chart4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4.xml"/><Relationship Id="rId2" Type="http://schemas.openxmlformats.org/officeDocument/2006/relationships/chart" Target="../charts/chart53.xml"/><Relationship Id="rId1" Type="http://schemas.openxmlformats.org/officeDocument/2006/relationships/chart" Target="../charts/chart52.xml"/><Relationship Id="rId5" Type="http://schemas.openxmlformats.org/officeDocument/2006/relationships/chart" Target="../charts/chart56.xml"/><Relationship Id="rId4" Type="http://schemas.openxmlformats.org/officeDocument/2006/relationships/chart" Target="../charts/chart5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4.xml"/><Relationship Id="rId3" Type="http://schemas.openxmlformats.org/officeDocument/2006/relationships/chart" Target="../charts/chart59.xml"/><Relationship Id="rId7" Type="http://schemas.openxmlformats.org/officeDocument/2006/relationships/chart" Target="../charts/chart63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6" Type="http://schemas.openxmlformats.org/officeDocument/2006/relationships/chart" Target="../charts/chart62.xml"/><Relationship Id="rId5" Type="http://schemas.openxmlformats.org/officeDocument/2006/relationships/chart" Target="../charts/chart61.xml"/><Relationship Id="rId4" Type="http://schemas.openxmlformats.org/officeDocument/2006/relationships/chart" Target="../charts/chart6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85725</xdr:colOff>
      <xdr:row>0</xdr:row>
      <xdr:rowOff>221932</xdr:rowOff>
    </xdr:from>
    <xdr:to>
      <xdr:col>17</xdr:col>
      <xdr:colOff>645795</xdr:colOff>
      <xdr:row>12</xdr:row>
      <xdr:rowOff>221932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DBC6E97-C737-56DC-3761-CE6B42DA0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76200</xdr:colOff>
      <xdr:row>13</xdr:row>
      <xdr:rowOff>8572</xdr:rowOff>
    </xdr:from>
    <xdr:to>
      <xdr:col>17</xdr:col>
      <xdr:colOff>647700</xdr:colOff>
      <xdr:row>25</xdr:row>
      <xdr:rowOff>8572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B17462D-6C1F-6177-0524-600126975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600075</xdr:colOff>
      <xdr:row>25</xdr:row>
      <xdr:rowOff>123825</xdr:rowOff>
    </xdr:from>
    <xdr:to>
      <xdr:col>15</xdr:col>
      <xdr:colOff>504825</xdr:colOff>
      <xdr:row>37</xdr:row>
      <xdr:rowOff>123825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5600CE1-1E88-4A00-9D35-38281F82B3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582930</xdr:colOff>
      <xdr:row>25</xdr:row>
      <xdr:rowOff>150495</xdr:rowOff>
    </xdr:from>
    <xdr:to>
      <xdr:col>22</xdr:col>
      <xdr:colOff>483870</xdr:colOff>
      <xdr:row>37</xdr:row>
      <xdr:rowOff>150495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F68AD20-D8C5-4219-BF55-8D62F8F34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142090</xdr:colOff>
      <xdr:row>0</xdr:row>
      <xdr:rowOff>159123</xdr:rowOff>
    </xdr:from>
    <xdr:to>
      <xdr:col>25</xdr:col>
      <xdr:colOff>20169</xdr:colOff>
      <xdr:row>12</xdr:row>
      <xdr:rowOff>159123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E8A72CD-7ED1-B29D-CA8E-A55FFCF42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257734</xdr:colOff>
      <xdr:row>14</xdr:row>
      <xdr:rowOff>11206</xdr:rowOff>
    </xdr:from>
    <xdr:to>
      <xdr:col>30</xdr:col>
      <xdr:colOff>139624</xdr:colOff>
      <xdr:row>26</xdr:row>
      <xdr:rowOff>11206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61BFC2A-82E3-4F3E-B6A5-5E0958D4BE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265793</xdr:colOff>
      <xdr:row>12</xdr:row>
      <xdr:rowOff>191860</xdr:rowOff>
    </xdr:from>
    <xdr:to>
      <xdr:col>44</xdr:col>
      <xdr:colOff>170543</xdr:colOff>
      <xdr:row>24</xdr:row>
      <xdr:rowOff>159203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2C790F50-4E24-20D6-F69F-EE6C92118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126682</xdr:colOff>
      <xdr:row>1</xdr:row>
      <xdr:rowOff>159067</xdr:rowOff>
    </xdr:from>
    <xdr:to>
      <xdr:col>18</xdr:col>
      <xdr:colOff>25717</xdr:colOff>
      <xdr:row>13</xdr:row>
      <xdr:rowOff>159067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7C0CFA6-9EDF-64D5-EA98-C99F1B538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75247</xdr:colOff>
      <xdr:row>13</xdr:row>
      <xdr:rowOff>206692</xdr:rowOff>
    </xdr:from>
    <xdr:to>
      <xdr:col>17</xdr:col>
      <xdr:colOff>641032</xdr:colOff>
      <xdr:row>25</xdr:row>
      <xdr:rowOff>206692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41DB11F-5D22-7762-3C7E-BDD10B4CC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103822</xdr:colOff>
      <xdr:row>26</xdr:row>
      <xdr:rowOff>48577</xdr:rowOff>
    </xdr:from>
    <xdr:to>
      <xdr:col>18</xdr:col>
      <xdr:colOff>16192</xdr:colOff>
      <xdr:row>38</xdr:row>
      <xdr:rowOff>48577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4422290-A8FB-4C78-51F8-E9D6985D1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59348</xdr:colOff>
      <xdr:row>0</xdr:row>
      <xdr:rowOff>165661</xdr:rowOff>
    </xdr:from>
    <xdr:to>
      <xdr:col>17</xdr:col>
      <xdr:colOff>627038</xdr:colOff>
      <xdr:row>12</xdr:row>
      <xdr:rowOff>165661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C785941-D6A9-DEDF-E674-28ACF6753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68580</xdr:colOff>
      <xdr:row>37</xdr:row>
      <xdr:rowOff>180975</xdr:rowOff>
    </xdr:from>
    <xdr:to>
      <xdr:col>17</xdr:col>
      <xdr:colOff>621030</xdr:colOff>
      <xdr:row>49</xdr:row>
      <xdr:rowOff>180975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0E4CA76-42BD-4000-819E-890FF38D40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56197</xdr:colOff>
      <xdr:row>12</xdr:row>
      <xdr:rowOff>159067</xdr:rowOff>
    </xdr:from>
    <xdr:to>
      <xdr:col>17</xdr:col>
      <xdr:colOff>621982</xdr:colOff>
      <xdr:row>24</xdr:row>
      <xdr:rowOff>159067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83A8888-2C6D-B9C0-DF93-4961DCF1F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29527</xdr:colOff>
      <xdr:row>25</xdr:row>
      <xdr:rowOff>21907</xdr:rowOff>
    </xdr:from>
    <xdr:to>
      <xdr:col>17</xdr:col>
      <xdr:colOff>602932</xdr:colOff>
      <xdr:row>37</xdr:row>
      <xdr:rowOff>21907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C189D101-E5D7-8578-C253-1FF3605A1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53</xdr:col>
      <xdr:colOff>534562</xdr:colOff>
      <xdr:row>5</xdr:row>
      <xdr:rowOff>204002</xdr:rowOff>
    </xdr:from>
    <xdr:to>
      <xdr:col>60</xdr:col>
      <xdr:colOff>336442</xdr:colOff>
      <xdr:row>17</xdr:row>
      <xdr:rowOff>169960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6287F5B7-26E2-6878-D201-8275EE62D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69497</xdr:colOff>
      <xdr:row>0</xdr:row>
      <xdr:rowOff>125966</xdr:rowOff>
    </xdr:from>
    <xdr:to>
      <xdr:col>20</xdr:col>
      <xdr:colOff>5903</xdr:colOff>
      <xdr:row>12</xdr:row>
      <xdr:rowOff>125966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6A98D08-2733-9EDD-A7A3-675534E32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350868</xdr:colOff>
      <xdr:row>16</xdr:row>
      <xdr:rowOff>61654</xdr:rowOff>
    </xdr:from>
    <xdr:to>
      <xdr:col>20</xdr:col>
      <xdr:colOff>308611</xdr:colOff>
      <xdr:row>28</xdr:row>
      <xdr:rowOff>61654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BD9AE97-3EBB-6A50-54C7-F57D77AA4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108585</xdr:colOff>
      <xdr:row>36</xdr:row>
      <xdr:rowOff>163830</xdr:rowOff>
    </xdr:from>
    <xdr:to>
      <xdr:col>19</xdr:col>
      <xdr:colOff>657225</xdr:colOff>
      <xdr:row>48</xdr:row>
      <xdr:rowOff>163830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42390B7-3525-0E1D-723A-62DDC8857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188148</xdr:colOff>
      <xdr:row>1</xdr:row>
      <xdr:rowOff>209406</xdr:rowOff>
    </xdr:from>
    <xdr:to>
      <xdr:col>26</xdr:col>
      <xdr:colOff>401206</xdr:colOff>
      <xdr:row>17</xdr:row>
      <xdr:rowOff>194059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396216A-5654-46C2-8AAD-EFDD21B2C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351734</xdr:colOff>
      <xdr:row>2</xdr:row>
      <xdr:rowOff>4822</xdr:rowOff>
    </xdr:from>
    <xdr:to>
      <xdr:col>40</xdr:col>
      <xdr:colOff>638632</xdr:colOff>
      <xdr:row>17</xdr:row>
      <xdr:rowOff>45216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6D1BAA02-DDCB-B2DF-00EC-BEBD721A7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219075</xdr:colOff>
      <xdr:row>17</xdr:row>
      <xdr:rowOff>219075</xdr:rowOff>
    </xdr:from>
    <xdr:to>
      <xdr:col>26</xdr:col>
      <xdr:colOff>432133</xdr:colOff>
      <xdr:row>33</xdr:row>
      <xdr:rowOff>203728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61A96B5E-8759-410B-9C4D-266BC35FA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247650</xdr:colOff>
      <xdr:row>0</xdr:row>
      <xdr:rowOff>220980</xdr:rowOff>
    </xdr:from>
    <xdr:to>
      <xdr:col>18</xdr:col>
      <xdr:colOff>125730</xdr:colOff>
      <xdr:row>12</xdr:row>
      <xdr:rowOff>220980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5D1C0D3-68A7-4093-A6CE-D57683D92B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240030</xdr:colOff>
      <xdr:row>19</xdr:row>
      <xdr:rowOff>30480</xdr:rowOff>
    </xdr:from>
    <xdr:to>
      <xdr:col>18</xdr:col>
      <xdr:colOff>118110</xdr:colOff>
      <xdr:row>31</xdr:row>
      <xdr:rowOff>30480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240C933-2715-41BF-A9AE-AF2E2263A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118110</xdr:colOff>
      <xdr:row>36</xdr:row>
      <xdr:rowOff>144780</xdr:rowOff>
    </xdr:from>
    <xdr:to>
      <xdr:col>18</xdr:col>
      <xdr:colOff>666750</xdr:colOff>
      <xdr:row>48</xdr:row>
      <xdr:rowOff>144780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DD40914-ABF4-44EC-AAC5-314D9A4C22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6</xdr:row>
      <xdr:rowOff>0</xdr:rowOff>
    </xdr:from>
    <xdr:to>
      <xdr:col>26</xdr:col>
      <xdr:colOff>544830</xdr:colOff>
      <xdr:row>18</xdr:row>
      <xdr:rowOff>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311222A4-1176-4B28-A4E3-6859481FC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69497</xdr:colOff>
      <xdr:row>0</xdr:row>
      <xdr:rowOff>125966</xdr:rowOff>
    </xdr:from>
    <xdr:to>
      <xdr:col>20</xdr:col>
      <xdr:colOff>5903</xdr:colOff>
      <xdr:row>12</xdr:row>
      <xdr:rowOff>125966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48A4BC3-FE64-483E-982C-46219663B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506730</xdr:colOff>
      <xdr:row>18</xdr:row>
      <xdr:rowOff>87630</xdr:rowOff>
    </xdr:from>
    <xdr:to>
      <xdr:col>19</xdr:col>
      <xdr:colOff>403860</xdr:colOff>
      <xdr:row>30</xdr:row>
      <xdr:rowOff>87630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CD2B76D-1306-4F8E-BF15-6C5264382B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108585</xdr:colOff>
      <xdr:row>36</xdr:row>
      <xdr:rowOff>163830</xdr:rowOff>
    </xdr:from>
    <xdr:to>
      <xdr:col>19</xdr:col>
      <xdr:colOff>657225</xdr:colOff>
      <xdr:row>48</xdr:row>
      <xdr:rowOff>163830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2E7F096-B772-406E-9F46-759CD2F2C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188148</xdr:colOff>
      <xdr:row>1</xdr:row>
      <xdr:rowOff>209406</xdr:rowOff>
    </xdr:from>
    <xdr:to>
      <xdr:col>26</xdr:col>
      <xdr:colOff>401206</xdr:colOff>
      <xdr:row>17</xdr:row>
      <xdr:rowOff>194059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69478D55-AF11-434B-8574-13762A920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351734</xdr:colOff>
      <xdr:row>2</xdr:row>
      <xdr:rowOff>4822</xdr:rowOff>
    </xdr:from>
    <xdr:to>
      <xdr:col>40</xdr:col>
      <xdr:colOff>638632</xdr:colOff>
      <xdr:row>17</xdr:row>
      <xdr:rowOff>45216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F9EC9F2E-D780-45BC-8AC5-7A9D721C4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219075</xdr:colOff>
      <xdr:row>17</xdr:row>
      <xdr:rowOff>219075</xdr:rowOff>
    </xdr:from>
    <xdr:to>
      <xdr:col>26</xdr:col>
      <xdr:colOff>432133</xdr:colOff>
      <xdr:row>33</xdr:row>
      <xdr:rowOff>203728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7BFD16E-E3DD-4417-A7DE-DC434036A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69497</xdr:colOff>
      <xdr:row>0</xdr:row>
      <xdr:rowOff>125966</xdr:rowOff>
    </xdr:from>
    <xdr:to>
      <xdr:col>20</xdr:col>
      <xdr:colOff>5903</xdr:colOff>
      <xdr:row>12</xdr:row>
      <xdr:rowOff>125966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A168A1D-21ED-4168-ABD6-D333D07A4E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350868</xdr:colOff>
      <xdr:row>16</xdr:row>
      <xdr:rowOff>61654</xdr:rowOff>
    </xdr:from>
    <xdr:to>
      <xdr:col>20</xdr:col>
      <xdr:colOff>308611</xdr:colOff>
      <xdr:row>28</xdr:row>
      <xdr:rowOff>61654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F2535DC-C78D-4F72-B4AD-C725461D4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108585</xdr:colOff>
      <xdr:row>36</xdr:row>
      <xdr:rowOff>163830</xdr:rowOff>
    </xdr:from>
    <xdr:to>
      <xdr:col>19</xdr:col>
      <xdr:colOff>657225</xdr:colOff>
      <xdr:row>48</xdr:row>
      <xdr:rowOff>163830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A2D5171-BC44-43CF-AD14-ADE1BFF609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188148</xdr:colOff>
      <xdr:row>1</xdr:row>
      <xdr:rowOff>209406</xdr:rowOff>
    </xdr:from>
    <xdr:to>
      <xdr:col>26</xdr:col>
      <xdr:colOff>401206</xdr:colOff>
      <xdr:row>17</xdr:row>
      <xdr:rowOff>194059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662A1BE9-8DDE-4B64-A5D2-F99D21B9A4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219075</xdr:colOff>
      <xdr:row>17</xdr:row>
      <xdr:rowOff>219075</xdr:rowOff>
    </xdr:from>
    <xdr:to>
      <xdr:col>26</xdr:col>
      <xdr:colOff>432133</xdr:colOff>
      <xdr:row>33</xdr:row>
      <xdr:rowOff>203728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2864A25-C6D9-4636-BAF3-87FE8E6C3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0</xdr:colOff>
      <xdr:row>38</xdr:row>
      <xdr:rowOff>76200</xdr:rowOff>
    </xdr:from>
    <xdr:to>
      <xdr:col>40</xdr:col>
      <xdr:colOff>457200</xdr:colOff>
      <xdr:row>59</xdr:row>
      <xdr:rowOff>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4E936940-2C30-4293-97BE-EC46E8309B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69497</xdr:colOff>
      <xdr:row>0</xdr:row>
      <xdr:rowOff>125966</xdr:rowOff>
    </xdr:from>
    <xdr:to>
      <xdr:col>20</xdr:col>
      <xdr:colOff>5903</xdr:colOff>
      <xdr:row>12</xdr:row>
      <xdr:rowOff>125966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8630223-765A-47D0-A166-A34E8BA51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350868</xdr:colOff>
      <xdr:row>16</xdr:row>
      <xdr:rowOff>61654</xdr:rowOff>
    </xdr:from>
    <xdr:to>
      <xdr:col>20</xdr:col>
      <xdr:colOff>308611</xdr:colOff>
      <xdr:row>28</xdr:row>
      <xdr:rowOff>61654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2FB863D-4C56-4C10-BC05-4DC595462C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108585</xdr:colOff>
      <xdr:row>36</xdr:row>
      <xdr:rowOff>163830</xdr:rowOff>
    </xdr:from>
    <xdr:to>
      <xdr:col>19</xdr:col>
      <xdr:colOff>657225</xdr:colOff>
      <xdr:row>48</xdr:row>
      <xdr:rowOff>163830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1411F74-D193-4ECA-888E-CDDAA7CC3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188148</xdr:colOff>
      <xdr:row>1</xdr:row>
      <xdr:rowOff>209406</xdr:rowOff>
    </xdr:from>
    <xdr:to>
      <xdr:col>26</xdr:col>
      <xdr:colOff>401206</xdr:colOff>
      <xdr:row>17</xdr:row>
      <xdr:rowOff>194059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10D2187-663A-437F-AC98-3B073A403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654504</xdr:colOff>
      <xdr:row>16</xdr:row>
      <xdr:rowOff>60738</xdr:rowOff>
    </xdr:from>
    <xdr:to>
      <xdr:col>20</xdr:col>
      <xdr:colOff>145147</xdr:colOff>
      <xdr:row>32</xdr:row>
      <xdr:rowOff>45391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2728F76A-B846-43D8-84B9-C46C0472B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0</xdr:colOff>
      <xdr:row>38</xdr:row>
      <xdr:rowOff>76200</xdr:rowOff>
    </xdr:from>
    <xdr:to>
      <xdr:col>40</xdr:col>
      <xdr:colOff>457200</xdr:colOff>
      <xdr:row>59</xdr:row>
      <xdr:rowOff>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3D3D4634-1F2E-4DBA-A252-E7A12489A8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69497</xdr:colOff>
      <xdr:row>0</xdr:row>
      <xdr:rowOff>125966</xdr:rowOff>
    </xdr:from>
    <xdr:to>
      <xdr:col>20</xdr:col>
      <xdr:colOff>5903</xdr:colOff>
      <xdr:row>12</xdr:row>
      <xdr:rowOff>125966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5426DA9-0291-4FC3-A102-806B0DAF0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350868</xdr:colOff>
      <xdr:row>16</xdr:row>
      <xdr:rowOff>61654</xdr:rowOff>
    </xdr:from>
    <xdr:to>
      <xdr:col>20</xdr:col>
      <xdr:colOff>308611</xdr:colOff>
      <xdr:row>28</xdr:row>
      <xdr:rowOff>61654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621FF84-EDF5-407C-8A31-3369A7F2D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108585</xdr:colOff>
      <xdr:row>36</xdr:row>
      <xdr:rowOff>163830</xdr:rowOff>
    </xdr:from>
    <xdr:to>
      <xdr:col>19</xdr:col>
      <xdr:colOff>657225</xdr:colOff>
      <xdr:row>48</xdr:row>
      <xdr:rowOff>163830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02E20A4-7809-4B3B-84C8-BA0965B7E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188148</xdr:colOff>
      <xdr:row>1</xdr:row>
      <xdr:rowOff>209406</xdr:rowOff>
    </xdr:from>
    <xdr:to>
      <xdr:col>26</xdr:col>
      <xdr:colOff>401206</xdr:colOff>
      <xdr:row>17</xdr:row>
      <xdr:rowOff>194059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BF1DF0CF-B359-4675-A7AB-CC5A5D894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654504</xdr:colOff>
      <xdr:row>16</xdr:row>
      <xdr:rowOff>60738</xdr:rowOff>
    </xdr:from>
    <xdr:to>
      <xdr:col>20</xdr:col>
      <xdr:colOff>145147</xdr:colOff>
      <xdr:row>32</xdr:row>
      <xdr:rowOff>45391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00DC119-734E-432E-B883-45721B79D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0</xdr:colOff>
      <xdr:row>38</xdr:row>
      <xdr:rowOff>76200</xdr:rowOff>
    </xdr:from>
    <xdr:to>
      <xdr:col>40</xdr:col>
      <xdr:colOff>457200</xdr:colOff>
      <xdr:row>59</xdr:row>
      <xdr:rowOff>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AFA343A-7FBD-4C7A-8A1D-84B43B5BD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653142</xdr:colOff>
      <xdr:row>41</xdr:row>
      <xdr:rowOff>81643</xdr:rowOff>
    </xdr:from>
    <xdr:to>
      <xdr:col>31</xdr:col>
      <xdr:colOff>324665</xdr:colOff>
      <xdr:row>53</xdr:row>
      <xdr:rowOff>50891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BEB5E617-A16A-48EE-B160-FA3431010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42</xdr:col>
      <xdr:colOff>0</xdr:colOff>
      <xdr:row>24</xdr:row>
      <xdr:rowOff>0</xdr:rowOff>
    </xdr:from>
    <xdr:to>
      <xdr:col>48</xdr:col>
      <xdr:colOff>566057</xdr:colOff>
      <xdr:row>44</xdr:row>
      <xdr:rowOff>155121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0D4149BF-221C-475E-92B5-8309035EB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</xdr:colOff>
      <xdr:row>1</xdr:row>
      <xdr:rowOff>199072</xdr:rowOff>
    </xdr:from>
    <xdr:to>
      <xdr:col>7</xdr:col>
      <xdr:colOff>611505</xdr:colOff>
      <xdr:row>13</xdr:row>
      <xdr:rowOff>199072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7E6CBD8-C7ED-B249-9470-8613973C0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472889</xdr:colOff>
      <xdr:row>2</xdr:row>
      <xdr:rowOff>130492</xdr:rowOff>
    </xdr:from>
    <xdr:to>
      <xdr:col>19</xdr:col>
      <xdr:colOff>368114</xdr:colOff>
      <xdr:row>14</xdr:row>
      <xdr:rowOff>130492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72DFFCE-C4DB-A552-B0B8-70AA0360E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428625</xdr:colOff>
      <xdr:row>18</xdr:row>
      <xdr:rowOff>95250</xdr:rowOff>
    </xdr:from>
    <xdr:to>
      <xdr:col>14</xdr:col>
      <xdr:colOff>323850</xdr:colOff>
      <xdr:row>30</xdr:row>
      <xdr:rowOff>95250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D3B0C9A-D503-400E-8D1F-2B4827C5F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571387</xdr:colOff>
      <xdr:row>2</xdr:row>
      <xdr:rowOff>217731</xdr:rowOff>
    </xdr:from>
    <xdr:to>
      <xdr:col>32</xdr:col>
      <xdr:colOff>440727</xdr:colOff>
      <xdr:row>15</xdr:row>
      <xdr:rowOff>56926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F01554C7-4EED-B942-627D-9BC3495CB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608647</xdr:colOff>
      <xdr:row>2</xdr:row>
      <xdr:rowOff>225742</xdr:rowOff>
    </xdr:from>
    <xdr:to>
      <xdr:col>45</xdr:col>
      <xdr:colOff>507682</xdr:colOff>
      <xdr:row>14</xdr:row>
      <xdr:rowOff>225742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A206FA52-5ADA-03AE-8A97-F74C48B30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69497</xdr:colOff>
      <xdr:row>1</xdr:row>
      <xdr:rowOff>125966</xdr:rowOff>
    </xdr:from>
    <xdr:to>
      <xdr:col>20</xdr:col>
      <xdr:colOff>5903</xdr:colOff>
      <xdr:row>13</xdr:row>
      <xdr:rowOff>125966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93291B4-81FA-43E9-B18D-19845942B0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350868</xdr:colOff>
      <xdr:row>17</xdr:row>
      <xdr:rowOff>61654</xdr:rowOff>
    </xdr:from>
    <xdr:to>
      <xdr:col>20</xdr:col>
      <xdr:colOff>308611</xdr:colOff>
      <xdr:row>29</xdr:row>
      <xdr:rowOff>61654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24BF911-B4F7-4CE7-BD62-E1F6FED8F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108585</xdr:colOff>
      <xdr:row>37</xdr:row>
      <xdr:rowOff>163830</xdr:rowOff>
    </xdr:from>
    <xdr:to>
      <xdr:col>19</xdr:col>
      <xdr:colOff>657225</xdr:colOff>
      <xdr:row>49</xdr:row>
      <xdr:rowOff>163830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1D877E5-8C75-4D39-AD3C-6D36FB1C2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188148</xdr:colOff>
      <xdr:row>2</xdr:row>
      <xdr:rowOff>209406</xdr:rowOff>
    </xdr:from>
    <xdr:to>
      <xdr:col>26</xdr:col>
      <xdr:colOff>401206</xdr:colOff>
      <xdr:row>18</xdr:row>
      <xdr:rowOff>194059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B21AD7F9-E09B-4C0F-84F9-F735A5385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654504</xdr:colOff>
      <xdr:row>17</xdr:row>
      <xdr:rowOff>60738</xdr:rowOff>
    </xdr:from>
    <xdr:to>
      <xdr:col>20</xdr:col>
      <xdr:colOff>145147</xdr:colOff>
      <xdr:row>33</xdr:row>
      <xdr:rowOff>45391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89822C2F-094C-45F6-BF12-367186B57D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45</xdr:col>
      <xdr:colOff>158115</xdr:colOff>
      <xdr:row>8</xdr:row>
      <xdr:rowOff>94297</xdr:rowOff>
    </xdr:from>
    <xdr:to>
      <xdr:col>52</xdr:col>
      <xdr:colOff>66675</xdr:colOff>
      <xdr:row>20</xdr:row>
      <xdr:rowOff>94297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2F2E75D9-6160-4D73-BE9A-2386F5E0D1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63</xdr:col>
      <xdr:colOff>477202</xdr:colOff>
      <xdr:row>4</xdr:row>
      <xdr:rowOff>6667</xdr:rowOff>
    </xdr:from>
    <xdr:to>
      <xdr:col>70</xdr:col>
      <xdr:colOff>387667</xdr:colOff>
      <xdr:row>16</xdr:row>
      <xdr:rowOff>6667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700116C7-7970-43BE-92ED-C4C1E8FF2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49</xdr:col>
      <xdr:colOff>573405</xdr:colOff>
      <xdr:row>10</xdr:row>
      <xdr:rowOff>139065</xdr:rowOff>
    </xdr:from>
    <xdr:to>
      <xdr:col>57</xdr:col>
      <xdr:colOff>113578</xdr:colOff>
      <xdr:row>26</xdr:row>
      <xdr:rowOff>127528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35464BB0-356A-4C05-8D09-80BCE888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suchiyama\Documents\lab_share\analysis\S-IGA_NL_v11_intel\J_square_B-bar.xlsx" TargetMode="External"/><Relationship Id="rId1" Type="http://schemas.openxmlformats.org/officeDocument/2006/relationships/externalLinkPath" Target="J_square_B-b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R1">
            <v>7.8125000000000004E-4</v>
          </cell>
          <cell r="W1">
            <v>1.5625000000000001E-3</v>
          </cell>
          <cell r="X1">
            <v>13.696377937543399</v>
          </cell>
          <cell r="AE1">
            <v>7.8125000000000004E-4</v>
          </cell>
          <cell r="AJ1">
            <v>13.7059822519522</v>
          </cell>
        </row>
        <row r="2">
          <cell r="W2">
            <v>4.6874999999999998E-3</v>
          </cell>
          <cell r="X2">
            <v>13.6962199441761</v>
          </cell>
          <cell r="AE2">
            <v>2.3437499999999999E-3</v>
          </cell>
          <cell r="AJ2">
            <v>13.704422822678399</v>
          </cell>
        </row>
        <row r="3">
          <cell r="W3">
            <v>7.8125E-3</v>
          </cell>
          <cell r="X3">
            <v>13.6959514989742</v>
          </cell>
          <cell r="AE3">
            <v>3.90625E-3</v>
          </cell>
          <cell r="AJ3">
            <v>13.703135393172699</v>
          </cell>
        </row>
        <row r="4">
          <cell r="W4">
            <v>1.0937499999999999E-2</v>
          </cell>
          <cell r="X4">
            <v>13.6955735809623</v>
          </cell>
          <cell r="AE4">
            <v>5.4687499999999997E-3</v>
          </cell>
          <cell r="AJ4">
            <v>13.7020818743229</v>
          </cell>
        </row>
        <row r="5">
          <cell r="W5">
            <v>1.40625E-2</v>
          </cell>
          <cell r="X5">
            <v>13.695087172509</v>
          </cell>
          <cell r="AE5">
            <v>7.0312500000000002E-3</v>
          </cell>
          <cell r="AJ5">
            <v>13.7012240491539</v>
          </cell>
        </row>
        <row r="6">
          <cell r="W6">
            <v>1.7187500000000001E-2</v>
          </cell>
          <cell r="X6">
            <v>13.6944930203694</v>
          </cell>
          <cell r="AE6">
            <v>8.5937500000000007E-3</v>
          </cell>
          <cell r="AJ6">
            <v>13.700523592416801</v>
          </cell>
        </row>
        <row r="7">
          <cell r="W7">
            <v>2.0312500000000001E-2</v>
          </cell>
          <cell r="X7">
            <v>13.693792256737201</v>
          </cell>
          <cell r="AE7">
            <v>1.015625E-2</v>
          </cell>
          <cell r="AJ7">
            <v>13.699942079455599</v>
          </cell>
        </row>
        <row r="8">
          <cell r="W8">
            <v>2.34375E-2</v>
          </cell>
          <cell r="X8">
            <v>13.6929859598667</v>
          </cell>
          <cell r="AE8">
            <v>1.171875E-2</v>
          </cell>
          <cell r="AJ8">
            <v>13.699441008455301</v>
          </cell>
        </row>
        <row r="9">
          <cell r="W9">
            <v>2.6562499999999999E-2</v>
          </cell>
          <cell r="X9">
            <v>13.6920750896029</v>
          </cell>
          <cell r="AE9">
            <v>1.328125E-2</v>
          </cell>
          <cell r="AJ9">
            <v>13.698981850165399</v>
          </cell>
        </row>
        <row r="10">
          <cell r="W10">
            <v>2.9687499999999999E-2</v>
          </cell>
          <cell r="X10">
            <v>13.6910606509144</v>
          </cell>
          <cell r="AE10">
            <v>1.4843749999999999E-2</v>
          </cell>
          <cell r="AJ10">
            <v>13.698525871020401</v>
          </cell>
        </row>
        <row r="11">
          <cell r="W11">
            <v>3.2812500000000001E-2</v>
          </cell>
          <cell r="X11">
            <v>13.689943650014699</v>
          </cell>
          <cell r="AE11">
            <v>1.6406250000000001E-2</v>
          </cell>
          <cell r="AJ11">
            <v>13.6980344526233</v>
          </cell>
        </row>
        <row r="12">
          <cell r="W12">
            <v>3.5937499999999997E-2</v>
          </cell>
          <cell r="X12">
            <v>13.6887251003304</v>
          </cell>
          <cell r="AE12">
            <v>1.7968749999999999E-2</v>
          </cell>
          <cell r="AJ12">
            <v>13.6974689164333</v>
          </cell>
        </row>
        <row r="13">
          <cell r="W13">
            <v>3.90625E-2</v>
          </cell>
          <cell r="X13">
            <v>13.687406051516</v>
          </cell>
          <cell r="AE13">
            <v>1.953125E-2</v>
          </cell>
          <cell r="AJ13">
            <v>13.696790548095301</v>
          </cell>
        </row>
        <row r="14">
          <cell r="W14">
            <v>4.2187500000000003E-2</v>
          </cell>
          <cell r="X14">
            <v>13.685987454556701</v>
          </cell>
          <cell r="AE14">
            <v>2.1093750000000001E-2</v>
          </cell>
          <cell r="AJ14">
            <v>13.6959606346581</v>
          </cell>
        </row>
        <row r="15">
          <cell r="W15">
            <v>4.5312499999999999E-2</v>
          </cell>
          <cell r="X15">
            <v>13.684470374058799</v>
          </cell>
          <cell r="AE15">
            <v>2.2656249999999999E-2</v>
          </cell>
          <cell r="AJ15">
            <v>13.694940466706599</v>
          </cell>
        </row>
        <row r="16">
          <cell r="W16">
            <v>4.8437500000000001E-2</v>
          </cell>
          <cell r="X16">
            <v>13.682855837749999</v>
          </cell>
          <cell r="AE16">
            <v>2.4218750000000001E-2</v>
          </cell>
          <cell r="AJ16">
            <v>13.6936914024553</v>
          </cell>
        </row>
        <row r="17">
          <cell r="W17">
            <v>5.1562499999999997E-2</v>
          </cell>
          <cell r="X17">
            <v>13.681144880003</v>
          </cell>
          <cell r="AE17">
            <v>2.5781249999999999E-2</v>
          </cell>
          <cell r="AJ17">
            <v>13.692174826500599</v>
          </cell>
        </row>
        <row r="18">
          <cell r="W18">
            <v>5.46875E-2</v>
          </cell>
          <cell r="X18">
            <v>13.679338532660299</v>
          </cell>
          <cell r="AE18">
            <v>2.734375E-2</v>
          </cell>
          <cell r="AJ18">
            <v>13.6903521318791</v>
          </cell>
        </row>
        <row r="19">
          <cell r="W19">
            <v>5.7812500000000003E-2</v>
          </cell>
          <cell r="X19">
            <v>13.677437861820501</v>
          </cell>
          <cell r="AE19">
            <v>2.8906250000000001E-2</v>
          </cell>
          <cell r="AJ19">
            <v>13.6881848819207</v>
          </cell>
        </row>
        <row r="20">
          <cell r="W20">
            <v>6.0937499999999999E-2</v>
          </cell>
          <cell r="X20">
            <v>13.6754439127656</v>
          </cell>
          <cell r="AE20">
            <v>3.0468749999999999E-2</v>
          </cell>
          <cell r="AJ20">
            <v>13.685631907752301</v>
          </cell>
        </row>
        <row r="21">
          <cell r="W21">
            <v>6.4062499999999994E-2</v>
          </cell>
          <cell r="X21">
            <v>13.6732309379474</v>
          </cell>
          <cell r="AE21">
            <v>3.2031249999999997E-2</v>
          </cell>
          <cell r="AJ21">
            <v>13.6826658535766</v>
          </cell>
        </row>
        <row r="22">
          <cell r="W22">
            <v>6.7187499999999997E-2</v>
          </cell>
          <cell r="X22">
            <v>13.6707863832988</v>
          </cell>
          <cell r="AE22">
            <v>3.3593749999999999E-2</v>
          </cell>
          <cell r="AJ22">
            <v>13.6794513313846</v>
          </cell>
        </row>
        <row r="23">
          <cell r="W23">
            <v>7.03125E-2</v>
          </cell>
          <cell r="X23">
            <v>13.668234175909999</v>
          </cell>
          <cell r="AE23">
            <v>3.515625E-2</v>
          </cell>
          <cell r="AJ23">
            <v>13.676092655443</v>
          </cell>
        </row>
        <row r="24">
          <cell r="W24">
            <v>7.3437500000000003E-2</v>
          </cell>
          <cell r="X24">
            <v>13.665577037797</v>
          </cell>
          <cell r="AE24">
            <v>3.6718750000000001E-2</v>
          </cell>
          <cell r="AJ24">
            <v>13.6726330710003</v>
          </cell>
        </row>
        <row r="25">
          <cell r="W25">
            <v>7.6562500000000006E-2</v>
          </cell>
          <cell r="X25">
            <v>13.6628178589327</v>
          </cell>
          <cell r="AE25">
            <v>3.8281250000000003E-2</v>
          </cell>
          <cell r="AJ25">
            <v>13.6691159712974</v>
          </cell>
        </row>
        <row r="26">
          <cell r="W26">
            <v>7.9687499999999994E-2</v>
          </cell>
          <cell r="X26">
            <v>13.6599596315698</v>
          </cell>
          <cell r="AE26">
            <v>3.9843749999999997E-2</v>
          </cell>
          <cell r="AJ26">
            <v>13.665584472404101</v>
          </cell>
        </row>
        <row r="27">
          <cell r="W27">
            <v>8.2812499999999997E-2</v>
          </cell>
          <cell r="X27">
            <v>13.6570050351381</v>
          </cell>
          <cell r="AE27">
            <v>4.1406249999999999E-2</v>
          </cell>
          <cell r="AJ27">
            <v>13.6620818472802</v>
          </cell>
        </row>
        <row r="28">
          <cell r="W28">
            <v>8.59375E-2</v>
          </cell>
          <cell r="X28">
            <v>13.6539570647471</v>
          </cell>
          <cell r="AE28">
            <v>4.296875E-2</v>
          </cell>
          <cell r="AJ28">
            <v>13.658651226759799</v>
          </cell>
        </row>
        <row r="29">
          <cell r="W29">
            <v>8.9062500000000003E-2</v>
          </cell>
          <cell r="X29">
            <v>13.6508185437572</v>
          </cell>
          <cell r="AE29">
            <v>4.4531250000000001E-2</v>
          </cell>
          <cell r="AJ29">
            <v>13.655335969040699</v>
          </cell>
        </row>
        <row r="30">
          <cell r="W30">
            <v>9.2187500000000006E-2</v>
          </cell>
          <cell r="X30">
            <v>13.647592420778199</v>
          </cell>
          <cell r="AE30">
            <v>4.6093750000000003E-2</v>
          </cell>
          <cell r="AJ30">
            <v>13.652179300292399</v>
          </cell>
        </row>
        <row r="31">
          <cell r="W31">
            <v>9.5312499999999994E-2</v>
          </cell>
          <cell r="X31">
            <v>13.6442814775729</v>
          </cell>
          <cell r="AE31">
            <v>4.7656249999999997E-2</v>
          </cell>
          <cell r="AJ31">
            <v>13.649224484517999</v>
          </cell>
        </row>
        <row r="32">
          <cell r="W32">
            <v>9.8437499999999997E-2</v>
          </cell>
          <cell r="X32">
            <v>13.6408887341248</v>
          </cell>
          <cell r="AE32">
            <v>4.9218749999999999E-2</v>
          </cell>
          <cell r="AJ32">
            <v>13.646514643762</v>
          </cell>
        </row>
        <row r="33">
          <cell r="W33">
            <v>0.1015625</v>
          </cell>
          <cell r="X33">
            <v>13.6374171959988</v>
          </cell>
          <cell r="AE33">
            <v>5.078125E-2</v>
          </cell>
          <cell r="AJ33">
            <v>13.6440932325166</v>
          </cell>
        </row>
        <row r="34">
          <cell r="W34">
            <v>0.1046875</v>
          </cell>
          <cell r="X34">
            <v>13.6338696958612</v>
          </cell>
          <cell r="AE34">
            <v>5.2343750000000001E-2</v>
          </cell>
          <cell r="AJ34">
            <v>13.6420032350526</v>
          </cell>
        </row>
        <row r="35">
          <cell r="W35">
            <v>0.10781250000000001</v>
          </cell>
          <cell r="X35">
            <v>13.630249816716301</v>
          </cell>
          <cell r="AE35">
            <v>5.3906250000000003E-2</v>
          </cell>
          <cell r="AJ35">
            <v>13.640287943922401</v>
          </cell>
        </row>
        <row r="36">
          <cell r="W36">
            <v>0.11093749999999999</v>
          </cell>
          <cell r="X36">
            <v>13.626559475658301</v>
          </cell>
          <cell r="AE36">
            <v>5.5468749999999997E-2</v>
          </cell>
          <cell r="AJ36">
            <v>13.638990897014899</v>
          </cell>
        </row>
        <row r="37">
          <cell r="W37">
            <v>0.1140625</v>
          </cell>
          <cell r="X37">
            <v>13.6228022780658</v>
          </cell>
          <cell r="AE37">
            <v>5.7031249999999999E-2</v>
          </cell>
          <cell r="AJ37">
            <v>13.638155745180599</v>
          </cell>
        </row>
        <row r="38">
          <cell r="W38">
            <v>0.1171875</v>
          </cell>
          <cell r="X38">
            <v>13.6189807396922</v>
          </cell>
          <cell r="AE38">
            <v>5.859375E-2</v>
          </cell>
          <cell r="AJ38">
            <v>13.6378247003203</v>
          </cell>
        </row>
        <row r="39">
          <cell r="W39">
            <v>0.1203125</v>
          </cell>
          <cell r="X39">
            <v>13.615098126457401</v>
          </cell>
          <cell r="AE39">
            <v>6.0156250000000001E-2</v>
          </cell>
          <cell r="AJ39">
            <v>13.6380417762514</v>
          </cell>
        </row>
        <row r="40">
          <cell r="W40">
            <v>0.12343750000000001</v>
          </cell>
          <cell r="X40">
            <v>13.611157545201801</v>
          </cell>
          <cell r="AE40">
            <v>6.1718750000000003E-2</v>
          </cell>
          <cell r="AJ40">
            <v>13.638849659457</v>
          </cell>
        </row>
        <row r="41">
          <cell r="W41">
            <v>0.12656249999999999</v>
          </cell>
          <cell r="X41">
            <v>13.606776832530601</v>
          </cell>
          <cell r="AE41">
            <v>6.3281249999999997E-2</v>
          </cell>
          <cell r="AJ41">
            <v>13.637451682506301</v>
          </cell>
        </row>
        <row r="42">
          <cell r="W42">
            <v>0.12968750000000001</v>
          </cell>
          <cell r="X42">
            <v>13.6019262999499</v>
          </cell>
          <cell r="AE42">
            <v>6.4843750000000006E-2</v>
          </cell>
          <cell r="AJ42">
            <v>13.633016796975999</v>
          </cell>
        </row>
        <row r="43">
          <cell r="W43">
            <v>0.1328125</v>
          </cell>
          <cell r="X43">
            <v>13.5969826919765</v>
          </cell>
          <cell r="AE43">
            <v>6.640625E-2</v>
          </cell>
          <cell r="AJ43">
            <v>13.6279819020657</v>
          </cell>
        </row>
        <row r="44">
          <cell r="W44">
            <v>0.13593749999999999</v>
          </cell>
          <cell r="X44">
            <v>13.5919504169745</v>
          </cell>
          <cell r="AE44">
            <v>6.7968749999999994E-2</v>
          </cell>
          <cell r="AJ44">
            <v>13.622282745379099</v>
          </cell>
        </row>
        <row r="45">
          <cell r="W45">
            <v>0.13906250000000001</v>
          </cell>
          <cell r="X45">
            <v>13.586834570627699</v>
          </cell>
          <cell r="AE45">
            <v>6.9531250000000003E-2</v>
          </cell>
          <cell r="AJ45">
            <v>13.615855696360599</v>
          </cell>
        </row>
        <row r="46">
          <cell r="W46">
            <v>0.14218749999999999</v>
          </cell>
          <cell r="X46">
            <v>13.581639817137001</v>
          </cell>
          <cell r="AE46">
            <v>7.1093749999999997E-2</v>
          </cell>
          <cell r="AJ46">
            <v>13.6086369950453</v>
          </cell>
        </row>
        <row r="47">
          <cell r="W47">
            <v>0.14531250000000001</v>
          </cell>
          <cell r="X47">
            <v>13.576371029163701</v>
          </cell>
          <cell r="AE47">
            <v>7.2656250000000006E-2</v>
          </cell>
          <cell r="AJ47">
            <v>13.600562962204</v>
          </cell>
        </row>
        <row r="48">
          <cell r="W48">
            <v>0.1484375</v>
          </cell>
          <cell r="X48">
            <v>13.571033504495</v>
          </cell>
          <cell r="AE48">
            <v>7.421875E-2</v>
          </cell>
          <cell r="AJ48">
            <v>13.591570148332</v>
          </cell>
        </row>
        <row r="49">
          <cell r="W49">
            <v>0.15156249999999999</v>
          </cell>
          <cell r="X49">
            <v>13.565631877785201</v>
          </cell>
          <cell r="AE49">
            <v>7.5781249999999994E-2</v>
          </cell>
          <cell r="AJ49">
            <v>13.581595004432399</v>
          </cell>
        </row>
        <row r="50">
          <cell r="W50">
            <v>0.15468750000000001</v>
          </cell>
          <cell r="X50">
            <v>13.5601713673954</v>
          </cell>
          <cell r="AE50">
            <v>7.7343750000000003E-2</v>
          </cell>
          <cell r="AJ50">
            <v>13.5705722641466</v>
          </cell>
        </row>
        <row r="51">
          <cell r="W51">
            <v>0.15781249999999999</v>
          </cell>
          <cell r="X51">
            <v>13.5546569321838</v>
          </cell>
          <cell r="AE51">
            <v>7.8906249999999997E-2</v>
          </cell>
          <cell r="AJ51">
            <v>13.5584455349645</v>
          </cell>
        </row>
        <row r="52">
          <cell r="W52">
            <v>0.16093750000000001</v>
          </cell>
          <cell r="X52">
            <v>13.5490936477688</v>
          </cell>
          <cell r="AE52">
            <v>8.0468750000000006E-2</v>
          </cell>
          <cell r="AJ52">
            <v>13.545147166103201</v>
          </cell>
        </row>
        <row r="53">
          <cell r="W53">
            <v>0.1640625</v>
          </cell>
          <cell r="X53">
            <v>13.5434867295234</v>
          </cell>
          <cell r="AE53">
            <v>8.203125E-2</v>
          </cell>
          <cell r="AJ53">
            <v>13.5306123930255</v>
          </cell>
        </row>
        <row r="54">
          <cell r="W54">
            <v>0.16718749999999999</v>
          </cell>
          <cell r="X54">
            <v>13.5378402386362</v>
          </cell>
          <cell r="AE54">
            <v>8.3593749999999994E-2</v>
          </cell>
          <cell r="AJ54">
            <v>13.5147877887131</v>
          </cell>
        </row>
        <row r="55">
          <cell r="W55">
            <v>0.17031250000000001</v>
          </cell>
          <cell r="X55">
            <v>13.5321611186466</v>
          </cell>
          <cell r="AE55">
            <v>8.5156250000000003E-2</v>
          </cell>
          <cell r="AJ55">
            <v>13.497606584574299</v>
          </cell>
        </row>
        <row r="56">
          <cell r="W56">
            <v>0.17343749999999999</v>
          </cell>
          <cell r="X56">
            <v>13.5264532552153</v>
          </cell>
          <cell r="AE56">
            <v>8.6718749999999997E-2</v>
          </cell>
          <cell r="AJ56">
            <v>13.4790074616336</v>
          </cell>
        </row>
        <row r="57">
          <cell r="W57">
            <v>0.17656250000000001</v>
          </cell>
          <cell r="X57">
            <v>13.5207230836739</v>
          </cell>
          <cell r="AE57">
            <v>8.8281250000000006E-2</v>
          </cell>
          <cell r="AJ57">
            <v>13.458930073064201</v>
          </cell>
        </row>
        <row r="58">
          <cell r="W58">
            <v>0.1796875</v>
          </cell>
          <cell r="X58">
            <v>13.5149750715862</v>
          </cell>
          <cell r="AE58">
            <v>8.984375E-2</v>
          </cell>
          <cell r="AJ58">
            <v>13.437313342741399</v>
          </cell>
        </row>
        <row r="59">
          <cell r="W59">
            <v>0.18281249999999999</v>
          </cell>
          <cell r="X59">
            <v>13.5092130512458</v>
          </cell>
          <cell r="AE59">
            <v>9.1406249999999994E-2</v>
          </cell>
          <cell r="AJ59">
            <v>13.414096463418501</v>
          </cell>
        </row>
        <row r="60">
          <cell r="W60">
            <v>0.18593750000000001</v>
          </cell>
          <cell r="X60">
            <v>13.503440807539</v>
          </cell>
          <cell r="AE60">
            <v>9.2968750000000003E-2</v>
          </cell>
          <cell r="AJ60">
            <v>13.389218338544101</v>
          </cell>
        </row>
        <row r="61">
          <cell r="W61">
            <v>0.18906249999999999</v>
          </cell>
          <cell r="X61">
            <v>13.4969804803817</v>
          </cell>
          <cell r="AE61">
            <v>9.4531249999999997E-2</v>
          </cell>
          <cell r="AJ61">
            <v>13.397482279588599</v>
          </cell>
        </row>
        <row r="62">
          <cell r="W62">
            <v>0.19218750000000001</v>
          </cell>
          <cell r="X62">
            <v>13.4897884958901</v>
          </cell>
          <cell r="AE62">
            <v>9.6093750000000006E-2</v>
          </cell>
          <cell r="AJ62">
            <v>13.443883786259001</v>
          </cell>
        </row>
        <row r="63">
          <cell r="W63">
            <v>0.1953125</v>
          </cell>
          <cell r="X63">
            <v>13.482520605655001</v>
          </cell>
          <cell r="AE63">
            <v>9.765625E-2</v>
          </cell>
          <cell r="AJ63">
            <v>13.495790104850499</v>
          </cell>
        </row>
        <row r="64">
          <cell r="W64">
            <v>0.19843749999999999</v>
          </cell>
          <cell r="X64">
            <v>13.4751815705035</v>
          </cell>
          <cell r="AE64">
            <v>9.9218749999999994E-2</v>
          </cell>
          <cell r="AJ64">
            <v>13.5533873541258</v>
          </cell>
        </row>
        <row r="65">
          <cell r="W65">
            <v>0.20156260000000001</v>
          </cell>
          <cell r="X65">
            <v>13.467775741632</v>
          </cell>
          <cell r="AE65">
            <v>0.1007813</v>
          </cell>
          <cell r="AJ65">
            <v>13.578243900729801</v>
          </cell>
        </row>
        <row r="66">
          <cell r="W66">
            <v>0.2046876</v>
          </cell>
          <cell r="X66">
            <v>13.4602971306751</v>
          </cell>
          <cell r="AE66">
            <v>0.1023438</v>
          </cell>
          <cell r="AJ66">
            <v>13.565808714708</v>
          </cell>
        </row>
        <row r="67">
          <cell r="W67">
            <v>0.20781259999999999</v>
          </cell>
          <cell r="X67">
            <v>13.4527676223227</v>
          </cell>
          <cell r="AE67">
            <v>0.10390629999999999</v>
          </cell>
          <cell r="AJ67">
            <v>13.552795550102299</v>
          </cell>
        </row>
        <row r="68">
          <cell r="W68">
            <v>0.2109376</v>
          </cell>
          <cell r="X68">
            <v>13.4451844973894</v>
          </cell>
          <cell r="AE68">
            <v>0.1054688</v>
          </cell>
          <cell r="AJ68">
            <v>13.539202557782099</v>
          </cell>
        </row>
        <row r="69">
          <cell r="W69">
            <v>0.21406259999999999</v>
          </cell>
          <cell r="X69">
            <v>13.437553778855699</v>
          </cell>
          <cell r="AE69">
            <v>0.1070313</v>
          </cell>
          <cell r="AJ69">
            <v>13.525032488849799</v>
          </cell>
        </row>
        <row r="70">
          <cell r="W70">
            <v>0.21718760000000001</v>
          </cell>
          <cell r="X70">
            <v>13.429879049398499</v>
          </cell>
          <cell r="AE70">
            <v>0.1085938</v>
          </cell>
          <cell r="AJ70">
            <v>13.5102860328265</v>
          </cell>
        </row>
        <row r="71">
          <cell r="W71">
            <v>0.2203126</v>
          </cell>
          <cell r="X71">
            <v>13.422167070259601</v>
          </cell>
          <cell r="AE71">
            <v>0.1101563</v>
          </cell>
          <cell r="AJ71">
            <v>13.494965214210399</v>
          </cell>
        </row>
        <row r="72">
          <cell r="W72">
            <v>0.22343759999999999</v>
          </cell>
          <cell r="X72">
            <v>13.414418488301401</v>
          </cell>
          <cell r="AE72">
            <v>0.11171879999999999</v>
          </cell>
          <cell r="AJ72">
            <v>13.4790733482437</v>
          </cell>
        </row>
        <row r="73">
          <cell r="W73">
            <v>0.2265626</v>
          </cell>
          <cell r="X73">
            <v>13.4066378942991</v>
          </cell>
          <cell r="AE73">
            <v>0.1132813</v>
          </cell>
          <cell r="AJ73">
            <v>13.4626110589225</v>
          </cell>
        </row>
        <row r="74">
          <cell r="W74">
            <v>0.22968740000000001</v>
          </cell>
          <cell r="X74">
            <v>13.398833647243301</v>
          </cell>
          <cell r="AE74">
            <v>0.11484370000000001</v>
          </cell>
          <cell r="AJ74">
            <v>13.445582264900899</v>
          </cell>
        </row>
        <row r="75">
          <cell r="W75">
            <v>0.23281260000000001</v>
          </cell>
          <cell r="X75">
            <v>13.3910126024559</v>
          </cell>
          <cell r="AE75">
            <v>0.1164063</v>
          </cell>
          <cell r="AJ75">
            <v>13.4279873991724</v>
          </cell>
        </row>
        <row r="76">
          <cell r="W76">
            <v>0.23593739999999999</v>
          </cell>
          <cell r="X76">
            <v>13.383175116492801</v>
          </cell>
          <cell r="AE76">
            <v>0.1179687</v>
          </cell>
          <cell r="AJ76">
            <v>13.409832345012401</v>
          </cell>
        </row>
        <row r="77">
          <cell r="W77">
            <v>0.23906259999999999</v>
          </cell>
          <cell r="X77">
            <v>13.3753271179755</v>
          </cell>
          <cell r="AE77">
            <v>0.11953129999999999</v>
          </cell>
          <cell r="AJ77">
            <v>13.391122153487499</v>
          </cell>
        </row>
        <row r="78">
          <cell r="W78">
            <v>0.2421876</v>
          </cell>
          <cell r="X78">
            <v>13.367475158050899</v>
          </cell>
          <cell r="AE78">
            <v>0.1210938</v>
          </cell>
          <cell r="AJ78">
            <v>13.3718597476488</v>
          </cell>
        </row>
        <row r="79">
          <cell r="W79">
            <v>0.24531240000000001</v>
          </cell>
          <cell r="X79">
            <v>13.359624801774601</v>
          </cell>
          <cell r="AE79">
            <v>0.12265620000000001</v>
          </cell>
          <cell r="AJ79">
            <v>13.352052746889701</v>
          </cell>
        </row>
        <row r="80">
          <cell r="W80">
            <v>0.24843760000000001</v>
          </cell>
          <cell r="X80">
            <v>13.351780177260499</v>
          </cell>
          <cell r="AE80">
            <v>0.1242188</v>
          </cell>
          <cell r="AJ80">
            <v>13.331703621183101</v>
          </cell>
        </row>
        <row r="81">
          <cell r="W81">
            <v>0.25156260000000003</v>
          </cell>
          <cell r="X81">
            <v>13.3430492651822</v>
          </cell>
          <cell r="AE81">
            <v>0.12578130000000001</v>
          </cell>
          <cell r="AJ81">
            <v>13.315984083399099</v>
          </cell>
        </row>
        <row r="82">
          <cell r="W82">
            <v>0.25468760000000001</v>
          </cell>
          <cell r="X82">
            <v>13.3333919940331</v>
          </cell>
          <cell r="AE82">
            <v>0.12734380000000001</v>
          </cell>
          <cell r="AJ82">
            <v>13.3055147568721</v>
          </cell>
        </row>
        <row r="83">
          <cell r="W83">
            <v>0.2578124</v>
          </cell>
          <cell r="X83">
            <v>13.3237048248742</v>
          </cell>
          <cell r="AE83">
            <v>0.1289062</v>
          </cell>
          <cell r="AJ83">
            <v>13.2953907305497</v>
          </cell>
        </row>
        <row r="84">
          <cell r="W84">
            <v>0.26093739999999999</v>
          </cell>
          <cell r="X84">
            <v>13.313995431583001</v>
          </cell>
          <cell r="AE84">
            <v>0.13046869999999999</v>
          </cell>
          <cell r="AJ84">
            <v>13.285645481515999</v>
          </cell>
        </row>
        <row r="85">
          <cell r="W85">
            <v>0.26406239999999997</v>
          </cell>
          <cell r="X85">
            <v>13.304273338201901</v>
          </cell>
          <cell r="AE85">
            <v>0.13203119999999999</v>
          </cell>
          <cell r="AJ85">
            <v>13.276318111221901</v>
          </cell>
        </row>
        <row r="86">
          <cell r="W86">
            <v>0.26718760000000003</v>
          </cell>
          <cell r="X86">
            <v>13.2945256852604</v>
          </cell>
          <cell r="AE86">
            <v>0.13359380000000001</v>
          </cell>
          <cell r="AJ86">
            <v>13.267443250806201</v>
          </cell>
        </row>
        <row r="87">
          <cell r="W87">
            <v>0.27031260000000001</v>
          </cell>
          <cell r="X87">
            <v>13.2847901424241</v>
          </cell>
          <cell r="AE87">
            <v>0.13515630000000001</v>
          </cell>
          <cell r="AJ87">
            <v>13.2590550887303</v>
          </cell>
        </row>
        <row r="88">
          <cell r="W88">
            <v>0.2734376</v>
          </cell>
          <cell r="X88">
            <v>13.2750605781834</v>
          </cell>
          <cell r="AE88">
            <v>0.1367188</v>
          </cell>
          <cell r="AJ88">
            <v>13.2511863644055</v>
          </cell>
        </row>
        <row r="89">
          <cell r="W89">
            <v>0.27656239999999999</v>
          </cell>
          <cell r="X89">
            <v>13.2653400996254</v>
          </cell>
          <cell r="AE89">
            <v>0.13828119999999999</v>
          </cell>
          <cell r="AJ89">
            <v>13.243875550438499</v>
          </cell>
        </row>
        <row r="90">
          <cell r="W90">
            <v>0.27968739999999997</v>
          </cell>
          <cell r="X90">
            <v>13.2556340507185</v>
          </cell>
          <cell r="AE90">
            <v>0.13984369999999999</v>
          </cell>
          <cell r="AJ90">
            <v>13.237153759001499</v>
          </cell>
        </row>
        <row r="91">
          <cell r="W91">
            <v>0.28281260000000003</v>
          </cell>
          <cell r="X91">
            <v>13.2459519421897</v>
          </cell>
          <cell r="AE91">
            <v>0.14140630000000001</v>
          </cell>
          <cell r="AJ91">
            <v>13.2310473422505</v>
          </cell>
        </row>
        <row r="92">
          <cell r="W92">
            <v>0.28593760000000001</v>
          </cell>
          <cell r="X92">
            <v>13.236301787418499</v>
          </cell>
          <cell r="AE92">
            <v>0.14296880000000001</v>
          </cell>
          <cell r="AJ92">
            <v>13.2256058084778</v>
          </cell>
        </row>
        <row r="93">
          <cell r="W93">
            <v>0.2890624</v>
          </cell>
          <cell r="X93">
            <v>13.2266893432319</v>
          </cell>
          <cell r="AE93">
            <v>0.1445312</v>
          </cell>
          <cell r="AJ93">
            <v>13.220855290379699</v>
          </cell>
        </row>
        <row r="94">
          <cell r="W94">
            <v>0.29218739999999999</v>
          </cell>
          <cell r="X94">
            <v>13.217122327912</v>
          </cell>
          <cell r="AE94">
            <v>0.14609369999999999</v>
          </cell>
          <cell r="AJ94">
            <v>13.216833798609599</v>
          </cell>
        </row>
        <row r="95">
          <cell r="W95">
            <v>0.29531239999999997</v>
          </cell>
          <cell r="X95">
            <v>13.2076056060603</v>
          </cell>
          <cell r="AE95">
            <v>0.14765619999999999</v>
          </cell>
          <cell r="AJ95">
            <v>13.2135739558942</v>
          </cell>
        </row>
        <row r="96">
          <cell r="W96">
            <v>0.29843760000000003</v>
          </cell>
          <cell r="X96">
            <v>13.1981482484743</v>
          </cell>
          <cell r="AE96">
            <v>0.14921880000000001</v>
          </cell>
          <cell r="AJ96">
            <v>13.211110648938799</v>
          </cell>
        </row>
        <row r="97">
          <cell r="W97">
            <v>0.30156260000000001</v>
          </cell>
          <cell r="X97">
            <v>13.188759353968701</v>
          </cell>
          <cell r="AE97">
            <v>0.15078130000000001</v>
          </cell>
          <cell r="AJ97">
            <v>13.2094752177491</v>
          </cell>
        </row>
        <row r="98">
          <cell r="W98">
            <v>0.3046876</v>
          </cell>
          <cell r="X98">
            <v>13.179444415469501</v>
          </cell>
          <cell r="AE98">
            <v>0.1523438</v>
          </cell>
          <cell r="AJ98">
            <v>13.208704265577101</v>
          </cell>
        </row>
        <row r="99">
          <cell r="W99">
            <v>0.30781259999999999</v>
          </cell>
          <cell r="X99">
            <v>13.1702108524668</v>
          </cell>
          <cell r="AE99">
            <v>0.1539063</v>
          </cell>
          <cell r="AJ99">
            <v>13.2088321871129</v>
          </cell>
        </row>
        <row r="100">
          <cell r="W100">
            <v>0.31093739999999997</v>
          </cell>
          <cell r="X100">
            <v>13.161066594102699</v>
          </cell>
          <cell r="AE100">
            <v>0.15546869999999999</v>
          </cell>
          <cell r="AJ100">
            <v>13.209896768996501</v>
          </cell>
        </row>
        <row r="101">
          <cell r="W101">
            <v>0.31406260000000003</v>
          </cell>
          <cell r="X101">
            <v>13.149762975155401</v>
          </cell>
          <cell r="AE101">
            <v>0.15703130000000001</v>
          </cell>
          <cell r="AJ101">
            <v>13.2061064731106</v>
          </cell>
        </row>
        <row r="102">
          <cell r="W102">
            <v>0.31718760000000001</v>
          </cell>
          <cell r="X102">
            <v>13.136304830377901</v>
          </cell>
          <cell r="AE102">
            <v>0.15859380000000001</v>
          </cell>
          <cell r="AJ102">
            <v>13.195996790894499</v>
          </cell>
        </row>
        <row r="103">
          <cell r="W103">
            <v>0.3203124</v>
          </cell>
          <cell r="X103">
            <v>13.122958164976399</v>
          </cell>
          <cell r="AE103">
            <v>0.1601562</v>
          </cell>
          <cell r="AJ103">
            <v>13.184739339161601</v>
          </cell>
        </row>
        <row r="104">
          <cell r="W104">
            <v>0.32343739999999999</v>
          </cell>
          <cell r="X104">
            <v>13.109744534395499</v>
          </cell>
          <cell r="AE104">
            <v>0.16171869999999999</v>
          </cell>
          <cell r="AJ104">
            <v>13.1722647326218</v>
          </cell>
        </row>
        <row r="105">
          <cell r="W105">
            <v>0.32656239999999997</v>
          </cell>
          <cell r="X105">
            <v>13.0966780242876</v>
          </cell>
          <cell r="AE105">
            <v>0.16328119999999999</v>
          </cell>
          <cell r="AJ105">
            <v>13.1585107496762</v>
          </cell>
        </row>
        <row r="106">
          <cell r="W106">
            <v>0.32968760000000003</v>
          </cell>
          <cell r="X106">
            <v>13.0837726809347</v>
          </cell>
          <cell r="AE106">
            <v>0.16484380000000001</v>
          </cell>
          <cell r="AJ106">
            <v>13.143412613572</v>
          </cell>
        </row>
        <row r="107">
          <cell r="W107">
            <v>0.33281260000000001</v>
          </cell>
          <cell r="X107">
            <v>13.071044775138599</v>
          </cell>
          <cell r="AE107">
            <v>0.16640630000000001</v>
          </cell>
          <cell r="AJ107">
            <v>13.126912162432401</v>
          </cell>
        </row>
        <row r="108">
          <cell r="W108">
            <v>0.3359376</v>
          </cell>
          <cell r="X108">
            <v>13.058510620695399</v>
          </cell>
          <cell r="AE108">
            <v>0.1679688</v>
          </cell>
          <cell r="AJ108">
            <v>13.108942388229901</v>
          </cell>
        </row>
        <row r="109">
          <cell r="W109">
            <v>0.33906239999999999</v>
          </cell>
          <cell r="X109">
            <v>13.0461924766972</v>
          </cell>
          <cell r="AE109">
            <v>0.16953119999999999</v>
          </cell>
          <cell r="AJ109">
            <v>13.089442129817799</v>
          </cell>
        </row>
        <row r="110">
          <cell r="W110">
            <v>0.34218739999999997</v>
          </cell>
          <cell r="X110">
            <v>13.0341075135621</v>
          </cell>
          <cell r="AE110">
            <v>0.17109369999999999</v>
          </cell>
          <cell r="AJ110">
            <v>13.068352046910499</v>
          </cell>
        </row>
        <row r="111">
          <cell r="W111">
            <v>0.34531260000000003</v>
          </cell>
          <cell r="X111">
            <v>13.022294281699599</v>
          </cell>
          <cell r="AE111">
            <v>0.17265630000000001</v>
          </cell>
          <cell r="AJ111">
            <v>13.045620236524099</v>
          </cell>
        </row>
        <row r="112">
          <cell r="W112">
            <v>0.34843760000000001</v>
          </cell>
          <cell r="X112">
            <v>13.0107327855394</v>
          </cell>
          <cell r="AE112">
            <v>0.17421880000000001</v>
          </cell>
          <cell r="AJ112">
            <v>13.021176966829801</v>
          </cell>
        </row>
        <row r="113">
          <cell r="W113">
            <v>0.3515624</v>
          </cell>
          <cell r="X113">
            <v>12.9994452317632</v>
          </cell>
          <cell r="AE113">
            <v>0.1757812</v>
          </cell>
          <cell r="AJ113">
            <v>12.994959295711</v>
          </cell>
        </row>
        <row r="114">
          <cell r="W114">
            <v>0.35468739999999999</v>
          </cell>
          <cell r="X114">
            <v>12.988464104553699</v>
          </cell>
          <cell r="AE114">
            <v>0.17734369999999999</v>
          </cell>
          <cell r="AJ114">
            <v>12.966916455773299</v>
          </cell>
        </row>
        <row r="115">
          <cell r="W115">
            <v>0.35781239999999997</v>
          </cell>
          <cell r="X115">
            <v>12.9778026113714</v>
          </cell>
          <cell r="AE115">
            <v>0.17890619999999999</v>
          </cell>
          <cell r="AJ115">
            <v>12.936973850407499</v>
          </cell>
        </row>
        <row r="116">
          <cell r="W116">
            <v>0.36093760000000003</v>
          </cell>
          <cell r="X116">
            <v>12.9674791367485</v>
          </cell>
          <cell r="AE116">
            <v>0.18046880000000001</v>
          </cell>
          <cell r="AJ116">
            <v>12.905088465362899</v>
          </cell>
        </row>
        <row r="117">
          <cell r="W117">
            <v>0.36406260000000001</v>
          </cell>
          <cell r="X117">
            <v>12.957512908256801</v>
          </cell>
          <cell r="AE117">
            <v>0.18203130000000001</v>
          </cell>
          <cell r="AJ117">
            <v>12.8711863174992</v>
          </cell>
        </row>
        <row r="118">
          <cell r="W118">
            <v>0.3671876</v>
          </cell>
          <cell r="X118">
            <v>12.947923155468599</v>
          </cell>
          <cell r="AE118">
            <v>0.1835938</v>
          </cell>
          <cell r="AJ118">
            <v>12.8352213209428</v>
          </cell>
        </row>
        <row r="119">
          <cell r="W119">
            <v>0.37031239999999999</v>
          </cell>
          <cell r="X119">
            <v>12.938742226069399</v>
          </cell>
          <cell r="AE119">
            <v>0.18515619999999999</v>
          </cell>
          <cell r="AJ119">
            <v>12.797136317514299</v>
          </cell>
        </row>
        <row r="120">
          <cell r="W120">
            <v>0.37343739999999997</v>
          </cell>
          <cell r="X120">
            <v>12.9299643930486</v>
          </cell>
          <cell r="AE120">
            <v>0.18671869999999999</v>
          </cell>
          <cell r="AJ120">
            <v>12.7568777515446</v>
          </cell>
        </row>
        <row r="121">
          <cell r="W121">
            <v>0.37656260000000003</v>
          </cell>
          <cell r="X121">
            <v>12.9177706401058</v>
          </cell>
          <cell r="AE121">
            <v>0.18828130000000001</v>
          </cell>
          <cell r="AJ121">
            <v>12.7402997892105</v>
          </cell>
        </row>
        <row r="122">
          <cell r="W122">
            <v>0.37968760000000001</v>
          </cell>
          <cell r="X122">
            <v>12.9018493547714</v>
          </cell>
          <cell r="AE122">
            <v>0.18984380000000001</v>
          </cell>
          <cell r="AJ122">
            <v>12.754085868022299</v>
          </cell>
        </row>
        <row r="123">
          <cell r="W123">
            <v>0.3828126</v>
          </cell>
          <cell r="X123">
            <v>12.8859322693088</v>
          </cell>
          <cell r="AE123">
            <v>0.1914063</v>
          </cell>
          <cell r="AJ123">
            <v>12.7754572202187</v>
          </cell>
        </row>
        <row r="124">
          <cell r="W124">
            <v>0.38593739999999999</v>
          </cell>
          <cell r="X124">
            <v>12.870020426558799</v>
          </cell>
          <cell r="AE124">
            <v>0.19296869999999999</v>
          </cell>
          <cell r="AJ124">
            <v>12.804740989772901</v>
          </cell>
        </row>
        <row r="125">
          <cell r="W125">
            <v>0.38906259999999998</v>
          </cell>
          <cell r="X125">
            <v>12.854130165041299</v>
          </cell>
          <cell r="AE125">
            <v>0.19453129999999999</v>
          </cell>
          <cell r="AJ125">
            <v>12.842268344056899</v>
          </cell>
        </row>
        <row r="126">
          <cell r="W126">
            <v>0.39218760000000003</v>
          </cell>
          <cell r="X126">
            <v>12.838273407045</v>
          </cell>
          <cell r="AE126">
            <v>0.19609380000000001</v>
          </cell>
          <cell r="AJ126">
            <v>12.8883538289572</v>
          </cell>
        </row>
        <row r="127">
          <cell r="W127">
            <v>0.39531260000000001</v>
          </cell>
          <cell r="X127">
            <v>12.822461977906601</v>
          </cell>
          <cell r="AE127">
            <v>0.19765630000000001</v>
          </cell>
          <cell r="AJ127">
            <v>12.9433119625863</v>
          </cell>
        </row>
        <row r="128">
          <cell r="W128">
            <v>0.3984376</v>
          </cell>
          <cell r="X128">
            <v>12.806710347853</v>
          </cell>
          <cell r="AE128">
            <v>0.1992188</v>
          </cell>
          <cell r="AJ128">
            <v>13.007469704284601</v>
          </cell>
        </row>
        <row r="129">
          <cell r="W129">
            <v>0.40156239999999999</v>
          </cell>
          <cell r="X129">
            <v>12.791020563369599</v>
          </cell>
          <cell r="AE129">
            <v>0.20078119999999999</v>
          </cell>
          <cell r="AJ129">
            <v>13.0299688748348</v>
          </cell>
        </row>
        <row r="130">
          <cell r="W130">
            <v>0.40468739999999997</v>
          </cell>
          <cell r="X130">
            <v>12.7754076134046</v>
          </cell>
          <cell r="AE130">
            <v>0.20234369999999999</v>
          </cell>
          <cell r="AJ130">
            <v>13.001885256823901</v>
          </cell>
        </row>
        <row r="131">
          <cell r="W131">
            <v>0.40781260000000003</v>
          </cell>
          <cell r="X131">
            <v>12.759888684877399</v>
          </cell>
          <cell r="AE131">
            <v>0.20390630000000001</v>
          </cell>
          <cell r="AJ131">
            <v>12.970553329229601</v>
          </cell>
        </row>
        <row r="132">
          <cell r="W132">
            <v>0.41093760000000001</v>
          </cell>
          <cell r="X132">
            <v>12.744465997620599</v>
          </cell>
          <cell r="AE132">
            <v>0.20546880000000001</v>
          </cell>
          <cell r="AJ132">
            <v>12.935856627918501</v>
          </cell>
        </row>
        <row r="133">
          <cell r="W133">
            <v>0.4140624</v>
          </cell>
          <cell r="X133">
            <v>12.7291538804671</v>
          </cell>
          <cell r="AE133">
            <v>0.2070312</v>
          </cell>
          <cell r="AJ133">
            <v>12.8976456718344</v>
          </cell>
        </row>
        <row r="134">
          <cell r="W134">
            <v>0.41718739999999999</v>
          </cell>
          <cell r="X134">
            <v>12.713967647655499</v>
          </cell>
          <cell r="AE134">
            <v>0.20859369999999999</v>
          </cell>
          <cell r="AJ134">
            <v>12.855814124176799</v>
          </cell>
        </row>
        <row r="135">
          <cell r="W135">
            <v>0.42031259999999998</v>
          </cell>
          <cell r="X135">
            <v>12.6989200466602</v>
          </cell>
          <cell r="AE135">
            <v>0.21015629999999999</v>
          </cell>
          <cell r="AJ135">
            <v>12.810218139404199</v>
          </cell>
        </row>
        <row r="136">
          <cell r="W136">
            <v>0.42343760000000003</v>
          </cell>
          <cell r="X136">
            <v>12.684026188683999</v>
          </cell>
          <cell r="AE136">
            <v>0.21171880000000001</v>
          </cell>
          <cell r="AJ136">
            <v>12.7607359756585</v>
          </cell>
        </row>
        <row r="137">
          <cell r="W137">
            <v>0.42656260000000001</v>
          </cell>
          <cell r="X137">
            <v>12.669303167366399</v>
          </cell>
          <cell r="AE137">
            <v>0.21328130000000001</v>
          </cell>
          <cell r="AJ137">
            <v>12.7072473747925</v>
          </cell>
        </row>
        <row r="138">
          <cell r="W138">
            <v>0.4296876</v>
          </cell>
          <cell r="X138">
            <v>12.6547588577382</v>
          </cell>
          <cell r="AE138">
            <v>0.2148438</v>
          </cell>
          <cell r="AJ138">
            <v>12.649617948618999</v>
          </cell>
        </row>
        <row r="139">
          <cell r="W139">
            <v>0.43281259999999999</v>
          </cell>
          <cell r="X139">
            <v>12.6404156470286</v>
          </cell>
          <cell r="AE139">
            <v>0.2164063</v>
          </cell>
          <cell r="AJ139">
            <v>12.587735409678301</v>
          </cell>
        </row>
        <row r="140">
          <cell r="W140">
            <v>0.43593739999999997</v>
          </cell>
          <cell r="X140">
            <v>12.626279439801101</v>
          </cell>
          <cell r="AE140">
            <v>0.21796869999999999</v>
          </cell>
          <cell r="AJ140">
            <v>12.5214704523133</v>
          </cell>
        </row>
        <row r="141">
          <cell r="W141">
            <v>0.43906260000000003</v>
          </cell>
          <cell r="X141">
            <v>12.6133315616202</v>
          </cell>
          <cell r="AE141">
            <v>0.21953130000000001</v>
          </cell>
          <cell r="AJ141">
            <v>12.485560771165201</v>
          </cell>
        </row>
        <row r="142">
          <cell r="W142">
            <v>0.44218760000000001</v>
          </cell>
          <cell r="X142">
            <v>12.601127508005201</v>
          </cell>
          <cell r="AE142">
            <v>0.22109380000000001</v>
          </cell>
          <cell r="AJ142">
            <v>12.483060834931701</v>
          </cell>
        </row>
        <row r="143">
          <cell r="W143">
            <v>0.4453126</v>
          </cell>
          <cell r="X143">
            <v>12.588498392211401</v>
          </cell>
          <cell r="AE143">
            <v>0.2226563</v>
          </cell>
          <cell r="AJ143">
            <v>12.480382207770299</v>
          </cell>
        </row>
        <row r="144">
          <cell r="W144">
            <v>0.44843739999999999</v>
          </cell>
          <cell r="X144">
            <v>12.575416610656101</v>
          </cell>
          <cell r="AE144">
            <v>0.22421869999999999</v>
          </cell>
          <cell r="AJ144">
            <v>12.477510308846</v>
          </cell>
        </row>
        <row r="145">
          <cell r="W145">
            <v>0.45156259999999998</v>
          </cell>
          <cell r="X145">
            <v>12.561884613670999</v>
          </cell>
          <cell r="AE145">
            <v>0.22578129999999999</v>
          </cell>
          <cell r="AJ145">
            <v>12.4744381244595</v>
          </cell>
        </row>
        <row r="146">
          <cell r="W146">
            <v>0.45468760000000003</v>
          </cell>
          <cell r="X146">
            <v>12.547884502665299</v>
          </cell>
          <cell r="AE146">
            <v>0.22734380000000001</v>
          </cell>
          <cell r="AJ146">
            <v>12.471153348955299</v>
          </cell>
        </row>
        <row r="147">
          <cell r="W147">
            <v>0.45781260000000001</v>
          </cell>
          <cell r="X147">
            <v>12.533403573705399</v>
          </cell>
          <cell r="AE147">
            <v>0.22890630000000001</v>
          </cell>
          <cell r="AJ147">
            <v>12.467650143123</v>
          </cell>
        </row>
        <row r="148">
          <cell r="W148">
            <v>0.4609376</v>
          </cell>
          <cell r="X148">
            <v>12.518433012877299</v>
          </cell>
          <cell r="AE148">
            <v>0.2304688</v>
          </cell>
          <cell r="AJ148">
            <v>12.4639045103343</v>
          </cell>
        </row>
        <row r="149">
          <cell r="W149">
            <v>0.46406259999999999</v>
          </cell>
          <cell r="X149">
            <v>12.5029724802381</v>
          </cell>
          <cell r="AE149">
            <v>0.2320313</v>
          </cell>
          <cell r="AJ149">
            <v>12.4599095644323</v>
          </cell>
        </row>
        <row r="150">
          <cell r="W150">
            <v>0.46718739999999997</v>
          </cell>
          <cell r="X150">
            <v>12.486997332172701</v>
          </cell>
          <cell r="AE150">
            <v>0.23359369999999999</v>
          </cell>
          <cell r="AJ150">
            <v>12.455654812267101</v>
          </cell>
        </row>
        <row r="151">
          <cell r="W151">
            <v>0.47031260000000003</v>
          </cell>
          <cell r="X151">
            <v>12.470519032096099</v>
          </cell>
          <cell r="AE151">
            <v>0.23515630000000001</v>
          </cell>
          <cell r="AJ151">
            <v>12.4511412066775</v>
          </cell>
        </row>
        <row r="152">
          <cell r="W152">
            <v>0.47343760000000001</v>
          </cell>
          <cell r="X152">
            <v>12.453504673913701</v>
          </cell>
          <cell r="AE152">
            <v>0.23671880000000001</v>
          </cell>
          <cell r="AJ152">
            <v>12.4463526193575</v>
          </cell>
        </row>
        <row r="153">
          <cell r="W153">
            <v>0.4765624</v>
          </cell>
          <cell r="X153">
            <v>12.4359632370247</v>
          </cell>
          <cell r="AE153">
            <v>0.2382812</v>
          </cell>
          <cell r="AJ153">
            <v>12.4412900460028</v>
          </cell>
        </row>
        <row r="154">
          <cell r="W154">
            <v>0.47968739999999999</v>
          </cell>
          <cell r="X154">
            <v>12.417884906932301</v>
          </cell>
          <cell r="AE154">
            <v>0.23984369999999999</v>
          </cell>
          <cell r="AJ154">
            <v>12.435941787048501</v>
          </cell>
        </row>
        <row r="155">
          <cell r="W155">
            <v>0.48281259999999998</v>
          </cell>
          <cell r="X155">
            <v>12.399259409842401</v>
          </cell>
          <cell r="AE155">
            <v>0.24140629999999999</v>
          </cell>
          <cell r="AJ155">
            <v>12.430302801483499</v>
          </cell>
        </row>
        <row r="156">
          <cell r="W156">
            <v>0.48593760000000003</v>
          </cell>
          <cell r="X156">
            <v>12.380078150381401</v>
          </cell>
          <cell r="AE156">
            <v>0.24296880000000001</v>
          </cell>
          <cell r="AJ156">
            <v>12.424375319670499</v>
          </cell>
        </row>
        <row r="157">
          <cell r="W157">
            <v>0.48906260000000001</v>
          </cell>
          <cell r="X157">
            <v>12.360338112436599</v>
          </cell>
          <cell r="AE157">
            <v>0.24453130000000001</v>
          </cell>
          <cell r="AJ157">
            <v>12.418160705324</v>
          </cell>
        </row>
        <row r="158">
          <cell r="W158">
            <v>0.4921876</v>
          </cell>
          <cell r="X158">
            <v>12.340047342398201</v>
          </cell>
          <cell r="AE158">
            <v>0.2460938</v>
          </cell>
          <cell r="AJ158">
            <v>12.411642126435201</v>
          </cell>
        </row>
        <row r="159">
          <cell r="W159">
            <v>0.49531239999999999</v>
          </cell>
          <cell r="X159">
            <v>12.319191723070899</v>
          </cell>
          <cell r="AE159">
            <v>0.24765619999999999</v>
          </cell>
          <cell r="AJ159">
            <v>12.404826542500899</v>
          </cell>
        </row>
        <row r="160">
          <cell r="W160">
            <v>0.49843739999999997</v>
          </cell>
          <cell r="X160">
            <v>12.2977737034448</v>
          </cell>
          <cell r="AE160">
            <v>0.24921869999999999</v>
          </cell>
          <cell r="AJ160">
            <v>12.397700884613201</v>
          </cell>
        </row>
        <row r="161">
          <cell r="W161">
            <v>0.50156259999999997</v>
          </cell>
          <cell r="X161">
            <v>12.274856342715101</v>
          </cell>
          <cell r="AE161">
            <v>0.25078129999999998</v>
          </cell>
          <cell r="AJ161">
            <v>12.3728557652934</v>
          </cell>
        </row>
        <row r="162">
          <cell r="W162">
            <v>0.50468740000000001</v>
          </cell>
          <cell r="X162">
            <v>12.2513806876646</v>
          </cell>
          <cell r="AE162">
            <v>0.2523437</v>
          </cell>
          <cell r="AJ162">
            <v>12.331661663395</v>
          </cell>
        </row>
        <row r="163">
          <cell r="W163">
            <v>0.50781240000000005</v>
          </cell>
          <cell r="X163">
            <v>12.2286783181363</v>
          </cell>
          <cell r="AE163">
            <v>0.25390620000000003</v>
          </cell>
          <cell r="AJ163">
            <v>12.292154735550801</v>
          </cell>
        </row>
        <row r="164">
          <cell r="W164">
            <v>0.51093759999999999</v>
          </cell>
          <cell r="X164">
            <v>12.2068066036676</v>
          </cell>
          <cell r="AE164">
            <v>0.2554688</v>
          </cell>
          <cell r="AJ164">
            <v>12.254439236612599</v>
          </cell>
        </row>
        <row r="165">
          <cell r="W165">
            <v>0.51406240000000003</v>
          </cell>
          <cell r="X165">
            <v>12.1857985752016</v>
          </cell>
          <cell r="AE165">
            <v>0.25703120000000002</v>
          </cell>
          <cell r="AJ165">
            <v>12.2186203259979</v>
          </cell>
        </row>
        <row r="166">
          <cell r="W166">
            <v>0.51718759999999997</v>
          </cell>
          <cell r="X166">
            <v>12.165706257533101</v>
          </cell>
          <cell r="AE166">
            <v>0.25859379999999998</v>
          </cell>
          <cell r="AJ166">
            <v>12.184781371528</v>
          </cell>
        </row>
        <row r="167">
          <cell r="W167">
            <v>0.52031240000000001</v>
          </cell>
          <cell r="X167">
            <v>12.1465886848952</v>
          </cell>
          <cell r="AE167">
            <v>0.2601562</v>
          </cell>
          <cell r="AJ167">
            <v>12.1530274134808</v>
          </cell>
        </row>
        <row r="168">
          <cell r="W168">
            <v>0.52343759999999995</v>
          </cell>
          <cell r="X168">
            <v>12.128496502643699</v>
          </cell>
          <cell r="AE168">
            <v>0.26171879999999997</v>
          </cell>
          <cell r="AJ168">
            <v>12.123439161306299</v>
          </cell>
        </row>
        <row r="169">
          <cell r="W169">
            <v>0.52656259999999999</v>
          </cell>
          <cell r="X169">
            <v>12.1114989074419</v>
          </cell>
          <cell r="AE169">
            <v>0.2632813</v>
          </cell>
          <cell r="AJ169">
            <v>12.0961236830787</v>
          </cell>
        </row>
        <row r="170">
          <cell r="W170">
            <v>0.52968740000000003</v>
          </cell>
          <cell r="X170">
            <v>12.0956030423432</v>
          </cell>
          <cell r="AE170">
            <v>0.26484370000000002</v>
          </cell>
          <cell r="AJ170">
            <v>12.07118803467</v>
          </cell>
        </row>
        <row r="171">
          <cell r="W171">
            <v>0.53281259999999997</v>
          </cell>
          <cell r="X171">
            <v>12.0808824735514</v>
          </cell>
          <cell r="AE171">
            <v>0.26640629999999998</v>
          </cell>
          <cell r="AJ171">
            <v>12.0487228335711</v>
          </cell>
        </row>
        <row r="172">
          <cell r="W172">
            <v>0.53593740000000001</v>
          </cell>
          <cell r="X172">
            <v>12.0674001072883</v>
          </cell>
          <cell r="AE172">
            <v>0.2679687</v>
          </cell>
          <cell r="AJ172">
            <v>12.0288264607986</v>
          </cell>
        </row>
        <row r="173">
          <cell r="W173">
            <v>0.53906240000000005</v>
          </cell>
          <cell r="X173">
            <v>12.055214020248901</v>
          </cell>
          <cell r="AE173">
            <v>0.26953120000000003</v>
          </cell>
          <cell r="AJ173">
            <v>12.011628386419</v>
          </cell>
        </row>
        <row r="174">
          <cell r="W174">
            <v>0.54218759999999999</v>
          </cell>
          <cell r="X174">
            <v>12.044383575065201</v>
          </cell>
          <cell r="AE174">
            <v>0.2710938</v>
          </cell>
          <cell r="AJ174">
            <v>11.997189364413799</v>
          </cell>
        </row>
        <row r="175">
          <cell r="W175">
            <v>0.54531240000000003</v>
          </cell>
          <cell r="X175">
            <v>12.034985756919401</v>
          </cell>
          <cell r="AE175">
            <v>0.27265620000000002</v>
          </cell>
          <cell r="AJ175">
            <v>11.985603566596</v>
          </cell>
        </row>
        <row r="176">
          <cell r="W176">
            <v>0.54843759999999997</v>
          </cell>
          <cell r="X176">
            <v>12.0270593820762</v>
          </cell>
          <cell r="AE176">
            <v>0.27421879999999998</v>
          </cell>
          <cell r="AJ176">
            <v>11.976984068300199</v>
          </cell>
        </row>
        <row r="177">
          <cell r="W177">
            <v>0.55156240000000001</v>
          </cell>
          <cell r="X177">
            <v>12.020687550208701</v>
          </cell>
          <cell r="AE177">
            <v>0.2757812</v>
          </cell>
          <cell r="AJ177">
            <v>11.9714241985365</v>
          </cell>
        </row>
        <row r="178">
          <cell r="W178">
            <v>0.55468759999999995</v>
          </cell>
          <cell r="X178">
            <v>12.015924235374399</v>
          </cell>
          <cell r="AE178">
            <v>0.27734379999999997</v>
          </cell>
          <cell r="AJ178">
            <v>11.9690392511254</v>
          </cell>
        </row>
        <row r="179">
          <cell r="W179">
            <v>0.55781259999999999</v>
          </cell>
          <cell r="X179">
            <v>12.0128401493411</v>
          </cell>
          <cell r="AE179">
            <v>0.2789063</v>
          </cell>
          <cell r="AJ179">
            <v>11.9699082389017</v>
          </cell>
        </row>
        <row r="180">
          <cell r="W180">
            <v>0.56093740000000003</v>
          </cell>
          <cell r="X180">
            <v>12.0115254478414</v>
          </cell>
          <cell r="AE180">
            <v>0.28046870000000002</v>
          </cell>
          <cell r="AJ180">
            <v>11.974148245076201</v>
          </cell>
        </row>
        <row r="181">
          <cell r="W181">
            <v>0.56406259999999997</v>
          </cell>
          <cell r="X181">
            <v>11.9910140335063</v>
          </cell>
          <cell r="AE181">
            <v>0.28203129999999998</v>
          </cell>
          <cell r="AJ181">
            <v>11.981327104053699</v>
          </cell>
        </row>
        <row r="182">
          <cell r="W182">
            <v>0.56718740000000001</v>
          </cell>
          <cell r="X182">
            <v>11.9505613751965</v>
          </cell>
          <cell r="AE182">
            <v>0.2835937</v>
          </cell>
          <cell r="AJ182">
            <v>11.984285120648901</v>
          </cell>
        </row>
        <row r="183">
          <cell r="W183">
            <v>0.57031240000000005</v>
          </cell>
          <cell r="X183">
            <v>11.9108844939507</v>
          </cell>
          <cell r="AE183">
            <v>0.28515620000000003</v>
          </cell>
          <cell r="AJ183">
            <v>11.9804836998875</v>
          </cell>
        </row>
        <row r="184">
          <cell r="W184">
            <v>0.57343739999999999</v>
          </cell>
          <cell r="X184">
            <v>11.872057624473999</v>
          </cell>
          <cell r="AE184">
            <v>0.28671869999999999</v>
          </cell>
          <cell r="AJ184">
            <v>11.9697798949489</v>
          </cell>
        </row>
        <row r="185">
          <cell r="W185">
            <v>0.57656240000000003</v>
          </cell>
          <cell r="X185">
            <v>11.834140948884</v>
          </cell>
          <cell r="AE185">
            <v>0.28828120000000002</v>
          </cell>
          <cell r="AJ185">
            <v>11.952023422681201</v>
          </cell>
        </row>
        <row r="186">
          <cell r="W186">
            <v>0.57968759999999997</v>
          </cell>
          <cell r="X186">
            <v>11.7971848323511</v>
          </cell>
          <cell r="AE186">
            <v>0.28984379999999998</v>
          </cell>
          <cell r="AJ186">
            <v>11.9270735304396</v>
          </cell>
        </row>
        <row r="187">
          <cell r="W187">
            <v>0.58281240000000001</v>
          </cell>
          <cell r="X187">
            <v>11.7612478127309</v>
          </cell>
          <cell r="AE187">
            <v>0.2914062</v>
          </cell>
          <cell r="AJ187">
            <v>11.894764260829399</v>
          </cell>
        </row>
        <row r="188">
          <cell r="W188">
            <v>0.58593759999999995</v>
          </cell>
          <cell r="X188">
            <v>11.7264152396029</v>
          </cell>
          <cell r="AE188">
            <v>0.29296879999999997</v>
          </cell>
          <cell r="AJ188">
            <v>11.854972313673899</v>
          </cell>
        </row>
        <row r="189">
          <cell r="W189">
            <v>0.58906259999999999</v>
          </cell>
          <cell r="X189">
            <v>11.692757380419801</v>
          </cell>
          <cell r="AE189">
            <v>0.2945313</v>
          </cell>
          <cell r="AJ189">
            <v>11.8075598810142</v>
          </cell>
        </row>
        <row r="190">
          <cell r="W190">
            <v>0.59218740000000003</v>
          </cell>
          <cell r="X190">
            <v>11.660321521815201</v>
          </cell>
          <cell r="AE190">
            <v>0.29609370000000002</v>
          </cell>
          <cell r="AJ190">
            <v>11.752426883192699</v>
          </cell>
        </row>
        <row r="191">
          <cell r="W191">
            <v>0.59531259999999997</v>
          </cell>
          <cell r="X191">
            <v>11.629169800762</v>
          </cell>
          <cell r="AE191">
            <v>0.29765629999999998</v>
          </cell>
          <cell r="AJ191">
            <v>11.689410206384901</v>
          </cell>
        </row>
        <row r="192">
          <cell r="W192">
            <v>0.59843740000000001</v>
          </cell>
          <cell r="X192">
            <v>11.5993791079845</v>
          </cell>
          <cell r="AE192">
            <v>0.2992187</v>
          </cell>
          <cell r="AJ192">
            <v>11.6184087582792</v>
          </cell>
        </row>
        <row r="193">
          <cell r="W193">
            <v>0.60156240000000005</v>
          </cell>
          <cell r="X193">
            <v>11.5710092164303</v>
          </cell>
          <cell r="AE193">
            <v>0.30078120000000003</v>
          </cell>
          <cell r="AJ193">
            <v>11.5286616668084</v>
          </cell>
        </row>
        <row r="194">
          <cell r="W194">
            <v>0.60468739999999999</v>
          </cell>
          <cell r="X194">
            <v>11.5441260391984</v>
          </cell>
          <cell r="AE194">
            <v>0.30234369999999999</v>
          </cell>
          <cell r="AJ194">
            <v>11.438544943997501</v>
          </cell>
        </row>
        <row r="195">
          <cell r="W195">
            <v>0.60781240000000003</v>
          </cell>
          <cell r="X195">
            <v>11.5188090847972</v>
          </cell>
          <cell r="AE195">
            <v>0.30390620000000002</v>
          </cell>
          <cell r="AJ195">
            <v>11.366681463203401</v>
          </cell>
        </row>
        <row r="196">
          <cell r="W196">
            <v>0.61093759999999997</v>
          </cell>
          <cell r="X196">
            <v>11.495117873364601</v>
          </cell>
          <cell r="AE196">
            <v>0.30546879999999998</v>
          </cell>
          <cell r="AJ196">
            <v>11.3135864500842</v>
          </cell>
        </row>
        <row r="197">
          <cell r="W197">
            <v>0.61406260000000001</v>
          </cell>
          <cell r="X197">
            <v>11.4731338735796</v>
          </cell>
          <cell r="AE197">
            <v>0.30703130000000001</v>
          </cell>
          <cell r="AJ197">
            <v>11.2797334521217</v>
          </cell>
        </row>
        <row r="198">
          <cell r="W198">
            <v>0.61718759999999995</v>
          </cell>
          <cell r="X198">
            <v>11.452919747711301</v>
          </cell>
          <cell r="AE198">
            <v>0.30859379999999997</v>
          </cell>
          <cell r="AJ198">
            <v>11.2656360037497</v>
          </cell>
        </row>
        <row r="199">
          <cell r="W199">
            <v>0.62031239999999999</v>
          </cell>
          <cell r="X199">
            <v>11.4345489909959</v>
          </cell>
          <cell r="AE199">
            <v>0.31015619999999999</v>
          </cell>
          <cell r="AJ199">
            <v>11.2717820834915</v>
          </cell>
        </row>
        <row r="200">
          <cell r="W200">
            <v>0.62343740000000003</v>
          </cell>
          <cell r="X200">
            <v>11.4181072921654</v>
          </cell>
          <cell r="AE200">
            <v>0.31171870000000002</v>
          </cell>
          <cell r="AJ200">
            <v>11.298660202302999</v>
          </cell>
        </row>
        <row r="201">
          <cell r="W201">
            <v>0.62656259999999997</v>
          </cell>
          <cell r="X201">
            <v>11.4309026242599</v>
          </cell>
          <cell r="AE201">
            <v>0.31328129999999998</v>
          </cell>
          <cell r="AJ201">
            <v>11.3580677074899</v>
          </cell>
        </row>
        <row r="202">
          <cell r="W202">
            <v>0.62968740000000001</v>
          </cell>
          <cell r="X202">
            <v>11.465856288068199</v>
          </cell>
          <cell r="AE202">
            <v>0.3148437</v>
          </cell>
          <cell r="AJ202">
            <v>11.427322007298599</v>
          </cell>
        </row>
        <row r="203">
          <cell r="W203">
            <v>0.63281240000000005</v>
          </cell>
          <cell r="X203">
            <v>11.492628794426601</v>
          </cell>
          <cell r="AE203">
            <v>0.31640620000000003</v>
          </cell>
          <cell r="AJ203">
            <v>11.4854460021003</v>
          </cell>
        </row>
        <row r="204">
          <cell r="W204">
            <v>0.63593759999999999</v>
          </cell>
          <cell r="X204">
            <v>11.511072447733</v>
          </cell>
          <cell r="AE204">
            <v>0.3179688</v>
          </cell>
          <cell r="AJ204">
            <v>11.532155177642499</v>
          </cell>
        </row>
        <row r="205">
          <cell r="W205">
            <v>0.63906240000000003</v>
          </cell>
          <cell r="X205">
            <v>11.5208757304892</v>
          </cell>
          <cell r="AE205">
            <v>0.31953120000000002</v>
          </cell>
          <cell r="AJ205">
            <v>11.5671846251365</v>
          </cell>
        </row>
        <row r="206">
          <cell r="W206">
            <v>0.64218759999999997</v>
          </cell>
          <cell r="X206">
            <v>11.521892520803201</v>
          </cell>
          <cell r="AE206">
            <v>0.32109379999999998</v>
          </cell>
          <cell r="AJ206">
            <v>11.590283057841599</v>
          </cell>
        </row>
        <row r="207">
          <cell r="W207">
            <v>0.64531240000000001</v>
          </cell>
          <cell r="X207">
            <v>11.513903808796</v>
          </cell>
          <cell r="AE207">
            <v>0.3226562</v>
          </cell>
          <cell r="AJ207">
            <v>11.6010599786554</v>
          </cell>
        </row>
        <row r="208">
          <cell r="W208">
            <v>0.64843759999999995</v>
          </cell>
          <cell r="X208">
            <v>11.4967457196531</v>
          </cell>
          <cell r="AE208">
            <v>0.32421879999999997</v>
          </cell>
          <cell r="AJ208">
            <v>11.599331786818601</v>
          </cell>
        </row>
        <row r="209">
          <cell r="W209">
            <v>0.65156259999999999</v>
          </cell>
          <cell r="X209">
            <v>11.4702326596804</v>
          </cell>
          <cell r="AE209">
            <v>0.3257813</v>
          </cell>
          <cell r="AJ209">
            <v>11.5847975044401</v>
          </cell>
        </row>
        <row r="210">
          <cell r="W210">
            <v>0.65468740000000003</v>
          </cell>
          <cell r="X210">
            <v>11.434172497881001</v>
          </cell>
          <cell r="AE210">
            <v>0.32734370000000002</v>
          </cell>
          <cell r="AJ210">
            <v>11.557237721590401</v>
          </cell>
        </row>
        <row r="211">
          <cell r="W211">
            <v>0.65781259999999997</v>
          </cell>
          <cell r="X211">
            <v>11.3883533914357</v>
          </cell>
          <cell r="AE211">
            <v>0.32890629999999998</v>
          </cell>
          <cell r="AJ211">
            <v>11.5163254098557</v>
          </cell>
        </row>
        <row r="212">
          <cell r="W212">
            <v>0.66093740000000001</v>
          </cell>
          <cell r="X212">
            <v>11.3326145691435</v>
          </cell>
          <cell r="AE212">
            <v>0.3304687</v>
          </cell>
          <cell r="AJ212">
            <v>11.461834726743101</v>
          </cell>
        </row>
        <row r="213">
          <cell r="W213">
            <v>0.66406240000000005</v>
          </cell>
          <cell r="X213">
            <v>11.266793214956699</v>
          </cell>
          <cell r="AE213">
            <v>0.33203120000000003</v>
          </cell>
          <cell r="AJ213">
            <v>11.393483634035199</v>
          </cell>
        </row>
        <row r="214">
          <cell r="W214">
            <v>0.66718759999999999</v>
          </cell>
          <cell r="X214">
            <v>11.1906726328102</v>
          </cell>
          <cell r="AE214">
            <v>0.3335938</v>
          </cell>
          <cell r="AJ214">
            <v>11.3110206692023</v>
          </cell>
        </row>
        <row r="215">
          <cell r="W215">
            <v>0.67031240000000003</v>
          </cell>
          <cell r="X215">
            <v>11.104101226025501</v>
          </cell>
          <cell r="AE215">
            <v>0.33515620000000002</v>
          </cell>
          <cell r="AJ215">
            <v>11.214200978157701</v>
          </cell>
        </row>
        <row r="216">
          <cell r="W216">
            <v>0.67343759999999997</v>
          </cell>
          <cell r="X216">
            <v>11.006895315820801</v>
          </cell>
          <cell r="AE216">
            <v>0.33671879999999998</v>
          </cell>
          <cell r="AJ216">
            <v>11.1027622816746</v>
          </cell>
        </row>
        <row r="217">
          <cell r="W217">
            <v>0.67656240000000001</v>
          </cell>
          <cell r="X217">
            <v>10.8988908294039</v>
          </cell>
          <cell r="AE217">
            <v>0.3382812</v>
          </cell>
          <cell r="AJ217">
            <v>10.976431666902799</v>
          </cell>
        </row>
        <row r="218">
          <cell r="W218">
            <v>0.67968759999999995</v>
          </cell>
          <cell r="X218">
            <v>10.7799116234417</v>
          </cell>
          <cell r="AE218">
            <v>0.33984379999999997</v>
          </cell>
          <cell r="AJ218">
            <v>10.8349707759529</v>
          </cell>
        </row>
        <row r="219">
          <cell r="W219">
            <v>0.68281239999999999</v>
          </cell>
          <cell r="X219">
            <v>10.649791331630601</v>
          </cell>
          <cell r="AE219">
            <v>0.34140619999999999</v>
          </cell>
          <cell r="AJ219">
            <v>10.6780995165629</v>
          </cell>
        </row>
        <row r="220">
          <cell r="W220">
            <v>0.68593740000000003</v>
          </cell>
          <cell r="X220">
            <v>10.5083578732884</v>
          </cell>
          <cell r="AE220">
            <v>0.34296870000000002</v>
          </cell>
          <cell r="AJ220">
            <v>10.5055628992179</v>
          </cell>
        </row>
        <row r="221">
          <cell r="W221">
            <v>0.68906259999999997</v>
          </cell>
          <cell r="X221">
            <v>10.477736469055801</v>
          </cell>
          <cell r="AE221">
            <v>0.34453129999999998</v>
          </cell>
          <cell r="AJ221">
            <v>10.459163880414</v>
          </cell>
        </row>
        <row r="222">
          <cell r="W222">
            <v>0.69218740000000001</v>
          </cell>
          <cell r="X222">
            <v>10.5600272163318</v>
          </cell>
          <cell r="AE222">
            <v>0.3460937</v>
          </cell>
          <cell r="AJ222">
            <v>10.543724340541001</v>
          </cell>
        </row>
        <row r="223">
          <cell r="W223">
            <v>0.69531259999999995</v>
          </cell>
          <cell r="X223">
            <v>10.6337944972556</v>
          </cell>
          <cell r="AE223">
            <v>0.34765629999999997</v>
          </cell>
          <cell r="AJ223">
            <v>10.619040880895801</v>
          </cell>
        </row>
        <row r="224">
          <cell r="W224">
            <v>0.69843759999999999</v>
          </cell>
          <cell r="X224">
            <v>10.6989771553244</v>
          </cell>
          <cell r="AE224">
            <v>0.3492188</v>
          </cell>
          <cell r="AJ224">
            <v>10.684931592996101</v>
          </cell>
        </row>
        <row r="225">
          <cell r="W225">
            <v>0.70156240000000003</v>
          </cell>
          <cell r="X225">
            <v>10.7555272550994</v>
          </cell>
          <cell r="AE225">
            <v>0.35078120000000002</v>
          </cell>
          <cell r="AJ225">
            <v>10.741245923409499</v>
          </cell>
        </row>
        <row r="226">
          <cell r="W226">
            <v>0.70468759999999997</v>
          </cell>
          <cell r="X226">
            <v>10.8033711988765</v>
          </cell>
          <cell r="AE226">
            <v>0.35234379999999998</v>
          </cell>
          <cell r="AJ226">
            <v>10.787818284975099</v>
          </cell>
        </row>
        <row r="227">
          <cell r="W227">
            <v>0.70781240000000001</v>
          </cell>
          <cell r="X227">
            <v>10.842493603751</v>
          </cell>
          <cell r="AE227">
            <v>0.3539062</v>
          </cell>
          <cell r="AJ227">
            <v>10.824512639462201</v>
          </cell>
        </row>
        <row r="228">
          <cell r="W228">
            <v>0.71093759999999995</v>
          </cell>
          <cell r="X228">
            <v>10.872916753209999</v>
          </cell>
          <cell r="AE228">
            <v>0.35546879999999997</v>
          </cell>
          <cell r="AJ228">
            <v>10.8511709374056</v>
          </cell>
        </row>
        <row r="229">
          <cell r="W229">
            <v>0.71406259999999999</v>
          </cell>
          <cell r="X229">
            <v>10.894638103436099</v>
          </cell>
          <cell r="AE229">
            <v>0.3570313</v>
          </cell>
          <cell r="AJ229">
            <v>10.8677011579401</v>
          </cell>
        </row>
        <row r="230">
          <cell r="W230">
            <v>0.71718740000000003</v>
          </cell>
          <cell r="X230">
            <v>10.9076674355093</v>
          </cell>
          <cell r="AE230">
            <v>0.35859370000000002</v>
          </cell>
          <cell r="AJ230">
            <v>10.874007211774501</v>
          </cell>
        </row>
        <row r="231">
          <cell r="W231">
            <v>0.72031259999999997</v>
          </cell>
          <cell r="X231">
            <v>10.9120851213133</v>
          </cell>
          <cell r="AE231">
            <v>0.36015629999999998</v>
          </cell>
          <cell r="AJ231">
            <v>10.869907108760801</v>
          </cell>
        </row>
        <row r="232">
          <cell r="W232">
            <v>0.72343740000000001</v>
          </cell>
          <cell r="X232">
            <v>10.9079618365058</v>
          </cell>
          <cell r="AE232">
            <v>0.3617187</v>
          </cell>
          <cell r="AJ232">
            <v>10.8553272195239</v>
          </cell>
        </row>
        <row r="233">
          <cell r="W233">
            <v>0.72656240000000005</v>
          </cell>
          <cell r="X233">
            <v>10.895361866606899</v>
          </cell>
          <cell r="AE233">
            <v>0.36328120000000003</v>
          </cell>
          <cell r="AJ233">
            <v>10.8301959599274</v>
          </cell>
        </row>
        <row r="234">
          <cell r="W234">
            <v>0.72968759999999999</v>
          </cell>
          <cell r="X234">
            <v>10.874376958027799</v>
          </cell>
          <cell r="AE234">
            <v>0.3648438</v>
          </cell>
          <cell r="AJ234">
            <v>10.7944073226714</v>
          </cell>
        </row>
        <row r="235">
          <cell r="W235">
            <v>0.73281240000000003</v>
          </cell>
          <cell r="X235">
            <v>10.8451603117479</v>
          </cell>
          <cell r="AE235">
            <v>0.36640620000000002</v>
          </cell>
          <cell r="AJ235">
            <v>10.7479134930791</v>
          </cell>
        </row>
        <row r="236">
          <cell r="W236">
            <v>0.73593759999999997</v>
          </cell>
          <cell r="X236">
            <v>10.8078371503791</v>
          </cell>
          <cell r="AE236">
            <v>0.36796879999999998</v>
          </cell>
          <cell r="AJ236">
            <v>10.6906263185429</v>
          </cell>
        </row>
        <row r="237">
          <cell r="W237">
            <v>0.73906240000000001</v>
          </cell>
          <cell r="X237">
            <v>10.7625386965454</v>
          </cell>
          <cell r="AE237">
            <v>0.3695312</v>
          </cell>
          <cell r="AJ237">
            <v>10.622512695955701</v>
          </cell>
        </row>
        <row r="238">
          <cell r="W238">
            <v>0.74218759999999995</v>
          </cell>
          <cell r="X238">
            <v>10.709432375736201</v>
          </cell>
          <cell r="AE238">
            <v>0.37109379999999997</v>
          </cell>
          <cell r="AJ238">
            <v>10.5435729264944</v>
          </cell>
        </row>
        <row r="239">
          <cell r="W239">
            <v>0.74531239999999999</v>
          </cell>
          <cell r="X239">
            <v>10.6487441615721</v>
          </cell>
          <cell r="AE239">
            <v>0.37265619999999999</v>
          </cell>
          <cell r="AJ239">
            <v>10.453683032887501</v>
          </cell>
        </row>
        <row r="240">
          <cell r="W240">
            <v>0.74843740000000003</v>
          </cell>
          <cell r="X240">
            <v>10.5806518544578</v>
          </cell>
          <cell r="AE240">
            <v>0.37421870000000002</v>
          </cell>
          <cell r="AJ240">
            <v>10.352844231983701</v>
          </cell>
        </row>
        <row r="241">
          <cell r="W241">
            <v>0.75156259999999997</v>
          </cell>
          <cell r="X241">
            <v>10.490574473524299</v>
          </cell>
          <cell r="AE241">
            <v>0.37578129999999998</v>
          </cell>
          <cell r="AJ241">
            <v>10.271360833668901</v>
          </cell>
        </row>
        <row r="242">
          <cell r="W242">
            <v>0.75468740000000001</v>
          </cell>
          <cell r="X242">
            <v>10.3853083395434</v>
          </cell>
          <cell r="AE242">
            <v>0.3773437</v>
          </cell>
          <cell r="AJ242">
            <v>10.2175261710728</v>
          </cell>
        </row>
        <row r="243">
          <cell r="W243">
            <v>0.75781240000000005</v>
          </cell>
          <cell r="X243">
            <v>10.282604196738999</v>
          </cell>
          <cell r="AE243">
            <v>0.37890620000000003</v>
          </cell>
          <cell r="AJ243">
            <v>10.1652291120574</v>
          </cell>
        </row>
        <row r="244">
          <cell r="W244">
            <v>0.76093739999999999</v>
          </cell>
          <cell r="X244">
            <v>10.182704926202501</v>
          </cell>
          <cell r="AE244">
            <v>0.38046869999999999</v>
          </cell>
          <cell r="AJ244">
            <v>10.1153098481638</v>
          </cell>
        </row>
        <row r="245">
          <cell r="W245">
            <v>0.76406240000000003</v>
          </cell>
          <cell r="X245">
            <v>10.0858772693361</v>
          </cell>
          <cell r="AE245">
            <v>0.38203120000000002</v>
          </cell>
          <cell r="AJ245">
            <v>10.068683036185901</v>
          </cell>
        </row>
        <row r="246">
          <cell r="W246">
            <v>0.76718759999999997</v>
          </cell>
          <cell r="X246">
            <v>9.9923416092598298</v>
          </cell>
          <cell r="AE246">
            <v>0.38359379999999998</v>
          </cell>
          <cell r="AJ246">
            <v>10.0263804631978</v>
          </cell>
        </row>
        <row r="247">
          <cell r="W247">
            <v>0.77031240000000001</v>
          </cell>
          <cell r="X247">
            <v>9.9024031448176508</v>
          </cell>
          <cell r="AE247">
            <v>0.3851562</v>
          </cell>
          <cell r="AJ247">
            <v>9.9894549638589805</v>
          </cell>
        </row>
        <row r="248">
          <cell r="W248">
            <v>0.77343759999999995</v>
          </cell>
          <cell r="X248">
            <v>9.8163563636356201</v>
          </cell>
          <cell r="AE248">
            <v>0.38671879999999997</v>
          </cell>
          <cell r="AJ248">
            <v>9.9589983830963895</v>
          </cell>
        </row>
        <row r="249">
          <cell r="W249">
            <v>0.77656259999999999</v>
          </cell>
          <cell r="X249">
            <v>9.7345450504604205</v>
          </cell>
          <cell r="AE249">
            <v>0.3882813</v>
          </cell>
          <cell r="AJ249">
            <v>9.9362550024021701</v>
          </cell>
        </row>
        <row r="250">
          <cell r="W250">
            <v>0.77968740000000003</v>
          </cell>
          <cell r="X250">
            <v>9.6571890134151097</v>
          </cell>
          <cell r="AE250">
            <v>0.38984370000000002</v>
          </cell>
          <cell r="AJ250">
            <v>9.9224663540278097</v>
          </cell>
        </row>
        <row r="251">
          <cell r="W251">
            <v>0.78281259999999997</v>
          </cell>
          <cell r="X251">
            <v>9.5847122680824892</v>
          </cell>
          <cell r="AE251">
            <v>0.39140629999999998</v>
          </cell>
          <cell r="AJ251">
            <v>9.9190135353294799</v>
          </cell>
        </row>
        <row r="252">
          <cell r="W252">
            <v>0.78593740000000001</v>
          </cell>
          <cell r="X252">
            <v>9.5173226599346403</v>
          </cell>
          <cell r="AE252">
            <v>0.3929687</v>
          </cell>
          <cell r="AJ252">
            <v>9.9272844325357994</v>
          </cell>
        </row>
        <row r="253">
          <cell r="W253">
            <v>0.78906240000000005</v>
          </cell>
          <cell r="X253">
            <v>9.4553726238557907</v>
          </cell>
          <cell r="AE253">
            <v>0.39453120000000003</v>
          </cell>
          <cell r="AJ253">
            <v>9.9487669583487701</v>
          </cell>
        </row>
        <row r="254">
          <cell r="W254">
            <v>0.79218759999999999</v>
          </cell>
          <cell r="X254">
            <v>9.3991622530316903</v>
          </cell>
          <cell r="AE254">
            <v>0.3960938</v>
          </cell>
          <cell r="AJ254">
            <v>9.9849894211661105</v>
          </cell>
        </row>
        <row r="255">
          <cell r="W255">
            <v>0.79531240000000003</v>
          </cell>
          <cell r="X255">
            <v>9.3490018306378708</v>
          </cell>
          <cell r="AE255">
            <v>0.39765620000000002</v>
          </cell>
          <cell r="AJ255">
            <v>10.037609223698301</v>
          </cell>
        </row>
        <row r="256">
          <cell r="W256">
            <v>0.79843759999999997</v>
          </cell>
          <cell r="X256">
            <v>9.3052165835453593</v>
          </cell>
          <cell r="AE256">
            <v>0.39921879999999998</v>
          </cell>
          <cell r="AJ256">
            <v>10.1082999842245</v>
          </cell>
        </row>
        <row r="257">
          <cell r="W257">
            <v>0.80156240000000001</v>
          </cell>
          <cell r="X257">
            <v>9.2680418091812307</v>
          </cell>
          <cell r="AE257">
            <v>0.4007812</v>
          </cell>
          <cell r="AJ257">
            <v>9.8557651789381602</v>
          </cell>
        </row>
        <row r="258">
          <cell r="W258">
            <v>0.80468759999999995</v>
          </cell>
          <cell r="X258">
            <v>9.2377981709255206</v>
          </cell>
          <cell r="AE258">
            <v>0.40234379999999997</v>
          </cell>
          <cell r="AJ258">
            <v>9.30132071898608</v>
          </cell>
        </row>
        <row r="259">
          <cell r="W259">
            <v>0.80781239999999999</v>
          </cell>
          <cell r="X259">
            <v>9.2148056595328907</v>
          </cell>
          <cell r="AE259">
            <v>0.40390619999999999</v>
          </cell>
          <cell r="AJ259">
            <v>8.7937254808474705</v>
          </cell>
        </row>
        <row r="260">
          <cell r="W260">
            <v>0.81093740000000003</v>
          </cell>
          <cell r="X260">
            <v>9.1991795721460807</v>
          </cell>
          <cell r="AE260">
            <v>0.40546870000000002</v>
          </cell>
          <cell r="AJ260">
            <v>8.3291684767272702</v>
          </cell>
        </row>
        <row r="261">
          <cell r="W261">
            <v>0.81406259999999997</v>
          </cell>
          <cell r="X261">
            <v>9.5497281317336107</v>
          </cell>
          <cell r="AE261">
            <v>0.40703129999999998</v>
          </cell>
          <cell r="AJ261">
            <v>8.5654286973191596</v>
          </cell>
        </row>
        <row r="262">
          <cell r="W262">
            <v>0.81718740000000001</v>
          </cell>
          <cell r="X262">
            <v>10.184095452738701</v>
          </cell>
          <cell r="AE262">
            <v>0.4085937</v>
          </cell>
          <cell r="AJ262">
            <v>9.3867486443308596</v>
          </cell>
        </row>
        <row r="263">
          <cell r="W263">
            <v>0.82031240000000005</v>
          </cell>
          <cell r="X263">
            <v>10.7082104192359</v>
          </cell>
          <cell r="AE263">
            <v>0.41015620000000003</v>
          </cell>
          <cell r="AJ263">
            <v>10.082303271782701</v>
          </cell>
        </row>
        <row r="264">
          <cell r="W264">
            <v>0.82343759999999999</v>
          </cell>
          <cell r="X264">
            <v>11.1196177100603</v>
          </cell>
          <cell r="AE264">
            <v>0.4117188</v>
          </cell>
          <cell r="AJ264">
            <v>10.6497600990396</v>
          </cell>
        </row>
        <row r="265">
          <cell r="W265">
            <v>0.82656260000000004</v>
          </cell>
          <cell r="X265">
            <v>11.4160475201371</v>
          </cell>
          <cell r="AE265">
            <v>0.41328130000000002</v>
          </cell>
          <cell r="AJ265">
            <v>11.086856367083399</v>
          </cell>
        </row>
        <row r="266">
          <cell r="W266">
            <v>0.82968759999999997</v>
          </cell>
          <cell r="X266">
            <v>11.5953174033625</v>
          </cell>
          <cell r="AE266">
            <v>0.41484379999999998</v>
          </cell>
          <cell r="AJ266">
            <v>11.391275594126199</v>
          </cell>
        </row>
        <row r="267">
          <cell r="W267">
            <v>0.83281240000000001</v>
          </cell>
          <cell r="X267">
            <v>11.6550654147121</v>
          </cell>
          <cell r="AE267">
            <v>0.4164062</v>
          </cell>
          <cell r="AJ267">
            <v>11.560965206807801</v>
          </cell>
        </row>
        <row r="268">
          <cell r="W268">
            <v>0.83593759999999995</v>
          </cell>
          <cell r="X268">
            <v>11.5930979190899</v>
          </cell>
          <cell r="AE268">
            <v>0.41796879999999997</v>
          </cell>
          <cell r="AJ268">
            <v>11.593697229913801</v>
          </cell>
        </row>
        <row r="269">
          <cell r="W269">
            <v>0.83906259999999999</v>
          </cell>
          <cell r="X269">
            <v>11.4071480319906</v>
          </cell>
          <cell r="AE269">
            <v>0.4195313</v>
          </cell>
          <cell r="AJ269">
            <v>11.487452457455699</v>
          </cell>
        </row>
        <row r="270">
          <cell r="W270">
            <v>0.84218740000000003</v>
          </cell>
          <cell r="X270">
            <v>11.094965863757899</v>
          </cell>
          <cell r="AE270">
            <v>0.42109370000000002</v>
          </cell>
          <cell r="AJ270">
            <v>11.240173837455201</v>
          </cell>
        </row>
        <row r="271">
          <cell r="W271">
            <v>0.84531259999999997</v>
          </cell>
          <cell r="X271">
            <v>10.654218842942401</v>
          </cell>
          <cell r="AE271">
            <v>0.42265629999999998</v>
          </cell>
          <cell r="AJ271">
            <v>10.849732023027199</v>
          </cell>
        </row>
        <row r="272">
          <cell r="W272">
            <v>0.84843740000000001</v>
          </cell>
          <cell r="X272">
            <v>10.0826730292078</v>
          </cell>
          <cell r="AE272">
            <v>0.4242187</v>
          </cell>
          <cell r="AJ272">
            <v>10.3142229185007</v>
          </cell>
        </row>
        <row r="273">
          <cell r="W273">
            <v>0.85156240000000005</v>
          </cell>
          <cell r="X273">
            <v>9.3779374493658594</v>
          </cell>
          <cell r="AE273">
            <v>0.42578120000000003</v>
          </cell>
          <cell r="AJ273">
            <v>9.6316705157209093</v>
          </cell>
        </row>
        <row r="274">
          <cell r="W274">
            <v>0.85468759999999999</v>
          </cell>
          <cell r="X274">
            <v>8.5375904261311408</v>
          </cell>
          <cell r="AE274">
            <v>0.4273438</v>
          </cell>
          <cell r="AJ274">
            <v>8.7999281116725605</v>
          </cell>
        </row>
        <row r="275">
          <cell r="W275">
            <v>0.85781260000000004</v>
          </cell>
          <cell r="X275">
            <v>7.5591700581752104</v>
          </cell>
          <cell r="AE275">
            <v>0.42890630000000002</v>
          </cell>
          <cell r="AJ275">
            <v>7.8169980300039699</v>
          </cell>
        </row>
        <row r="276">
          <cell r="W276">
            <v>0.86093759999999997</v>
          </cell>
          <cell r="X276">
            <v>6.4402609574548597</v>
          </cell>
          <cell r="AE276">
            <v>0.43046879999999998</v>
          </cell>
          <cell r="AJ276">
            <v>6.6809064289771403</v>
          </cell>
        </row>
        <row r="277">
          <cell r="W277">
            <v>0.86406240000000001</v>
          </cell>
          <cell r="X277">
            <v>5.1782028436446703</v>
          </cell>
          <cell r="AE277">
            <v>0.4320312</v>
          </cell>
          <cell r="AJ277">
            <v>5.3894557556829898</v>
          </cell>
        </row>
        <row r="278">
          <cell r="W278">
            <v>0.86718759999999995</v>
          </cell>
          <cell r="X278">
            <v>3.7705543546619</v>
          </cell>
          <cell r="AE278">
            <v>0.43359379999999997</v>
          </cell>
          <cell r="AJ278">
            <v>3.9405700798768</v>
          </cell>
        </row>
        <row r="279">
          <cell r="W279">
            <v>0.87031259999999999</v>
          </cell>
          <cell r="X279">
            <v>2.2143838461599401</v>
          </cell>
          <cell r="AE279">
            <v>0.4351563</v>
          </cell>
          <cell r="AJ279">
            <v>2.3322172551703302</v>
          </cell>
        </row>
        <row r="280">
          <cell r="W280">
            <v>0.87343740000000003</v>
          </cell>
          <cell r="X280">
            <v>0.50680817270954504</v>
          </cell>
          <cell r="AE280">
            <v>0.43671870000000002</v>
          </cell>
          <cell r="AJ280">
            <v>0.56203679209160695</v>
          </cell>
        </row>
        <row r="281">
          <cell r="W281">
            <v>0.87656259999999997</v>
          </cell>
          <cell r="X281">
            <v>1.5060929684018001</v>
          </cell>
          <cell r="AE281">
            <v>0.43828129999999998</v>
          </cell>
          <cell r="AJ281">
            <v>1.5226051571744099</v>
          </cell>
        </row>
        <row r="282">
          <cell r="W282">
            <v>0.87968740000000001</v>
          </cell>
          <cell r="X282">
            <v>5.0031737686790203</v>
          </cell>
          <cell r="AE282">
            <v>0.4398437</v>
          </cell>
          <cell r="AJ282">
            <v>5.0125546167889299</v>
          </cell>
        </row>
        <row r="283">
          <cell r="W283">
            <v>0.88281259999999995</v>
          </cell>
          <cell r="X283">
            <v>8.0469906227784698</v>
          </cell>
          <cell r="AE283">
            <v>0.44140629999999997</v>
          </cell>
          <cell r="AJ283">
            <v>8.0500454370277499</v>
          </cell>
        </row>
        <row r="284">
          <cell r="W284">
            <v>0.88593759999999999</v>
          </cell>
          <cell r="X284">
            <v>10.6323352222189</v>
          </cell>
          <cell r="AE284">
            <v>0.4429688</v>
          </cell>
          <cell r="AJ284">
            <v>10.629986173070099</v>
          </cell>
        </row>
        <row r="285">
          <cell r="W285">
            <v>0.88906240000000003</v>
          </cell>
          <cell r="X285">
            <v>12.754546069974801</v>
          </cell>
          <cell r="AE285">
            <v>0.44453120000000002</v>
          </cell>
          <cell r="AJ285">
            <v>12.747647085516</v>
          </cell>
        </row>
        <row r="286">
          <cell r="W286">
            <v>0.89218759999999997</v>
          </cell>
          <cell r="X286">
            <v>14.4094126726576</v>
          </cell>
          <cell r="AE286">
            <v>0.44609379999999998</v>
          </cell>
          <cell r="AJ286">
            <v>14.398747960798399</v>
          </cell>
        </row>
        <row r="287">
          <cell r="W287">
            <v>0.89531240000000001</v>
          </cell>
          <cell r="X287">
            <v>15.5932062075874</v>
          </cell>
          <cell r="AE287">
            <v>0.4476562</v>
          </cell>
          <cell r="AJ287">
            <v>15.579323313652001</v>
          </cell>
        </row>
        <row r="288">
          <cell r="W288">
            <v>0.89843759999999995</v>
          </cell>
          <cell r="X288">
            <v>16.3026348604247</v>
          </cell>
          <cell r="AE288">
            <v>0.44921879999999997</v>
          </cell>
          <cell r="AJ288">
            <v>16.2859278098177</v>
          </cell>
        </row>
        <row r="289">
          <cell r="W289">
            <v>0.90156259999999999</v>
          </cell>
          <cell r="X289">
            <v>16.534722919764299</v>
          </cell>
          <cell r="AE289">
            <v>0.4507813</v>
          </cell>
          <cell r="AJ289">
            <v>16.515473471830799</v>
          </cell>
        </row>
        <row r="290">
          <cell r="W290">
            <v>0.90468740000000003</v>
          </cell>
          <cell r="X290">
            <v>16.286938367280101</v>
          </cell>
          <cell r="AE290">
            <v>0.45234370000000002</v>
          </cell>
          <cell r="AJ290">
            <v>16.265315223305802</v>
          </cell>
        </row>
        <row r="291">
          <cell r="W291">
            <v>0.90781259999999997</v>
          </cell>
          <cell r="X291">
            <v>15.557481512651</v>
          </cell>
          <cell r="AE291">
            <v>0.45390629999999998</v>
          </cell>
          <cell r="AJ291">
            <v>15.5326965610451</v>
          </cell>
        </row>
        <row r="292">
          <cell r="W292">
            <v>0.91093760000000001</v>
          </cell>
          <cell r="X292">
            <v>14.3449037500089</v>
          </cell>
          <cell r="AE292">
            <v>0.45546880000000001</v>
          </cell>
          <cell r="AJ292">
            <v>14.316126656943601</v>
          </cell>
        </row>
        <row r="293">
          <cell r="W293">
            <v>0.91406240000000005</v>
          </cell>
          <cell r="X293">
            <v>12.647695306785</v>
          </cell>
          <cell r="AE293">
            <v>0.45703120000000003</v>
          </cell>
          <cell r="AJ293">
            <v>12.6136491026159</v>
          </cell>
        </row>
        <row r="294">
          <cell r="W294">
            <v>0.91718759999999999</v>
          </cell>
          <cell r="X294">
            <v>10.4654582498196</v>
          </cell>
          <cell r="AE294">
            <v>0.4585938</v>
          </cell>
          <cell r="AJ294">
            <v>10.424025641539799</v>
          </cell>
        </row>
        <row r="295">
          <cell r="W295">
            <v>0.92031240000000003</v>
          </cell>
          <cell r="X295">
            <v>7.7977590994818602</v>
          </cell>
          <cell r="AE295">
            <v>0.46015620000000002</v>
          </cell>
          <cell r="AJ295">
            <v>7.7461436402360002</v>
          </cell>
        </row>
        <row r="296">
          <cell r="W296">
            <v>0.92343759999999997</v>
          </cell>
          <cell r="X296">
            <v>4.6448689836522901</v>
          </cell>
          <cell r="AE296">
            <v>0.46171879999999998</v>
          </cell>
          <cell r="AJ296">
            <v>4.5798991670748803</v>
          </cell>
        </row>
        <row r="297">
          <cell r="W297">
            <v>0.92656240000000001</v>
          </cell>
          <cell r="X297">
            <v>1.0080022499980901</v>
          </cell>
          <cell r="AE297">
            <v>0.4632812</v>
          </cell>
          <cell r="AJ297">
            <v>0.92448900094515796</v>
          </cell>
        </row>
        <row r="298">
          <cell r="W298">
            <v>0.92968759999999995</v>
          </cell>
          <cell r="X298">
            <v>-3.1124546414286698</v>
          </cell>
          <cell r="AE298">
            <v>0.46484379999999997</v>
          </cell>
          <cell r="AJ298">
            <v>-3.2198016694757898</v>
          </cell>
        </row>
        <row r="299">
          <cell r="W299">
            <v>0.93281239999999999</v>
          </cell>
          <cell r="X299">
            <v>-7.7148876104311404</v>
          </cell>
          <cell r="AE299">
            <v>0.46640619999999999</v>
          </cell>
          <cell r="AJ299">
            <v>-7.8528825822271404</v>
          </cell>
        </row>
        <row r="300">
          <cell r="W300">
            <v>0.93593740000000003</v>
          </cell>
          <cell r="X300">
            <v>-12.797763663025099</v>
          </cell>
          <cell r="AE300">
            <v>0.46796870000000002</v>
          </cell>
          <cell r="AJ300">
            <v>-12.974420359062</v>
          </cell>
        </row>
        <row r="301">
          <cell r="W301">
            <v>0.93906259999999997</v>
          </cell>
          <cell r="X301">
            <v>-11.2486543254222</v>
          </cell>
          <cell r="AE301">
            <v>0.46953129999999998</v>
          </cell>
          <cell r="AJ301">
            <v>-11.400272375889701</v>
          </cell>
        </row>
        <row r="302">
          <cell r="W302">
            <v>0.94218760000000001</v>
          </cell>
          <cell r="X302">
            <v>-3.5000695964838702</v>
          </cell>
          <cell r="AE302">
            <v>0.47109380000000001</v>
          </cell>
          <cell r="AJ302">
            <v>-3.5598474848064101</v>
          </cell>
        </row>
        <row r="303">
          <cell r="W303">
            <v>0.94531240000000005</v>
          </cell>
          <cell r="X303">
            <v>3.1614025854348902</v>
          </cell>
          <cell r="AE303">
            <v>0.47265620000000003</v>
          </cell>
          <cell r="AJ303">
            <v>3.18889017396749</v>
          </cell>
        </row>
        <row r="304">
          <cell r="W304">
            <v>0.94843759999999999</v>
          </cell>
          <cell r="X304">
            <v>8.7365378812205101</v>
          </cell>
          <cell r="AE304">
            <v>0.4742188</v>
          </cell>
          <cell r="AJ304">
            <v>8.8451814597078506</v>
          </cell>
        </row>
        <row r="305">
          <cell r="W305">
            <v>0.95156240000000003</v>
          </cell>
          <cell r="X305">
            <v>13.2301104618815</v>
          </cell>
          <cell r="AE305">
            <v>0.47578120000000002</v>
          </cell>
          <cell r="AJ305">
            <v>13.4127266179449</v>
          </cell>
        </row>
        <row r="306">
          <cell r="W306">
            <v>0.95468759999999997</v>
          </cell>
          <cell r="X306">
            <v>16.646962548707901</v>
          </cell>
          <cell r="AE306">
            <v>0.47734379999999998</v>
          </cell>
          <cell r="AJ306">
            <v>16.8948900125203</v>
          </cell>
        </row>
        <row r="307">
          <cell r="W307">
            <v>0.95781240000000001</v>
          </cell>
          <cell r="X307">
            <v>18.993477461753301</v>
          </cell>
          <cell r="AE307">
            <v>0.4789062</v>
          </cell>
          <cell r="AJ307">
            <v>19.296076947086501</v>
          </cell>
        </row>
        <row r="308">
          <cell r="W308">
            <v>0.96093759999999995</v>
          </cell>
          <cell r="X308">
            <v>20.278206922886</v>
          </cell>
          <cell r="AE308">
            <v>0.48046879999999997</v>
          </cell>
          <cell r="AJ308">
            <v>20.622520384912502</v>
          </cell>
        </row>
        <row r="309">
          <cell r="W309">
            <v>0.96406259999999999</v>
          </cell>
          <cell r="X309">
            <v>20.508901160333899</v>
          </cell>
          <cell r="AE309">
            <v>0.4820313</v>
          </cell>
          <cell r="AJ309">
            <v>20.880012294271001</v>
          </cell>
        </row>
        <row r="310">
          <cell r="W310">
            <v>0.96718740000000003</v>
          </cell>
          <cell r="X310">
            <v>19.6957342761267</v>
          </cell>
          <cell r="AE310">
            <v>0.48359370000000002</v>
          </cell>
          <cell r="AJ310">
            <v>20.074093796843702</v>
          </cell>
        </row>
        <row r="311">
          <cell r="W311">
            <v>0.97031259999999997</v>
          </cell>
          <cell r="X311">
            <v>17.8496433211976</v>
          </cell>
          <cell r="AE311">
            <v>0.48515629999999998</v>
          </cell>
          <cell r="AJ311">
            <v>18.222990060689401</v>
          </cell>
        </row>
        <row r="312">
          <cell r="W312">
            <v>0.97343760000000001</v>
          </cell>
          <cell r="X312">
            <v>14.98845130386</v>
          </cell>
          <cell r="AE312">
            <v>0.48671880000000001</v>
          </cell>
          <cell r="AJ312">
            <v>15.3247660878225</v>
          </cell>
        </row>
        <row r="313">
          <cell r="W313">
            <v>0.97656240000000005</v>
          </cell>
          <cell r="X313">
            <v>11.1151836276743</v>
          </cell>
          <cell r="AE313">
            <v>0.48828120000000003</v>
          </cell>
          <cell r="AJ313">
            <v>11.389256344695999</v>
          </cell>
        </row>
        <row r="314">
          <cell r="W314">
            <v>0.97968759999999999</v>
          </cell>
          <cell r="X314">
            <v>6.2572783933278302</v>
          </cell>
          <cell r="AE314">
            <v>0.4898438</v>
          </cell>
          <cell r="AJ314">
            <v>6.4254993121130299</v>
          </cell>
        </row>
        <row r="315">
          <cell r="W315">
            <v>0.98281240000000003</v>
          </cell>
          <cell r="X315">
            <v>0.399605454491542</v>
          </cell>
          <cell r="AE315">
            <v>0.49140620000000002</v>
          </cell>
          <cell r="AJ315">
            <v>0.44706891244679903</v>
          </cell>
        </row>
        <row r="316">
          <cell r="W316">
            <v>0.98593759999999997</v>
          </cell>
          <cell r="X316">
            <v>-6.4247124070033097</v>
          </cell>
          <cell r="AE316">
            <v>0.49296879999999998</v>
          </cell>
          <cell r="AJ316">
            <v>-6.5302049355988503</v>
          </cell>
        </row>
        <row r="317">
          <cell r="W317">
            <v>0.98906240000000001</v>
          </cell>
          <cell r="X317">
            <v>-14.1671585551797</v>
          </cell>
          <cell r="AE317">
            <v>0.4945312</v>
          </cell>
          <cell r="AJ317">
            <v>-14.4989375397499</v>
          </cell>
        </row>
        <row r="318">
          <cell r="W318">
            <v>0.99218759999999995</v>
          </cell>
          <cell r="X318">
            <v>-22.850765490286001</v>
          </cell>
          <cell r="AE318">
            <v>0.49609379999999997</v>
          </cell>
          <cell r="AJ318">
            <v>-23.3176703075648</v>
          </cell>
        </row>
        <row r="319">
          <cell r="W319">
            <v>0.99531259999999999</v>
          </cell>
          <cell r="X319">
            <v>-32.2977723302782</v>
          </cell>
          <cell r="AE319">
            <v>0.4976563</v>
          </cell>
          <cell r="AJ319">
            <v>-33.4108871989907</v>
          </cell>
        </row>
        <row r="320">
          <cell r="W320">
            <v>0.99843760000000004</v>
          </cell>
          <cell r="X320">
            <v>-43.338106780593399</v>
          </cell>
          <cell r="AE320">
            <v>0.49921880000000002</v>
          </cell>
          <cell r="AJ320">
            <v>-44.685835921586197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3"/>
      <sheetName val="Sheet2"/>
    </sheetNames>
    <sheetDataSet>
      <sheetData sheetId="0"/>
      <sheetData sheetId="1">
        <row r="1">
          <cell r="F1">
            <v>7.8125000000000004E-4</v>
          </cell>
          <cell r="G1">
            <v>1.5625000000000001E-3</v>
          </cell>
          <cell r="K1">
            <v>14.2783826174987</v>
          </cell>
        </row>
        <row r="2">
          <cell r="F2">
            <v>2.3437499999999999E-3</v>
          </cell>
          <cell r="G2">
            <v>4.6874999999999998E-3</v>
          </cell>
          <cell r="K2">
            <v>14.278870873880701</v>
          </cell>
        </row>
        <row r="3">
          <cell r="F3">
            <v>3.90625E-3</v>
          </cell>
          <cell r="G3">
            <v>7.8125E-3</v>
          </cell>
          <cell r="K3">
            <v>14.2793246431984</v>
          </cell>
        </row>
        <row r="4">
          <cell r="F4">
            <v>5.4687499999999997E-3</v>
          </cell>
          <cell r="G4">
            <v>1.0937499999999999E-2</v>
          </cell>
          <cell r="K4">
            <v>14.279743906594501</v>
          </cell>
        </row>
        <row r="5">
          <cell r="F5">
            <v>7.0312500000000002E-3</v>
          </cell>
          <cell r="G5">
            <v>1.40625E-2</v>
          </cell>
          <cell r="K5">
            <v>14.2801286399557</v>
          </cell>
        </row>
        <row r="6">
          <cell r="F6">
            <v>8.5937500000000007E-3</v>
          </cell>
          <cell r="G6">
            <v>1.7187500000000001E-2</v>
          </cell>
          <cell r="K6">
            <v>14.280478819607</v>
          </cell>
        </row>
        <row r="7">
          <cell r="F7">
            <v>1.015625E-2</v>
          </cell>
          <cell r="G7">
            <v>2.0312500000000001E-2</v>
          </cell>
          <cell r="K7">
            <v>14.280794406612801</v>
          </cell>
        </row>
        <row r="8">
          <cell r="F8">
            <v>1.171875E-2</v>
          </cell>
          <cell r="G8">
            <v>2.34375E-2</v>
          </cell>
          <cell r="K8">
            <v>14.2810753663185</v>
          </cell>
        </row>
        <row r="9">
          <cell r="F9">
            <v>1.328125E-2</v>
          </cell>
          <cell r="G9">
            <v>2.6562499999999999E-2</v>
          </cell>
          <cell r="K9">
            <v>14.2813216575579</v>
          </cell>
        </row>
        <row r="10">
          <cell r="F10">
            <v>1.4843749999999999E-2</v>
          </cell>
          <cell r="G10">
            <v>2.9687499999999999E-2</v>
          </cell>
          <cell r="K10">
            <v>14.281533238485199</v>
          </cell>
        </row>
        <row r="11">
          <cell r="F11">
            <v>1.6406250000000001E-2</v>
          </cell>
          <cell r="G11">
            <v>3.2812500000000001E-2</v>
          </cell>
          <cell r="K11">
            <v>14.2817101060133</v>
          </cell>
        </row>
        <row r="12">
          <cell r="F12">
            <v>1.7968749999999999E-2</v>
          </cell>
          <cell r="G12">
            <v>3.5937499999999997E-2</v>
          </cell>
          <cell r="K12">
            <v>14.281852099467899</v>
          </cell>
        </row>
        <row r="13">
          <cell r="F13">
            <v>1.953125E-2</v>
          </cell>
          <cell r="G13">
            <v>3.90625E-2</v>
          </cell>
          <cell r="K13">
            <v>14.281959214806699</v>
          </cell>
        </row>
        <row r="14">
          <cell r="F14">
            <v>2.1093750000000001E-2</v>
          </cell>
          <cell r="G14">
            <v>4.2187500000000003E-2</v>
          </cell>
          <cell r="K14">
            <v>14.282031402829899</v>
          </cell>
        </row>
        <row r="15">
          <cell r="F15">
            <v>2.2656249999999999E-2</v>
          </cell>
          <cell r="G15">
            <v>4.5312499999999999E-2</v>
          </cell>
          <cell r="K15">
            <v>14.282068613295699</v>
          </cell>
        </row>
        <row r="16">
          <cell r="F16">
            <v>2.4218750000000001E-2</v>
          </cell>
          <cell r="G16">
            <v>4.8437500000000001E-2</v>
          </cell>
          <cell r="K16">
            <v>14.2820707300267</v>
          </cell>
        </row>
        <row r="17">
          <cell r="F17">
            <v>2.5781249999999999E-2</v>
          </cell>
          <cell r="G17">
            <v>5.1562499999999997E-2</v>
          </cell>
          <cell r="K17">
            <v>14.282037700607001</v>
          </cell>
        </row>
        <row r="18">
          <cell r="F18">
            <v>2.734375E-2</v>
          </cell>
          <cell r="G18">
            <v>5.46875E-2</v>
          </cell>
          <cell r="K18">
            <v>14.281969363861499</v>
          </cell>
        </row>
        <row r="19">
          <cell r="F19">
            <v>2.8906250000000001E-2</v>
          </cell>
          <cell r="G19">
            <v>5.7812500000000003E-2</v>
          </cell>
          <cell r="K19">
            <v>14.2818657221484</v>
          </cell>
        </row>
        <row r="20">
          <cell r="F20">
            <v>3.0468749999999999E-2</v>
          </cell>
          <cell r="G20">
            <v>6.0937499999999999E-2</v>
          </cell>
          <cell r="K20">
            <v>14.2817267070568</v>
          </cell>
        </row>
        <row r="21">
          <cell r="F21">
            <v>3.2031249999999997E-2</v>
          </cell>
          <cell r="G21">
            <v>6.4062499999999994E-2</v>
          </cell>
          <cell r="K21">
            <v>14.2572938339478</v>
          </cell>
        </row>
        <row r="22">
          <cell r="F22">
            <v>3.3593749999999999E-2</v>
          </cell>
          <cell r="G22">
            <v>6.7187499999999997E-2</v>
          </cell>
          <cell r="K22">
            <v>14.2567440784543</v>
          </cell>
        </row>
        <row r="23">
          <cell r="F23">
            <v>3.515625E-2</v>
          </cell>
          <cell r="G23">
            <v>7.03125E-2</v>
          </cell>
          <cell r="K23">
            <v>14.256185908680999</v>
          </cell>
        </row>
        <row r="24">
          <cell r="F24">
            <v>3.6718750000000001E-2</v>
          </cell>
          <cell r="G24">
            <v>7.3437500000000003E-2</v>
          </cell>
          <cell r="K24">
            <v>14.255619858388799</v>
          </cell>
        </row>
        <row r="25">
          <cell r="F25">
            <v>3.8281250000000003E-2</v>
          </cell>
          <cell r="G25">
            <v>7.6562500000000006E-2</v>
          </cell>
          <cell r="K25">
            <v>14.2550462939447</v>
          </cell>
        </row>
        <row r="26">
          <cell r="F26">
            <v>3.9843749999999997E-2</v>
          </cell>
          <cell r="G26">
            <v>7.9687499999999994E-2</v>
          </cell>
          <cell r="K26">
            <v>14.2544647185423</v>
          </cell>
        </row>
        <row r="27">
          <cell r="F27">
            <v>4.1406249999999999E-2</v>
          </cell>
          <cell r="G27">
            <v>8.2812499999999997E-2</v>
          </cell>
          <cell r="K27">
            <v>14.2538760049028</v>
          </cell>
        </row>
        <row r="28">
          <cell r="F28">
            <v>4.296875E-2</v>
          </cell>
          <cell r="G28">
            <v>8.59375E-2</v>
          </cell>
          <cell r="K28">
            <v>14.253279205237799</v>
          </cell>
        </row>
        <row r="29">
          <cell r="F29">
            <v>4.4531250000000001E-2</v>
          </cell>
          <cell r="G29">
            <v>8.9062500000000003E-2</v>
          </cell>
          <cell r="K29">
            <v>14.2526748933325</v>
          </cell>
        </row>
        <row r="30">
          <cell r="F30">
            <v>4.6093750000000003E-2</v>
          </cell>
          <cell r="G30">
            <v>9.2187500000000006E-2</v>
          </cell>
          <cell r="K30">
            <v>14.2520632872496</v>
          </cell>
        </row>
        <row r="31">
          <cell r="F31">
            <v>4.7656249999999997E-2</v>
          </cell>
          <cell r="G31">
            <v>9.5312499999999994E-2</v>
          </cell>
          <cell r="K31">
            <v>14.2514445741947</v>
          </cell>
        </row>
        <row r="32">
          <cell r="F32">
            <v>4.9218749999999999E-2</v>
          </cell>
          <cell r="G32">
            <v>9.8437499999999997E-2</v>
          </cell>
          <cell r="K32">
            <v>14.250818842976599</v>
          </cell>
        </row>
        <row r="33">
          <cell r="F33">
            <v>5.078125E-2</v>
          </cell>
          <cell r="G33">
            <v>0.1015625</v>
          </cell>
          <cell r="K33">
            <v>14.2501857970381</v>
          </cell>
        </row>
        <row r="34">
          <cell r="F34">
            <v>5.2343750000000001E-2</v>
          </cell>
          <cell r="G34">
            <v>0.1046875</v>
          </cell>
          <cell r="K34">
            <v>14.2495456429876</v>
          </cell>
        </row>
        <row r="35">
          <cell r="F35">
            <v>5.3906250000000003E-2</v>
          </cell>
          <cell r="G35">
            <v>0.10781250000000001</v>
          </cell>
          <cell r="K35">
            <v>14.248896951271099</v>
          </cell>
        </row>
        <row r="36">
          <cell r="F36">
            <v>5.5468749999999997E-2</v>
          </cell>
          <cell r="G36">
            <v>0.11093749999999999</v>
          </cell>
          <cell r="K36">
            <v>14.2482421718704</v>
          </cell>
        </row>
        <row r="37">
          <cell r="F37">
            <v>5.7031249999999999E-2</v>
          </cell>
          <cell r="G37">
            <v>0.1140625</v>
          </cell>
          <cell r="K37">
            <v>14.247581170838901</v>
          </cell>
        </row>
        <row r="38">
          <cell r="F38">
            <v>5.859375E-2</v>
          </cell>
          <cell r="G38">
            <v>0.1171875</v>
          </cell>
          <cell r="K38">
            <v>14.246913571247999</v>
          </cell>
        </row>
        <row r="39">
          <cell r="F39">
            <v>6.0156250000000001E-2</v>
          </cell>
          <cell r="G39">
            <v>0.1203125</v>
          </cell>
          <cell r="K39">
            <v>14.246239130208</v>
          </cell>
        </row>
        <row r="40">
          <cell r="F40">
            <v>6.1718750000000003E-2</v>
          </cell>
          <cell r="G40">
            <v>0.12343750000000001</v>
          </cell>
          <cell r="K40">
            <v>14.245558558459701</v>
          </cell>
        </row>
        <row r="41">
          <cell r="F41">
            <v>6.3281249999999997E-2</v>
          </cell>
          <cell r="G41">
            <v>0.12656249999999999</v>
          </cell>
          <cell r="K41">
            <v>14.1956972420057</v>
          </cell>
        </row>
        <row r="42">
          <cell r="F42">
            <v>6.4843750000000006E-2</v>
          </cell>
          <cell r="G42">
            <v>0.12968750000000001</v>
          </cell>
          <cell r="K42">
            <v>14.195115008955501</v>
          </cell>
        </row>
        <row r="43">
          <cell r="F43">
            <v>6.640625E-2</v>
          </cell>
          <cell r="G43">
            <v>0.1328125</v>
          </cell>
          <cell r="K43">
            <v>14.1945200003158</v>
          </cell>
        </row>
        <row r="44">
          <cell r="F44">
            <v>6.7968749999999994E-2</v>
          </cell>
          <cell r="G44">
            <v>0.13593749999999999</v>
          </cell>
          <cell r="K44">
            <v>14.193913593647199</v>
          </cell>
        </row>
        <row r="45">
          <cell r="F45">
            <v>6.9531250000000003E-2</v>
          </cell>
          <cell r="G45">
            <v>0.13906250000000001</v>
          </cell>
          <cell r="K45">
            <v>14.193293982090401</v>
          </cell>
        </row>
        <row r="46">
          <cell r="F46">
            <v>7.1093749999999997E-2</v>
          </cell>
          <cell r="G46">
            <v>0.14218749999999999</v>
          </cell>
          <cell r="K46">
            <v>14.1926618750958</v>
          </cell>
        </row>
        <row r="47">
          <cell r="F47">
            <v>7.2656250000000006E-2</v>
          </cell>
          <cell r="G47">
            <v>0.14531250000000001</v>
          </cell>
          <cell r="K47">
            <v>14.1920174884149</v>
          </cell>
        </row>
        <row r="48">
          <cell r="F48">
            <v>7.421875E-2</v>
          </cell>
          <cell r="G48">
            <v>0.1484375</v>
          </cell>
          <cell r="K48">
            <v>14.191360216843901</v>
          </cell>
        </row>
        <row r="49">
          <cell r="F49">
            <v>7.5781249999999994E-2</v>
          </cell>
          <cell r="G49">
            <v>0.15156249999999999</v>
          </cell>
          <cell r="K49">
            <v>14.1906903681123</v>
          </cell>
        </row>
        <row r="50">
          <cell r="F50">
            <v>7.7343750000000003E-2</v>
          </cell>
          <cell r="G50">
            <v>0.15468750000000001</v>
          </cell>
          <cell r="K50">
            <v>14.1900080438682</v>
          </cell>
        </row>
        <row r="51">
          <cell r="F51">
            <v>7.8906249999999997E-2</v>
          </cell>
          <cell r="G51">
            <v>0.15781249999999999</v>
          </cell>
          <cell r="K51">
            <v>14.1893139199567</v>
          </cell>
        </row>
        <row r="52">
          <cell r="F52">
            <v>8.0468750000000006E-2</v>
          </cell>
          <cell r="G52">
            <v>0.16093750000000001</v>
          </cell>
          <cell r="K52">
            <v>14.188593742063301</v>
          </cell>
        </row>
        <row r="53">
          <cell r="F53">
            <v>8.203125E-2</v>
          </cell>
          <cell r="G53">
            <v>0.1640625</v>
          </cell>
          <cell r="K53">
            <v>14.1878720510588</v>
          </cell>
        </row>
        <row r="54">
          <cell r="F54">
            <v>8.3593749999999994E-2</v>
          </cell>
          <cell r="G54">
            <v>0.16718749999999999</v>
          </cell>
          <cell r="K54">
            <v>14.187134553572699</v>
          </cell>
        </row>
        <row r="55">
          <cell r="F55">
            <v>8.5156250000000003E-2</v>
          </cell>
          <cell r="G55">
            <v>0.17031250000000001</v>
          </cell>
          <cell r="K55">
            <v>14.1863852824553</v>
          </cell>
        </row>
        <row r="56">
          <cell r="F56">
            <v>8.6718749999999997E-2</v>
          </cell>
          <cell r="G56">
            <v>0.17343749999999999</v>
          </cell>
          <cell r="K56">
            <v>14.185625321828701</v>
          </cell>
        </row>
        <row r="57">
          <cell r="F57">
            <v>8.8281250000000006E-2</v>
          </cell>
          <cell r="G57">
            <v>0.17656250000000001</v>
          </cell>
          <cell r="K57">
            <v>14.184850878507399</v>
          </cell>
        </row>
        <row r="58">
          <cell r="F58">
            <v>8.984375E-2</v>
          </cell>
          <cell r="G58">
            <v>0.1796875</v>
          </cell>
          <cell r="K58">
            <v>14.1840654621612</v>
          </cell>
        </row>
        <row r="59">
          <cell r="F59">
            <v>9.1406249999999994E-2</v>
          </cell>
          <cell r="G59">
            <v>0.18281249999999999</v>
          </cell>
          <cell r="K59">
            <v>14.1832669089339</v>
          </cell>
        </row>
        <row r="60">
          <cell r="F60">
            <v>9.2968750000000003E-2</v>
          </cell>
          <cell r="G60">
            <v>0.18593750000000001</v>
          </cell>
          <cell r="K60">
            <v>14.182454650581899</v>
          </cell>
        </row>
        <row r="61">
          <cell r="F61">
            <v>9.4531249999999997E-2</v>
          </cell>
          <cell r="G61">
            <v>0.18906249999999999</v>
          </cell>
          <cell r="K61">
            <v>14.1082895035512</v>
          </cell>
        </row>
        <row r="62">
          <cell r="F62">
            <v>9.6093750000000006E-2</v>
          </cell>
          <cell r="G62">
            <v>0.19218750000000001</v>
          </cell>
          <cell r="K62">
            <v>14.107185299682699</v>
          </cell>
        </row>
        <row r="63">
          <cell r="F63">
            <v>9.765625E-2</v>
          </cell>
          <cell r="G63">
            <v>0.1953125</v>
          </cell>
          <cell r="K63">
            <v>14.106068018358</v>
          </cell>
        </row>
        <row r="64">
          <cell r="F64">
            <v>9.9218749999999994E-2</v>
          </cell>
          <cell r="G64">
            <v>0.19843749999999999</v>
          </cell>
          <cell r="K64">
            <v>14.104939530751301</v>
          </cell>
        </row>
        <row r="65">
          <cell r="F65">
            <v>0.1007813</v>
          </cell>
          <cell r="G65">
            <v>0.20156260000000001</v>
          </cell>
          <cell r="K65">
            <v>14.1038004238354</v>
          </cell>
        </row>
        <row r="66">
          <cell r="F66">
            <v>0.1023438</v>
          </cell>
          <cell r="G66">
            <v>0.2046876</v>
          </cell>
          <cell r="K66">
            <v>14.102650156260299</v>
          </cell>
        </row>
        <row r="67">
          <cell r="F67">
            <v>0.10390629999999999</v>
          </cell>
          <cell r="G67">
            <v>0.20781259999999999</v>
          </cell>
          <cell r="K67">
            <v>14.101488093319199</v>
          </cell>
        </row>
        <row r="68">
          <cell r="F68">
            <v>0.1054688</v>
          </cell>
          <cell r="G68">
            <v>0.2109376</v>
          </cell>
          <cell r="K68">
            <v>14.1003125167226</v>
          </cell>
        </row>
        <row r="69">
          <cell r="F69">
            <v>0.1070313</v>
          </cell>
          <cell r="G69">
            <v>0.21406259999999999</v>
          </cell>
          <cell r="K69">
            <v>14.0991216165264</v>
          </cell>
        </row>
        <row r="70">
          <cell r="F70">
            <v>0.1085938</v>
          </cell>
          <cell r="G70">
            <v>0.21718760000000001</v>
          </cell>
          <cell r="K70">
            <v>14.097928340089499</v>
          </cell>
        </row>
        <row r="71">
          <cell r="F71">
            <v>0.1101563</v>
          </cell>
          <cell r="G71">
            <v>0.2203126</v>
          </cell>
          <cell r="K71">
            <v>14.096725288373101</v>
          </cell>
        </row>
        <row r="72">
          <cell r="F72">
            <v>0.11171879999999999</v>
          </cell>
          <cell r="G72">
            <v>0.22343759999999999</v>
          </cell>
          <cell r="K72">
            <v>14.0955114846009</v>
          </cell>
        </row>
        <row r="73">
          <cell r="F73">
            <v>0.1132813</v>
          </cell>
          <cell r="G73">
            <v>0.2265626</v>
          </cell>
          <cell r="K73">
            <v>14.094287703795899</v>
          </cell>
        </row>
        <row r="74">
          <cell r="F74">
            <v>0.11484370000000001</v>
          </cell>
          <cell r="G74">
            <v>0.22968740000000001</v>
          </cell>
          <cell r="K74">
            <v>14.093054399402099</v>
          </cell>
        </row>
        <row r="75">
          <cell r="F75">
            <v>0.1164063</v>
          </cell>
          <cell r="G75">
            <v>0.23281260000000001</v>
          </cell>
          <cell r="K75">
            <v>14.091813548647499</v>
          </cell>
        </row>
        <row r="76">
          <cell r="F76">
            <v>0.1179687</v>
          </cell>
          <cell r="G76">
            <v>0.23593739999999999</v>
          </cell>
          <cell r="K76">
            <v>14.0905618499652</v>
          </cell>
        </row>
        <row r="77">
          <cell r="F77">
            <v>0.11953129999999999</v>
          </cell>
          <cell r="G77">
            <v>0.23906259999999999</v>
          </cell>
          <cell r="K77">
            <v>14.0893020779642</v>
          </cell>
        </row>
        <row r="78">
          <cell r="F78">
            <v>0.1210938</v>
          </cell>
          <cell r="G78">
            <v>0.2421876</v>
          </cell>
          <cell r="K78">
            <v>14.088028554250799</v>
          </cell>
        </row>
        <row r="79">
          <cell r="F79">
            <v>0.12265620000000001</v>
          </cell>
          <cell r="G79">
            <v>0.24531240000000001</v>
          </cell>
          <cell r="K79">
            <v>14.0867508534641</v>
          </cell>
        </row>
        <row r="80">
          <cell r="F80">
            <v>0.1242188</v>
          </cell>
          <cell r="G80">
            <v>0.24843760000000001</v>
          </cell>
          <cell r="K80">
            <v>14.0854681759239</v>
          </cell>
        </row>
        <row r="81">
          <cell r="F81">
            <v>0.12578130000000001</v>
          </cell>
          <cell r="G81">
            <v>0.25156260000000003</v>
          </cell>
          <cell r="K81">
            <v>13.986451125342001</v>
          </cell>
        </row>
        <row r="82">
          <cell r="F82">
            <v>0.12734380000000001</v>
          </cell>
          <cell r="G82">
            <v>0.25468760000000001</v>
          </cell>
          <cell r="K82">
            <v>13.985379888574901</v>
          </cell>
        </row>
        <row r="83">
          <cell r="F83">
            <v>0.1289062</v>
          </cell>
          <cell r="G83">
            <v>0.2578124</v>
          </cell>
          <cell r="K83">
            <v>13.9842964120608</v>
          </cell>
        </row>
        <row r="84">
          <cell r="F84">
            <v>0.13046869999999999</v>
          </cell>
          <cell r="G84">
            <v>0.26093739999999999</v>
          </cell>
          <cell r="K84">
            <v>13.9832040996793</v>
          </cell>
        </row>
        <row r="85">
          <cell r="F85">
            <v>0.13203119999999999</v>
          </cell>
          <cell r="G85">
            <v>0.26406239999999997</v>
          </cell>
          <cell r="K85">
            <v>13.982098581700001</v>
          </cell>
        </row>
        <row r="86">
          <cell r="F86">
            <v>0.13359380000000001</v>
          </cell>
          <cell r="G86">
            <v>0.26718760000000003</v>
          </cell>
          <cell r="K86">
            <v>13.980985644157601</v>
          </cell>
        </row>
        <row r="87">
          <cell r="F87">
            <v>0.13515630000000001</v>
          </cell>
          <cell r="G87">
            <v>0.27031260000000001</v>
          </cell>
          <cell r="K87">
            <v>13.9798555602828</v>
          </cell>
        </row>
        <row r="88">
          <cell r="F88">
            <v>0.1367188</v>
          </cell>
          <cell r="G88">
            <v>0.2734376</v>
          </cell>
          <cell r="K88">
            <v>13.978712541763899</v>
          </cell>
        </row>
        <row r="89">
          <cell r="F89">
            <v>0.13828119999999999</v>
          </cell>
          <cell r="G89">
            <v>0.27656239999999999</v>
          </cell>
          <cell r="K89">
            <v>13.977555672901801</v>
          </cell>
        </row>
        <row r="90">
          <cell r="F90">
            <v>0.13984369999999999</v>
          </cell>
          <cell r="G90">
            <v>0.27968739999999997</v>
          </cell>
          <cell r="K90">
            <v>13.976385820279599</v>
          </cell>
        </row>
        <row r="91">
          <cell r="F91">
            <v>0.14140630000000001</v>
          </cell>
          <cell r="G91">
            <v>0.28281260000000003</v>
          </cell>
          <cell r="K91">
            <v>13.9752073199243</v>
          </cell>
        </row>
        <row r="92">
          <cell r="F92">
            <v>0.14296880000000001</v>
          </cell>
          <cell r="G92">
            <v>0.28593760000000001</v>
          </cell>
          <cell r="K92">
            <v>13.974011101882599</v>
          </cell>
        </row>
        <row r="93">
          <cell r="F93">
            <v>0.1445312</v>
          </cell>
          <cell r="G93">
            <v>0.2890624</v>
          </cell>
          <cell r="K93">
            <v>13.9728019690154</v>
          </cell>
        </row>
        <row r="94">
          <cell r="F94">
            <v>0.14609369999999999</v>
          </cell>
          <cell r="G94">
            <v>0.29218739999999999</v>
          </cell>
          <cell r="K94">
            <v>13.9715717652895</v>
          </cell>
        </row>
        <row r="95">
          <cell r="F95">
            <v>0.14765619999999999</v>
          </cell>
          <cell r="G95">
            <v>0.29531239999999997</v>
          </cell>
          <cell r="K95">
            <v>13.9703350556392</v>
          </cell>
        </row>
        <row r="96">
          <cell r="F96">
            <v>0.14921880000000001</v>
          </cell>
          <cell r="G96">
            <v>0.29843760000000003</v>
          </cell>
          <cell r="K96">
            <v>13.969086476685501</v>
          </cell>
        </row>
        <row r="97">
          <cell r="F97">
            <v>0.15078130000000001</v>
          </cell>
          <cell r="G97">
            <v>0.30156260000000001</v>
          </cell>
          <cell r="K97">
            <v>13.967819418719801</v>
          </cell>
        </row>
        <row r="98">
          <cell r="F98">
            <v>0.1523438</v>
          </cell>
          <cell r="G98">
            <v>0.3046876</v>
          </cell>
          <cell r="K98">
            <v>13.966535979562799</v>
          </cell>
        </row>
        <row r="99">
          <cell r="F99">
            <v>0.1539063</v>
          </cell>
          <cell r="G99">
            <v>0.30781259999999999</v>
          </cell>
          <cell r="K99">
            <v>13.965233203726999</v>
          </cell>
        </row>
        <row r="100">
          <cell r="F100">
            <v>0.15546869999999999</v>
          </cell>
          <cell r="G100">
            <v>0.31093739999999997</v>
          </cell>
          <cell r="K100">
            <v>13.963923692485499</v>
          </cell>
        </row>
        <row r="101">
          <cell r="F101">
            <v>0.15703130000000001</v>
          </cell>
          <cell r="G101">
            <v>0.31406260000000003</v>
          </cell>
          <cell r="K101">
            <v>13.8402052522639</v>
          </cell>
        </row>
        <row r="102">
          <cell r="F102">
            <v>0.15859380000000001</v>
          </cell>
          <cell r="G102">
            <v>0.31718760000000001</v>
          </cell>
          <cell r="K102">
            <v>13.8385616048544</v>
          </cell>
        </row>
        <row r="103">
          <cell r="F103">
            <v>0.1601562</v>
          </cell>
          <cell r="G103">
            <v>0.3203124</v>
          </cell>
          <cell r="K103">
            <v>13.8369049082859</v>
          </cell>
        </row>
        <row r="104">
          <cell r="F104">
            <v>0.16171869999999999</v>
          </cell>
          <cell r="G104">
            <v>0.32343739999999999</v>
          </cell>
          <cell r="K104">
            <v>13.835240934981201</v>
          </cell>
        </row>
        <row r="105">
          <cell r="F105">
            <v>0.16328119999999999</v>
          </cell>
          <cell r="G105">
            <v>0.32656239999999997</v>
          </cell>
          <cell r="K105">
            <v>13.833562398822201</v>
          </cell>
        </row>
        <row r="106">
          <cell r="F106">
            <v>0.16484380000000001</v>
          </cell>
          <cell r="G106">
            <v>0.32968760000000003</v>
          </cell>
          <cell r="K106">
            <v>13.8318671030343</v>
          </cell>
        </row>
        <row r="107">
          <cell r="F107">
            <v>0.16640630000000001</v>
          </cell>
          <cell r="G107">
            <v>0.33281260000000001</v>
          </cell>
          <cell r="K107">
            <v>13.8301618511711</v>
          </cell>
        </row>
        <row r="108">
          <cell r="F108">
            <v>0.1679688</v>
          </cell>
          <cell r="G108">
            <v>0.3359376</v>
          </cell>
          <cell r="K108">
            <v>13.8284436766476</v>
          </cell>
        </row>
        <row r="109">
          <cell r="F109">
            <v>0.16953119999999999</v>
          </cell>
          <cell r="G109">
            <v>0.33906239999999999</v>
          </cell>
          <cell r="K109">
            <v>13.826715773760499</v>
          </cell>
        </row>
        <row r="110">
          <cell r="F110">
            <v>0.17109369999999999</v>
          </cell>
          <cell r="G110">
            <v>0.34218739999999997</v>
          </cell>
          <cell r="K110">
            <v>13.824984450308399</v>
          </cell>
        </row>
        <row r="111">
          <cell r="F111">
            <v>0.17265630000000001</v>
          </cell>
          <cell r="G111">
            <v>0.34531260000000003</v>
          </cell>
          <cell r="K111">
            <v>13.8232464810672</v>
          </cell>
        </row>
        <row r="112">
          <cell r="F112">
            <v>0.17421880000000001</v>
          </cell>
          <cell r="G112">
            <v>0.34843760000000001</v>
          </cell>
          <cell r="K112">
            <v>13.8214911505295</v>
          </cell>
        </row>
        <row r="113">
          <cell r="F113">
            <v>0.1757812</v>
          </cell>
          <cell r="G113">
            <v>0.3515624</v>
          </cell>
          <cell r="K113">
            <v>13.8197349372217</v>
          </cell>
        </row>
        <row r="114">
          <cell r="F114">
            <v>0.17734369999999999</v>
          </cell>
          <cell r="G114">
            <v>0.35468739999999999</v>
          </cell>
          <cell r="K114">
            <v>13.817964743439299</v>
          </cell>
        </row>
        <row r="115">
          <cell r="F115">
            <v>0.17890619999999999</v>
          </cell>
          <cell r="G115">
            <v>0.35781239999999997</v>
          </cell>
          <cell r="K115">
            <v>13.8161857307738</v>
          </cell>
        </row>
        <row r="116">
          <cell r="F116">
            <v>0.18046880000000001</v>
          </cell>
          <cell r="G116">
            <v>0.36093760000000003</v>
          </cell>
          <cell r="K116">
            <v>13.8144007442143</v>
          </cell>
        </row>
        <row r="117">
          <cell r="F117">
            <v>0.18203130000000001</v>
          </cell>
          <cell r="G117">
            <v>0.36406260000000001</v>
          </cell>
          <cell r="K117">
            <v>13.812611586569099</v>
          </cell>
        </row>
        <row r="118">
          <cell r="F118">
            <v>0.1835938</v>
          </cell>
          <cell r="G118">
            <v>0.3671876</v>
          </cell>
          <cell r="K118">
            <v>13.8108199578302</v>
          </cell>
        </row>
        <row r="119">
          <cell r="F119">
            <v>0.18515619999999999</v>
          </cell>
          <cell r="G119">
            <v>0.37031239999999999</v>
          </cell>
          <cell r="K119">
            <v>13.809025437694199</v>
          </cell>
        </row>
        <row r="120">
          <cell r="F120">
            <v>0.18671869999999999</v>
          </cell>
          <cell r="G120">
            <v>0.37343739999999997</v>
          </cell>
          <cell r="K120">
            <v>13.807222407501399</v>
          </cell>
        </row>
        <row r="121">
          <cell r="F121">
            <v>0.18828130000000001</v>
          </cell>
          <cell r="G121">
            <v>0.37656260000000003</v>
          </cell>
          <cell r="K121">
            <v>13.6588115821282</v>
          </cell>
        </row>
        <row r="122">
          <cell r="F122">
            <v>0.18984380000000001</v>
          </cell>
          <cell r="G122">
            <v>0.37968760000000001</v>
          </cell>
          <cell r="K122">
            <v>13.6573632973031</v>
          </cell>
        </row>
        <row r="123">
          <cell r="F123">
            <v>0.1914063</v>
          </cell>
          <cell r="G123">
            <v>0.3828126</v>
          </cell>
          <cell r="K123">
            <v>13.655892142926501</v>
          </cell>
        </row>
        <row r="124">
          <cell r="F124">
            <v>0.19296869999999999</v>
          </cell>
          <cell r="G124">
            <v>0.38593739999999999</v>
          </cell>
          <cell r="K124">
            <v>13.6544121761669</v>
          </cell>
        </row>
        <row r="125">
          <cell r="F125">
            <v>0.19453129999999999</v>
          </cell>
          <cell r="G125">
            <v>0.38906259999999998</v>
          </cell>
          <cell r="K125">
            <v>13.652914570424</v>
          </cell>
        </row>
        <row r="126">
          <cell r="F126">
            <v>0.19609380000000001</v>
          </cell>
          <cell r="G126">
            <v>0.39218760000000003</v>
          </cell>
          <cell r="K126">
            <v>13.651392056807</v>
          </cell>
        </row>
        <row r="127">
          <cell r="F127">
            <v>0.19765630000000001</v>
          </cell>
          <cell r="G127">
            <v>0.39531260000000001</v>
          </cell>
          <cell r="K127">
            <v>13.6498436543017</v>
          </cell>
        </row>
        <row r="128">
          <cell r="F128">
            <v>0.1992188</v>
          </cell>
          <cell r="G128">
            <v>0.3984376</v>
          </cell>
          <cell r="K128">
            <v>13.6482733014487</v>
          </cell>
        </row>
        <row r="129">
          <cell r="F129">
            <v>0.20078119999999999</v>
          </cell>
          <cell r="G129">
            <v>0.40156239999999999</v>
          </cell>
          <cell r="K129">
            <v>13.6466848942959</v>
          </cell>
        </row>
        <row r="130">
          <cell r="F130">
            <v>0.20234369999999999</v>
          </cell>
          <cell r="G130">
            <v>0.40468739999999997</v>
          </cell>
          <cell r="K130">
            <v>13.6450707065608</v>
          </cell>
        </row>
        <row r="131">
          <cell r="F131">
            <v>0.20390630000000001</v>
          </cell>
          <cell r="G131">
            <v>0.40781260000000003</v>
          </cell>
          <cell r="K131">
            <v>13.6434327563195</v>
          </cell>
        </row>
        <row r="132">
          <cell r="F132">
            <v>0.20546880000000001</v>
          </cell>
          <cell r="G132">
            <v>0.41093760000000001</v>
          </cell>
          <cell r="K132">
            <v>13.6417768102959</v>
          </cell>
        </row>
        <row r="133">
          <cell r="F133">
            <v>0.2070312</v>
          </cell>
          <cell r="G133">
            <v>0.4140624</v>
          </cell>
          <cell r="K133">
            <v>13.6400870873731</v>
          </cell>
        </row>
        <row r="134">
          <cell r="F134">
            <v>0.20859369999999999</v>
          </cell>
          <cell r="G134">
            <v>0.41718739999999999</v>
          </cell>
          <cell r="K134">
            <v>13.6383727332272</v>
          </cell>
        </row>
        <row r="135">
          <cell r="F135">
            <v>0.21015629999999999</v>
          </cell>
          <cell r="G135">
            <v>0.42031259999999998</v>
          </cell>
          <cell r="K135">
            <v>13.6366308179625</v>
          </cell>
        </row>
        <row r="136">
          <cell r="F136">
            <v>0.21171880000000001</v>
          </cell>
          <cell r="G136">
            <v>0.42343760000000003</v>
          </cell>
          <cell r="K136">
            <v>13.634863918292901</v>
          </cell>
        </row>
        <row r="137">
          <cell r="F137">
            <v>0.21328130000000001</v>
          </cell>
          <cell r="G137">
            <v>0.42656260000000001</v>
          </cell>
          <cell r="K137">
            <v>13.633070680999101</v>
          </cell>
        </row>
        <row r="138">
          <cell r="F138">
            <v>0.2148438</v>
          </cell>
          <cell r="G138">
            <v>0.4296876</v>
          </cell>
          <cell r="K138">
            <v>13.6312624175871</v>
          </cell>
        </row>
        <row r="139">
          <cell r="F139">
            <v>0.2164063</v>
          </cell>
          <cell r="G139">
            <v>0.43281259999999999</v>
          </cell>
          <cell r="K139">
            <v>13.629433445698</v>
          </cell>
        </row>
        <row r="140">
          <cell r="F140">
            <v>0.21796869999999999</v>
          </cell>
          <cell r="G140">
            <v>0.43593739999999997</v>
          </cell>
          <cell r="K140">
            <v>13.627551521666501</v>
          </cell>
        </row>
        <row r="141">
          <cell r="F141">
            <v>0.21953130000000001</v>
          </cell>
          <cell r="G141">
            <v>0.43906260000000003</v>
          </cell>
          <cell r="K141">
            <v>13.4543722447675</v>
          </cell>
        </row>
        <row r="142">
          <cell r="F142">
            <v>0.22109380000000001</v>
          </cell>
          <cell r="G142">
            <v>0.44218760000000001</v>
          </cell>
          <cell r="K142">
            <v>13.4522747623627</v>
          </cell>
        </row>
        <row r="143">
          <cell r="F143">
            <v>0.2226563</v>
          </cell>
          <cell r="G143">
            <v>0.4453126</v>
          </cell>
          <cell r="K143">
            <v>13.450156096491799</v>
          </cell>
        </row>
        <row r="144">
          <cell r="F144">
            <v>0.22421869999999999</v>
          </cell>
          <cell r="G144">
            <v>0.44843739999999999</v>
          </cell>
          <cell r="K144">
            <v>13.448024948327699</v>
          </cell>
        </row>
        <row r="145">
          <cell r="F145">
            <v>0.22578129999999999</v>
          </cell>
          <cell r="G145">
            <v>0.45156259999999998</v>
          </cell>
          <cell r="K145">
            <v>13.4458827486662</v>
          </cell>
        </row>
        <row r="146">
          <cell r="F146">
            <v>0.22734380000000001</v>
          </cell>
          <cell r="G146">
            <v>0.45468760000000003</v>
          </cell>
          <cell r="K146">
            <v>13.4437136082161</v>
          </cell>
        </row>
        <row r="147">
          <cell r="F147">
            <v>0.22890630000000001</v>
          </cell>
          <cell r="G147">
            <v>0.45781260000000001</v>
          </cell>
          <cell r="K147">
            <v>13.441540479134501</v>
          </cell>
        </row>
        <row r="148">
          <cell r="F148">
            <v>0.2304688</v>
          </cell>
          <cell r="G148">
            <v>0.4609376</v>
          </cell>
          <cell r="K148">
            <v>13.439338053448701</v>
          </cell>
        </row>
        <row r="149">
          <cell r="F149">
            <v>0.2320313</v>
          </cell>
          <cell r="G149">
            <v>0.46406259999999999</v>
          </cell>
          <cell r="K149">
            <v>13.437127482097599</v>
          </cell>
        </row>
        <row r="150">
          <cell r="F150">
            <v>0.23359369999999999</v>
          </cell>
          <cell r="G150">
            <v>0.46718739999999997</v>
          </cell>
          <cell r="K150">
            <v>13.434908202835</v>
          </cell>
        </row>
        <row r="151">
          <cell r="F151">
            <v>0.23515630000000001</v>
          </cell>
          <cell r="G151">
            <v>0.47031260000000003</v>
          </cell>
          <cell r="K151">
            <v>13.432675311732201</v>
          </cell>
        </row>
        <row r="152">
          <cell r="F152">
            <v>0.23671880000000001</v>
          </cell>
          <cell r="G152">
            <v>0.47343760000000001</v>
          </cell>
          <cell r="K152">
            <v>13.4304339592193</v>
          </cell>
        </row>
        <row r="153">
          <cell r="F153">
            <v>0.2382812</v>
          </cell>
          <cell r="G153">
            <v>0.4765624</v>
          </cell>
          <cell r="K153">
            <v>13.428202709681999</v>
          </cell>
        </row>
        <row r="154">
          <cell r="F154">
            <v>0.23984369999999999</v>
          </cell>
          <cell r="G154">
            <v>0.47968739999999999</v>
          </cell>
          <cell r="K154">
            <v>13.425969078781099</v>
          </cell>
        </row>
        <row r="155">
          <cell r="F155">
            <v>0.24140629999999999</v>
          </cell>
          <cell r="G155">
            <v>0.48281259999999998</v>
          </cell>
          <cell r="K155">
            <v>13.423726834601201</v>
          </cell>
        </row>
        <row r="156">
          <cell r="F156">
            <v>0.24296880000000001</v>
          </cell>
          <cell r="G156">
            <v>0.48593760000000003</v>
          </cell>
          <cell r="K156">
            <v>13.4214896281135</v>
          </cell>
        </row>
        <row r="157">
          <cell r="F157">
            <v>0.24453130000000001</v>
          </cell>
          <cell r="G157">
            <v>0.48906260000000001</v>
          </cell>
          <cell r="K157">
            <v>13.419258072892299</v>
          </cell>
        </row>
        <row r="158">
          <cell r="F158">
            <v>0.2460938</v>
          </cell>
          <cell r="G158">
            <v>0.4921876</v>
          </cell>
          <cell r="K158">
            <v>13.417022553958899</v>
          </cell>
        </row>
        <row r="159">
          <cell r="F159">
            <v>0.24765619999999999</v>
          </cell>
          <cell r="G159">
            <v>0.49531239999999999</v>
          </cell>
          <cell r="K159">
            <v>13.4147895513218</v>
          </cell>
        </row>
        <row r="160">
          <cell r="F160">
            <v>0.24921869999999999</v>
          </cell>
          <cell r="G160">
            <v>0.49843739999999997</v>
          </cell>
          <cell r="K160">
            <v>13.4125864092351</v>
          </cell>
        </row>
        <row r="161">
          <cell r="F161">
            <v>0.25078129999999998</v>
          </cell>
          <cell r="G161">
            <v>0.50156259999999997</v>
          </cell>
          <cell r="K161">
            <v>13.2143696897919</v>
          </cell>
        </row>
        <row r="162">
          <cell r="F162">
            <v>0.2523437</v>
          </cell>
          <cell r="G162">
            <v>0.50468740000000001</v>
          </cell>
          <cell r="K162">
            <v>13.2122397755587</v>
          </cell>
        </row>
        <row r="163">
          <cell r="F163">
            <v>0.25390620000000003</v>
          </cell>
          <cell r="G163">
            <v>0.50781240000000005</v>
          </cell>
          <cell r="K163">
            <v>13.210073708249199</v>
          </cell>
        </row>
        <row r="164">
          <cell r="F164">
            <v>0.2554688</v>
          </cell>
          <cell r="G164">
            <v>0.51093759999999999</v>
          </cell>
          <cell r="K164">
            <v>13.207867564698301</v>
          </cell>
        </row>
        <row r="165">
          <cell r="F165">
            <v>0.25703120000000002</v>
          </cell>
          <cell r="G165">
            <v>0.51406240000000003</v>
          </cell>
          <cell r="K165">
            <v>13.2056282263984</v>
          </cell>
        </row>
        <row r="166">
          <cell r="F166">
            <v>0.25859379999999998</v>
          </cell>
          <cell r="G166">
            <v>0.51718759999999997</v>
          </cell>
          <cell r="K166">
            <v>13.2033357854678</v>
          </cell>
        </row>
        <row r="167">
          <cell r="F167">
            <v>0.2601562</v>
          </cell>
          <cell r="G167">
            <v>0.52031240000000001</v>
          </cell>
          <cell r="K167">
            <v>13.2010060758486</v>
          </cell>
        </row>
        <row r="168">
          <cell r="F168">
            <v>0.26171879999999997</v>
          </cell>
          <cell r="G168">
            <v>0.52343759999999995</v>
          </cell>
          <cell r="K168">
            <v>13.198618226304401</v>
          </cell>
        </row>
        <row r="169">
          <cell r="F169">
            <v>0.2632813</v>
          </cell>
          <cell r="G169">
            <v>0.52656259999999999</v>
          </cell>
          <cell r="K169">
            <v>13.1961764711928</v>
          </cell>
        </row>
        <row r="170">
          <cell r="F170">
            <v>0.26484370000000002</v>
          </cell>
          <cell r="G170">
            <v>0.52968740000000003</v>
          </cell>
          <cell r="K170">
            <v>13.193685809440799</v>
          </cell>
        </row>
        <row r="171">
          <cell r="F171">
            <v>0.26640629999999998</v>
          </cell>
          <cell r="G171">
            <v>0.53281259999999997</v>
          </cell>
          <cell r="K171">
            <v>13.191132972370401</v>
          </cell>
        </row>
        <row r="172">
          <cell r="F172">
            <v>0.2679687</v>
          </cell>
          <cell r="G172">
            <v>0.53593740000000001</v>
          </cell>
          <cell r="K172">
            <v>13.1885163817281</v>
          </cell>
        </row>
        <row r="173">
          <cell r="F173">
            <v>0.26953120000000003</v>
          </cell>
          <cell r="G173">
            <v>0.53906240000000005</v>
          </cell>
          <cell r="K173">
            <v>13.1858495016794</v>
          </cell>
        </row>
        <row r="174">
          <cell r="F174">
            <v>0.2710938</v>
          </cell>
          <cell r="G174">
            <v>0.54218759999999999</v>
          </cell>
          <cell r="K174">
            <v>13.1831209701663</v>
          </cell>
        </row>
        <row r="175">
          <cell r="F175">
            <v>0.27265620000000002</v>
          </cell>
          <cell r="G175">
            <v>0.54531240000000003</v>
          </cell>
          <cell r="K175">
            <v>13.180329676211599</v>
          </cell>
        </row>
        <row r="176">
          <cell r="F176">
            <v>0.27421879999999998</v>
          </cell>
          <cell r="G176">
            <v>0.54843759999999997</v>
          </cell>
          <cell r="K176">
            <v>13.1774793425122</v>
          </cell>
        </row>
        <row r="177">
          <cell r="F177">
            <v>0.2757812</v>
          </cell>
          <cell r="G177">
            <v>0.55156240000000001</v>
          </cell>
          <cell r="K177">
            <v>13.174552193575201</v>
          </cell>
        </row>
        <row r="178">
          <cell r="F178">
            <v>0.27734379999999997</v>
          </cell>
          <cell r="G178">
            <v>0.55468759999999995</v>
          </cell>
          <cell r="K178">
            <v>13.1715600775808</v>
          </cell>
        </row>
        <row r="179">
          <cell r="F179">
            <v>0.2789063</v>
          </cell>
          <cell r="G179">
            <v>0.55781259999999999</v>
          </cell>
          <cell r="K179">
            <v>13.1685030770163</v>
          </cell>
        </row>
        <row r="180">
          <cell r="F180">
            <v>0.28046870000000002</v>
          </cell>
          <cell r="G180">
            <v>0.56093740000000003</v>
          </cell>
          <cell r="K180">
            <v>13.1654017138399</v>
          </cell>
        </row>
        <row r="181">
          <cell r="F181">
            <v>0.28203129999999998</v>
          </cell>
          <cell r="G181">
            <v>0.56406259999999997</v>
          </cell>
          <cell r="K181">
            <v>12.9431237564576</v>
          </cell>
        </row>
        <row r="182">
          <cell r="F182">
            <v>0.2835937</v>
          </cell>
          <cell r="G182">
            <v>0.56718740000000001</v>
          </cell>
          <cell r="K182">
            <v>12.9406877169683</v>
          </cell>
        </row>
        <row r="183">
          <cell r="F183">
            <v>0.28515620000000003</v>
          </cell>
          <cell r="G183">
            <v>0.57031240000000005</v>
          </cell>
          <cell r="K183">
            <v>12.93819941854</v>
          </cell>
        </row>
        <row r="184">
          <cell r="F184">
            <v>0.28671869999999999</v>
          </cell>
          <cell r="G184">
            <v>0.57343739999999999</v>
          </cell>
          <cell r="K184">
            <v>12.935665401245799</v>
          </cell>
        </row>
        <row r="185">
          <cell r="F185">
            <v>0.28828120000000002</v>
          </cell>
          <cell r="G185">
            <v>0.57656240000000003</v>
          </cell>
          <cell r="K185">
            <v>12.93307927871</v>
          </cell>
        </row>
        <row r="186">
          <cell r="F186">
            <v>0.28984379999999998</v>
          </cell>
          <cell r="G186">
            <v>0.57968759999999997</v>
          </cell>
          <cell r="K186">
            <v>12.930459903755199</v>
          </cell>
        </row>
        <row r="187">
          <cell r="F187">
            <v>0.2914062</v>
          </cell>
          <cell r="G187">
            <v>0.58281240000000001</v>
          </cell>
          <cell r="K187">
            <v>12.9277793451114</v>
          </cell>
        </row>
        <row r="188">
          <cell r="F188">
            <v>0.29296879999999997</v>
          </cell>
          <cell r="G188">
            <v>0.58593759999999995</v>
          </cell>
          <cell r="K188">
            <v>12.9250780842174</v>
          </cell>
        </row>
        <row r="189">
          <cell r="F189">
            <v>0.2945313</v>
          </cell>
          <cell r="G189">
            <v>0.58906259999999999</v>
          </cell>
          <cell r="K189">
            <v>12.9223302429236</v>
          </cell>
        </row>
        <row r="190">
          <cell r="F190">
            <v>0.29609370000000002</v>
          </cell>
          <cell r="G190">
            <v>0.59218740000000003</v>
          </cell>
          <cell r="K190">
            <v>12.919555219197299</v>
          </cell>
        </row>
        <row r="191">
          <cell r="F191">
            <v>0.29765629999999998</v>
          </cell>
          <cell r="G191">
            <v>0.59531259999999997</v>
          </cell>
          <cell r="K191">
            <v>12.916749991770301</v>
          </cell>
        </row>
        <row r="192">
          <cell r="F192">
            <v>0.2992187</v>
          </cell>
          <cell r="G192">
            <v>0.59843740000000001</v>
          </cell>
          <cell r="K192">
            <v>12.9139134860095</v>
          </cell>
        </row>
        <row r="193">
          <cell r="F193">
            <v>0.30078120000000003</v>
          </cell>
          <cell r="G193">
            <v>0.60156240000000005</v>
          </cell>
          <cell r="K193">
            <v>12.9110500222155</v>
          </cell>
        </row>
        <row r="194">
          <cell r="F194">
            <v>0.30234369999999999</v>
          </cell>
          <cell r="G194">
            <v>0.60468739999999999</v>
          </cell>
          <cell r="K194">
            <v>12.9081880129281</v>
          </cell>
        </row>
        <row r="195">
          <cell r="F195">
            <v>0.30390620000000002</v>
          </cell>
          <cell r="G195">
            <v>0.60781240000000003</v>
          </cell>
          <cell r="K195">
            <v>12.905329724305201</v>
          </cell>
        </row>
        <row r="196">
          <cell r="F196">
            <v>0.30546879999999998</v>
          </cell>
          <cell r="G196">
            <v>0.61093759999999997</v>
          </cell>
          <cell r="K196">
            <v>12.9024879436401</v>
          </cell>
        </row>
        <row r="197">
          <cell r="F197">
            <v>0.30703130000000001</v>
          </cell>
          <cell r="G197">
            <v>0.61406260000000001</v>
          </cell>
          <cell r="K197">
            <v>12.8996858872675</v>
          </cell>
        </row>
        <row r="198">
          <cell r="F198">
            <v>0.30859379999999997</v>
          </cell>
          <cell r="G198">
            <v>0.61718759999999995</v>
          </cell>
          <cell r="K198">
            <v>12.8969038887025</v>
          </cell>
        </row>
        <row r="199">
          <cell r="F199">
            <v>0.31015619999999999</v>
          </cell>
          <cell r="G199">
            <v>0.62031239999999999</v>
          </cell>
          <cell r="K199">
            <v>12.8941547329958</v>
          </cell>
        </row>
        <row r="200">
          <cell r="F200">
            <v>0.31171870000000002</v>
          </cell>
          <cell r="G200">
            <v>0.62343740000000003</v>
          </cell>
          <cell r="K200">
            <v>12.891482452177801</v>
          </cell>
        </row>
        <row r="201">
          <cell r="F201">
            <v>0.31328129999999998</v>
          </cell>
          <cell r="G201">
            <v>0.62656259999999997</v>
          </cell>
          <cell r="K201">
            <v>12.6421373885665</v>
          </cell>
        </row>
        <row r="202">
          <cell r="F202">
            <v>0.3148437</v>
          </cell>
          <cell r="G202">
            <v>0.62968740000000001</v>
          </cell>
          <cell r="K202">
            <v>12.6370679509824</v>
          </cell>
        </row>
        <row r="203">
          <cell r="F203">
            <v>0.31640620000000003</v>
          </cell>
          <cell r="G203">
            <v>0.63281240000000005</v>
          </cell>
          <cell r="K203">
            <v>12.6319350965588</v>
          </cell>
        </row>
        <row r="204">
          <cell r="F204">
            <v>0.3179688</v>
          </cell>
          <cell r="G204">
            <v>0.63593759999999999</v>
          </cell>
          <cell r="K204">
            <v>12.6267261930525</v>
          </cell>
        </row>
        <row r="205">
          <cell r="F205">
            <v>0.31953120000000002</v>
          </cell>
          <cell r="G205">
            <v>0.63906240000000003</v>
          </cell>
          <cell r="K205">
            <v>12.6214274521771</v>
          </cell>
        </row>
        <row r="206">
          <cell r="F206">
            <v>0.32109379999999998</v>
          </cell>
          <cell r="G206">
            <v>0.64218759999999997</v>
          </cell>
          <cell r="K206">
            <v>12.616016047542001</v>
          </cell>
        </row>
        <row r="207">
          <cell r="F207">
            <v>0.3226562</v>
          </cell>
          <cell r="G207">
            <v>0.64531240000000001</v>
          </cell>
          <cell r="K207">
            <v>12.6104995115588</v>
          </cell>
        </row>
        <row r="208">
          <cell r="F208">
            <v>0.32421879999999997</v>
          </cell>
          <cell r="G208">
            <v>0.64843759999999995</v>
          </cell>
          <cell r="K208">
            <v>12.604854844937799</v>
          </cell>
        </row>
        <row r="209">
          <cell r="F209">
            <v>0.3257813</v>
          </cell>
          <cell r="G209">
            <v>0.65156259999999999</v>
          </cell>
          <cell r="K209">
            <v>12.599105472977699</v>
          </cell>
        </row>
        <row r="210">
          <cell r="F210">
            <v>0.32734370000000002</v>
          </cell>
          <cell r="G210">
            <v>0.65468740000000003</v>
          </cell>
          <cell r="K210">
            <v>12.5932046565042</v>
          </cell>
        </row>
        <row r="211">
          <cell r="F211">
            <v>0.32890629999999998</v>
          </cell>
          <cell r="G211">
            <v>0.65781259999999997</v>
          </cell>
          <cell r="K211">
            <v>12.587165244726901</v>
          </cell>
        </row>
        <row r="212">
          <cell r="F212">
            <v>0.3304687</v>
          </cell>
          <cell r="G212">
            <v>0.66093740000000001</v>
          </cell>
          <cell r="K212">
            <v>12.580994230118201</v>
          </cell>
        </row>
        <row r="213">
          <cell r="F213">
            <v>0.33203120000000003</v>
          </cell>
          <cell r="G213">
            <v>0.66406240000000005</v>
          </cell>
          <cell r="K213">
            <v>12.5746716185915</v>
          </cell>
        </row>
        <row r="214">
          <cell r="F214">
            <v>0.3335938</v>
          </cell>
          <cell r="G214">
            <v>0.66718759999999999</v>
          </cell>
          <cell r="K214">
            <v>12.5682236675265</v>
          </cell>
        </row>
        <row r="215">
          <cell r="F215">
            <v>0.33515620000000002</v>
          </cell>
          <cell r="G215">
            <v>0.67031240000000003</v>
          </cell>
          <cell r="K215">
            <v>12.561635422638901</v>
          </cell>
        </row>
        <row r="216">
          <cell r="F216">
            <v>0.33671879999999998</v>
          </cell>
          <cell r="G216">
            <v>0.67343759999999997</v>
          </cell>
          <cell r="K216">
            <v>12.5549210948218</v>
          </cell>
        </row>
        <row r="217">
          <cell r="F217">
            <v>0.3382812</v>
          </cell>
          <cell r="G217">
            <v>0.67656240000000001</v>
          </cell>
          <cell r="K217">
            <v>12.5480723269143</v>
          </cell>
        </row>
        <row r="218">
          <cell r="F218">
            <v>0.33984379999999997</v>
          </cell>
          <cell r="G218">
            <v>0.67968759999999995</v>
          </cell>
          <cell r="K218">
            <v>12.5411088487456</v>
          </cell>
        </row>
        <row r="219">
          <cell r="F219">
            <v>0.34140619999999999</v>
          </cell>
          <cell r="G219">
            <v>0.68281239999999999</v>
          </cell>
          <cell r="K219">
            <v>12.5340478981709</v>
          </cell>
        </row>
        <row r="220">
          <cell r="F220">
            <v>0.34296870000000002</v>
          </cell>
          <cell r="G220">
            <v>0.68593740000000003</v>
          </cell>
          <cell r="K220">
            <v>12.5269300611705</v>
          </cell>
        </row>
        <row r="221">
          <cell r="F221">
            <v>0.34453129999999998</v>
          </cell>
          <cell r="G221">
            <v>0.68906259999999997</v>
          </cell>
          <cell r="K221">
            <v>12.259059509025599</v>
          </cell>
        </row>
        <row r="222">
          <cell r="F222">
            <v>0.3460937</v>
          </cell>
          <cell r="G222">
            <v>0.69218740000000001</v>
          </cell>
          <cell r="K222">
            <v>12.256578697884599</v>
          </cell>
        </row>
        <row r="223">
          <cell r="F223">
            <v>0.34765629999999997</v>
          </cell>
          <cell r="G223">
            <v>0.69531259999999995</v>
          </cell>
          <cell r="K223">
            <v>12.253801288018799</v>
          </cell>
        </row>
        <row r="224">
          <cell r="F224">
            <v>0.3492188</v>
          </cell>
          <cell r="G224">
            <v>0.69843759999999999</v>
          </cell>
          <cell r="K224">
            <v>12.2507747715494</v>
          </cell>
        </row>
        <row r="225">
          <cell r="F225">
            <v>0.35078120000000002</v>
          </cell>
          <cell r="G225">
            <v>0.70156240000000003</v>
          </cell>
          <cell r="K225">
            <v>12.247435713379801</v>
          </cell>
        </row>
        <row r="226">
          <cell r="F226">
            <v>0.35234379999999998</v>
          </cell>
          <cell r="G226">
            <v>0.70468759999999997</v>
          </cell>
          <cell r="K226">
            <v>12.2438163384532</v>
          </cell>
        </row>
        <row r="227">
          <cell r="F227">
            <v>0.3539062</v>
          </cell>
          <cell r="G227">
            <v>0.70781240000000001</v>
          </cell>
          <cell r="K227">
            <v>12.2398989127762</v>
          </cell>
        </row>
        <row r="228">
          <cell r="F228">
            <v>0.35546879999999997</v>
          </cell>
          <cell r="G228">
            <v>0.71093759999999995</v>
          </cell>
          <cell r="K228">
            <v>12.235741900129399</v>
          </cell>
        </row>
        <row r="229">
          <cell r="F229">
            <v>0.3570313</v>
          </cell>
          <cell r="G229">
            <v>0.71406259999999999</v>
          </cell>
          <cell r="K229">
            <v>12.231292282917099</v>
          </cell>
        </row>
        <row r="230">
          <cell r="F230">
            <v>0.35859370000000002</v>
          </cell>
          <cell r="G230">
            <v>0.71718740000000003</v>
          </cell>
          <cell r="K230">
            <v>12.226618990859899</v>
          </cell>
        </row>
        <row r="231">
          <cell r="F231">
            <v>0.36015629999999998</v>
          </cell>
          <cell r="G231">
            <v>0.72031259999999997</v>
          </cell>
          <cell r="K231">
            <v>12.221744775409</v>
          </cell>
        </row>
        <row r="232">
          <cell r="F232">
            <v>0.3617187</v>
          </cell>
          <cell r="G232">
            <v>0.72343740000000001</v>
          </cell>
          <cell r="K232">
            <v>12.2167499052645</v>
          </cell>
        </row>
        <row r="233">
          <cell r="F233">
            <v>0.36328120000000003</v>
          </cell>
          <cell r="G233">
            <v>0.72656240000000005</v>
          </cell>
          <cell r="K233">
            <v>12.2115969018854</v>
          </cell>
        </row>
        <row r="234">
          <cell r="F234">
            <v>0.3648438</v>
          </cell>
          <cell r="G234">
            <v>0.72968759999999999</v>
          </cell>
          <cell r="K234">
            <v>12.206340556149501</v>
          </cell>
        </row>
        <row r="235">
          <cell r="F235">
            <v>0.36640620000000002</v>
          </cell>
          <cell r="G235">
            <v>0.73281240000000003</v>
          </cell>
          <cell r="K235">
            <v>12.201050666394501</v>
          </cell>
        </row>
        <row r="236">
          <cell r="F236">
            <v>0.36796879999999998</v>
          </cell>
          <cell r="G236">
            <v>0.73593759999999997</v>
          </cell>
          <cell r="K236">
            <v>12.1957463659182</v>
          </cell>
        </row>
        <row r="237">
          <cell r="F237">
            <v>0.3695312</v>
          </cell>
          <cell r="G237">
            <v>0.73906240000000001</v>
          </cell>
          <cell r="K237">
            <v>12.1905053169637</v>
          </cell>
        </row>
        <row r="238">
          <cell r="F238">
            <v>0.37109379999999997</v>
          </cell>
          <cell r="G238">
            <v>0.74218759999999995</v>
          </cell>
          <cell r="K238">
            <v>12.1853637256841</v>
          </cell>
        </row>
        <row r="239">
          <cell r="F239">
            <v>0.37265619999999999</v>
          </cell>
          <cell r="G239">
            <v>0.74531239999999999</v>
          </cell>
          <cell r="K239">
            <v>12.1803755142999</v>
          </cell>
        </row>
        <row r="240">
          <cell r="F240">
            <v>0.37421870000000002</v>
          </cell>
          <cell r="G240">
            <v>0.74843740000000003</v>
          </cell>
          <cell r="K240">
            <v>12.1756415208449</v>
          </cell>
        </row>
        <row r="241">
          <cell r="F241">
            <v>0.37578129999999998</v>
          </cell>
          <cell r="G241">
            <v>0.75156259999999997</v>
          </cell>
          <cell r="K241">
            <v>11.871133095468901</v>
          </cell>
        </row>
        <row r="242">
          <cell r="F242">
            <v>0.3773437</v>
          </cell>
          <cell r="G242">
            <v>0.75468740000000001</v>
          </cell>
          <cell r="K242">
            <v>11.8532525942896</v>
          </cell>
        </row>
        <row r="243">
          <cell r="F243">
            <v>0.37890620000000003</v>
          </cell>
          <cell r="G243">
            <v>0.75781240000000005</v>
          </cell>
          <cell r="K243">
            <v>11.8351508355733</v>
          </cell>
        </row>
        <row r="244">
          <cell r="F244">
            <v>0.38046869999999999</v>
          </cell>
          <cell r="G244">
            <v>0.76093739999999999</v>
          </cell>
          <cell r="K244">
            <v>11.816782959405099</v>
          </cell>
        </row>
        <row r="245">
          <cell r="F245">
            <v>0.38203120000000002</v>
          </cell>
          <cell r="G245">
            <v>0.76406240000000003</v>
          </cell>
          <cell r="K245">
            <v>11.798105576506501</v>
          </cell>
        </row>
        <row r="246">
          <cell r="F246">
            <v>0.38359379999999998</v>
          </cell>
          <cell r="G246">
            <v>0.76718759999999997</v>
          </cell>
          <cell r="K246">
            <v>11.7790961152419</v>
          </cell>
        </row>
        <row r="247">
          <cell r="F247">
            <v>0.3851562</v>
          </cell>
          <cell r="G247">
            <v>0.77031240000000001</v>
          </cell>
          <cell r="K247">
            <v>11.759674234847999</v>
          </cell>
        </row>
        <row r="248">
          <cell r="F248">
            <v>0.38671879999999997</v>
          </cell>
          <cell r="G248">
            <v>0.77343759999999995</v>
          </cell>
          <cell r="K248">
            <v>11.739840940573799</v>
          </cell>
        </row>
        <row r="249">
          <cell r="F249">
            <v>0.3882813</v>
          </cell>
          <cell r="G249">
            <v>0.77656259999999999</v>
          </cell>
          <cell r="K249">
            <v>11.719576377334899</v>
          </cell>
        </row>
        <row r="250">
          <cell r="F250">
            <v>0.38984370000000002</v>
          </cell>
          <cell r="G250">
            <v>0.77968740000000003</v>
          </cell>
          <cell r="K250">
            <v>11.6988673206331</v>
          </cell>
        </row>
        <row r="251">
          <cell r="F251">
            <v>0.39140629999999998</v>
          </cell>
          <cell r="G251">
            <v>0.78281259999999997</v>
          </cell>
          <cell r="K251">
            <v>11.677687635798399</v>
          </cell>
        </row>
        <row r="252">
          <cell r="F252">
            <v>0.3929687</v>
          </cell>
          <cell r="G252">
            <v>0.78593740000000001</v>
          </cell>
          <cell r="K252">
            <v>11.6560432596205</v>
          </cell>
        </row>
        <row r="253">
          <cell r="F253">
            <v>0.39453120000000003</v>
          </cell>
          <cell r="G253">
            <v>0.78906240000000005</v>
          </cell>
          <cell r="K253">
            <v>11.6339428318805</v>
          </cell>
        </row>
        <row r="254">
          <cell r="F254">
            <v>0.3960938</v>
          </cell>
          <cell r="G254">
            <v>0.79218759999999999</v>
          </cell>
          <cell r="K254">
            <v>11.6114251512724</v>
          </cell>
        </row>
        <row r="255">
          <cell r="F255">
            <v>0.39765620000000002</v>
          </cell>
          <cell r="G255">
            <v>0.79531240000000003</v>
          </cell>
          <cell r="K255">
            <v>11.5885495806533</v>
          </cell>
        </row>
        <row r="256">
          <cell r="F256">
            <v>0.39921879999999998</v>
          </cell>
          <cell r="G256">
            <v>0.79843759999999997</v>
          </cell>
          <cell r="K256">
            <v>11.565326492720599</v>
          </cell>
        </row>
        <row r="257">
          <cell r="F257">
            <v>0.4007812</v>
          </cell>
          <cell r="G257">
            <v>0.80156240000000001</v>
          </cell>
          <cell r="K257">
            <v>11.5418314976656</v>
          </cell>
        </row>
        <row r="258">
          <cell r="F258">
            <v>0.40234379999999997</v>
          </cell>
          <cell r="G258">
            <v>0.80468759999999995</v>
          </cell>
          <cell r="K258">
            <v>11.5181242564041</v>
          </cell>
        </row>
        <row r="259">
          <cell r="F259">
            <v>0.40390619999999999</v>
          </cell>
          <cell r="G259">
            <v>0.80781239999999999</v>
          </cell>
          <cell r="K259">
            <v>11.4943635350603</v>
          </cell>
        </row>
        <row r="260">
          <cell r="F260">
            <v>0.40546870000000002</v>
          </cell>
          <cell r="G260">
            <v>0.81093740000000003</v>
          </cell>
          <cell r="K260">
            <v>11.4706018512853</v>
          </cell>
        </row>
        <row r="261">
          <cell r="F261">
            <v>0.40703129999999998</v>
          </cell>
          <cell r="G261">
            <v>0.81406259999999997</v>
          </cell>
          <cell r="K261">
            <v>11.174336624761899</v>
          </cell>
        </row>
        <row r="262">
          <cell r="F262">
            <v>0.4085937</v>
          </cell>
          <cell r="G262">
            <v>0.81718740000000001</v>
          </cell>
          <cell r="K262">
            <v>11.1689149663602</v>
          </cell>
        </row>
        <row r="263">
          <cell r="F263">
            <v>0.41015620000000003</v>
          </cell>
          <cell r="G263">
            <v>0.82031240000000005</v>
          </cell>
          <cell r="K263">
            <v>11.1622559871278</v>
          </cell>
        </row>
        <row r="264">
          <cell r="F264">
            <v>0.4117188</v>
          </cell>
          <cell r="G264">
            <v>0.82343759999999999</v>
          </cell>
          <cell r="K264">
            <v>11.154328632771399</v>
          </cell>
        </row>
        <row r="265">
          <cell r="F265">
            <v>0.41328130000000002</v>
          </cell>
          <cell r="G265">
            <v>0.82656260000000004</v>
          </cell>
          <cell r="K265">
            <v>11.1452227472654</v>
          </cell>
        </row>
        <row r="266">
          <cell r="F266">
            <v>0.41484379999999998</v>
          </cell>
          <cell r="G266">
            <v>0.82968759999999997</v>
          </cell>
          <cell r="K266">
            <v>11.1349593268235</v>
          </cell>
        </row>
        <row r="267">
          <cell r="F267">
            <v>0.4164062</v>
          </cell>
          <cell r="G267">
            <v>0.83281240000000001</v>
          </cell>
          <cell r="K267">
            <v>11.1236347687743</v>
          </cell>
        </row>
        <row r="268">
          <cell r="F268">
            <v>0.41796879999999997</v>
          </cell>
          <cell r="G268">
            <v>0.83593759999999995</v>
          </cell>
          <cell r="K268">
            <v>11.111376681705901</v>
          </cell>
        </row>
        <row r="269">
          <cell r="F269">
            <v>0.4195313</v>
          </cell>
          <cell r="G269">
            <v>0.83906259999999999</v>
          </cell>
          <cell r="K269">
            <v>11.098288203840299</v>
          </cell>
        </row>
        <row r="270">
          <cell r="F270">
            <v>0.42109370000000002</v>
          </cell>
          <cell r="G270">
            <v>0.84218740000000003</v>
          </cell>
          <cell r="K270">
            <v>11.0846866917877</v>
          </cell>
        </row>
        <row r="271">
          <cell r="F271">
            <v>0.42265629999999998</v>
          </cell>
          <cell r="G271">
            <v>0.84531259999999997</v>
          </cell>
          <cell r="K271">
            <v>11.070703825031099</v>
          </cell>
        </row>
        <row r="272">
          <cell r="F272">
            <v>0.4242187</v>
          </cell>
          <cell r="G272">
            <v>0.84843740000000001</v>
          </cell>
          <cell r="K272">
            <v>11.056711000308299</v>
          </cell>
        </row>
        <row r="273">
          <cell r="F273">
            <v>0.42578120000000003</v>
          </cell>
          <cell r="G273">
            <v>0.85156240000000005</v>
          </cell>
          <cell r="K273">
            <v>11.042991216789</v>
          </cell>
        </row>
        <row r="274">
          <cell r="F274">
            <v>0.4273438</v>
          </cell>
          <cell r="G274">
            <v>0.85468759999999999</v>
          </cell>
          <cell r="K274">
            <v>11.0297870569645</v>
          </cell>
        </row>
        <row r="275">
          <cell r="F275">
            <v>0.42890630000000002</v>
          </cell>
          <cell r="G275">
            <v>0.85781260000000004</v>
          </cell>
          <cell r="K275">
            <v>11.0174147266116</v>
          </cell>
        </row>
        <row r="276">
          <cell r="F276">
            <v>0.43046879999999998</v>
          </cell>
          <cell r="G276">
            <v>0.86093759999999997</v>
          </cell>
          <cell r="K276">
            <v>11.006287642757901</v>
          </cell>
        </row>
        <row r="277">
          <cell r="F277">
            <v>0.4320312</v>
          </cell>
          <cell r="G277">
            <v>0.86406240000000001</v>
          </cell>
          <cell r="K277">
            <v>10.9968031295071</v>
          </cell>
        </row>
        <row r="278">
          <cell r="F278">
            <v>0.43359379999999997</v>
          </cell>
          <cell r="G278">
            <v>0.86718759999999995</v>
          </cell>
          <cell r="K278">
            <v>10.989368092525099</v>
          </cell>
        </row>
        <row r="279">
          <cell r="F279">
            <v>0.4351563</v>
          </cell>
          <cell r="G279">
            <v>0.87031259999999999</v>
          </cell>
          <cell r="K279">
            <v>10.984199034144</v>
          </cell>
        </row>
        <row r="280">
          <cell r="F280">
            <v>0.43671870000000002</v>
          </cell>
          <cell r="G280">
            <v>0.87343740000000003</v>
          </cell>
          <cell r="K280">
            <v>10.9817248438075</v>
          </cell>
        </row>
        <row r="281">
          <cell r="F281">
            <v>0.43828129999999998</v>
          </cell>
          <cell r="G281">
            <v>0.87656259999999997</v>
          </cell>
          <cell r="K281">
            <v>10.6175956676604</v>
          </cell>
        </row>
        <row r="282">
          <cell r="F282">
            <v>0.4398437</v>
          </cell>
          <cell r="G282">
            <v>0.87968740000000001</v>
          </cell>
          <cell r="K282">
            <v>10.5294599212022</v>
          </cell>
        </row>
        <row r="283">
          <cell r="F283">
            <v>0.44140629999999997</v>
          </cell>
          <cell r="G283">
            <v>0.88281259999999995</v>
          </cell>
          <cell r="K283">
            <v>10.435399357275401</v>
          </cell>
        </row>
        <row r="284">
          <cell r="F284">
            <v>0.4429688</v>
          </cell>
          <cell r="G284">
            <v>0.88593759999999999</v>
          </cell>
          <cell r="K284">
            <v>10.335184912693</v>
          </cell>
        </row>
        <row r="285">
          <cell r="F285">
            <v>0.44453120000000002</v>
          </cell>
          <cell r="G285">
            <v>0.88906240000000003</v>
          </cell>
          <cell r="K285">
            <v>10.2287700347462</v>
          </cell>
        </row>
        <row r="286">
          <cell r="F286">
            <v>0.44609379999999998</v>
          </cell>
          <cell r="G286">
            <v>0.89218759999999997</v>
          </cell>
          <cell r="K286">
            <v>10.115982262074599</v>
          </cell>
        </row>
        <row r="287">
          <cell r="F287">
            <v>0.4476562</v>
          </cell>
          <cell r="G287">
            <v>0.89531240000000001</v>
          </cell>
          <cell r="K287">
            <v>9.9969240085647098</v>
          </cell>
        </row>
        <row r="288">
          <cell r="F288">
            <v>0.44921879999999997</v>
          </cell>
          <cell r="G288">
            <v>0.89843759999999995</v>
          </cell>
          <cell r="K288">
            <v>9.8716432751951899</v>
          </cell>
        </row>
        <row r="289">
          <cell r="F289">
            <v>0.4507813</v>
          </cell>
          <cell r="G289">
            <v>0.90156259999999999</v>
          </cell>
          <cell r="K289">
            <v>9.7399624753565508</v>
          </cell>
        </row>
        <row r="290">
          <cell r="F290">
            <v>0.45234370000000002</v>
          </cell>
          <cell r="G290">
            <v>0.90468740000000003</v>
          </cell>
          <cell r="K290">
            <v>9.6020307682277402</v>
          </cell>
        </row>
        <row r="291">
          <cell r="F291">
            <v>0.45390629999999998</v>
          </cell>
          <cell r="G291">
            <v>0.90781259999999997</v>
          </cell>
          <cell r="K291">
            <v>9.4580671823463902</v>
          </cell>
        </row>
        <row r="292">
          <cell r="F292">
            <v>0.45546880000000001</v>
          </cell>
          <cell r="G292">
            <v>0.91093760000000001</v>
          </cell>
          <cell r="K292">
            <v>9.3086292676350304</v>
          </cell>
        </row>
        <row r="293">
          <cell r="F293">
            <v>0.45703120000000003</v>
          </cell>
          <cell r="G293">
            <v>0.91406240000000005</v>
          </cell>
          <cell r="K293">
            <v>9.1536366777030604</v>
          </cell>
        </row>
        <row r="294">
          <cell r="F294">
            <v>0.4585938</v>
          </cell>
          <cell r="G294">
            <v>0.91718759999999999</v>
          </cell>
          <cell r="K294">
            <v>8.9934072039575295</v>
          </cell>
        </row>
        <row r="295">
          <cell r="F295">
            <v>0.46015620000000002</v>
          </cell>
          <cell r="G295">
            <v>0.92031240000000003</v>
          </cell>
          <cell r="K295">
            <v>8.8285651535961502</v>
          </cell>
        </row>
        <row r="296">
          <cell r="F296">
            <v>0.46171879999999998</v>
          </cell>
          <cell r="G296">
            <v>0.92343759999999997</v>
          </cell>
          <cell r="K296">
            <v>8.6600306749264107</v>
          </cell>
        </row>
        <row r="297">
          <cell r="F297">
            <v>0.4632812</v>
          </cell>
          <cell r="G297">
            <v>0.92656240000000001</v>
          </cell>
          <cell r="K297">
            <v>8.4895234011073999</v>
          </cell>
        </row>
        <row r="298">
          <cell r="F298">
            <v>0.46484379999999997</v>
          </cell>
          <cell r="G298">
            <v>0.92968759999999995</v>
          </cell>
          <cell r="K298">
            <v>8.3172197247973099</v>
          </cell>
        </row>
        <row r="299">
          <cell r="F299">
            <v>0.46640619999999999</v>
          </cell>
          <cell r="G299">
            <v>0.93281239999999999</v>
          </cell>
          <cell r="K299">
            <v>8.1447587834928701</v>
          </cell>
        </row>
        <row r="300">
          <cell r="F300">
            <v>0.46796870000000002</v>
          </cell>
          <cell r="G300">
            <v>0.93593740000000003</v>
          </cell>
          <cell r="K300">
            <v>7.9756722904823301</v>
          </cell>
        </row>
        <row r="301">
          <cell r="F301">
            <v>0.46953129999999998</v>
          </cell>
          <cell r="G301">
            <v>0.93906259999999997</v>
          </cell>
          <cell r="K301">
            <v>7.8696314842158896</v>
          </cell>
        </row>
        <row r="302">
          <cell r="F302">
            <v>0.47109380000000001</v>
          </cell>
          <cell r="G302">
            <v>0.94218760000000001</v>
          </cell>
          <cell r="K302">
            <v>7.76033041430036</v>
          </cell>
        </row>
        <row r="303">
          <cell r="F303">
            <v>0.47265620000000003</v>
          </cell>
          <cell r="G303">
            <v>0.94531240000000005</v>
          </cell>
          <cell r="K303">
            <v>7.6743388859113102</v>
          </cell>
        </row>
        <row r="304">
          <cell r="F304">
            <v>0.4742188</v>
          </cell>
          <cell r="G304">
            <v>0.94843759999999999</v>
          </cell>
          <cell r="K304">
            <v>7.6083492346858801</v>
          </cell>
        </row>
        <row r="305">
          <cell r="F305">
            <v>0.47578120000000002</v>
          </cell>
          <cell r="G305">
            <v>0.95156240000000003</v>
          </cell>
          <cell r="K305">
            <v>7.5595798920426702</v>
          </cell>
        </row>
        <row r="306">
          <cell r="F306">
            <v>0.47734379999999998</v>
          </cell>
          <cell r="G306">
            <v>0.95468759999999997</v>
          </cell>
          <cell r="K306">
            <v>7.5255451338031802</v>
          </cell>
        </row>
        <row r="307">
          <cell r="F307">
            <v>0.4789062</v>
          </cell>
          <cell r="G307">
            <v>0.95781240000000001</v>
          </cell>
          <cell r="K307">
            <v>7.5022789905120897</v>
          </cell>
        </row>
        <row r="308">
          <cell r="F308">
            <v>0.48046879999999997</v>
          </cell>
          <cell r="G308">
            <v>0.96093759999999995</v>
          </cell>
          <cell r="K308">
            <v>7.4857738435318497</v>
          </cell>
        </row>
        <row r="309">
          <cell r="F309">
            <v>0.4820313</v>
          </cell>
          <cell r="G309">
            <v>0.96406259999999999</v>
          </cell>
          <cell r="K309">
            <v>7.46831546424899</v>
          </cell>
        </row>
        <row r="310">
          <cell r="F310">
            <v>0.48359370000000002</v>
          </cell>
          <cell r="G310">
            <v>0.96718740000000003</v>
          </cell>
          <cell r="K310">
            <v>7.4434352053170896</v>
          </cell>
        </row>
        <row r="311">
          <cell r="F311">
            <v>0.48515629999999998</v>
          </cell>
          <cell r="G311">
            <v>0.97031259999999997</v>
          </cell>
          <cell r="K311">
            <v>7.4016130533519799</v>
          </cell>
        </row>
        <row r="312">
          <cell r="F312">
            <v>0.48671880000000001</v>
          </cell>
          <cell r="G312">
            <v>0.97343760000000001</v>
          </cell>
          <cell r="K312">
            <v>7.3353014091366502</v>
          </cell>
        </row>
        <row r="313">
          <cell r="F313">
            <v>0.48828120000000003</v>
          </cell>
          <cell r="G313">
            <v>0.97656240000000005</v>
          </cell>
          <cell r="K313">
            <v>7.2313942658334396</v>
          </cell>
        </row>
        <row r="314">
          <cell r="F314">
            <v>0.4898438</v>
          </cell>
          <cell r="G314">
            <v>0.97968759999999999</v>
          </cell>
          <cell r="K314">
            <v>7.1090236871870296</v>
          </cell>
        </row>
        <row r="315">
          <cell r="F315">
            <v>0.49140620000000002</v>
          </cell>
          <cell r="G315">
            <v>0.98281240000000003</v>
          </cell>
          <cell r="K315">
            <v>6.9522363810100103</v>
          </cell>
        </row>
        <row r="316">
          <cell r="F316">
            <v>0.49296879999999998</v>
          </cell>
          <cell r="G316">
            <v>0.98593759999999997</v>
          </cell>
          <cell r="K316">
            <v>6.7704174826343699</v>
          </cell>
        </row>
        <row r="317">
          <cell r="F317">
            <v>0.4945312</v>
          </cell>
          <cell r="G317">
            <v>0.98906240000000001</v>
          </cell>
          <cell r="K317">
            <v>6.5650871820117596</v>
          </cell>
        </row>
        <row r="318">
          <cell r="F318">
            <v>0.49609379999999997</v>
          </cell>
          <cell r="G318">
            <v>0.99218759999999995</v>
          </cell>
          <cell r="K318">
            <v>6.2587465451946702</v>
          </cell>
        </row>
        <row r="319">
          <cell r="F319">
            <v>0.4976563</v>
          </cell>
          <cell r="G319">
            <v>0.99531259999999999</v>
          </cell>
          <cell r="K319">
            <v>5.7897598296000901</v>
          </cell>
        </row>
        <row r="320">
          <cell r="F320">
            <v>0.49921880000000002</v>
          </cell>
          <cell r="G320">
            <v>0.99843760000000004</v>
          </cell>
          <cell r="K320">
            <v>5.3532297546807097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6325-32DC-4C06-8BA6-980EA1E09832}">
  <dimension ref="A1:AX219"/>
  <sheetViews>
    <sheetView topLeftCell="B1" zoomScale="85" zoomScaleNormal="85" workbookViewId="0">
      <selection activeCell="AF2" sqref="AF2:AI46"/>
    </sheetView>
  </sheetViews>
  <sheetFormatPr defaultRowHeight="18"/>
  <sheetData>
    <row r="1" spans="1:37">
      <c r="A1" t="s">
        <v>0</v>
      </c>
      <c r="B1" t="s">
        <v>9</v>
      </c>
      <c r="C1" t="s">
        <v>1</v>
      </c>
      <c r="T1" t="s">
        <v>10</v>
      </c>
    </row>
    <row r="2" spans="1:37">
      <c r="A2" t="s">
        <v>2</v>
      </c>
      <c r="B2" t="s">
        <v>3</v>
      </c>
      <c r="T2" t="s">
        <v>2</v>
      </c>
      <c r="U2" t="s">
        <v>3</v>
      </c>
      <c r="AF2" t="s">
        <v>19</v>
      </c>
      <c r="AG2" t="s">
        <v>20</v>
      </c>
    </row>
    <row r="3" spans="1:37">
      <c r="A3" t="s">
        <v>4</v>
      </c>
      <c r="B3">
        <v>0</v>
      </c>
      <c r="C3" t="s">
        <v>5</v>
      </c>
      <c r="D3">
        <v>0</v>
      </c>
      <c r="E3" t="s">
        <v>6</v>
      </c>
      <c r="F3" s="1">
        <v>0.5</v>
      </c>
      <c r="G3" t="s">
        <v>7</v>
      </c>
      <c r="H3" s="1">
        <v>8.0645160000000007E-3</v>
      </c>
      <c r="I3" t="s">
        <v>8</v>
      </c>
      <c r="J3" s="1">
        <v>0</v>
      </c>
      <c r="K3" s="1">
        <v>0.20074039419440201</v>
      </c>
      <c r="T3" t="s">
        <v>4</v>
      </c>
      <c r="U3">
        <v>0</v>
      </c>
      <c r="V3" t="s">
        <v>5</v>
      </c>
      <c r="W3">
        <v>0</v>
      </c>
      <c r="X3" t="s">
        <v>6</v>
      </c>
      <c r="Y3" s="1">
        <v>0.5</v>
      </c>
      <c r="Z3" t="s">
        <v>7</v>
      </c>
      <c r="AA3" s="1">
        <v>1.1520739999999999E-3</v>
      </c>
      <c r="AB3" t="s">
        <v>8</v>
      </c>
      <c r="AC3" s="1">
        <v>0</v>
      </c>
      <c r="AD3" s="1">
        <v>0.20073634490167</v>
      </c>
      <c r="AF3" t="s">
        <v>35</v>
      </c>
    </row>
    <row r="4" spans="1:37">
      <c r="A4" t="s">
        <v>4</v>
      </c>
      <c r="B4">
        <v>0</v>
      </c>
      <c r="C4" t="s">
        <v>5</v>
      </c>
      <c r="D4">
        <v>1</v>
      </c>
      <c r="E4" t="s">
        <v>6</v>
      </c>
      <c r="F4" s="1">
        <v>0.5</v>
      </c>
      <c r="G4" t="s">
        <v>7</v>
      </c>
      <c r="H4" s="1">
        <v>2.4193550000000001E-2</v>
      </c>
      <c r="I4" t="s">
        <v>8</v>
      </c>
      <c r="J4" s="1">
        <v>0</v>
      </c>
      <c r="K4" s="1">
        <v>0.20076608588165001</v>
      </c>
      <c r="T4" t="s">
        <v>4</v>
      </c>
      <c r="U4">
        <v>0</v>
      </c>
      <c r="V4" t="s">
        <v>5</v>
      </c>
      <c r="W4">
        <v>1</v>
      </c>
      <c r="X4" t="s">
        <v>6</v>
      </c>
      <c r="Y4" s="1">
        <v>0.5</v>
      </c>
      <c r="Z4" t="s">
        <v>7</v>
      </c>
      <c r="AA4" s="1">
        <v>3.4562210000000002E-3</v>
      </c>
      <c r="AB4" t="s">
        <v>8</v>
      </c>
      <c r="AC4" s="1">
        <v>0</v>
      </c>
      <c r="AD4" s="1">
        <v>0.20073712038941999</v>
      </c>
      <c r="AF4" t="s">
        <v>22</v>
      </c>
      <c r="AG4" t="s">
        <v>23</v>
      </c>
      <c r="AH4">
        <v>0</v>
      </c>
    </row>
    <row r="5" spans="1:37">
      <c r="A5" t="s">
        <v>4</v>
      </c>
      <c r="B5">
        <v>0</v>
      </c>
      <c r="C5" t="s">
        <v>5</v>
      </c>
      <c r="D5">
        <v>2</v>
      </c>
      <c r="E5" t="s">
        <v>6</v>
      </c>
      <c r="F5" s="1">
        <v>0.5</v>
      </c>
      <c r="G5" t="s">
        <v>7</v>
      </c>
      <c r="H5" s="1">
        <v>4.0322579999999997E-2</v>
      </c>
      <c r="I5" t="s">
        <v>8</v>
      </c>
      <c r="J5" s="1">
        <v>0</v>
      </c>
      <c r="K5" s="1">
        <v>0.20081732872900901</v>
      </c>
      <c r="T5" t="s">
        <v>4</v>
      </c>
      <c r="U5">
        <v>0</v>
      </c>
      <c r="V5" t="s">
        <v>5</v>
      </c>
      <c r="W5">
        <v>2</v>
      </c>
      <c r="X5" t="s">
        <v>6</v>
      </c>
      <c r="Y5" s="1">
        <v>0.5</v>
      </c>
      <c r="Z5" t="s">
        <v>7</v>
      </c>
      <c r="AA5" s="1">
        <v>5.7603690000000004E-3</v>
      </c>
      <c r="AB5" t="s">
        <v>8</v>
      </c>
      <c r="AC5" s="1">
        <v>0</v>
      </c>
      <c r="AD5" s="1">
        <v>0.20073832654898399</v>
      </c>
      <c r="AF5" t="s">
        <v>24</v>
      </c>
      <c r="AG5" t="s">
        <v>23</v>
      </c>
      <c r="AH5" s="1">
        <v>0</v>
      </c>
    </row>
    <row r="6" spans="1:37">
      <c r="A6" t="s">
        <v>4</v>
      </c>
      <c r="B6">
        <v>0</v>
      </c>
      <c r="C6" t="s">
        <v>5</v>
      </c>
      <c r="D6">
        <v>3</v>
      </c>
      <c r="E6" t="s">
        <v>6</v>
      </c>
      <c r="F6" s="1">
        <v>0.5</v>
      </c>
      <c r="G6" t="s">
        <v>7</v>
      </c>
      <c r="H6" s="1">
        <v>5.6451609999999999E-2</v>
      </c>
      <c r="I6" t="s">
        <v>8</v>
      </c>
      <c r="J6" s="1">
        <v>0</v>
      </c>
      <c r="K6" s="1">
        <v>0.20089416486393</v>
      </c>
      <c r="T6" t="s">
        <v>4</v>
      </c>
      <c r="U6">
        <v>0</v>
      </c>
      <c r="V6" t="s">
        <v>5</v>
      </c>
      <c r="W6">
        <v>3</v>
      </c>
      <c r="X6" t="s">
        <v>6</v>
      </c>
      <c r="Y6" s="1">
        <v>0.5</v>
      </c>
      <c r="Z6" t="s">
        <v>7</v>
      </c>
      <c r="AA6" s="1">
        <v>8.0645160000000007E-3</v>
      </c>
      <c r="AB6" t="s">
        <v>8</v>
      </c>
      <c r="AC6" s="1">
        <v>0</v>
      </c>
      <c r="AD6" s="1">
        <v>0.20073996341824099</v>
      </c>
      <c r="AF6" t="s">
        <v>25</v>
      </c>
      <c r="AG6" t="s">
        <v>23</v>
      </c>
      <c r="AH6" s="1">
        <v>0</v>
      </c>
    </row>
    <row r="7" spans="1:37">
      <c r="A7" t="s">
        <v>4</v>
      </c>
      <c r="B7">
        <v>0</v>
      </c>
      <c r="C7" t="s">
        <v>5</v>
      </c>
      <c r="D7">
        <v>4</v>
      </c>
      <c r="E7" t="s">
        <v>6</v>
      </c>
      <c r="F7" s="1">
        <v>0.5</v>
      </c>
      <c r="G7" t="s">
        <v>7</v>
      </c>
      <c r="H7" s="1">
        <v>7.2580649999999997E-2</v>
      </c>
      <c r="I7" t="s">
        <v>8</v>
      </c>
      <c r="J7" s="1">
        <v>0</v>
      </c>
      <c r="K7" s="1">
        <v>0.20099650745277001</v>
      </c>
      <c r="T7" t="s">
        <v>4</v>
      </c>
      <c r="U7">
        <v>0</v>
      </c>
      <c r="V7" t="s">
        <v>5</v>
      </c>
      <c r="W7">
        <v>4</v>
      </c>
      <c r="X7" t="s">
        <v>6</v>
      </c>
      <c r="Y7" s="1">
        <v>0.5</v>
      </c>
      <c r="Z7" t="s">
        <v>7</v>
      </c>
      <c r="AA7" s="1">
        <v>1.036866E-2</v>
      </c>
      <c r="AB7" t="s">
        <v>8</v>
      </c>
      <c r="AC7" s="1">
        <v>0</v>
      </c>
      <c r="AD7" s="1">
        <v>0.20074203105626801</v>
      </c>
    </row>
    <row r="8" spans="1:37">
      <c r="A8" t="s">
        <v>4</v>
      </c>
      <c r="B8">
        <v>0</v>
      </c>
      <c r="C8" t="s">
        <v>5</v>
      </c>
      <c r="D8">
        <v>5</v>
      </c>
      <c r="E8" t="s">
        <v>6</v>
      </c>
      <c r="F8" s="1">
        <v>0.5</v>
      </c>
      <c r="G8" t="s">
        <v>7</v>
      </c>
      <c r="H8" s="1">
        <v>8.8709679999999999E-2</v>
      </c>
      <c r="I8" t="s">
        <v>8</v>
      </c>
      <c r="J8" s="1">
        <v>0</v>
      </c>
      <c r="K8" s="1">
        <v>0.20112426235793601</v>
      </c>
      <c r="T8" t="s">
        <v>4</v>
      </c>
      <c r="U8">
        <v>0</v>
      </c>
      <c r="V8" t="s">
        <v>5</v>
      </c>
      <c r="W8">
        <v>5</v>
      </c>
      <c r="X8" t="s">
        <v>6</v>
      </c>
      <c r="Y8" s="1">
        <v>0.5</v>
      </c>
      <c r="Z8" t="s">
        <v>7</v>
      </c>
      <c r="AA8" s="1">
        <v>1.267281E-2</v>
      </c>
      <c r="AB8" t="s">
        <v>8</v>
      </c>
      <c r="AC8" s="1">
        <v>0</v>
      </c>
      <c r="AD8" s="1">
        <v>0.20074452954347</v>
      </c>
      <c r="AF8" t="s">
        <v>26</v>
      </c>
      <c r="AG8">
        <v>1</v>
      </c>
    </row>
    <row r="9" spans="1:37">
      <c r="A9" t="s">
        <v>4</v>
      </c>
      <c r="B9">
        <v>0</v>
      </c>
      <c r="C9" t="s">
        <v>5</v>
      </c>
      <c r="D9">
        <v>6</v>
      </c>
      <c r="E9" t="s">
        <v>6</v>
      </c>
      <c r="F9" s="1">
        <v>0.5</v>
      </c>
      <c r="G9" t="s">
        <v>7</v>
      </c>
      <c r="H9" s="1">
        <v>0.10483870000000001</v>
      </c>
      <c r="I9" t="s">
        <v>8</v>
      </c>
      <c r="J9" s="1">
        <v>0</v>
      </c>
      <c r="K9" s="1">
        <v>0.20127727483197799</v>
      </c>
      <c r="T9" t="s">
        <v>4</v>
      </c>
      <c r="U9">
        <v>0</v>
      </c>
      <c r="V9" t="s">
        <v>5</v>
      </c>
      <c r="W9">
        <v>6</v>
      </c>
      <c r="X9" t="s">
        <v>6</v>
      </c>
      <c r="Y9" s="1">
        <v>0.5</v>
      </c>
      <c r="Z9" t="s">
        <v>7</v>
      </c>
      <c r="AA9" s="1">
        <v>1.4976959999999999E-2</v>
      </c>
      <c r="AB9" t="s">
        <v>8</v>
      </c>
      <c r="AC9" s="1">
        <v>0</v>
      </c>
      <c r="AD9" s="1">
        <v>0.200747458981238</v>
      </c>
      <c r="AF9" t="s">
        <v>27</v>
      </c>
      <c r="AG9" t="s">
        <v>23</v>
      </c>
      <c r="AH9" t="s">
        <v>28</v>
      </c>
      <c r="AI9" t="s">
        <v>29</v>
      </c>
    </row>
    <row r="10" spans="1:37">
      <c r="A10" t="s">
        <v>4</v>
      </c>
      <c r="B10">
        <v>0</v>
      </c>
      <c r="C10" t="s">
        <v>5</v>
      </c>
      <c r="D10">
        <v>7</v>
      </c>
      <c r="E10" t="s">
        <v>6</v>
      </c>
      <c r="F10" s="1">
        <v>0.5</v>
      </c>
      <c r="G10" t="s">
        <v>7</v>
      </c>
      <c r="H10" s="1">
        <v>0.1209677</v>
      </c>
      <c r="I10" t="s">
        <v>8</v>
      </c>
      <c r="J10" s="1">
        <v>0</v>
      </c>
      <c r="K10" s="1">
        <v>0.20145532805821301</v>
      </c>
      <c r="T10" t="s">
        <v>4</v>
      </c>
      <c r="U10">
        <v>0</v>
      </c>
      <c r="V10" t="s">
        <v>5</v>
      </c>
      <c r="W10">
        <v>7</v>
      </c>
      <c r="X10" t="s">
        <v>6</v>
      </c>
      <c r="Y10" s="1">
        <v>0.5</v>
      </c>
      <c r="Z10" t="s">
        <v>7</v>
      </c>
      <c r="AA10" s="1">
        <v>1.7281109999999999E-2</v>
      </c>
      <c r="AB10" t="s">
        <v>8</v>
      </c>
      <c r="AC10" s="1">
        <v>0</v>
      </c>
      <c r="AD10" s="1">
        <v>0.20075113027401401</v>
      </c>
      <c r="AF10" t="s">
        <v>30</v>
      </c>
      <c r="AG10" t="s">
        <v>23</v>
      </c>
      <c r="AH10" t="s">
        <v>31</v>
      </c>
      <c r="AK10" t="s">
        <v>34</v>
      </c>
    </row>
    <row r="11" spans="1:37">
      <c r="A11" t="s">
        <v>4</v>
      </c>
      <c r="B11">
        <v>0</v>
      </c>
      <c r="C11" t="s">
        <v>5</v>
      </c>
      <c r="D11">
        <v>8</v>
      </c>
      <c r="E11" t="s">
        <v>6</v>
      </c>
      <c r="F11" s="1">
        <v>0.5</v>
      </c>
      <c r="G11" t="s">
        <v>7</v>
      </c>
      <c r="H11" s="1">
        <v>0.13709679999999999</v>
      </c>
      <c r="I11" t="s">
        <v>8</v>
      </c>
      <c r="J11" s="1">
        <v>0</v>
      </c>
      <c r="K11" s="1">
        <v>0.201658113854536</v>
      </c>
      <c r="T11" t="s">
        <v>4</v>
      </c>
      <c r="U11">
        <v>0</v>
      </c>
      <c r="V11" t="s">
        <v>5</v>
      </c>
      <c r="W11">
        <v>8</v>
      </c>
      <c r="X11" t="s">
        <v>6</v>
      </c>
      <c r="Y11" s="1">
        <v>0.5</v>
      </c>
      <c r="Z11" t="s">
        <v>7</v>
      </c>
      <c r="AA11" s="1">
        <v>1.9585249999999998E-2</v>
      </c>
      <c r="AB11" t="s">
        <v>8</v>
      </c>
      <c r="AC11" s="1">
        <v>0</v>
      </c>
      <c r="AD11" s="1">
        <v>0.200755542375575</v>
      </c>
    </row>
    <row r="12" spans="1:37">
      <c r="A12" t="s">
        <v>4</v>
      </c>
      <c r="B12">
        <v>0</v>
      </c>
      <c r="C12" t="s">
        <v>5</v>
      </c>
      <c r="D12">
        <v>9</v>
      </c>
      <c r="E12" t="s">
        <v>6</v>
      </c>
      <c r="F12" s="1">
        <v>0.5</v>
      </c>
      <c r="G12" t="s">
        <v>7</v>
      </c>
      <c r="H12" s="1">
        <v>0.1532258</v>
      </c>
      <c r="I12" t="s">
        <v>8</v>
      </c>
      <c r="J12" s="1">
        <v>0</v>
      </c>
      <c r="K12" s="1">
        <v>0.20188520345871599</v>
      </c>
      <c r="T12" t="s">
        <v>4</v>
      </c>
      <c r="U12">
        <v>0</v>
      </c>
      <c r="V12" t="s">
        <v>5</v>
      </c>
      <c r="W12">
        <v>9</v>
      </c>
      <c r="X12" t="s">
        <v>6</v>
      </c>
      <c r="Y12" s="1">
        <v>0.5</v>
      </c>
      <c r="Z12" t="s">
        <v>7</v>
      </c>
      <c r="AA12" s="1">
        <v>2.18894E-2</v>
      </c>
      <c r="AB12" t="s">
        <v>8</v>
      </c>
      <c r="AC12" s="1">
        <v>0</v>
      </c>
      <c r="AD12" s="1">
        <v>0.20076038416736899</v>
      </c>
      <c r="AG12" t="s">
        <v>32</v>
      </c>
      <c r="AH12" t="s">
        <v>27</v>
      </c>
      <c r="AI12" t="s">
        <v>30</v>
      </c>
    </row>
    <row r="13" spans="1:37">
      <c r="A13" t="s">
        <v>4</v>
      </c>
      <c r="B13">
        <v>0</v>
      </c>
      <c r="C13" t="s">
        <v>5</v>
      </c>
      <c r="D13">
        <v>10</v>
      </c>
      <c r="E13" t="s">
        <v>6</v>
      </c>
      <c r="F13" s="1">
        <v>0.5</v>
      </c>
      <c r="G13" t="s">
        <v>7</v>
      </c>
      <c r="H13" s="1">
        <v>0.1693548</v>
      </c>
      <c r="I13" t="s">
        <v>8</v>
      </c>
      <c r="J13" s="1">
        <v>0</v>
      </c>
      <c r="K13" s="1">
        <v>0.20213601008436799</v>
      </c>
      <c r="T13" t="s">
        <v>4</v>
      </c>
      <c r="U13">
        <v>0</v>
      </c>
      <c r="V13" t="s">
        <v>5</v>
      </c>
      <c r="W13">
        <v>10</v>
      </c>
      <c r="X13" t="s">
        <v>6</v>
      </c>
      <c r="Y13" s="1">
        <v>0.5</v>
      </c>
      <c r="Z13" t="s">
        <v>7</v>
      </c>
      <c r="AA13" s="1">
        <v>2.4193550000000001E-2</v>
      </c>
      <c r="AB13" t="s">
        <v>8</v>
      </c>
      <c r="AC13" s="1">
        <v>0</v>
      </c>
      <c r="AD13" s="1">
        <v>0.20076565582080499</v>
      </c>
      <c r="AF13" t="s">
        <v>33</v>
      </c>
    </row>
    <row r="14" spans="1:37">
      <c r="A14" t="s">
        <v>4</v>
      </c>
      <c r="B14">
        <v>0</v>
      </c>
      <c r="C14" t="s">
        <v>5</v>
      </c>
      <c r="D14">
        <v>11</v>
      </c>
      <c r="E14" t="s">
        <v>6</v>
      </c>
      <c r="F14" s="1">
        <v>0.5</v>
      </c>
      <c r="G14" t="s">
        <v>7</v>
      </c>
      <c r="H14" s="1">
        <v>0.18548390000000001</v>
      </c>
      <c r="I14" t="s">
        <v>8</v>
      </c>
      <c r="J14" s="1">
        <v>0</v>
      </c>
      <c r="K14" s="1">
        <v>0.20240973218384301</v>
      </c>
      <c r="T14" t="s">
        <v>4</v>
      </c>
      <c r="U14">
        <v>0</v>
      </c>
      <c r="V14" t="s">
        <v>5</v>
      </c>
      <c r="W14">
        <v>11</v>
      </c>
      <c r="X14" t="s">
        <v>6</v>
      </c>
      <c r="Y14" s="1">
        <v>0.5</v>
      </c>
      <c r="Z14" t="s">
        <v>7</v>
      </c>
      <c r="AA14" s="1">
        <v>2.6497699999999999E-2</v>
      </c>
      <c r="AB14" t="s">
        <v>8</v>
      </c>
      <c r="AC14" s="1">
        <v>0</v>
      </c>
      <c r="AD14" s="1">
        <v>0.20077135752867301</v>
      </c>
      <c r="AG14">
        <v>1394</v>
      </c>
      <c r="AH14" s="1">
        <v>0</v>
      </c>
      <c r="AI14" s="1">
        <v>0.398005</v>
      </c>
      <c r="AJ14" s="1"/>
    </row>
    <row r="15" spans="1:37">
      <c r="A15" t="s">
        <v>4</v>
      </c>
      <c r="B15">
        <v>0</v>
      </c>
      <c r="C15" t="s">
        <v>5</v>
      </c>
      <c r="D15">
        <v>12</v>
      </c>
      <c r="E15" t="s">
        <v>6</v>
      </c>
      <c r="F15" s="1">
        <v>0.5</v>
      </c>
      <c r="G15" t="s">
        <v>7</v>
      </c>
      <c r="H15" s="1">
        <v>0.20161290000000001</v>
      </c>
      <c r="I15" t="s">
        <v>8</v>
      </c>
      <c r="J15" s="1">
        <v>0</v>
      </c>
      <c r="K15" s="1">
        <v>0.20270529566025999</v>
      </c>
      <c r="T15" t="s">
        <v>4</v>
      </c>
      <c r="U15">
        <v>0</v>
      </c>
      <c r="V15" t="s">
        <v>5</v>
      </c>
      <c r="W15">
        <v>12</v>
      </c>
      <c r="X15" t="s">
        <v>6</v>
      </c>
      <c r="Y15" s="1">
        <v>0.5</v>
      </c>
      <c r="Z15" t="s">
        <v>7</v>
      </c>
      <c r="AA15" s="1">
        <v>2.8801839999999999E-2</v>
      </c>
      <c r="AB15" t="s">
        <v>8</v>
      </c>
      <c r="AC15" s="1">
        <v>0</v>
      </c>
      <c r="AD15" s="1">
        <v>0.20077748950548299</v>
      </c>
      <c r="AG15">
        <v>53685</v>
      </c>
      <c r="AH15" s="1">
        <v>1.5625E-2</v>
      </c>
      <c r="AI15" s="1">
        <v>0.39805299999999999</v>
      </c>
      <c r="AJ15" s="1"/>
    </row>
    <row r="16" spans="1:37">
      <c r="A16" t="s">
        <v>4</v>
      </c>
      <c r="B16">
        <v>0</v>
      </c>
      <c r="C16" t="s">
        <v>5</v>
      </c>
      <c r="D16">
        <v>13</v>
      </c>
      <c r="E16" t="s">
        <v>6</v>
      </c>
      <c r="F16" s="1">
        <v>0.5</v>
      </c>
      <c r="G16" t="s">
        <v>7</v>
      </c>
      <c r="H16" s="1">
        <v>0.21774189999999999</v>
      </c>
      <c r="I16" t="s">
        <v>8</v>
      </c>
      <c r="J16" s="1">
        <v>0</v>
      </c>
      <c r="K16" s="1">
        <v>0.203021248854836</v>
      </c>
      <c r="T16" t="s">
        <v>4</v>
      </c>
      <c r="U16">
        <v>0</v>
      </c>
      <c r="V16" t="s">
        <v>5</v>
      </c>
      <c r="W16">
        <v>13</v>
      </c>
      <c r="X16" t="s">
        <v>6</v>
      </c>
      <c r="Y16" s="1">
        <v>0.5</v>
      </c>
      <c r="Z16" t="s">
        <v>7</v>
      </c>
      <c r="AA16" s="1">
        <v>3.110599E-2</v>
      </c>
      <c r="AB16" t="s">
        <v>8</v>
      </c>
      <c r="AC16" s="1">
        <v>0</v>
      </c>
      <c r="AD16" s="1">
        <v>0.200784051987239</v>
      </c>
      <c r="AG16">
        <v>25202</v>
      </c>
      <c r="AH16" s="1">
        <v>3.125E-2</v>
      </c>
      <c r="AI16" s="1">
        <v>0.39810099999999998</v>
      </c>
      <c r="AJ16" s="1"/>
    </row>
    <row r="17" spans="1:50">
      <c r="A17" t="s">
        <v>4</v>
      </c>
      <c r="B17">
        <v>0</v>
      </c>
      <c r="C17" t="s">
        <v>5</v>
      </c>
      <c r="D17">
        <v>14</v>
      </c>
      <c r="E17" t="s">
        <v>6</v>
      </c>
      <c r="F17" s="1">
        <v>0.5</v>
      </c>
      <c r="G17" t="s">
        <v>7</v>
      </c>
      <c r="H17" s="1">
        <v>0.233871</v>
      </c>
      <c r="I17" t="s">
        <v>8</v>
      </c>
      <c r="J17" s="1">
        <v>0</v>
      </c>
      <c r="K17" s="1">
        <v>0.203355670514489</v>
      </c>
      <c r="T17" t="s">
        <v>4</v>
      </c>
      <c r="U17">
        <v>0</v>
      </c>
      <c r="V17" t="s">
        <v>5</v>
      </c>
      <c r="W17">
        <v>14</v>
      </c>
      <c r="X17" t="s">
        <v>6</v>
      </c>
      <c r="Y17" s="1">
        <v>0.5</v>
      </c>
      <c r="Z17" t="s">
        <v>7</v>
      </c>
      <c r="AA17" s="1">
        <v>3.3410139999999998E-2</v>
      </c>
      <c r="AB17" t="s">
        <v>8</v>
      </c>
      <c r="AC17" s="1">
        <v>0</v>
      </c>
      <c r="AD17" s="1">
        <v>0.20079137466362401</v>
      </c>
      <c r="AG17">
        <v>123346</v>
      </c>
      <c r="AH17" s="1">
        <v>4.6875E-2</v>
      </c>
      <c r="AI17" s="1">
        <v>0.39824500000000002</v>
      </c>
      <c r="AJ17" s="1"/>
    </row>
    <row r="18" spans="1:50">
      <c r="A18" t="s">
        <v>4</v>
      </c>
      <c r="B18">
        <v>0</v>
      </c>
      <c r="C18" t="s">
        <v>5</v>
      </c>
      <c r="D18">
        <v>15</v>
      </c>
      <c r="E18" t="s">
        <v>6</v>
      </c>
      <c r="F18" s="1">
        <v>0.5</v>
      </c>
      <c r="G18" t="s">
        <v>7</v>
      </c>
      <c r="H18" s="1">
        <v>0.25</v>
      </c>
      <c r="I18" t="s">
        <v>8</v>
      </c>
      <c r="J18" s="1">
        <v>0</v>
      </c>
      <c r="K18" s="1">
        <v>0.20370596731729401</v>
      </c>
      <c r="T18" t="s">
        <v>4</v>
      </c>
      <c r="U18">
        <v>0</v>
      </c>
      <c r="V18" t="s">
        <v>5</v>
      </c>
      <c r="W18">
        <v>15</v>
      </c>
      <c r="X18" t="s">
        <v>6</v>
      </c>
      <c r="Y18" s="1">
        <v>0.5</v>
      </c>
      <c r="Z18" t="s">
        <v>7</v>
      </c>
      <c r="AA18" s="1">
        <v>3.5714290000000003E-2</v>
      </c>
      <c r="AB18" t="s">
        <v>8</v>
      </c>
      <c r="AC18" s="1">
        <v>0</v>
      </c>
      <c r="AD18" s="1">
        <v>0.20079945532459301</v>
      </c>
      <c r="AG18">
        <v>25203</v>
      </c>
      <c r="AH18" s="1">
        <v>6.25E-2</v>
      </c>
      <c r="AI18" s="1">
        <v>0.39839000000000002</v>
      </c>
      <c r="AJ18" s="1"/>
    </row>
    <row r="19" spans="1:50">
      <c r="A19" t="s">
        <v>4</v>
      </c>
      <c r="B19">
        <v>0</v>
      </c>
      <c r="C19" t="s">
        <v>5</v>
      </c>
      <c r="D19">
        <v>16</v>
      </c>
      <c r="E19" t="s">
        <v>6</v>
      </c>
      <c r="F19" s="1">
        <v>0.5</v>
      </c>
      <c r="G19" t="s">
        <v>7</v>
      </c>
      <c r="H19" s="1">
        <v>0.266129</v>
      </c>
      <c r="I19" t="s">
        <v>8</v>
      </c>
      <c r="J19" s="1">
        <v>0</v>
      </c>
      <c r="K19" s="1">
        <v>0.204068727665288</v>
      </c>
      <c r="T19" t="s">
        <v>4</v>
      </c>
      <c r="U19">
        <v>0</v>
      </c>
      <c r="V19" t="s">
        <v>5</v>
      </c>
      <c r="W19">
        <v>16</v>
      </c>
      <c r="X19" t="s">
        <v>6</v>
      </c>
      <c r="Y19" s="1">
        <v>0.5</v>
      </c>
      <c r="Z19" t="s">
        <v>7</v>
      </c>
      <c r="AA19" s="1">
        <v>3.8018429999999999E-2</v>
      </c>
      <c r="AB19" t="s">
        <v>8</v>
      </c>
      <c r="AC19" s="1">
        <v>0</v>
      </c>
      <c r="AD19" s="1">
        <v>0.20080796378450799</v>
      </c>
      <c r="AG19">
        <v>123349</v>
      </c>
      <c r="AH19" s="1">
        <v>7.8125E-2</v>
      </c>
      <c r="AI19" s="1">
        <v>0.39862999999999998</v>
      </c>
      <c r="AJ19" s="1"/>
    </row>
    <row r="20" spans="1:50">
      <c r="A20" t="s">
        <v>4</v>
      </c>
      <c r="B20">
        <v>0</v>
      </c>
      <c r="C20" t="s">
        <v>5</v>
      </c>
      <c r="D20">
        <v>17</v>
      </c>
      <c r="E20" t="s">
        <v>6</v>
      </c>
      <c r="F20" s="1">
        <v>0.5</v>
      </c>
      <c r="G20" t="s">
        <v>7</v>
      </c>
      <c r="H20" s="1">
        <v>0.28225810000000001</v>
      </c>
      <c r="I20" t="s">
        <v>8</v>
      </c>
      <c r="J20" s="1">
        <v>0</v>
      </c>
      <c r="K20" s="1">
        <v>0.20443928871519099</v>
      </c>
      <c r="T20" t="s">
        <v>4</v>
      </c>
      <c r="U20">
        <v>0</v>
      </c>
      <c r="V20" t="s">
        <v>5</v>
      </c>
      <c r="W20">
        <v>17</v>
      </c>
      <c r="X20" t="s">
        <v>6</v>
      </c>
      <c r="Y20" s="1">
        <v>0.5</v>
      </c>
      <c r="Z20" t="s">
        <v>7</v>
      </c>
      <c r="AA20" s="1">
        <v>4.0322579999999997E-2</v>
      </c>
      <c r="AB20" t="s">
        <v>8</v>
      </c>
      <c r="AC20" s="1">
        <v>0</v>
      </c>
      <c r="AD20" s="1">
        <v>0.200816900329299</v>
      </c>
      <c r="AG20">
        <v>25204</v>
      </c>
      <c r="AH20" s="1">
        <v>9.375E-2</v>
      </c>
      <c r="AI20" s="1">
        <v>0.39887</v>
      </c>
      <c r="AJ20" s="1"/>
    </row>
    <row r="21" spans="1:50">
      <c r="A21" t="s">
        <v>4</v>
      </c>
      <c r="B21">
        <v>0</v>
      </c>
      <c r="C21" t="s">
        <v>5</v>
      </c>
      <c r="D21">
        <v>18</v>
      </c>
      <c r="E21" t="s">
        <v>6</v>
      </c>
      <c r="F21" s="1">
        <v>0.5</v>
      </c>
      <c r="G21" t="s">
        <v>7</v>
      </c>
      <c r="H21" s="1">
        <v>0.29838710000000002</v>
      </c>
      <c r="I21" t="s">
        <v>8</v>
      </c>
      <c r="J21" s="1">
        <v>0</v>
      </c>
      <c r="K21" s="1">
        <v>0.204811565434252</v>
      </c>
      <c r="T21" t="s">
        <v>4</v>
      </c>
      <c r="U21">
        <v>0</v>
      </c>
      <c r="V21" t="s">
        <v>5</v>
      </c>
      <c r="W21">
        <v>18</v>
      </c>
      <c r="X21" t="s">
        <v>6</v>
      </c>
      <c r="Y21" s="1">
        <v>0.5</v>
      </c>
      <c r="Z21" t="s">
        <v>7</v>
      </c>
      <c r="AA21" s="1">
        <v>4.2626730000000002E-2</v>
      </c>
      <c r="AB21" t="s">
        <v>8</v>
      </c>
      <c r="AC21" s="1">
        <v>0</v>
      </c>
      <c r="AD21" s="1">
        <v>0.20082626526678901</v>
      </c>
      <c r="AG21">
        <v>123352</v>
      </c>
      <c r="AH21" s="1">
        <v>0.109375</v>
      </c>
      <c r="AI21" s="1">
        <v>0.399204</v>
      </c>
      <c r="AJ21" s="1"/>
    </row>
    <row r="22" spans="1:50">
      <c r="A22" t="s">
        <v>4</v>
      </c>
      <c r="B22">
        <v>0</v>
      </c>
      <c r="C22" t="s">
        <v>5</v>
      </c>
      <c r="D22">
        <v>19</v>
      </c>
      <c r="E22" t="s">
        <v>6</v>
      </c>
      <c r="F22" s="1">
        <v>0.5</v>
      </c>
      <c r="G22" t="s">
        <v>7</v>
      </c>
      <c r="H22" s="1">
        <v>0.31451610000000002</v>
      </c>
      <c r="I22" t="s">
        <v>8</v>
      </c>
      <c r="J22" s="1">
        <v>0</v>
      </c>
      <c r="K22" s="1">
        <v>0.205176857847854</v>
      </c>
      <c r="T22" t="s">
        <v>4</v>
      </c>
      <c r="U22">
        <v>0</v>
      </c>
      <c r="V22" t="s">
        <v>5</v>
      </c>
      <c r="W22">
        <v>19</v>
      </c>
      <c r="X22" t="s">
        <v>6</v>
      </c>
      <c r="Y22" s="1">
        <v>0.5</v>
      </c>
      <c r="Z22" t="s">
        <v>7</v>
      </c>
      <c r="AA22" s="1">
        <v>4.4930879999999999E-2</v>
      </c>
      <c r="AB22" t="s">
        <v>8</v>
      </c>
      <c r="AC22" s="1">
        <v>0</v>
      </c>
      <c r="AD22" s="1">
        <v>0.200836058927332</v>
      </c>
      <c r="AG22">
        <v>25205</v>
      </c>
      <c r="AH22" s="1">
        <v>0.125</v>
      </c>
      <c r="AI22" s="1">
        <v>0.39953899999999998</v>
      </c>
      <c r="AJ22" s="1"/>
    </row>
    <row r="23" spans="1:50">
      <c r="A23" t="s">
        <v>4</v>
      </c>
      <c r="B23">
        <v>0</v>
      </c>
      <c r="C23" t="s">
        <v>5</v>
      </c>
      <c r="D23">
        <v>20</v>
      </c>
      <c r="E23" t="s">
        <v>6</v>
      </c>
      <c r="F23" s="1">
        <v>0.5</v>
      </c>
      <c r="G23" t="s">
        <v>7</v>
      </c>
      <c r="H23" s="1">
        <v>0.33064519999999997</v>
      </c>
      <c r="I23" t="s">
        <v>8</v>
      </c>
      <c r="J23" s="1">
        <v>0</v>
      </c>
      <c r="K23" s="1">
        <v>0.20552426345892899</v>
      </c>
      <c r="T23" t="s">
        <v>4</v>
      </c>
      <c r="U23">
        <v>0</v>
      </c>
      <c r="V23" t="s">
        <v>5</v>
      </c>
      <c r="W23">
        <v>20</v>
      </c>
      <c r="X23" t="s">
        <v>6</v>
      </c>
      <c r="Y23" s="1">
        <v>0.5</v>
      </c>
      <c r="Z23" t="s">
        <v>7</v>
      </c>
      <c r="AA23" s="1">
        <v>4.7235020000000003E-2</v>
      </c>
      <c r="AB23" t="s">
        <v>8</v>
      </c>
      <c r="AC23" s="1">
        <v>0</v>
      </c>
      <c r="AD23" s="1">
        <v>0.20084628166344301</v>
      </c>
      <c r="AG23">
        <v>123355</v>
      </c>
      <c r="AH23" s="1">
        <v>0.140625</v>
      </c>
      <c r="AI23" s="1">
        <v>0.39996599999999999</v>
      </c>
      <c r="AJ23" s="1"/>
    </row>
    <row r="24" spans="1:50">
      <c r="A24" t="s">
        <v>4</v>
      </c>
      <c r="B24">
        <v>0</v>
      </c>
      <c r="C24" t="s">
        <v>5</v>
      </c>
      <c r="D24">
        <v>21</v>
      </c>
      <c r="E24" t="s">
        <v>6</v>
      </c>
      <c r="F24" s="1">
        <v>0.5</v>
      </c>
      <c r="G24" t="s">
        <v>7</v>
      </c>
      <c r="H24" s="1">
        <v>0.34677419999999998</v>
      </c>
      <c r="I24" t="s">
        <v>8</v>
      </c>
      <c r="J24" s="1">
        <v>0</v>
      </c>
      <c r="K24" s="1">
        <v>0.20583604876460501</v>
      </c>
      <c r="T24" t="s">
        <v>4</v>
      </c>
      <c r="U24">
        <v>0</v>
      </c>
      <c r="V24" t="s">
        <v>5</v>
      </c>
      <c r="W24">
        <v>21</v>
      </c>
      <c r="X24" t="s">
        <v>6</v>
      </c>
      <c r="Y24" s="1">
        <v>0.5</v>
      </c>
      <c r="Z24" t="s">
        <v>7</v>
      </c>
      <c r="AA24" s="1">
        <v>4.953917E-2</v>
      </c>
      <c r="AB24" t="s">
        <v>8</v>
      </c>
      <c r="AC24" s="1">
        <v>0</v>
      </c>
      <c r="AD24" s="1">
        <v>0.20085726168200799</v>
      </c>
      <c r="AG24">
        <v>25206</v>
      </c>
      <c r="AH24" s="1">
        <v>0.15625</v>
      </c>
      <c r="AI24" s="1">
        <v>0.400393</v>
      </c>
      <c r="AJ24" s="1"/>
    </row>
    <row r="25" spans="1:50">
      <c r="A25" t="s">
        <v>4</v>
      </c>
      <c r="B25">
        <v>0</v>
      </c>
      <c r="C25" t="s">
        <v>5</v>
      </c>
      <c r="D25">
        <v>22</v>
      </c>
      <c r="E25" t="s">
        <v>6</v>
      </c>
      <c r="F25" s="1">
        <v>0.5</v>
      </c>
      <c r="G25" t="s">
        <v>7</v>
      </c>
      <c r="H25" s="1">
        <v>0.36290319999999998</v>
      </c>
      <c r="I25" t="s">
        <v>8</v>
      </c>
      <c r="J25" s="1">
        <v>0</v>
      </c>
      <c r="K25" s="1">
        <v>0.20609303388632699</v>
      </c>
      <c r="T25" t="s">
        <v>4</v>
      </c>
      <c r="U25">
        <v>0</v>
      </c>
      <c r="V25" t="s">
        <v>5</v>
      </c>
      <c r="W25">
        <v>22</v>
      </c>
      <c r="X25" t="s">
        <v>6</v>
      </c>
      <c r="Y25" s="1">
        <v>0.5</v>
      </c>
      <c r="Z25" t="s">
        <v>7</v>
      </c>
      <c r="AA25" s="1">
        <v>5.1843319999999998E-2</v>
      </c>
      <c r="AB25" t="s">
        <v>8</v>
      </c>
      <c r="AC25" s="1">
        <v>0</v>
      </c>
      <c r="AD25" s="1">
        <v>0.200868995693052</v>
      </c>
      <c r="AG25">
        <v>123358</v>
      </c>
      <c r="AH25" s="1">
        <v>0.171875</v>
      </c>
      <c r="AI25" s="1">
        <v>0.40090900000000002</v>
      </c>
      <c r="AJ25" s="1"/>
      <c r="AM25" t="s">
        <v>4</v>
      </c>
      <c r="AN25">
        <v>0</v>
      </c>
      <c r="AO25" t="s">
        <v>5</v>
      </c>
      <c r="AP25">
        <v>0</v>
      </c>
      <c r="AQ25" t="s">
        <v>6</v>
      </c>
      <c r="AR25" s="1">
        <v>1.5625E-2</v>
      </c>
      <c r="AS25" t="s">
        <v>7</v>
      </c>
      <c r="AT25" s="1">
        <v>0.5</v>
      </c>
      <c r="AU25" t="s">
        <v>8</v>
      </c>
      <c r="AV25" s="1">
        <v>0</v>
      </c>
      <c r="AW25" s="1">
        <v>0.19924121802959099</v>
      </c>
      <c r="AX25" s="1">
        <f>2*AW25</f>
        <v>0.39848243605918199</v>
      </c>
    </row>
    <row r="26" spans="1:50">
      <c r="A26" t="s">
        <v>4</v>
      </c>
      <c r="B26">
        <v>0</v>
      </c>
      <c r="C26" t="s">
        <v>5</v>
      </c>
      <c r="D26">
        <v>23</v>
      </c>
      <c r="E26" t="s">
        <v>6</v>
      </c>
      <c r="F26" s="1">
        <v>0.5</v>
      </c>
      <c r="G26" t="s">
        <v>7</v>
      </c>
      <c r="H26" s="1">
        <v>0.37903229999999999</v>
      </c>
      <c r="I26" t="s">
        <v>8</v>
      </c>
      <c r="J26" s="1">
        <v>0</v>
      </c>
      <c r="K26" s="1">
        <v>0.20625310845677999</v>
      </c>
      <c r="T26" t="s">
        <v>4</v>
      </c>
      <c r="U26">
        <v>0</v>
      </c>
      <c r="V26" t="s">
        <v>5</v>
      </c>
      <c r="W26">
        <v>23</v>
      </c>
      <c r="X26" t="s">
        <v>6</v>
      </c>
      <c r="Y26" s="1">
        <v>0.5</v>
      </c>
      <c r="Z26" t="s">
        <v>7</v>
      </c>
      <c r="AA26" s="1">
        <v>5.4147470000000003E-2</v>
      </c>
      <c r="AB26" t="s">
        <v>8</v>
      </c>
      <c r="AC26" s="1">
        <v>0</v>
      </c>
      <c r="AD26" s="1">
        <v>0.20088115470714701</v>
      </c>
      <c r="AG26">
        <v>25207</v>
      </c>
      <c r="AH26" s="1">
        <v>0.1875</v>
      </c>
      <c r="AI26" s="1">
        <v>0.401424</v>
      </c>
      <c r="AJ26" s="1"/>
      <c r="AM26" t="s">
        <v>4</v>
      </c>
      <c r="AN26">
        <v>0</v>
      </c>
      <c r="AO26" t="s">
        <v>5</v>
      </c>
      <c r="AP26">
        <v>1</v>
      </c>
      <c r="AQ26" t="s">
        <v>6</v>
      </c>
      <c r="AR26" s="1">
        <v>4.6875E-2</v>
      </c>
      <c r="AS26" t="s">
        <v>7</v>
      </c>
      <c r="AT26" s="1">
        <v>0.5</v>
      </c>
      <c r="AU26" t="s">
        <v>8</v>
      </c>
      <c r="AV26" s="1">
        <v>0</v>
      </c>
      <c r="AW26" s="1">
        <v>0.19935010076213</v>
      </c>
      <c r="AX26" s="1">
        <f t="shared" ref="AX26:AX40" si="0">2*AW26</f>
        <v>0.39870020152426</v>
      </c>
    </row>
    <row r="27" spans="1:50">
      <c r="A27" t="s">
        <v>4</v>
      </c>
      <c r="B27">
        <v>0</v>
      </c>
      <c r="C27" t="s">
        <v>5</v>
      </c>
      <c r="D27">
        <v>24</v>
      </c>
      <c r="E27" t="s">
        <v>6</v>
      </c>
      <c r="F27" s="1">
        <v>0.5</v>
      </c>
      <c r="G27" t="s">
        <v>7</v>
      </c>
      <c r="H27" s="1">
        <v>0.39516129999999999</v>
      </c>
      <c r="I27" t="s">
        <v>8</v>
      </c>
      <c r="J27" s="1">
        <v>0</v>
      </c>
      <c r="K27" s="1">
        <v>0.206284526126019</v>
      </c>
      <c r="T27" t="s">
        <v>4</v>
      </c>
      <c r="U27">
        <v>0</v>
      </c>
      <c r="V27" t="s">
        <v>5</v>
      </c>
      <c r="W27">
        <v>24</v>
      </c>
      <c r="X27" t="s">
        <v>6</v>
      </c>
      <c r="Y27" s="1">
        <v>0.5</v>
      </c>
      <c r="Z27" t="s">
        <v>7</v>
      </c>
      <c r="AA27" s="1">
        <v>5.6451609999999999E-2</v>
      </c>
      <c r="AB27" t="s">
        <v>8</v>
      </c>
      <c r="AC27" s="1">
        <v>0</v>
      </c>
      <c r="AD27" s="1">
        <v>0.20089373909296901</v>
      </c>
      <c r="AG27">
        <v>123361</v>
      </c>
      <c r="AH27" s="1">
        <v>0.203125</v>
      </c>
      <c r="AI27" s="1">
        <v>0.40202100000000002</v>
      </c>
      <c r="AJ27" s="1"/>
      <c r="AM27" t="s">
        <v>4</v>
      </c>
      <c r="AN27">
        <v>0</v>
      </c>
      <c r="AO27" t="s">
        <v>5</v>
      </c>
      <c r="AP27">
        <v>2</v>
      </c>
      <c r="AQ27" t="s">
        <v>6</v>
      </c>
      <c r="AR27" s="1">
        <v>7.8125E-2</v>
      </c>
      <c r="AS27" t="s">
        <v>7</v>
      </c>
      <c r="AT27" s="1">
        <v>0.5</v>
      </c>
      <c r="AU27" t="s">
        <v>8</v>
      </c>
      <c r="AV27" s="1">
        <v>0</v>
      </c>
      <c r="AW27" s="1">
        <v>0.199565227985044</v>
      </c>
      <c r="AX27" s="1">
        <f t="shared" si="0"/>
        <v>0.39913045597008801</v>
      </c>
    </row>
    <row r="28" spans="1:50">
      <c r="A28" t="s">
        <v>4</v>
      </c>
      <c r="B28">
        <v>0</v>
      </c>
      <c r="C28" t="s">
        <v>5</v>
      </c>
      <c r="D28">
        <v>25</v>
      </c>
      <c r="E28" t="s">
        <v>6</v>
      </c>
      <c r="F28" s="1">
        <v>0.5</v>
      </c>
      <c r="G28" t="s">
        <v>7</v>
      </c>
      <c r="H28" s="1">
        <v>0.4112903</v>
      </c>
      <c r="I28" t="s">
        <v>8</v>
      </c>
      <c r="J28" s="1">
        <v>0</v>
      </c>
      <c r="K28" s="1">
        <v>0.206067291392146</v>
      </c>
      <c r="T28" t="s">
        <v>4</v>
      </c>
      <c r="U28">
        <v>0</v>
      </c>
      <c r="V28" t="s">
        <v>5</v>
      </c>
      <c r="W28">
        <v>25</v>
      </c>
      <c r="X28" t="s">
        <v>6</v>
      </c>
      <c r="Y28" s="1">
        <v>0.5</v>
      </c>
      <c r="Z28" t="s">
        <v>7</v>
      </c>
      <c r="AA28" s="1">
        <v>5.8755759999999997E-2</v>
      </c>
      <c r="AB28" t="s">
        <v>8</v>
      </c>
      <c r="AC28" s="1">
        <v>0</v>
      </c>
      <c r="AD28" s="1">
        <v>0.20090674924214499</v>
      </c>
      <c r="AG28">
        <v>25208</v>
      </c>
      <c r="AH28" s="1">
        <v>0.21875</v>
      </c>
      <c r="AI28" s="1">
        <v>0.40261799999999998</v>
      </c>
      <c r="AJ28" s="1"/>
      <c r="AM28" t="s">
        <v>4</v>
      </c>
      <c r="AN28">
        <v>0</v>
      </c>
      <c r="AO28" t="s">
        <v>5</v>
      </c>
      <c r="AP28">
        <v>3</v>
      </c>
      <c r="AQ28" t="s">
        <v>6</v>
      </c>
      <c r="AR28" s="1">
        <v>0.109375</v>
      </c>
      <c r="AS28" t="s">
        <v>7</v>
      </c>
      <c r="AT28" s="1">
        <v>0.5</v>
      </c>
      <c r="AU28" t="s">
        <v>8</v>
      </c>
      <c r="AV28" s="1">
        <v>0</v>
      </c>
      <c r="AW28" s="1">
        <v>0.199888028394651</v>
      </c>
      <c r="AX28" s="1">
        <f t="shared" si="0"/>
        <v>0.399776056789302</v>
      </c>
    </row>
    <row r="29" spans="1:50">
      <c r="A29" t="s">
        <v>4</v>
      </c>
      <c r="B29">
        <v>0</v>
      </c>
      <c r="C29" t="s">
        <v>5</v>
      </c>
      <c r="D29">
        <v>26</v>
      </c>
      <c r="E29" t="s">
        <v>6</v>
      </c>
      <c r="F29" s="1">
        <v>0.5</v>
      </c>
      <c r="G29" t="s">
        <v>7</v>
      </c>
      <c r="H29" s="1">
        <v>0.4274194</v>
      </c>
      <c r="I29" t="s">
        <v>8</v>
      </c>
      <c r="J29" s="1">
        <v>0</v>
      </c>
      <c r="K29" s="1">
        <v>0.20554749205137901</v>
      </c>
      <c r="T29" t="s">
        <v>4</v>
      </c>
      <c r="U29">
        <v>0</v>
      </c>
      <c r="V29" t="s">
        <v>5</v>
      </c>
      <c r="W29">
        <v>26</v>
      </c>
      <c r="X29" t="s">
        <v>6</v>
      </c>
      <c r="Y29" s="1">
        <v>0.5</v>
      </c>
      <c r="Z29" t="s">
        <v>7</v>
      </c>
      <c r="AA29" s="1">
        <v>6.1059910000000002E-2</v>
      </c>
      <c r="AB29" t="s">
        <v>8</v>
      </c>
      <c r="AC29" s="1">
        <v>0</v>
      </c>
      <c r="AD29" s="1">
        <v>0.20092018556987101</v>
      </c>
      <c r="AG29">
        <v>123364</v>
      </c>
      <c r="AH29" s="1">
        <v>0.234375</v>
      </c>
      <c r="AI29" s="1">
        <v>0.403283</v>
      </c>
      <c r="AJ29" s="1"/>
      <c r="AM29" t="s">
        <v>4</v>
      </c>
      <c r="AN29">
        <v>0</v>
      </c>
      <c r="AO29" t="s">
        <v>5</v>
      </c>
      <c r="AP29">
        <v>4</v>
      </c>
      <c r="AQ29" t="s">
        <v>6</v>
      </c>
      <c r="AR29" s="1">
        <v>0.140625</v>
      </c>
      <c r="AS29" t="s">
        <v>7</v>
      </c>
      <c r="AT29" s="1">
        <v>0.5</v>
      </c>
      <c r="AU29" t="s">
        <v>8</v>
      </c>
      <c r="AV29" s="1">
        <v>0</v>
      </c>
      <c r="AW29" s="1">
        <v>0.20031610574115999</v>
      </c>
      <c r="AX29" s="1">
        <f t="shared" si="0"/>
        <v>0.40063221148231998</v>
      </c>
    </row>
    <row r="30" spans="1:50">
      <c r="A30" t="s">
        <v>4</v>
      </c>
      <c r="B30">
        <v>0</v>
      </c>
      <c r="C30" t="s">
        <v>5</v>
      </c>
      <c r="D30">
        <v>27</v>
      </c>
      <c r="E30" t="s">
        <v>6</v>
      </c>
      <c r="F30" s="1">
        <v>0.5</v>
      </c>
      <c r="G30" t="s">
        <v>7</v>
      </c>
      <c r="H30" s="1">
        <v>0.44354840000000001</v>
      </c>
      <c r="I30" t="s">
        <v>8</v>
      </c>
      <c r="J30" s="1">
        <v>0</v>
      </c>
      <c r="K30" s="1">
        <v>0.204318985913712</v>
      </c>
      <c r="T30" t="s">
        <v>4</v>
      </c>
      <c r="U30">
        <v>0</v>
      </c>
      <c r="V30" t="s">
        <v>5</v>
      </c>
      <c r="W30">
        <v>27</v>
      </c>
      <c r="X30" t="s">
        <v>6</v>
      </c>
      <c r="Y30" s="1">
        <v>0.5</v>
      </c>
      <c r="Z30" t="s">
        <v>7</v>
      </c>
      <c r="AA30" s="1">
        <v>6.336406E-2</v>
      </c>
      <c r="AB30" t="s">
        <v>8</v>
      </c>
      <c r="AC30" s="1">
        <v>0</v>
      </c>
      <c r="AD30" s="1">
        <v>0.200934048514612</v>
      </c>
      <c r="AG30">
        <v>25209</v>
      </c>
      <c r="AH30" s="1">
        <v>0.25</v>
      </c>
      <c r="AI30" s="1">
        <v>0.403949</v>
      </c>
      <c r="AJ30" s="1"/>
      <c r="AM30" t="s">
        <v>4</v>
      </c>
      <c r="AN30">
        <v>0</v>
      </c>
      <c r="AO30" t="s">
        <v>5</v>
      </c>
      <c r="AP30">
        <v>5</v>
      </c>
      <c r="AQ30" t="s">
        <v>6</v>
      </c>
      <c r="AR30" s="1">
        <v>0.171875</v>
      </c>
      <c r="AS30" t="s">
        <v>7</v>
      </c>
      <c r="AT30" s="1">
        <v>0.5</v>
      </c>
      <c r="AU30" t="s">
        <v>8</v>
      </c>
      <c r="AV30" s="1">
        <v>0</v>
      </c>
      <c r="AW30" s="1">
        <v>0.20084873404796699</v>
      </c>
      <c r="AX30" s="1">
        <f t="shared" si="0"/>
        <v>0.40169746809593398</v>
      </c>
    </row>
    <row r="31" spans="1:50">
      <c r="A31" t="s">
        <v>4</v>
      </c>
      <c r="B31">
        <v>0</v>
      </c>
      <c r="C31" t="s">
        <v>5</v>
      </c>
      <c r="D31">
        <v>28</v>
      </c>
      <c r="E31" t="s">
        <v>6</v>
      </c>
      <c r="F31" s="1">
        <v>0.5</v>
      </c>
      <c r="G31" t="s">
        <v>7</v>
      </c>
      <c r="H31" s="1">
        <v>0.45967740000000001</v>
      </c>
      <c r="I31" t="s">
        <v>8</v>
      </c>
      <c r="J31" s="1">
        <v>0</v>
      </c>
      <c r="K31" s="1">
        <v>0.202149578982349</v>
      </c>
      <c r="T31" t="s">
        <v>4</v>
      </c>
      <c r="U31">
        <v>0</v>
      </c>
      <c r="V31" t="s">
        <v>5</v>
      </c>
      <c r="W31">
        <v>28</v>
      </c>
      <c r="X31" t="s">
        <v>6</v>
      </c>
      <c r="Y31" s="1">
        <v>0.5</v>
      </c>
      <c r="Z31" t="s">
        <v>7</v>
      </c>
      <c r="AA31" s="1">
        <v>6.5668199999999996E-2</v>
      </c>
      <c r="AB31" t="s">
        <v>8</v>
      </c>
      <c r="AC31" s="1">
        <v>0</v>
      </c>
      <c r="AD31" s="1">
        <v>0.200948673631896</v>
      </c>
      <c r="AG31">
        <v>123367</v>
      </c>
      <c r="AH31" s="1">
        <v>0.265625</v>
      </c>
      <c r="AI31" s="1">
        <v>0.40465899999999999</v>
      </c>
      <c r="AJ31" s="1"/>
      <c r="AM31" t="s">
        <v>4</v>
      </c>
      <c r="AN31">
        <v>0</v>
      </c>
      <c r="AO31" t="s">
        <v>5</v>
      </c>
      <c r="AP31">
        <v>6</v>
      </c>
      <c r="AQ31" t="s">
        <v>6</v>
      </c>
      <c r="AR31" s="1">
        <v>0.203125</v>
      </c>
      <c r="AS31" t="s">
        <v>7</v>
      </c>
      <c r="AT31" s="1">
        <v>0.5</v>
      </c>
      <c r="AU31" t="s">
        <v>8</v>
      </c>
      <c r="AV31" s="1">
        <v>0</v>
      </c>
      <c r="AW31" s="1">
        <v>0.201476918915691</v>
      </c>
      <c r="AX31" s="1">
        <f t="shared" si="0"/>
        <v>0.402953837831382</v>
      </c>
    </row>
    <row r="32" spans="1:50">
      <c r="A32" t="s">
        <v>4</v>
      </c>
      <c r="B32">
        <v>0</v>
      </c>
      <c r="C32" t="s">
        <v>5</v>
      </c>
      <c r="D32">
        <v>29</v>
      </c>
      <c r="E32" t="s">
        <v>6</v>
      </c>
      <c r="F32" s="1">
        <v>0.5</v>
      </c>
      <c r="G32" t="s">
        <v>7</v>
      </c>
      <c r="H32" s="1">
        <v>0.47580650000000002</v>
      </c>
      <c r="I32" t="s">
        <v>8</v>
      </c>
      <c r="J32" s="1">
        <v>0</v>
      </c>
      <c r="K32" s="1">
        <v>0.19706786945076099</v>
      </c>
      <c r="T32" t="s">
        <v>4</v>
      </c>
      <c r="U32">
        <v>0</v>
      </c>
      <c r="V32" t="s">
        <v>5</v>
      </c>
      <c r="W32">
        <v>29</v>
      </c>
      <c r="X32" t="s">
        <v>6</v>
      </c>
      <c r="Y32" s="1">
        <v>0.5</v>
      </c>
      <c r="Z32" t="s">
        <v>7</v>
      </c>
      <c r="AA32" s="1">
        <v>6.7972350000000001E-2</v>
      </c>
      <c r="AB32" t="s">
        <v>8</v>
      </c>
      <c r="AC32" s="1">
        <v>0</v>
      </c>
      <c r="AD32" s="1">
        <v>0.20096405647752399</v>
      </c>
      <c r="AG32">
        <v>25210</v>
      </c>
      <c r="AH32" s="1">
        <v>0.28125</v>
      </c>
      <c r="AI32" s="1">
        <v>0.40537000000000001</v>
      </c>
      <c r="AJ32" s="1"/>
      <c r="AM32" t="s">
        <v>4</v>
      </c>
      <c r="AN32">
        <v>0</v>
      </c>
      <c r="AO32" t="s">
        <v>5</v>
      </c>
      <c r="AP32">
        <v>7</v>
      </c>
      <c r="AQ32" t="s">
        <v>6</v>
      </c>
      <c r="AR32" s="1">
        <v>0.234375</v>
      </c>
      <c r="AS32" t="s">
        <v>7</v>
      </c>
      <c r="AT32" s="1">
        <v>0.5</v>
      </c>
      <c r="AU32" t="s">
        <v>8</v>
      </c>
      <c r="AV32" s="1">
        <v>0</v>
      </c>
      <c r="AW32" s="1">
        <v>0.20219879774607999</v>
      </c>
      <c r="AX32" s="1">
        <f t="shared" si="0"/>
        <v>0.40439759549215998</v>
      </c>
    </row>
    <row r="33" spans="1:50">
      <c r="A33" t="s">
        <v>4</v>
      </c>
      <c r="B33">
        <v>0</v>
      </c>
      <c r="C33" t="s">
        <v>5</v>
      </c>
      <c r="D33">
        <v>30</v>
      </c>
      <c r="E33" t="s">
        <v>6</v>
      </c>
      <c r="F33" s="1">
        <v>0.5</v>
      </c>
      <c r="G33" t="s">
        <v>7</v>
      </c>
      <c r="H33" s="1">
        <v>0.49193550000000003</v>
      </c>
      <c r="I33" t="s">
        <v>8</v>
      </c>
      <c r="J33" s="1">
        <v>0</v>
      </c>
      <c r="K33" s="1">
        <v>0.182193598833092</v>
      </c>
      <c r="T33" t="s">
        <v>4</v>
      </c>
      <c r="U33">
        <v>0</v>
      </c>
      <c r="V33" t="s">
        <v>5</v>
      </c>
      <c r="W33">
        <v>30</v>
      </c>
      <c r="X33" t="s">
        <v>6</v>
      </c>
      <c r="Y33" s="1">
        <v>0.5</v>
      </c>
      <c r="Z33" t="s">
        <v>7</v>
      </c>
      <c r="AA33" s="1">
        <v>7.0276500000000006E-2</v>
      </c>
      <c r="AB33" t="s">
        <v>8</v>
      </c>
      <c r="AC33" s="1">
        <v>0</v>
      </c>
      <c r="AD33" s="1">
        <v>0.200979860333689</v>
      </c>
      <c r="AG33">
        <v>123370</v>
      </c>
      <c r="AH33" s="1">
        <v>0.296875</v>
      </c>
      <c r="AI33" s="1">
        <v>0.406086</v>
      </c>
      <c r="AJ33" s="1"/>
      <c r="AM33" t="s">
        <v>4</v>
      </c>
      <c r="AN33">
        <v>0</v>
      </c>
      <c r="AO33" t="s">
        <v>5</v>
      </c>
      <c r="AP33">
        <v>8</v>
      </c>
      <c r="AQ33" t="s">
        <v>6</v>
      </c>
      <c r="AR33" s="1">
        <v>0.265625</v>
      </c>
      <c r="AS33" t="s">
        <v>7</v>
      </c>
      <c r="AT33" s="1">
        <v>0.5</v>
      </c>
      <c r="AU33" t="s">
        <v>8</v>
      </c>
      <c r="AV33" s="1">
        <v>0</v>
      </c>
      <c r="AW33" s="1">
        <v>0.20298024407579501</v>
      </c>
      <c r="AX33" s="1">
        <f t="shared" si="0"/>
        <v>0.40596048815159003</v>
      </c>
    </row>
    <row r="34" spans="1:50">
      <c r="F34" s="1"/>
      <c r="H34" s="1"/>
      <c r="J34" s="1"/>
      <c r="K34" s="1"/>
      <c r="T34" t="s">
        <v>4</v>
      </c>
      <c r="U34">
        <v>0</v>
      </c>
      <c r="V34" t="s">
        <v>5</v>
      </c>
      <c r="W34">
        <v>31</v>
      </c>
      <c r="X34" t="s">
        <v>6</v>
      </c>
      <c r="Y34" s="1">
        <v>0.5</v>
      </c>
      <c r="Z34" t="s">
        <v>7</v>
      </c>
      <c r="AA34" s="1">
        <v>7.2580649999999997E-2</v>
      </c>
      <c r="AB34" t="s">
        <v>8</v>
      </c>
      <c r="AC34" s="1">
        <v>0</v>
      </c>
      <c r="AD34" s="1">
        <v>0.20099608560368701</v>
      </c>
      <c r="AG34">
        <v>25211</v>
      </c>
      <c r="AH34" s="1">
        <v>0.3125</v>
      </c>
      <c r="AI34" s="1">
        <v>0.406802</v>
      </c>
      <c r="AJ34" s="1"/>
      <c r="AM34" t="s">
        <v>4</v>
      </c>
      <c r="AN34">
        <v>0</v>
      </c>
      <c r="AO34" t="s">
        <v>5</v>
      </c>
      <c r="AP34">
        <v>9</v>
      </c>
      <c r="AQ34" t="s">
        <v>6</v>
      </c>
      <c r="AR34" s="1">
        <v>0.296875</v>
      </c>
      <c r="AS34" t="s">
        <v>7</v>
      </c>
      <c r="AT34" s="1">
        <v>0.5</v>
      </c>
      <c r="AU34" t="s">
        <v>8</v>
      </c>
      <c r="AV34" s="1">
        <v>0</v>
      </c>
      <c r="AW34" s="1">
        <v>0.20382137056115401</v>
      </c>
      <c r="AX34" s="1">
        <f t="shared" si="0"/>
        <v>0.40764274112230803</v>
      </c>
    </row>
    <row r="35" spans="1:50">
      <c r="F35" s="1"/>
      <c r="H35" s="1"/>
      <c r="J35" s="1"/>
      <c r="K35" s="1"/>
      <c r="T35" t="s">
        <v>4</v>
      </c>
      <c r="U35">
        <v>0</v>
      </c>
      <c r="V35" t="s">
        <v>5</v>
      </c>
      <c r="W35">
        <v>32</v>
      </c>
      <c r="X35" t="s">
        <v>6</v>
      </c>
      <c r="Y35" s="1">
        <v>0.5</v>
      </c>
      <c r="Z35" t="s">
        <v>7</v>
      </c>
      <c r="AA35" s="1">
        <v>7.4884790000000007E-2</v>
      </c>
      <c r="AB35" t="s">
        <v>8</v>
      </c>
      <c r="AC35" s="1">
        <v>0</v>
      </c>
      <c r="AD35" s="1">
        <v>0.20101273271527201</v>
      </c>
      <c r="AG35">
        <v>123373</v>
      </c>
      <c r="AH35" s="1">
        <v>0.328125</v>
      </c>
      <c r="AI35" s="1">
        <v>0.407447</v>
      </c>
      <c r="AJ35" s="1"/>
      <c r="AM35" t="s">
        <v>4</v>
      </c>
      <c r="AN35">
        <v>0</v>
      </c>
      <c r="AO35" t="s">
        <v>5</v>
      </c>
      <c r="AP35">
        <v>10</v>
      </c>
      <c r="AQ35" t="s">
        <v>6</v>
      </c>
      <c r="AR35" s="1">
        <v>0.328125</v>
      </c>
      <c r="AS35" t="s">
        <v>7</v>
      </c>
      <c r="AT35" s="1">
        <v>0.5</v>
      </c>
      <c r="AU35" t="s">
        <v>8</v>
      </c>
      <c r="AV35" s="1">
        <v>0</v>
      </c>
      <c r="AW35" s="1">
        <v>0.20460027233766001</v>
      </c>
      <c r="AX35" s="1">
        <f t="shared" si="0"/>
        <v>0.40920054467532002</v>
      </c>
    </row>
    <row r="36" spans="1:50">
      <c r="F36" s="1"/>
      <c r="H36" s="1"/>
      <c r="J36" s="1"/>
      <c r="K36" s="1"/>
      <c r="T36" t="s">
        <v>4</v>
      </c>
      <c r="U36">
        <v>0</v>
      </c>
      <c r="V36" t="s">
        <v>5</v>
      </c>
      <c r="W36">
        <v>33</v>
      </c>
      <c r="X36" t="s">
        <v>6</v>
      </c>
      <c r="Y36" s="1">
        <v>0.5</v>
      </c>
      <c r="Z36" t="s">
        <v>7</v>
      </c>
      <c r="AA36" s="1">
        <v>7.7188939999999998E-2</v>
      </c>
      <c r="AB36" t="s">
        <v>8</v>
      </c>
      <c r="AC36" s="1">
        <v>0</v>
      </c>
      <c r="AD36" s="1">
        <v>0.20102980212114199</v>
      </c>
      <c r="AG36">
        <v>25212</v>
      </c>
      <c r="AH36" s="1">
        <v>0.34375</v>
      </c>
      <c r="AI36" s="1">
        <v>0.40809200000000001</v>
      </c>
      <c r="AJ36" s="1"/>
      <c r="AM36" t="s">
        <v>4</v>
      </c>
      <c r="AN36">
        <v>0</v>
      </c>
      <c r="AO36" t="s">
        <v>5</v>
      </c>
      <c r="AP36">
        <v>11</v>
      </c>
      <c r="AQ36" t="s">
        <v>6</v>
      </c>
      <c r="AR36" s="1">
        <v>0.359375</v>
      </c>
      <c r="AS36" t="s">
        <v>7</v>
      </c>
      <c r="AT36" s="1">
        <v>0.5</v>
      </c>
      <c r="AU36" t="s">
        <v>8</v>
      </c>
      <c r="AV36" s="1">
        <v>0</v>
      </c>
      <c r="AW36" s="1">
        <v>0.20531920313049701</v>
      </c>
      <c r="AX36" s="1">
        <f t="shared" si="0"/>
        <v>0.41063840626099402</v>
      </c>
    </row>
    <row r="37" spans="1:50">
      <c r="F37" s="1"/>
      <c r="H37" s="1"/>
      <c r="J37" s="1"/>
      <c r="K37" s="1"/>
      <c r="T37" t="s">
        <v>4</v>
      </c>
      <c r="U37">
        <v>0</v>
      </c>
      <c r="V37" t="s">
        <v>5</v>
      </c>
      <c r="W37">
        <v>34</v>
      </c>
      <c r="X37" t="s">
        <v>6</v>
      </c>
      <c r="Y37" s="1">
        <v>0.5</v>
      </c>
      <c r="Z37" t="s">
        <v>7</v>
      </c>
      <c r="AA37" s="1">
        <v>7.9493090000000002E-2</v>
      </c>
      <c r="AB37" t="s">
        <v>8</v>
      </c>
      <c r="AC37" s="1">
        <v>0</v>
      </c>
      <c r="AD37" s="1">
        <v>0.20104729429865101</v>
      </c>
      <c r="AG37">
        <v>123376</v>
      </c>
      <c r="AH37" s="1">
        <v>0.359375</v>
      </c>
      <c r="AI37" s="1">
        <v>0.40852899999999998</v>
      </c>
      <c r="AJ37" s="1"/>
      <c r="AM37" t="s">
        <v>4</v>
      </c>
      <c r="AN37">
        <v>0</v>
      </c>
      <c r="AO37" t="s">
        <v>5</v>
      </c>
      <c r="AP37">
        <v>12</v>
      </c>
      <c r="AQ37" t="s">
        <v>6</v>
      </c>
      <c r="AR37" s="1">
        <v>0.390625</v>
      </c>
      <c r="AS37" t="s">
        <v>7</v>
      </c>
      <c r="AT37" s="1">
        <v>0.5</v>
      </c>
      <c r="AU37" t="s">
        <v>8</v>
      </c>
      <c r="AV37" s="1">
        <v>0</v>
      </c>
      <c r="AW37" s="1">
        <v>0.205545516650808</v>
      </c>
      <c r="AX37" s="1">
        <f t="shared" si="0"/>
        <v>0.411091033301616</v>
      </c>
    </row>
    <row r="38" spans="1:50">
      <c r="F38" s="1"/>
      <c r="H38" s="1"/>
      <c r="J38" s="1"/>
      <c r="K38" s="1"/>
      <c r="T38" t="s">
        <v>4</v>
      </c>
      <c r="U38">
        <v>0</v>
      </c>
      <c r="V38" t="s">
        <v>5</v>
      </c>
      <c r="W38">
        <v>35</v>
      </c>
      <c r="X38" t="s">
        <v>6</v>
      </c>
      <c r="Y38" s="1">
        <v>0.5</v>
      </c>
      <c r="Z38" t="s">
        <v>7</v>
      </c>
      <c r="AA38" s="1">
        <v>8.1797239999999993E-2</v>
      </c>
      <c r="AB38" t="s">
        <v>8</v>
      </c>
      <c r="AC38" s="1">
        <v>0</v>
      </c>
      <c r="AD38" s="1">
        <v>0.20106555116176</v>
      </c>
      <c r="AG38">
        <v>25213</v>
      </c>
      <c r="AH38" s="1">
        <v>0.375</v>
      </c>
      <c r="AI38" s="1">
        <v>0.40896700000000002</v>
      </c>
      <c r="AJ38" s="1"/>
      <c r="AM38" t="s">
        <v>4</v>
      </c>
      <c r="AN38">
        <v>0</v>
      </c>
      <c r="AO38" t="s">
        <v>5</v>
      </c>
      <c r="AP38">
        <v>13</v>
      </c>
      <c r="AQ38" t="s">
        <v>6</v>
      </c>
      <c r="AR38" s="1">
        <v>0.421875</v>
      </c>
      <c r="AS38" t="s">
        <v>7</v>
      </c>
      <c r="AT38" s="1">
        <v>0.5</v>
      </c>
      <c r="AU38" t="s">
        <v>8</v>
      </c>
      <c r="AV38" s="1">
        <v>0</v>
      </c>
      <c r="AW38" s="1">
        <v>0.20507170656276</v>
      </c>
      <c r="AX38" s="1">
        <f t="shared" si="0"/>
        <v>0.41014341312552</v>
      </c>
    </row>
    <row r="39" spans="1:50">
      <c r="F39" s="1"/>
      <c r="H39" s="1"/>
      <c r="J39" s="1"/>
      <c r="K39" s="1"/>
      <c r="T39" t="s">
        <v>4</v>
      </c>
      <c r="U39">
        <v>0</v>
      </c>
      <c r="V39" t="s">
        <v>5</v>
      </c>
      <c r="W39">
        <v>36</v>
      </c>
      <c r="X39" t="s">
        <v>6</v>
      </c>
      <c r="Y39" s="1">
        <v>0.5</v>
      </c>
      <c r="Z39" t="s">
        <v>7</v>
      </c>
      <c r="AA39" s="1">
        <v>8.4101380000000003E-2</v>
      </c>
      <c r="AB39" t="s">
        <v>8</v>
      </c>
      <c r="AC39" s="1">
        <v>0</v>
      </c>
      <c r="AD39" s="1">
        <v>0.20108456711359801</v>
      </c>
      <c r="AG39">
        <v>123379</v>
      </c>
      <c r="AH39" s="1">
        <v>0.390625</v>
      </c>
      <c r="AI39" s="1">
        <v>0.40883399999999998</v>
      </c>
      <c r="AJ39" s="1"/>
      <c r="AM39" t="s">
        <v>4</v>
      </c>
      <c r="AN39">
        <v>0</v>
      </c>
      <c r="AO39" t="s">
        <v>5</v>
      </c>
      <c r="AP39">
        <v>14</v>
      </c>
      <c r="AQ39" t="s">
        <v>6</v>
      </c>
      <c r="AR39" s="1">
        <v>0.453125</v>
      </c>
      <c r="AS39" t="s">
        <v>7</v>
      </c>
      <c r="AT39" s="1">
        <v>0.5</v>
      </c>
      <c r="AU39" t="s">
        <v>8</v>
      </c>
      <c r="AV39" s="1">
        <v>0</v>
      </c>
      <c r="AW39" s="1">
        <v>0.20176992564437399</v>
      </c>
      <c r="AX39" s="1">
        <f t="shared" si="0"/>
        <v>0.40353985128874797</v>
      </c>
    </row>
    <row r="40" spans="1:50">
      <c r="F40" s="1"/>
      <c r="H40" s="1"/>
      <c r="J40" s="1"/>
      <c r="K40" s="1"/>
      <c r="T40" t="s">
        <v>4</v>
      </c>
      <c r="U40">
        <v>0</v>
      </c>
      <c r="V40" t="s">
        <v>5</v>
      </c>
      <c r="W40">
        <v>37</v>
      </c>
      <c r="X40" t="s">
        <v>6</v>
      </c>
      <c r="Y40" s="1">
        <v>0.5</v>
      </c>
      <c r="Z40" t="s">
        <v>7</v>
      </c>
      <c r="AA40" s="1">
        <v>8.6405529999999994E-2</v>
      </c>
      <c r="AB40" t="s">
        <v>8</v>
      </c>
      <c r="AC40" s="1">
        <v>0</v>
      </c>
      <c r="AD40" s="1">
        <v>0.201103998611211</v>
      </c>
      <c r="AG40">
        <v>25214</v>
      </c>
      <c r="AH40" s="1">
        <v>0.40625</v>
      </c>
      <c r="AI40" s="1">
        <v>0.40870000000000001</v>
      </c>
      <c r="AJ40" s="1"/>
      <c r="AM40" t="s">
        <v>4</v>
      </c>
      <c r="AN40">
        <v>0</v>
      </c>
      <c r="AO40" t="s">
        <v>5</v>
      </c>
      <c r="AP40">
        <v>15</v>
      </c>
      <c r="AQ40" t="s">
        <v>6</v>
      </c>
      <c r="AR40" s="1">
        <v>0.484375</v>
      </c>
      <c r="AS40" t="s">
        <v>7</v>
      </c>
      <c r="AT40" s="1">
        <v>0.5</v>
      </c>
      <c r="AU40" t="s">
        <v>8</v>
      </c>
      <c r="AV40" s="1">
        <v>0</v>
      </c>
      <c r="AW40" s="1">
        <v>0.188507699260613</v>
      </c>
      <c r="AX40" s="1">
        <f t="shared" si="0"/>
        <v>0.37701539852122601</v>
      </c>
    </row>
    <row r="41" spans="1:50">
      <c r="F41" s="1"/>
      <c r="H41" s="1"/>
      <c r="J41" s="1"/>
      <c r="K41" s="1"/>
      <c r="T41" t="s">
        <v>4</v>
      </c>
      <c r="U41">
        <v>0</v>
      </c>
      <c r="V41" t="s">
        <v>5</v>
      </c>
      <c r="W41">
        <v>38</v>
      </c>
      <c r="X41" t="s">
        <v>6</v>
      </c>
      <c r="Y41" s="1">
        <v>0.5</v>
      </c>
      <c r="Z41" t="s">
        <v>7</v>
      </c>
      <c r="AA41" s="1">
        <v>8.8709679999999999E-2</v>
      </c>
      <c r="AB41" t="s">
        <v>8</v>
      </c>
      <c r="AC41" s="1">
        <v>0</v>
      </c>
      <c r="AD41" s="1">
        <v>0.201123846028884</v>
      </c>
      <c r="AG41">
        <v>123382</v>
      </c>
      <c r="AH41" s="1">
        <v>0.421875</v>
      </c>
      <c r="AI41" s="1">
        <v>0.40736499999999998</v>
      </c>
      <c r="AJ41" s="1"/>
    </row>
    <row r="42" spans="1:50">
      <c r="F42" s="1"/>
      <c r="H42" s="1"/>
      <c r="J42" s="1"/>
      <c r="K42" s="1"/>
      <c r="T42" t="s">
        <v>4</v>
      </c>
      <c r="U42">
        <v>0</v>
      </c>
      <c r="V42" t="s">
        <v>5</v>
      </c>
      <c r="W42">
        <v>39</v>
      </c>
      <c r="X42" t="s">
        <v>6</v>
      </c>
      <c r="Y42" s="1">
        <v>0.5</v>
      </c>
      <c r="Z42" t="s">
        <v>7</v>
      </c>
      <c r="AA42" s="1">
        <v>9.1013819999999995E-2</v>
      </c>
      <c r="AB42" t="s">
        <v>8</v>
      </c>
      <c r="AC42" s="1">
        <v>0</v>
      </c>
      <c r="AD42" s="1">
        <v>0.20114410976736699</v>
      </c>
      <c r="AG42">
        <v>25215</v>
      </c>
      <c r="AH42" s="1">
        <v>0.4375</v>
      </c>
      <c r="AI42" s="1">
        <v>0.40603</v>
      </c>
      <c r="AJ42" s="1"/>
    </row>
    <row r="43" spans="1:50">
      <c r="F43" s="1"/>
      <c r="H43" s="1"/>
      <c r="J43" s="1"/>
      <c r="K43" s="1"/>
      <c r="T43" t="s">
        <v>4</v>
      </c>
      <c r="U43">
        <v>0</v>
      </c>
      <c r="V43" t="s">
        <v>5</v>
      </c>
      <c r="W43">
        <v>40</v>
      </c>
      <c r="X43" t="s">
        <v>6</v>
      </c>
      <c r="Y43" s="1">
        <v>0.5</v>
      </c>
      <c r="Z43" t="s">
        <v>7</v>
      </c>
      <c r="AA43" s="1">
        <v>9.331797E-2</v>
      </c>
      <c r="AB43" t="s">
        <v>8</v>
      </c>
      <c r="AC43" s="1">
        <v>0</v>
      </c>
      <c r="AD43" s="1">
        <v>0.20116479025408701</v>
      </c>
      <c r="AG43">
        <v>123385</v>
      </c>
      <c r="AH43" s="1">
        <v>0.453125</v>
      </c>
      <c r="AI43" s="1">
        <v>0.39985700000000002</v>
      </c>
      <c r="AJ43" s="1"/>
    </row>
    <row r="44" spans="1:50">
      <c r="F44" s="1"/>
      <c r="H44" s="1"/>
      <c r="J44" s="1"/>
      <c r="K44" s="1"/>
      <c r="T44" t="s">
        <v>4</v>
      </c>
      <c r="U44">
        <v>0</v>
      </c>
      <c r="V44" t="s">
        <v>5</v>
      </c>
      <c r="W44">
        <v>41</v>
      </c>
      <c r="X44" t="s">
        <v>6</v>
      </c>
      <c r="Y44" s="1">
        <v>0.5</v>
      </c>
      <c r="Z44" t="s">
        <v>7</v>
      </c>
      <c r="AA44" s="1">
        <v>9.5622120000000005E-2</v>
      </c>
      <c r="AB44" t="s">
        <v>8</v>
      </c>
      <c r="AC44" s="1">
        <v>0</v>
      </c>
      <c r="AD44" s="1">
        <v>0.201185887943026</v>
      </c>
      <c r="AG44">
        <v>25216</v>
      </c>
      <c r="AH44" s="1">
        <v>0.46875</v>
      </c>
      <c r="AI44" s="1">
        <v>0.39368500000000001</v>
      </c>
      <c r="AJ44" s="1"/>
    </row>
    <row r="45" spans="1:50">
      <c r="F45" s="1"/>
      <c r="H45" s="1"/>
      <c r="J45" s="1"/>
      <c r="K45" s="1"/>
      <c r="T45" t="s">
        <v>4</v>
      </c>
      <c r="U45">
        <v>0</v>
      </c>
      <c r="V45" t="s">
        <v>5</v>
      </c>
      <c r="W45">
        <v>42</v>
      </c>
      <c r="X45" t="s">
        <v>6</v>
      </c>
      <c r="Y45" s="1">
        <v>0.5</v>
      </c>
      <c r="Z45" t="s">
        <v>7</v>
      </c>
      <c r="AA45" s="1">
        <v>9.7926269999999996E-2</v>
      </c>
      <c r="AB45" t="s">
        <v>8</v>
      </c>
      <c r="AC45" s="1">
        <v>0</v>
      </c>
      <c r="AD45" s="1">
        <v>0.20120775467079699</v>
      </c>
      <c r="AG45">
        <v>123388</v>
      </c>
      <c r="AH45" s="1">
        <v>0.484375</v>
      </c>
      <c r="AI45" s="1">
        <v>0.376971</v>
      </c>
      <c r="AJ45" s="1"/>
    </row>
    <row r="46" spans="1:50">
      <c r="F46" s="1"/>
      <c r="H46" s="1"/>
      <c r="J46" s="1"/>
      <c r="K46" s="1"/>
      <c r="T46" t="s">
        <v>4</v>
      </c>
      <c r="U46">
        <v>0</v>
      </c>
      <c r="V46" t="s">
        <v>5</v>
      </c>
      <c r="W46">
        <v>43</v>
      </c>
      <c r="X46" t="s">
        <v>6</v>
      </c>
      <c r="Y46" s="1">
        <v>0.5</v>
      </c>
      <c r="Z46" t="s">
        <v>7</v>
      </c>
      <c r="AA46" s="1">
        <v>0.1002304</v>
      </c>
      <c r="AB46" t="s">
        <v>8</v>
      </c>
      <c r="AC46" s="1">
        <v>0</v>
      </c>
      <c r="AD46" s="1">
        <v>0.20123038361479001</v>
      </c>
      <c r="AG46">
        <v>25217</v>
      </c>
      <c r="AH46" s="1">
        <v>0.5</v>
      </c>
      <c r="AI46" s="1">
        <v>0.36025699999999999</v>
      </c>
      <c r="AJ46" s="1"/>
    </row>
    <row r="47" spans="1:50">
      <c r="F47" s="1"/>
      <c r="H47" s="1"/>
      <c r="J47" s="1"/>
      <c r="K47" s="1"/>
      <c r="T47" t="s">
        <v>4</v>
      </c>
      <c r="U47">
        <v>0</v>
      </c>
      <c r="V47" t="s">
        <v>5</v>
      </c>
      <c r="W47">
        <v>44</v>
      </c>
      <c r="X47" t="s">
        <v>6</v>
      </c>
      <c r="Y47" s="1">
        <v>0.5</v>
      </c>
      <c r="Z47" t="s">
        <v>7</v>
      </c>
      <c r="AA47" s="1">
        <v>0.1025346</v>
      </c>
      <c r="AB47" t="s">
        <v>8</v>
      </c>
      <c r="AC47" s="1">
        <v>0</v>
      </c>
      <c r="AD47" s="1">
        <v>0.201253420690505</v>
      </c>
      <c r="AH47" s="1"/>
      <c r="AI47" s="1"/>
    </row>
    <row r="48" spans="1:50">
      <c r="F48" s="1"/>
      <c r="H48" s="1"/>
      <c r="J48" s="1"/>
      <c r="K48" s="1"/>
      <c r="T48" t="s">
        <v>4</v>
      </c>
      <c r="U48">
        <v>0</v>
      </c>
      <c r="V48" t="s">
        <v>5</v>
      </c>
      <c r="W48">
        <v>45</v>
      </c>
      <c r="X48" t="s">
        <v>6</v>
      </c>
      <c r="Y48" s="1">
        <v>0.5</v>
      </c>
      <c r="Z48" t="s">
        <v>7</v>
      </c>
      <c r="AA48" s="1">
        <v>0.10483870000000001</v>
      </c>
      <c r="AB48" t="s">
        <v>8</v>
      </c>
      <c r="AC48" s="1">
        <v>0</v>
      </c>
      <c r="AD48" s="1">
        <v>0.201276866152758</v>
      </c>
      <c r="AH48" s="1"/>
      <c r="AI48" s="1"/>
    </row>
    <row r="49" spans="6:35">
      <c r="F49" s="1"/>
      <c r="H49" s="1"/>
      <c r="J49" s="1"/>
      <c r="K49" s="1"/>
      <c r="T49" t="s">
        <v>4</v>
      </c>
      <c r="U49">
        <v>0</v>
      </c>
      <c r="V49" t="s">
        <v>5</v>
      </c>
      <c r="W49">
        <v>46</v>
      </c>
      <c r="X49" t="s">
        <v>6</v>
      </c>
      <c r="Y49" s="1">
        <v>0.5</v>
      </c>
      <c r="Z49" t="s">
        <v>7</v>
      </c>
      <c r="AA49" s="1">
        <v>0.1071429</v>
      </c>
      <c r="AB49" t="s">
        <v>8</v>
      </c>
      <c r="AC49" s="1">
        <v>0</v>
      </c>
      <c r="AD49" s="1">
        <v>0.201300720284951</v>
      </c>
      <c r="AH49" s="1"/>
      <c r="AI49" s="1"/>
    </row>
    <row r="50" spans="6:35">
      <c r="F50" s="1"/>
      <c r="H50" s="1"/>
      <c r="J50" s="1"/>
      <c r="K50" s="1"/>
      <c r="T50" t="s">
        <v>4</v>
      </c>
      <c r="U50">
        <v>0</v>
      </c>
      <c r="V50" t="s">
        <v>5</v>
      </c>
      <c r="W50">
        <v>47</v>
      </c>
      <c r="X50" t="s">
        <v>6</v>
      </c>
      <c r="Y50" s="1">
        <v>0.5</v>
      </c>
      <c r="Z50" t="s">
        <v>7</v>
      </c>
      <c r="AA50" s="1">
        <v>0.109447</v>
      </c>
      <c r="AB50" t="s">
        <v>8</v>
      </c>
      <c r="AC50" s="1">
        <v>0</v>
      </c>
      <c r="AD50" s="1">
        <v>0.20132498339937199</v>
      </c>
      <c r="AH50" s="1"/>
      <c r="AI50" s="1"/>
    </row>
    <row r="51" spans="6:35">
      <c r="F51" s="1"/>
      <c r="H51" s="1"/>
      <c r="J51" s="1"/>
      <c r="K51" s="1"/>
      <c r="T51" t="s">
        <v>4</v>
      </c>
      <c r="U51">
        <v>0</v>
      </c>
      <c r="V51" t="s">
        <v>5</v>
      </c>
      <c r="W51">
        <v>48</v>
      </c>
      <c r="X51" t="s">
        <v>6</v>
      </c>
      <c r="Y51" s="1">
        <v>0.5</v>
      </c>
      <c r="Z51" t="s">
        <v>7</v>
      </c>
      <c r="AA51" s="1">
        <v>0.11175119999999999</v>
      </c>
      <c r="AB51" t="s">
        <v>8</v>
      </c>
      <c r="AC51" s="1">
        <v>0</v>
      </c>
      <c r="AD51" s="1">
        <v>0.20134965583718401</v>
      </c>
      <c r="AH51" s="1"/>
      <c r="AI51" s="1"/>
    </row>
    <row r="52" spans="6:35">
      <c r="F52" s="1"/>
      <c r="H52" s="1"/>
      <c r="J52" s="1"/>
      <c r="K52" s="1"/>
      <c r="T52" t="s">
        <v>4</v>
      </c>
      <c r="U52">
        <v>0</v>
      </c>
      <c r="V52" t="s">
        <v>5</v>
      </c>
      <c r="W52">
        <v>49</v>
      </c>
      <c r="X52" t="s">
        <v>6</v>
      </c>
      <c r="Y52" s="1">
        <v>0.5</v>
      </c>
      <c r="Z52" t="s">
        <v>7</v>
      </c>
      <c r="AA52" s="1">
        <v>0.1140553</v>
      </c>
      <c r="AB52" t="s">
        <v>8</v>
      </c>
      <c r="AC52" s="1">
        <v>0</v>
      </c>
      <c r="AD52" s="1">
        <v>0.201375101646215</v>
      </c>
      <c r="AH52" s="1"/>
      <c r="AI52" s="1"/>
    </row>
    <row r="53" spans="6:35">
      <c r="F53" s="1"/>
      <c r="H53" s="1"/>
      <c r="J53" s="1"/>
      <c r="K53" s="1"/>
      <c r="T53" t="s">
        <v>4</v>
      </c>
      <c r="U53">
        <v>0</v>
      </c>
      <c r="V53" t="s">
        <v>5</v>
      </c>
      <c r="W53">
        <v>50</v>
      </c>
      <c r="X53" t="s">
        <v>6</v>
      </c>
      <c r="Y53" s="1">
        <v>0.5</v>
      </c>
      <c r="Z53" t="s">
        <v>7</v>
      </c>
      <c r="AA53" s="1">
        <v>0.1163594</v>
      </c>
      <c r="AB53" t="s">
        <v>8</v>
      </c>
      <c r="AC53" s="1">
        <v>0</v>
      </c>
      <c r="AD53" s="1">
        <v>0.20140131276461401</v>
      </c>
      <c r="AH53" s="1"/>
      <c r="AI53" s="1"/>
    </row>
    <row r="54" spans="6:35">
      <c r="F54" s="1"/>
      <c r="H54" s="1"/>
      <c r="J54" s="1"/>
      <c r="K54" s="1"/>
      <c r="T54" t="s">
        <v>4</v>
      </c>
      <c r="U54">
        <v>0</v>
      </c>
      <c r="V54" t="s">
        <v>5</v>
      </c>
      <c r="W54">
        <v>51</v>
      </c>
      <c r="X54" t="s">
        <v>6</v>
      </c>
      <c r="Y54" s="1">
        <v>0.5</v>
      </c>
      <c r="Z54" t="s">
        <v>7</v>
      </c>
      <c r="AA54" s="1">
        <v>0.11866359999999999</v>
      </c>
      <c r="AB54" t="s">
        <v>8</v>
      </c>
      <c r="AC54" s="1">
        <v>0</v>
      </c>
      <c r="AD54" s="1">
        <v>0.201427922116201</v>
      </c>
      <c r="AH54" s="1"/>
      <c r="AI54" s="1"/>
    </row>
    <row r="55" spans="6:35">
      <c r="F55" s="1"/>
      <c r="H55" s="1"/>
      <c r="J55" s="1"/>
      <c r="K55" s="1"/>
      <c r="T55" t="s">
        <v>4</v>
      </c>
      <c r="U55">
        <v>0</v>
      </c>
      <c r="V55" t="s">
        <v>5</v>
      </c>
      <c r="W55">
        <v>52</v>
      </c>
      <c r="X55" t="s">
        <v>6</v>
      </c>
      <c r="Y55" s="1">
        <v>0.5</v>
      </c>
      <c r="Z55" t="s">
        <v>7</v>
      </c>
      <c r="AA55" s="1">
        <v>0.1209677</v>
      </c>
      <c r="AB55" t="s">
        <v>8</v>
      </c>
      <c r="AC55" s="1">
        <v>0</v>
      </c>
      <c r="AD55" s="1">
        <v>0.20145492972866599</v>
      </c>
      <c r="AH55" s="1"/>
      <c r="AI55" s="1"/>
    </row>
    <row r="56" spans="6:35">
      <c r="F56" s="1"/>
      <c r="H56" s="1"/>
      <c r="J56" s="1"/>
      <c r="K56" s="1"/>
      <c r="T56" t="s">
        <v>4</v>
      </c>
      <c r="U56">
        <v>0</v>
      </c>
      <c r="V56" t="s">
        <v>5</v>
      </c>
      <c r="W56">
        <v>53</v>
      </c>
      <c r="X56" t="s">
        <v>6</v>
      </c>
      <c r="Y56" s="1">
        <v>0.5</v>
      </c>
      <c r="Z56" t="s">
        <v>7</v>
      </c>
      <c r="AA56" s="1">
        <v>0.1232719</v>
      </c>
      <c r="AB56" t="s">
        <v>8</v>
      </c>
      <c r="AC56" s="1">
        <v>0</v>
      </c>
      <c r="AD56" s="1">
        <v>0.20148233566076701</v>
      </c>
      <c r="AH56" s="1"/>
      <c r="AI56" s="1"/>
    </row>
    <row r="57" spans="6:35">
      <c r="F57" s="1"/>
      <c r="H57" s="1"/>
      <c r="J57" s="1"/>
      <c r="K57" s="1"/>
      <c r="T57" t="s">
        <v>4</v>
      </c>
      <c r="U57">
        <v>0</v>
      </c>
      <c r="V57" t="s">
        <v>5</v>
      </c>
      <c r="W57">
        <v>54</v>
      </c>
      <c r="X57" t="s">
        <v>6</v>
      </c>
      <c r="Y57" s="1">
        <v>0.5</v>
      </c>
      <c r="Z57" t="s">
        <v>7</v>
      </c>
      <c r="AA57" s="1">
        <v>0.12557599999999999</v>
      </c>
      <c r="AB57" t="s">
        <v>8</v>
      </c>
      <c r="AC57" s="1">
        <v>0</v>
      </c>
      <c r="AD57" s="1">
        <v>0.20151014000314799</v>
      </c>
      <c r="AH57" s="1"/>
      <c r="AI57" s="1"/>
    </row>
    <row r="58" spans="6:35">
      <c r="F58" s="1"/>
      <c r="H58" s="1"/>
      <c r="J58" s="1"/>
      <c r="K58" s="1"/>
      <c r="T58" t="s">
        <v>4</v>
      </c>
      <c r="U58">
        <v>0</v>
      </c>
      <c r="V58" t="s">
        <v>5</v>
      </c>
      <c r="W58">
        <v>55</v>
      </c>
      <c r="X58" t="s">
        <v>6</v>
      </c>
      <c r="Y58" s="1">
        <v>0.5</v>
      </c>
      <c r="Z58" t="s">
        <v>7</v>
      </c>
      <c r="AA58" s="1">
        <v>0.1278802</v>
      </c>
      <c r="AB58" t="s">
        <v>8</v>
      </c>
      <c r="AC58" s="1">
        <v>0</v>
      </c>
      <c r="AD58" s="1">
        <v>0.20153834287776201</v>
      </c>
      <c r="AH58" s="1"/>
      <c r="AI58" s="1"/>
    </row>
    <row r="59" spans="6:35">
      <c r="F59" s="1"/>
      <c r="H59" s="1"/>
      <c r="J59" s="1"/>
      <c r="K59" s="1"/>
      <c r="T59" t="s">
        <v>4</v>
      </c>
      <c r="U59">
        <v>0</v>
      </c>
      <c r="V59" t="s">
        <v>5</v>
      </c>
      <c r="W59">
        <v>56</v>
      </c>
      <c r="X59" t="s">
        <v>6</v>
      </c>
      <c r="Y59" s="1">
        <v>0.5</v>
      </c>
      <c r="Z59" t="s">
        <v>7</v>
      </c>
      <c r="AA59" s="1">
        <v>0.1301843</v>
      </c>
      <c r="AB59" t="s">
        <v>8</v>
      </c>
      <c r="AC59" s="1">
        <v>0</v>
      </c>
      <c r="AD59" s="1">
        <v>0.201567324165566</v>
      </c>
      <c r="AH59" s="1"/>
      <c r="AI59" s="1"/>
    </row>
    <row r="60" spans="6:35">
      <c r="F60" s="1"/>
      <c r="H60" s="1"/>
      <c r="J60" s="1"/>
      <c r="K60" s="1"/>
      <c r="T60" t="s">
        <v>4</v>
      </c>
      <c r="U60">
        <v>0</v>
      </c>
      <c r="V60" t="s">
        <v>5</v>
      </c>
      <c r="W60">
        <v>57</v>
      </c>
      <c r="X60" t="s">
        <v>6</v>
      </c>
      <c r="Y60" s="1">
        <v>0.5</v>
      </c>
      <c r="Z60" t="s">
        <v>7</v>
      </c>
      <c r="AA60" s="1">
        <v>0.13248850000000001</v>
      </c>
      <c r="AB60" t="s">
        <v>8</v>
      </c>
      <c r="AC60" s="1">
        <v>0</v>
      </c>
      <c r="AD60" s="1">
        <v>0.201597074414605</v>
      </c>
      <c r="AH60" s="1"/>
      <c r="AI60" s="1"/>
    </row>
    <row r="61" spans="6:35">
      <c r="F61" s="1"/>
      <c r="H61" s="1"/>
      <c r="J61" s="1"/>
      <c r="K61" s="1"/>
      <c r="T61" t="s">
        <v>4</v>
      </c>
      <c r="U61">
        <v>0</v>
      </c>
      <c r="V61" t="s">
        <v>5</v>
      </c>
      <c r="W61">
        <v>58</v>
      </c>
      <c r="X61" t="s">
        <v>6</v>
      </c>
      <c r="Y61" s="1">
        <v>0.5</v>
      </c>
      <c r="Z61" t="s">
        <v>7</v>
      </c>
      <c r="AA61" s="1">
        <v>0.13479260000000001</v>
      </c>
      <c r="AB61" t="s">
        <v>8</v>
      </c>
      <c r="AC61" s="1">
        <v>0</v>
      </c>
      <c r="AD61" s="1">
        <v>0.20162720965946501</v>
      </c>
      <c r="AH61" s="1"/>
      <c r="AI61" s="1"/>
    </row>
    <row r="62" spans="6:35">
      <c r="F62" s="1"/>
      <c r="H62" s="1"/>
      <c r="J62" s="1"/>
      <c r="K62" s="1"/>
      <c r="T62" t="s">
        <v>4</v>
      </c>
      <c r="U62">
        <v>0</v>
      </c>
      <c r="V62" t="s">
        <v>5</v>
      </c>
      <c r="W62">
        <v>59</v>
      </c>
      <c r="X62" t="s">
        <v>6</v>
      </c>
      <c r="Y62" s="1">
        <v>0.5</v>
      </c>
      <c r="Z62" t="s">
        <v>7</v>
      </c>
      <c r="AA62" s="1">
        <v>0.13709679999999999</v>
      </c>
      <c r="AB62" t="s">
        <v>8</v>
      </c>
      <c r="AC62" s="1">
        <v>0</v>
      </c>
      <c r="AD62" s="1">
        <v>0.20165772953802</v>
      </c>
      <c r="AH62" s="1"/>
      <c r="AI62" s="1"/>
    </row>
    <row r="63" spans="6:35">
      <c r="F63" s="1"/>
      <c r="H63" s="1"/>
      <c r="J63" s="1"/>
      <c r="K63" s="1"/>
      <c r="T63" t="s">
        <v>4</v>
      </c>
      <c r="U63">
        <v>0</v>
      </c>
      <c r="V63" t="s">
        <v>5</v>
      </c>
      <c r="W63">
        <v>60</v>
      </c>
      <c r="X63" t="s">
        <v>6</v>
      </c>
      <c r="Y63" s="1">
        <v>0.5</v>
      </c>
      <c r="Z63" t="s">
        <v>7</v>
      </c>
      <c r="AA63" s="1">
        <v>0.13940089999999999</v>
      </c>
      <c r="AB63" t="s">
        <v>8</v>
      </c>
      <c r="AC63" s="1">
        <v>0</v>
      </c>
      <c r="AD63" s="1">
        <v>0.20168863372249701</v>
      </c>
      <c r="AH63" s="1"/>
      <c r="AI63" s="1"/>
    </row>
    <row r="64" spans="6:35">
      <c r="F64" s="1"/>
      <c r="H64" s="1"/>
      <c r="J64" s="1"/>
      <c r="K64" s="1"/>
      <c r="T64" t="s">
        <v>4</v>
      </c>
      <c r="U64">
        <v>0</v>
      </c>
      <c r="V64" t="s">
        <v>5</v>
      </c>
      <c r="W64">
        <v>61</v>
      </c>
      <c r="X64" t="s">
        <v>6</v>
      </c>
      <c r="Y64" s="1">
        <v>0.5</v>
      </c>
      <c r="Z64" t="s">
        <v>7</v>
      </c>
      <c r="AA64" s="1">
        <v>0.1417051</v>
      </c>
      <c r="AB64" t="s">
        <v>8</v>
      </c>
      <c r="AC64" s="1">
        <v>0</v>
      </c>
      <c r="AD64" s="1">
        <v>0.201719921919912</v>
      </c>
      <c r="AH64" s="1"/>
      <c r="AI64" s="1"/>
    </row>
    <row r="65" spans="20:35">
      <c r="T65" t="s">
        <v>4</v>
      </c>
      <c r="U65">
        <v>0</v>
      </c>
      <c r="V65" t="s">
        <v>5</v>
      </c>
      <c r="W65">
        <v>62</v>
      </c>
      <c r="X65" t="s">
        <v>6</v>
      </c>
      <c r="Y65" s="1">
        <v>0.5</v>
      </c>
      <c r="Z65" t="s">
        <v>7</v>
      </c>
      <c r="AA65" s="1">
        <v>0.1440092</v>
      </c>
      <c r="AB65" t="s">
        <v>8</v>
      </c>
      <c r="AC65" s="1">
        <v>0</v>
      </c>
      <c r="AD65" s="1">
        <v>0.201751593872008</v>
      </c>
      <c r="AH65" s="1"/>
      <c r="AI65" s="1"/>
    </row>
    <row r="66" spans="20:35">
      <c r="T66" t="s">
        <v>4</v>
      </c>
      <c r="U66">
        <v>0</v>
      </c>
      <c r="V66" t="s">
        <v>5</v>
      </c>
      <c r="W66">
        <v>63</v>
      </c>
      <c r="X66" t="s">
        <v>6</v>
      </c>
      <c r="Y66" s="1">
        <v>0.5</v>
      </c>
      <c r="Z66" t="s">
        <v>7</v>
      </c>
      <c r="AA66" s="1">
        <v>0.14631340000000001</v>
      </c>
      <c r="AB66" t="s">
        <v>8</v>
      </c>
      <c r="AC66" s="1">
        <v>0</v>
      </c>
      <c r="AD66" s="1">
        <v>0.201784049621793</v>
      </c>
      <c r="AH66" s="1"/>
      <c r="AI66" s="1"/>
    </row>
    <row r="67" spans="20:35">
      <c r="T67" t="s">
        <v>4</v>
      </c>
      <c r="U67">
        <v>0</v>
      </c>
      <c r="V67" t="s">
        <v>5</v>
      </c>
      <c r="W67">
        <v>64</v>
      </c>
      <c r="X67" t="s">
        <v>6</v>
      </c>
      <c r="Y67" s="1">
        <v>0.5</v>
      </c>
      <c r="Z67" t="s">
        <v>7</v>
      </c>
      <c r="AA67" s="1">
        <v>0.14861750000000001</v>
      </c>
      <c r="AB67" t="s">
        <v>8</v>
      </c>
      <c r="AC67" s="1">
        <v>0</v>
      </c>
      <c r="AD67" s="1">
        <v>0.201817278370863</v>
      </c>
      <c r="AH67" s="1"/>
      <c r="AI67" s="1"/>
    </row>
    <row r="68" spans="20:35">
      <c r="T68" t="s">
        <v>4</v>
      </c>
      <c r="U68">
        <v>0</v>
      </c>
      <c r="V68" t="s">
        <v>5</v>
      </c>
      <c r="W68">
        <v>65</v>
      </c>
      <c r="X68" t="s">
        <v>6</v>
      </c>
      <c r="Y68" s="1">
        <v>0.5</v>
      </c>
      <c r="Z68" t="s">
        <v>7</v>
      </c>
      <c r="AA68" s="1">
        <v>0.15092169999999999</v>
      </c>
      <c r="AB68" t="s">
        <v>8</v>
      </c>
      <c r="AC68" s="1">
        <v>0</v>
      </c>
      <c r="AD68" s="1">
        <v>0.20185087469341501</v>
      </c>
      <c r="AH68" s="1"/>
      <c r="AI68" s="1"/>
    </row>
    <row r="69" spans="20:35">
      <c r="T69" t="s">
        <v>4</v>
      </c>
      <c r="U69">
        <v>0</v>
      </c>
      <c r="V69" t="s">
        <v>5</v>
      </c>
      <c r="W69">
        <v>66</v>
      </c>
      <c r="X69" t="s">
        <v>6</v>
      </c>
      <c r="Y69" s="1">
        <v>0.5</v>
      </c>
      <c r="Z69" t="s">
        <v>7</v>
      </c>
      <c r="AA69" s="1">
        <v>0.1532258</v>
      </c>
      <c r="AB69" t="s">
        <v>8</v>
      </c>
      <c r="AC69" s="1">
        <v>0</v>
      </c>
      <c r="AD69" s="1">
        <v>0.201884837671365</v>
      </c>
      <c r="AH69" s="1"/>
      <c r="AI69" s="1"/>
    </row>
    <row r="70" spans="20:35">
      <c r="T70" t="s">
        <v>4</v>
      </c>
      <c r="U70">
        <v>0</v>
      </c>
      <c r="V70" t="s">
        <v>5</v>
      </c>
      <c r="W70">
        <v>67</v>
      </c>
      <c r="X70" t="s">
        <v>6</v>
      </c>
      <c r="Y70" s="1">
        <v>0.5</v>
      </c>
      <c r="Z70" t="s">
        <v>7</v>
      </c>
      <c r="AA70" s="1">
        <v>0.15553</v>
      </c>
      <c r="AB70" t="s">
        <v>8</v>
      </c>
      <c r="AC70" s="1">
        <v>0</v>
      </c>
      <c r="AD70" s="1">
        <v>0.20191916642458499</v>
      </c>
      <c r="AH70" s="1"/>
      <c r="AI70" s="1"/>
    </row>
    <row r="71" spans="20:35">
      <c r="T71" t="s">
        <v>4</v>
      </c>
      <c r="U71">
        <v>0</v>
      </c>
      <c r="V71" t="s">
        <v>5</v>
      </c>
      <c r="W71">
        <v>68</v>
      </c>
      <c r="X71" t="s">
        <v>6</v>
      </c>
      <c r="Y71" s="1">
        <v>0.5</v>
      </c>
      <c r="Z71" t="s">
        <v>7</v>
      </c>
      <c r="AA71" s="1">
        <v>0.1578341</v>
      </c>
      <c r="AB71" t="s">
        <v>8</v>
      </c>
      <c r="AC71" s="1">
        <v>0</v>
      </c>
      <c r="AD71" s="1">
        <v>0.201953860111589</v>
      </c>
      <c r="AH71" s="1"/>
      <c r="AI71" s="1"/>
    </row>
    <row r="72" spans="20:35">
      <c r="T72" t="s">
        <v>4</v>
      </c>
      <c r="U72">
        <v>0</v>
      </c>
      <c r="V72" t="s">
        <v>5</v>
      </c>
      <c r="W72">
        <v>69</v>
      </c>
      <c r="X72" t="s">
        <v>6</v>
      </c>
      <c r="Y72" s="1">
        <v>0.5</v>
      </c>
      <c r="Z72" t="s">
        <v>7</v>
      </c>
      <c r="AA72" s="1">
        <v>0.16013820000000001</v>
      </c>
      <c r="AB72" t="s">
        <v>8</v>
      </c>
      <c r="AC72" s="1">
        <v>0</v>
      </c>
      <c r="AD72" s="1">
        <v>0.20198891792918799</v>
      </c>
      <c r="AH72" s="1"/>
      <c r="AI72" s="1"/>
    </row>
    <row r="73" spans="20:35">
      <c r="T73" t="s">
        <v>4</v>
      </c>
      <c r="U73">
        <v>0</v>
      </c>
      <c r="V73" t="s">
        <v>5</v>
      </c>
      <c r="W73">
        <v>70</v>
      </c>
      <c r="X73" t="s">
        <v>6</v>
      </c>
      <c r="Y73" s="1">
        <v>0.5</v>
      </c>
      <c r="Z73" t="s">
        <v>7</v>
      </c>
      <c r="AA73" s="1">
        <v>0.16244239999999999</v>
      </c>
      <c r="AB73" t="s">
        <v>8</v>
      </c>
      <c r="AC73" s="1">
        <v>0</v>
      </c>
      <c r="AD73" s="1">
        <v>0.20202476521464599</v>
      </c>
      <c r="AH73" s="1"/>
      <c r="AI73" s="1"/>
    </row>
    <row r="74" spans="20:35">
      <c r="T74" t="s">
        <v>4</v>
      </c>
      <c r="U74">
        <v>0</v>
      </c>
      <c r="V74" t="s">
        <v>5</v>
      </c>
      <c r="W74">
        <v>71</v>
      </c>
      <c r="X74" t="s">
        <v>6</v>
      </c>
      <c r="Y74" s="1">
        <v>0.5</v>
      </c>
      <c r="Z74" t="s">
        <v>7</v>
      </c>
      <c r="AA74" s="1">
        <v>0.16474649999999999</v>
      </c>
      <c r="AB74" t="s">
        <v>8</v>
      </c>
      <c r="AC74" s="1">
        <v>0</v>
      </c>
      <c r="AD74" s="1">
        <v>0.20206138942714499</v>
      </c>
      <c r="AH74" s="1"/>
      <c r="AI74" s="1"/>
    </row>
    <row r="75" spans="20:35">
      <c r="T75" t="s">
        <v>4</v>
      </c>
      <c r="U75">
        <v>0</v>
      </c>
      <c r="V75" t="s">
        <v>5</v>
      </c>
      <c r="W75">
        <v>72</v>
      </c>
      <c r="X75" t="s">
        <v>6</v>
      </c>
      <c r="Y75" s="1">
        <v>0.5</v>
      </c>
      <c r="Z75" t="s">
        <v>7</v>
      </c>
      <c r="AA75" s="1">
        <v>0.1670507</v>
      </c>
      <c r="AB75" t="s">
        <v>8</v>
      </c>
      <c r="AC75" s="1">
        <v>0</v>
      </c>
      <c r="AD75" s="1">
        <v>0.20209835801522699</v>
      </c>
      <c r="AH75" s="1"/>
      <c r="AI75" s="1"/>
    </row>
    <row r="76" spans="20:35">
      <c r="T76" t="s">
        <v>4</v>
      </c>
      <c r="U76">
        <v>0</v>
      </c>
      <c r="V76" t="s">
        <v>5</v>
      </c>
      <c r="W76">
        <v>73</v>
      </c>
      <c r="X76" t="s">
        <v>6</v>
      </c>
      <c r="Y76" s="1">
        <v>0.5</v>
      </c>
      <c r="Z76" t="s">
        <v>7</v>
      </c>
      <c r="AA76" s="1">
        <v>0.1693548</v>
      </c>
      <c r="AB76" t="s">
        <v>8</v>
      </c>
      <c r="AC76" s="1">
        <v>0</v>
      </c>
      <c r="AD76" s="1">
        <v>0.20213566920364701</v>
      </c>
      <c r="AH76" s="1"/>
      <c r="AI76" s="1"/>
    </row>
    <row r="77" spans="20:35">
      <c r="T77" t="s">
        <v>4</v>
      </c>
      <c r="U77">
        <v>0</v>
      </c>
      <c r="V77" t="s">
        <v>5</v>
      </c>
      <c r="W77">
        <v>74</v>
      </c>
      <c r="X77" t="s">
        <v>6</v>
      </c>
      <c r="Y77" s="1">
        <v>0.5</v>
      </c>
      <c r="Z77" t="s">
        <v>7</v>
      </c>
      <c r="AA77" s="1">
        <v>0.17165900000000001</v>
      </c>
      <c r="AB77" t="s">
        <v>8</v>
      </c>
      <c r="AC77" s="1">
        <v>0</v>
      </c>
      <c r="AD77" s="1">
        <v>0.202173321259281</v>
      </c>
      <c r="AH77" s="1"/>
      <c r="AI77" s="1"/>
    </row>
    <row r="78" spans="20:35">
      <c r="T78" t="s">
        <v>4</v>
      </c>
      <c r="U78">
        <v>0</v>
      </c>
      <c r="V78" t="s">
        <v>5</v>
      </c>
      <c r="W78">
        <v>75</v>
      </c>
      <c r="X78" t="s">
        <v>6</v>
      </c>
      <c r="Y78" s="1">
        <v>0.5</v>
      </c>
      <c r="Z78" t="s">
        <v>7</v>
      </c>
      <c r="AA78" s="1">
        <v>0.17396310000000001</v>
      </c>
      <c r="AB78" t="s">
        <v>8</v>
      </c>
      <c r="AC78" s="1">
        <v>0</v>
      </c>
      <c r="AD78" s="1">
        <v>0.20221131249202601</v>
      </c>
      <c r="AH78" s="1"/>
      <c r="AI78" s="1"/>
    </row>
    <row r="79" spans="20:35">
      <c r="T79" t="s">
        <v>4</v>
      </c>
      <c r="U79">
        <v>0</v>
      </c>
      <c r="V79" t="s">
        <v>5</v>
      </c>
      <c r="W79">
        <v>76</v>
      </c>
      <c r="X79" t="s">
        <v>6</v>
      </c>
      <c r="Y79" s="1">
        <v>0.5</v>
      </c>
      <c r="Z79" t="s">
        <v>7</v>
      </c>
      <c r="AA79" s="1">
        <v>0.17626729999999999</v>
      </c>
      <c r="AB79" t="s">
        <v>8</v>
      </c>
      <c r="AC79" s="1">
        <v>0</v>
      </c>
      <c r="AD79" s="1">
        <v>0.20224964125407799</v>
      </c>
      <c r="AH79" s="1"/>
      <c r="AI79" s="1"/>
    </row>
    <row r="80" spans="20:35">
      <c r="T80" t="s">
        <v>4</v>
      </c>
      <c r="U80">
        <v>0</v>
      </c>
      <c r="V80" t="s">
        <v>5</v>
      </c>
      <c r="W80">
        <v>77</v>
      </c>
      <c r="X80" t="s">
        <v>6</v>
      </c>
      <c r="Y80" s="1">
        <v>0.5</v>
      </c>
      <c r="Z80" t="s">
        <v>7</v>
      </c>
      <c r="AA80" s="1">
        <v>0.17857139999999999</v>
      </c>
      <c r="AB80" t="s">
        <v>8</v>
      </c>
      <c r="AC80" s="1">
        <v>0</v>
      </c>
      <c r="AD80" s="1">
        <v>0.20228876567213</v>
      </c>
      <c r="AH80" s="1"/>
      <c r="AI80" s="1"/>
    </row>
    <row r="81" spans="20:35">
      <c r="T81" t="s">
        <v>4</v>
      </c>
      <c r="U81">
        <v>0</v>
      </c>
      <c r="V81" t="s">
        <v>5</v>
      </c>
      <c r="W81">
        <v>78</v>
      </c>
      <c r="X81" t="s">
        <v>6</v>
      </c>
      <c r="Y81" s="1">
        <v>0.5</v>
      </c>
      <c r="Z81" t="s">
        <v>7</v>
      </c>
      <c r="AA81" s="1">
        <v>0.1808756</v>
      </c>
      <c r="AB81" t="s">
        <v>8</v>
      </c>
      <c r="AC81" s="1">
        <v>0</v>
      </c>
      <c r="AD81" s="1">
        <v>0.20232867175382299</v>
      </c>
      <c r="AH81" s="1"/>
      <c r="AI81" s="1"/>
    </row>
    <row r="82" spans="20:35">
      <c r="T82" t="s">
        <v>4</v>
      </c>
      <c r="U82">
        <v>0</v>
      </c>
      <c r="V82" t="s">
        <v>5</v>
      </c>
      <c r="W82">
        <v>79</v>
      </c>
      <c r="X82" t="s">
        <v>6</v>
      </c>
      <c r="Y82" s="1">
        <v>0.5</v>
      </c>
      <c r="Z82" t="s">
        <v>7</v>
      </c>
      <c r="AA82" s="1">
        <v>0.1831797</v>
      </c>
      <c r="AB82" t="s">
        <v>8</v>
      </c>
      <c r="AC82" s="1">
        <v>0</v>
      </c>
      <c r="AD82" s="1">
        <v>0.20236889202997599</v>
      </c>
      <c r="AH82" s="1"/>
      <c r="AI82" s="1"/>
    </row>
    <row r="83" spans="20:35">
      <c r="T83" t="s">
        <v>4</v>
      </c>
      <c r="U83">
        <v>0</v>
      </c>
      <c r="V83" t="s">
        <v>5</v>
      </c>
      <c r="W83">
        <v>80</v>
      </c>
      <c r="X83" t="s">
        <v>6</v>
      </c>
      <c r="Y83" s="1">
        <v>0.5</v>
      </c>
      <c r="Z83" t="s">
        <v>7</v>
      </c>
      <c r="AA83" s="1">
        <v>0.18548390000000001</v>
      </c>
      <c r="AB83" t="s">
        <v>8</v>
      </c>
      <c r="AC83" s="1">
        <v>0</v>
      </c>
      <c r="AD83" s="1">
        <v>0.20240942364280201</v>
      </c>
      <c r="AH83" s="1"/>
      <c r="AI83" s="1"/>
    </row>
    <row r="84" spans="20:35">
      <c r="T84" t="s">
        <v>4</v>
      </c>
      <c r="U84">
        <v>0</v>
      </c>
      <c r="V84" t="s">
        <v>5</v>
      </c>
      <c r="W84">
        <v>81</v>
      </c>
      <c r="X84" t="s">
        <v>6</v>
      </c>
      <c r="Y84" s="1">
        <v>0.5</v>
      </c>
      <c r="Z84" t="s">
        <v>7</v>
      </c>
      <c r="AA84" s="1">
        <v>0.18778800000000001</v>
      </c>
      <c r="AB84" t="s">
        <v>8</v>
      </c>
      <c r="AC84" s="1">
        <v>0</v>
      </c>
      <c r="AD84" s="1">
        <v>0.20245026378185599</v>
      </c>
      <c r="AH84" s="1"/>
      <c r="AI84" s="1"/>
    </row>
    <row r="85" spans="20:35">
      <c r="T85" t="s">
        <v>4</v>
      </c>
      <c r="U85">
        <v>0</v>
      </c>
      <c r="V85" t="s">
        <v>5</v>
      </c>
      <c r="W85">
        <v>82</v>
      </c>
      <c r="X85" t="s">
        <v>6</v>
      </c>
      <c r="Y85" s="1">
        <v>0.5</v>
      </c>
      <c r="Z85" t="s">
        <v>7</v>
      </c>
      <c r="AA85" s="1">
        <v>0.19009219999999999</v>
      </c>
      <c r="AB85" t="s">
        <v>8</v>
      </c>
      <c r="AC85" s="1">
        <v>0</v>
      </c>
      <c r="AD85" s="1">
        <v>0.202491409684183</v>
      </c>
      <c r="AH85" s="1"/>
      <c r="AI85" s="1"/>
    </row>
    <row r="86" spans="20:35">
      <c r="T86" t="s">
        <v>4</v>
      </c>
      <c r="U86">
        <v>0</v>
      </c>
      <c r="V86" t="s">
        <v>5</v>
      </c>
      <c r="W86">
        <v>83</v>
      </c>
      <c r="X86" t="s">
        <v>6</v>
      </c>
      <c r="Y86" s="1">
        <v>0.5</v>
      </c>
      <c r="Z86" t="s">
        <v>7</v>
      </c>
      <c r="AA86" s="1">
        <v>0.19239629999999999</v>
      </c>
      <c r="AB86" t="s">
        <v>8</v>
      </c>
      <c r="AC86" s="1">
        <v>0</v>
      </c>
      <c r="AD86" s="1">
        <v>0.20253285863458101</v>
      </c>
      <c r="AH86" s="1"/>
      <c r="AI86" s="1"/>
    </row>
    <row r="87" spans="20:35">
      <c r="T87" t="s">
        <v>4</v>
      </c>
      <c r="U87">
        <v>0</v>
      </c>
      <c r="V87" t="s">
        <v>5</v>
      </c>
      <c r="W87">
        <v>84</v>
      </c>
      <c r="X87" t="s">
        <v>6</v>
      </c>
      <c r="Y87" s="1">
        <v>0.5</v>
      </c>
      <c r="Z87" t="s">
        <v>7</v>
      </c>
      <c r="AA87" s="1">
        <v>0.1947005</v>
      </c>
      <c r="AB87" t="s">
        <v>8</v>
      </c>
      <c r="AC87" s="1">
        <v>0</v>
      </c>
      <c r="AD87" s="1">
        <v>0.20257510879872501</v>
      </c>
      <c r="AH87" s="1"/>
      <c r="AI87" s="1"/>
    </row>
    <row r="88" spans="20:35">
      <c r="T88" t="s">
        <v>4</v>
      </c>
      <c r="U88">
        <v>0</v>
      </c>
      <c r="V88" t="s">
        <v>5</v>
      </c>
      <c r="W88">
        <v>85</v>
      </c>
      <c r="X88" t="s">
        <v>6</v>
      </c>
      <c r="Y88" s="1">
        <v>0.5</v>
      </c>
      <c r="Z88" t="s">
        <v>7</v>
      </c>
      <c r="AA88" s="1">
        <v>0.1970046</v>
      </c>
      <c r="AB88" t="s">
        <v>8</v>
      </c>
      <c r="AC88" s="1">
        <v>0</v>
      </c>
      <c r="AD88" s="1">
        <v>0.20261814365801201</v>
      </c>
      <c r="AH88" s="1"/>
      <c r="AI88" s="1"/>
    </row>
    <row r="89" spans="20:35">
      <c r="T89" t="s">
        <v>4</v>
      </c>
      <c r="U89">
        <v>0</v>
      </c>
      <c r="V89" t="s">
        <v>5</v>
      </c>
      <c r="W89">
        <v>86</v>
      </c>
      <c r="X89" t="s">
        <v>6</v>
      </c>
      <c r="Y89" s="1">
        <v>0.5</v>
      </c>
      <c r="Z89" t="s">
        <v>7</v>
      </c>
      <c r="AA89" s="1">
        <v>0.19930880000000001</v>
      </c>
      <c r="AB89" t="s">
        <v>8</v>
      </c>
      <c r="AC89" s="1">
        <v>0</v>
      </c>
      <c r="AD89" s="1">
        <v>0.20266145247762901</v>
      </c>
      <c r="AH89" s="1"/>
      <c r="AI89" s="1"/>
    </row>
    <row r="90" spans="20:35">
      <c r="T90" t="s">
        <v>4</v>
      </c>
      <c r="U90">
        <v>0</v>
      </c>
      <c r="V90" t="s">
        <v>5</v>
      </c>
      <c r="W90">
        <v>87</v>
      </c>
      <c r="X90" t="s">
        <v>6</v>
      </c>
      <c r="Y90" s="1">
        <v>0.5</v>
      </c>
      <c r="Z90" t="s">
        <v>7</v>
      </c>
      <c r="AA90" s="1">
        <v>0.20161290000000001</v>
      </c>
      <c r="AB90" t="s">
        <v>8</v>
      </c>
      <c r="AC90" s="1">
        <v>0</v>
      </c>
      <c r="AD90" s="1">
        <v>0.20270503071516499</v>
      </c>
      <c r="AH90" s="1"/>
      <c r="AI90" s="1"/>
    </row>
    <row r="91" spans="20:35">
      <c r="T91" t="s">
        <v>4</v>
      </c>
      <c r="U91">
        <v>0</v>
      </c>
      <c r="V91" t="s">
        <v>5</v>
      </c>
      <c r="W91">
        <v>88</v>
      </c>
      <c r="X91" t="s">
        <v>6</v>
      </c>
      <c r="Y91" s="1">
        <v>0.5</v>
      </c>
      <c r="Z91" t="s">
        <v>7</v>
      </c>
      <c r="AA91" s="1">
        <v>0.20391709999999999</v>
      </c>
      <c r="AB91" t="s">
        <v>8</v>
      </c>
      <c r="AC91" s="1">
        <v>0</v>
      </c>
      <c r="AD91" s="1">
        <v>0.20274887388104401</v>
      </c>
      <c r="AH91" s="1"/>
      <c r="AI91" s="1"/>
    </row>
    <row r="92" spans="20:35">
      <c r="T92" t="s">
        <v>4</v>
      </c>
      <c r="U92">
        <v>0</v>
      </c>
      <c r="V92" t="s">
        <v>5</v>
      </c>
      <c r="W92">
        <v>89</v>
      </c>
      <c r="X92" t="s">
        <v>6</v>
      </c>
      <c r="Y92" s="1">
        <v>0.5</v>
      </c>
      <c r="Z92" t="s">
        <v>7</v>
      </c>
      <c r="AA92" s="1">
        <v>0.20622119999999999</v>
      </c>
      <c r="AB92" t="s">
        <v>8</v>
      </c>
      <c r="AC92" s="1">
        <v>0</v>
      </c>
      <c r="AD92" s="1">
        <v>0.20279297753897199</v>
      </c>
      <c r="AH92" s="1"/>
      <c r="AI92" s="1"/>
    </row>
    <row r="93" spans="20:35">
      <c r="T93" t="s">
        <v>4</v>
      </c>
      <c r="U93">
        <v>0</v>
      </c>
      <c r="V93" t="s">
        <v>5</v>
      </c>
      <c r="W93">
        <v>90</v>
      </c>
      <c r="X93" t="s">
        <v>6</v>
      </c>
      <c r="Y93" s="1">
        <v>0.5</v>
      </c>
      <c r="Z93" t="s">
        <v>7</v>
      </c>
      <c r="AA93" s="1">
        <v>0.2085253</v>
      </c>
      <c r="AB93" t="s">
        <v>8</v>
      </c>
      <c r="AC93" s="1">
        <v>0</v>
      </c>
      <c r="AD93" s="1">
        <v>0.20283733730594</v>
      </c>
      <c r="AH93" s="1"/>
      <c r="AI93" s="1"/>
    </row>
    <row r="94" spans="20:35">
      <c r="T94" t="s">
        <v>4</v>
      </c>
      <c r="U94">
        <v>0</v>
      </c>
      <c r="V94" t="s">
        <v>5</v>
      </c>
      <c r="W94">
        <v>91</v>
      </c>
      <c r="X94" t="s">
        <v>6</v>
      </c>
      <c r="Y94" s="1">
        <v>0.5</v>
      </c>
      <c r="Z94" t="s">
        <v>7</v>
      </c>
      <c r="AA94" s="1">
        <v>0.2108295</v>
      </c>
      <c r="AB94" t="s">
        <v>8</v>
      </c>
      <c r="AC94" s="1">
        <v>0</v>
      </c>
      <c r="AD94" s="1">
        <v>0.202882505319046</v>
      </c>
      <c r="AH94" s="1"/>
      <c r="AI94" s="1"/>
    </row>
    <row r="95" spans="20:35">
      <c r="T95" t="s">
        <v>4</v>
      </c>
      <c r="U95">
        <v>0</v>
      </c>
      <c r="V95" t="s">
        <v>5</v>
      </c>
      <c r="W95">
        <v>92</v>
      </c>
      <c r="X95" t="s">
        <v>6</v>
      </c>
      <c r="Y95" s="1">
        <v>0.5</v>
      </c>
      <c r="Z95" t="s">
        <v>7</v>
      </c>
      <c r="AA95" s="1">
        <v>0.21313360000000001</v>
      </c>
      <c r="AB95" t="s">
        <v>8</v>
      </c>
      <c r="AC95" s="1">
        <v>0</v>
      </c>
      <c r="AD95" s="1">
        <v>0.20292846353277699</v>
      </c>
      <c r="AH95" s="1"/>
      <c r="AI95" s="1"/>
    </row>
    <row r="96" spans="20:35">
      <c r="T96" t="s">
        <v>4</v>
      </c>
      <c r="U96">
        <v>0</v>
      </c>
      <c r="V96" t="s">
        <v>5</v>
      </c>
      <c r="W96">
        <v>93</v>
      </c>
      <c r="X96" t="s">
        <v>6</v>
      </c>
      <c r="Y96" s="1">
        <v>0.5</v>
      </c>
      <c r="Z96" t="s">
        <v>7</v>
      </c>
      <c r="AA96" s="1">
        <v>0.21543780000000001</v>
      </c>
      <c r="AB96" t="s">
        <v>8</v>
      </c>
      <c r="AC96" s="1">
        <v>0</v>
      </c>
      <c r="AD96" s="1">
        <v>0.20297464378062199</v>
      </c>
      <c r="AH96" s="1"/>
      <c r="AI96" s="1"/>
    </row>
    <row r="97" spans="20:35">
      <c r="T97" t="s">
        <v>4</v>
      </c>
      <c r="U97">
        <v>0</v>
      </c>
      <c r="V97" t="s">
        <v>5</v>
      </c>
      <c r="W97">
        <v>94</v>
      </c>
      <c r="X97" t="s">
        <v>6</v>
      </c>
      <c r="Y97" s="1">
        <v>0.5</v>
      </c>
      <c r="Z97" t="s">
        <v>7</v>
      </c>
      <c r="AA97" s="1">
        <v>0.21774189999999999</v>
      </c>
      <c r="AB97" t="s">
        <v>8</v>
      </c>
      <c r="AC97" s="1">
        <v>0</v>
      </c>
      <c r="AD97" s="1">
        <v>0.203021039622508</v>
      </c>
      <c r="AH97" s="1"/>
      <c r="AI97" s="1"/>
    </row>
    <row r="98" spans="20:35">
      <c r="T98" t="s">
        <v>4</v>
      </c>
      <c r="U98">
        <v>0</v>
      </c>
      <c r="V98" t="s">
        <v>5</v>
      </c>
      <c r="W98">
        <v>95</v>
      </c>
      <c r="X98" t="s">
        <v>6</v>
      </c>
      <c r="Y98" s="1">
        <v>0.5</v>
      </c>
      <c r="Z98" t="s">
        <v>7</v>
      </c>
      <c r="AA98" s="1">
        <v>0.22004609999999999</v>
      </c>
      <c r="AB98" t="s">
        <v>8</v>
      </c>
      <c r="AC98" s="1">
        <v>0</v>
      </c>
      <c r="AD98" s="1">
        <v>0.20306764467809901</v>
      </c>
      <c r="AH98" s="1"/>
      <c r="AI98" s="1"/>
    </row>
    <row r="99" spans="20:35">
      <c r="T99" t="s">
        <v>4</v>
      </c>
      <c r="U99">
        <v>0</v>
      </c>
      <c r="V99" t="s">
        <v>5</v>
      </c>
      <c r="W99">
        <v>96</v>
      </c>
      <c r="X99" t="s">
        <v>6</v>
      </c>
      <c r="Y99" s="1">
        <v>0.5</v>
      </c>
      <c r="Z99" t="s">
        <v>7</v>
      </c>
      <c r="AA99" s="1">
        <v>0.2223502</v>
      </c>
      <c r="AB99" t="s">
        <v>8</v>
      </c>
      <c r="AC99" s="1">
        <v>0</v>
      </c>
      <c r="AD99" s="1">
        <v>0.203114452626974</v>
      </c>
      <c r="AH99" s="1"/>
      <c r="AI99" s="1"/>
    </row>
    <row r="100" spans="20:35">
      <c r="T100" t="s">
        <v>4</v>
      </c>
      <c r="U100">
        <v>0</v>
      </c>
      <c r="V100" t="s">
        <v>5</v>
      </c>
      <c r="W100">
        <v>97</v>
      </c>
      <c r="X100" t="s">
        <v>6</v>
      </c>
      <c r="Y100" s="1">
        <v>0.5</v>
      </c>
      <c r="Z100" t="s">
        <v>7</v>
      </c>
      <c r="AA100" s="1">
        <v>0.2246544</v>
      </c>
      <c r="AB100" t="s">
        <v>8</v>
      </c>
      <c r="AC100" s="1">
        <v>0</v>
      </c>
      <c r="AD100" s="1">
        <v>0.20316145720870199</v>
      </c>
      <c r="AH100" s="1"/>
      <c r="AI100" s="1"/>
    </row>
    <row r="101" spans="20:35">
      <c r="T101" t="s">
        <v>4</v>
      </c>
      <c r="U101">
        <v>0</v>
      </c>
      <c r="V101" t="s">
        <v>5</v>
      </c>
      <c r="W101">
        <v>98</v>
      </c>
      <c r="X101" t="s">
        <v>6</v>
      </c>
      <c r="Y101" s="1">
        <v>0.5</v>
      </c>
      <c r="Z101" t="s">
        <v>7</v>
      </c>
      <c r="AA101" s="1">
        <v>0.22695850000000001</v>
      </c>
      <c r="AB101" t="s">
        <v>8</v>
      </c>
      <c r="AC101" s="1">
        <v>0</v>
      </c>
      <c r="AD101" s="1">
        <v>0.203209273232169</v>
      </c>
      <c r="AH101" s="1"/>
      <c r="AI101" s="1"/>
    </row>
    <row r="102" spans="20:35">
      <c r="T102" t="s">
        <v>4</v>
      </c>
      <c r="U102">
        <v>0</v>
      </c>
      <c r="V102" t="s">
        <v>5</v>
      </c>
      <c r="W102">
        <v>99</v>
      </c>
      <c r="X102" t="s">
        <v>6</v>
      </c>
      <c r="Y102" s="1">
        <v>0.5</v>
      </c>
      <c r="Z102" t="s">
        <v>7</v>
      </c>
      <c r="AA102" s="1">
        <v>0.22926270000000001</v>
      </c>
      <c r="AB102" t="s">
        <v>8</v>
      </c>
      <c r="AC102" s="1">
        <v>0</v>
      </c>
      <c r="AD102" s="1">
        <v>0.203257878468277</v>
      </c>
      <c r="AH102" s="1"/>
      <c r="AI102" s="1"/>
    </row>
    <row r="103" spans="20:35">
      <c r="T103" t="s">
        <v>4</v>
      </c>
      <c r="U103">
        <v>0</v>
      </c>
      <c r="V103" t="s">
        <v>5</v>
      </c>
      <c r="W103">
        <v>100</v>
      </c>
      <c r="X103" t="s">
        <v>6</v>
      </c>
      <c r="Y103" s="1">
        <v>0.5</v>
      </c>
      <c r="Z103" t="s">
        <v>7</v>
      </c>
      <c r="AA103" s="1">
        <v>0.23156679999999999</v>
      </c>
      <c r="AB103" t="s">
        <v>8</v>
      </c>
      <c r="AC103" s="1">
        <v>0</v>
      </c>
      <c r="AD103" s="1">
        <v>0.20330663631402299</v>
      </c>
      <c r="AH103" s="1"/>
      <c r="AI103" s="1"/>
    </row>
    <row r="104" spans="20:35">
      <c r="T104" t="s">
        <v>4</v>
      </c>
      <c r="U104">
        <v>0</v>
      </c>
      <c r="V104" t="s">
        <v>5</v>
      </c>
      <c r="W104">
        <v>101</v>
      </c>
      <c r="X104" t="s">
        <v>6</v>
      </c>
      <c r="Y104" s="1">
        <v>0.5</v>
      </c>
      <c r="Z104" t="s">
        <v>7</v>
      </c>
      <c r="AA104" s="1">
        <v>0.233871</v>
      </c>
      <c r="AB104" t="s">
        <v>8</v>
      </c>
      <c r="AC104" s="1">
        <v>0</v>
      </c>
      <c r="AD104" s="1">
        <v>0.20335553711829399</v>
      </c>
      <c r="AH104" s="1"/>
      <c r="AI104" s="1"/>
    </row>
    <row r="105" spans="20:35">
      <c r="T105" t="s">
        <v>4</v>
      </c>
      <c r="U105">
        <v>0</v>
      </c>
      <c r="V105" t="s">
        <v>5</v>
      </c>
      <c r="W105">
        <v>102</v>
      </c>
      <c r="X105" t="s">
        <v>6</v>
      </c>
      <c r="Y105" s="1">
        <v>0.5</v>
      </c>
      <c r="Z105" t="s">
        <v>7</v>
      </c>
      <c r="AA105" s="1">
        <v>0.2361751</v>
      </c>
      <c r="AB105" t="s">
        <v>8</v>
      </c>
      <c r="AC105" s="1">
        <v>0</v>
      </c>
      <c r="AD105" s="1">
        <v>0.203404571297332</v>
      </c>
      <c r="AH105" s="1"/>
      <c r="AI105" s="1"/>
    </row>
    <row r="106" spans="20:35">
      <c r="T106" t="s">
        <v>4</v>
      </c>
      <c r="U106">
        <v>0</v>
      </c>
      <c r="V106" t="s">
        <v>5</v>
      </c>
      <c r="W106">
        <v>103</v>
      </c>
      <c r="X106" t="s">
        <v>6</v>
      </c>
      <c r="Y106" s="1">
        <v>0.5</v>
      </c>
      <c r="Z106" t="s">
        <v>7</v>
      </c>
      <c r="AA106" s="1">
        <v>0.23847930000000001</v>
      </c>
      <c r="AB106" t="s">
        <v>8</v>
      </c>
      <c r="AC106" s="1">
        <v>0</v>
      </c>
      <c r="AD106" s="1">
        <v>0.20345372933549399</v>
      </c>
      <c r="AH106" s="1"/>
      <c r="AI106" s="1"/>
    </row>
    <row r="107" spans="20:35">
      <c r="T107" t="s">
        <v>4</v>
      </c>
      <c r="U107">
        <v>0</v>
      </c>
      <c r="V107" t="s">
        <v>5</v>
      </c>
      <c r="W107">
        <v>104</v>
      </c>
      <c r="X107" t="s">
        <v>6</v>
      </c>
      <c r="Y107" s="1">
        <v>0.5</v>
      </c>
      <c r="Z107" t="s">
        <v>7</v>
      </c>
      <c r="AA107" s="1">
        <v>0.24078340000000001</v>
      </c>
      <c r="AB107" t="s">
        <v>8</v>
      </c>
      <c r="AC107" s="1">
        <v>0</v>
      </c>
      <c r="AD107" s="1">
        <v>0.20350300178490799</v>
      </c>
      <c r="AH107" s="1"/>
      <c r="AI107" s="1"/>
    </row>
    <row r="108" spans="20:35">
      <c r="T108" t="s">
        <v>4</v>
      </c>
      <c r="U108">
        <v>0</v>
      </c>
      <c r="V108" t="s">
        <v>5</v>
      </c>
      <c r="W108">
        <v>105</v>
      </c>
      <c r="X108" t="s">
        <v>6</v>
      </c>
      <c r="Y108" s="1">
        <v>0.5</v>
      </c>
      <c r="Z108" t="s">
        <v>7</v>
      </c>
      <c r="AA108" s="1">
        <v>0.24308759999999999</v>
      </c>
      <c r="AB108" t="s">
        <v>8</v>
      </c>
      <c r="AC108" s="1">
        <v>0</v>
      </c>
      <c r="AD108" s="1">
        <v>0.20355309355864801</v>
      </c>
      <c r="AH108" s="1"/>
      <c r="AI108" s="1"/>
    </row>
    <row r="109" spans="20:35">
      <c r="T109" t="s">
        <v>4</v>
      </c>
      <c r="U109">
        <v>0</v>
      </c>
      <c r="V109" t="s">
        <v>5</v>
      </c>
      <c r="W109">
        <v>106</v>
      </c>
      <c r="X109" t="s">
        <v>6</v>
      </c>
      <c r="Y109" s="1">
        <v>0.5</v>
      </c>
      <c r="Z109" t="s">
        <v>7</v>
      </c>
      <c r="AA109" s="1">
        <v>0.24539169999999999</v>
      </c>
      <c r="AB109" t="s">
        <v>8</v>
      </c>
      <c r="AC109" s="1">
        <v>0</v>
      </c>
      <c r="AD109" s="1">
        <v>0.20360398055045101</v>
      </c>
      <c r="AH109" s="1"/>
      <c r="AI109" s="1"/>
    </row>
    <row r="110" spans="20:35">
      <c r="T110" t="s">
        <v>4</v>
      </c>
      <c r="U110">
        <v>0</v>
      </c>
      <c r="V110" t="s">
        <v>5</v>
      </c>
      <c r="W110">
        <v>107</v>
      </c>
      <c r="X110" t="s">
        <v>6</v>
      </c>
      <c r="Y110" s="1">
        <v>0.5</v>
      </c>
      <c r="Z110" t="s">
        <v>7</v>
      </c>
      <c r="AA110" s="1">
        <v>0.2476959</v>
      </c>
      <c r="AB110" t="s">
        <v>8</v>
      </c>
      <c r="AC110" s="1">
        <v>0</v>
      </c>
      <c r="AD110" s="1">
        <v>0.203654930281045</v>
      </c>
      <c r="AH110" s="1"/>
      <c r="AI110" s="1"/>
    </row>
    <row r="111" spans="20:35">
      <c r="T111" t="s">
        <v>4</v>
      </c>
      <c r="U111">
        <v>0</v>
      </c>
      <c r="V111" t="s">
        <v>5</v>
      </c>
      <c r="W111">
        <v>108</v>
      </c>
      <c r="X111" t="s">
        <v>6</v>
      </c>
      <c r="Y111" s="1">
        <v>0.5</v>
      </c>
      <c r="Z111" t="s">
        <v>7</v>
      </c>
      <c r="AA111" s="1">
        <v>0.25</v>
      </c>
      <c r="AB111" t="s">
        <v>8</v>
      </c>
      <c r="AC111" s="1">
        <v>0</v>
      </c>
      <c r="AD111" s="1">
        <v>0.203705929992719</v>
      </c>
    </row>
    <row r="112" spans="20:35">
      <c r="T112" t="s">
        <v>4</v>
      </c>
      <c r="U112">
        <v>0</v>
      </c>
      <c r="V112" t="s">
        <v>5</v>
      </c>
      <c r="W112">
        <v>109</v>
      </c>
      <c r="X112" t="s">
        <v>6</v>
      </c>
      <c r="Y112" s="1">
        <v>0.5</v>
      </c>
      <c r="Z112" t="s">
        <v>7</v>
      </c>
      <c r="AA112" s="1">
        <v>0.25230409999999998</v>
      </c>
      <c r="AB112" t="s">
        <v>8</v>
      </c>
      <c r="AC112" s="1">
        <v>0</v>
      </c>
      <c r="AD112" s="1">
        <v>0.20375696700504201</v>
      </c>
    </row>
    <row r="113" spans="20:30">
      <c r="T113" t="s">
        <v>4</v>
      </c>
      <c r="U113">
        <v>0</v>
      </c>
      <c r="V113" t="s">
        <v>5</v>
      </c>
      <c r="W113">
        <v>110</v>
      </c>
      <c r="X113" t="s">
        <v>6</v>
      </c>
      <c r="Y113" s="1">
        <v>0.5</v>
      </c>
      <c r="Z113" t="s">
        <v>7</v>
      </c>
      <c r="AA113" s="1">
        <v>0.25460830000000001</v>
      </c>
      <c r="AB113" t="s">
        <v>8</v>
      </c>
      <c r="AC113" s="1">
        <v>0</v>
      </c>
      <c r="AD113" s="1">
        <v>0.20380802871506401</v>
      </c>
    </row>
    <row r="114" spans="20:30">
      <c r="T114" t="s">
        <v>4</v>
      </c>
      <c r="U114">
        <v>0</v>
      </c>
      <c r="V114" t="s">
        <v>5</v>
      </c>
      <c r="W114">
        <v>111</v>
      </c>
      <c r="X114" t="s">
        <v>6</v>
      </c>
      <c r="Y114" s="1">
        <v>0.5</v>
      </c>
      <c r="Z114" t="s">
        <v>7</v>
      </c>
      <c r="AA114" s="1">
        <v>0.25691239999999999</v>
      </c>
      <c r="AB114" t="s">
        <v>8</v>
      </c>
      <c r="AC114" s="1">
        <v>0</v>
      </c>
      <c r="AD114" s="1">
        <v>0.20385910259749901</v>
      </c>
    </row>
    <row r="115" spans="20:30">
      <c r="T115" t="s">
        <v>4</v>
      </c>
      <c r="U115">
        <v>0</v>
      </c>
      <c r="V115" t="s">
        <v>5</v>
      </c>
      <c r="W115">
        <v>112</v>
      </c>
      <c r="X115" t="s">
        <v>6</v>
      </c>
      <c r="Y115" s="1">
        <v>0.5</v>
      </c>
      <c r="Z115" t="s">
        <v>7</v>
      </c>
      <c r="AA115" s="1">
        <v>0.25921660000000002</v>
      </c>
      <c r="AB115" t="s">
        <v>8</v>
      </c>
      <c r="AC115" s="1">
        <v>0</v>
      </c>
      <c r="AD115" s="1">
        <v>0.20391099165342</v>
      </c>
    </row>
    <row r="116" spans="20:30">
      <c r="T116" t="s">
        <v>4</v>
      </c>
      <c r="U116">
        <v>0</v>
      </c>
      <c r="V116" t="s">
        <v>5</v>
      </c>
      <c r="W116">
        <v>113</v>
      </c>
      <c r="X116" t="s">
        <v>6</v>
      </c>
      <c r="Y116" s="1">
        <v>0.5</v>
      </c>
      <c r="Z116" t="s">
        <v>7</v>
      </c>
      <c r="AA116" s="1">
        <v>0.26152069999999999</v>
      </c>
      <c r="AB116" t="s">
        <v>8</v>
      </c>
      <c r="AC116" s="1">
        <v>0</v>
      </c>
      <c r="AD116" s="1">
        <v>0.203963664796218</v>
      </c>
    </row>
    <row r="117" spans="20:30">
      <c r="T117" t="s">
        <v>4</v>
      </c>
      <c r="U117">
        <v>0</v>
      </c>
      <c r="V117" t="s">
        <v>5</v>
      </c>
      <c r="W117">
        <v>114</v>
      </c>
      <c r="X117" t="s">
        <v>6</v>
      </c>
      <c r="Y117" s="1">
        <v>0.5</v>
      </c>
      <c r="Z117" t="s">
        <v>7</v>
      </c>
      <c r="AA117" s="1">
        <v>0.26382489999999997</v>
      </c>
      <c r="AB117" t="s">
        <v>8</v>
      </c>
      <c r="AC117" s="1">
        <v>0</v>
      </c>
      <c r="AD117" s="1">
        <v>0.20401628124536</v>
      </c>
    </row>
    <row r="118" spans="20:30">
      <c r="T118" t="s">
        <v>4</v>
      </c>
      <c r="U118">
        <v>0</v>
      </c>
      <c r="V118" t="s">
        <v>5</v>
      </c>
      <c r="W118">
        <v>115</v>
      </c>
      <c r="X118" t="s">
        <v>6</v>
      </c>
      <c r="Y118" s="1">
        <v>0.5</v>
      </c>
      <c r="Z118" t="s">
        <v>7</v>
      </c>
      <c r="AA118" s="1">
        <v>0.266129</v>
      </c>
      <c r="AB118" t="s">
        <v>8</v>
      </c>
      <c r="AC118" s="1">
        <v>0</v>
      </c>
      <c r="AD118" s="1">
        <v>0.20406882208111199</v>
      </c>
    </row>
    <row r="119" spans="20:30">
      <c r="T119" t="s">
        <v>4</v>
      </c>
      <c r="U119">
        <v>0</v>
      </c>
      <c r="V119" t="s">
        <v>5</v>
      </c>
      <c r="W119">
        <v>116</v>
      </c>
      <c r="X119" t="s">
        <v>6</v>
      </c>
      <c r="Y119" s="1">
        <v>0.5</v>
      </c>
      <c r="Z119" t="s">
        <v>7</v>
      </c>
      <c r="AA119" s="1">
        <v>0.26843319999999998</v>
      </c>
      <c r="AB119" t="s">
        <v>8</v>
      </c>
      <c r="AC119" s="1">
        <v>0</v>
      </c>
      <c r="AD119" s="1">
        <v>0.20412126847319501</v>
      </c>
    </row>
    <row r="120" spans="20:30">
      <c r="T120" t="s">
        <v>4</v>
      </c>
      <c r="U120">
        <v>0</v>
      </c>
      <c r="V120" t="s">
        <v>5</v>
      </c>
      <c r="W120">
        <v>117</v>
      </c>
      <c r="X120" t="s">
        <v>6</v>
      </c>
      <c r="Y120" s="1">
        <v>0.5</v>
      </c>
      <c r="Z120" t="s">
        <v>7</v>
      </c>
      <c r="AA120" s="1">
        <v>0.27073730000000001</v>
      </c>
      <c r="AB120" t="s">
        <v>8</v>
      </c>
      <c r="AC120" s="1">
        <v>0</v>
      </c>
      <c r="AD120" s="1">
        <v>0.20417360168156601</v>
      </c>
    </row>
    <row r="121" spans="20:30">
      <c r="T121" t="s">
        <v>4</v>
      </c>
      <c r="U121">
        <v>0</v>
      </c>
      <c r="V121" t="s">
        <v>5</v>
      </c>
      <c r="W121">
        <v>118</v>
      </c>
      <c r="X121" t="s">
        <v>6</v>
      </c>
      <c r="Y121" s="1">
        <v>0.5</v>
      </c>
      <c r="Z121" t="s">
        <v>7</v>
      </c>
      <c r="AA121" s="1">
        <v>0.27304149999999999</v>
      </c>
      <c r="AB121" t="s">
        <v>8</v>
      </c>
      <c r="AC121" s="1">
        <v>0</v>
      </c>
      <c r="AD121" s="1">
        <v>0.204225803056369</v>
      </c>
    </row>
    <row r="122" spans="20:30">
      <c r="T122" t="s">
        <v>4</v>
      </c>
      <c r="U122">
        <v>0</v>
      </c>
      <c r="V122" t="s">
        <v>5</v>
      </c>
      <c r="W122">
        <v>119</v>
      </c>
      <c r="X122" t="s">
        <v>6</v>
      </c>
      <c r="Y122" s="1">
        <v>0.5</v>
      </c>
      <c r="Z122" t="s">
        <v>7</v>
      </c>
      <c r="AA122" s="1">
        <v>0.27534560000000002</v>
      </c>
      <c r="AB122" t="s">
        <v>8</v>
      </c>
      <c r="AC122" s="1">
        <v>0</v>
      </c>
      <c r="AD122" s="1">
        <v>0.204278822097061</v>
      </c>
    </row>
    <row r="123" spans="20:30">
      <c r="T123" t="s">
        <v>4</v>
      </c>
      <c r="U123">
        <v>0</v>
      </c>
      <c r="V123" t="s">
        <v>5</v>
      </c>
      <c r="W123">
        <v>120</v>
      </c>
      <c r="X123" t="s">
        <v>6</v>
      </c>
      <c r="Y123" s="1">
        <v>0.5</v>
      </c>
      <c r="Z123" t="s">
        <v>7</v>
      </c>
      <c r="AA123" s="1">
        <v>0.2776498</v>
      </c>
      <c r="AB123" t="s">
        <v>8</v>
      </c>
      <c r="AC123" s="1">
        <v>0</v>
      </c>
      <c r="AD123" s="1">
        <v>0.204332622890913</v>
      </c>
    </row>
    <row r="124" spans="20:30">
      <c r="T124" t="s">
        <v>4</v>
      </c>
      <c r="U124">
        <v>0</v>
      </c>
      <c r="V124" t="s">
        <v>5</v>
      </c>
      <c r="W124">
        <v>121</v>
      </c>
      <c r="X124" t="s">
        <v>6</v>
      </c>
      <c r="Y124" s="1">
        <v>0.5</v>
      </c>
      <c r="Z124" t="s">
        <v>7</v>
      </c>
      <c r="AA124" s="1">
        <v>0.27995389999999998</v>
      </c>
      <c r="AB124" t="s">
        <v>8</v>
      </c>
      <c r="AC124" s="1">
        <v>0</v>
      </c>
      <c r="AD124" s="1">
        <v>0.20438620749667399</v>
      </c>
    </row>
    <row r="125" spans="20:30">
      <c r="T125" t="s">
        <v>4</v>
      </c>
      <c r="U125">
        <v>0</v>
      </c>
      <c r="V125" t="s">
        <v>5</v>
      </c>
      <c r="W125">
        <v>122</v>
      </c>
      <c r="X125" t="s">
        <v>6</v>
      </c>
      <c r="Y125" s="1">
        <v>0.5</v>
      </c>
      <c r="Z125" t="s">
        <v>7</v>
      </c>
      <c r="AA125" s="1">
        <v>0.28225810000000001</v>
      </c>
      <c r="AB125" t="s">
        <v>8</v>
      </c>
      <c r="AC125" s="1">
        <v>0</v>
      </c>
      <c r="AD125" s="1">
        <v>0.20443955219756901</v>
      </c>
    </row>
    <row r="126" spans="20:30">
      <c r="T126" t="s">
        <v>4</v>
      </c>
      <c r="U126">
        <v>0</v>
      </c>
      <c r="V126" t="s">
        <v>5</v>
      </c>
      <c r="W126">
        <v>123</v>
      </c>
      <c r="X126" t="s">
        <v>6</v>
      </c>
      <c r="Y126" s="1">
        <v>0.5</v>
      </c>
      <c r="Z126" t="s">
        <v>7</v>
      </c>
      <c r="AA126" s="1">
        <v>0.28456219999999999</v>
      </c>
      <c r="AB126" t="s">
        <v>8</v>
      </c>
      <c r="AC126" s="1">
        <v>0</v>
      </c>
      <c r="AD126" s="1">
        <v>0.204492633382483</v>
      </c>
    </row>
    <row r="127" spans="20:30">
      <c r="T127" t="s">
        <v>4</v>
      </c>
      <c r="U127">
        <v>0</v>
      </c>
      <c r="V127" t="s">
        <v>5</v>
      </c>
      <c r="W127">
        <v>124</v>
      </c>
      <c r="X127" t="s">
        <v>6</v>
      </c>
      <c r="Y127" s="1">
        <v>0.5</v>
      </c>
      <c r="Z127" t="s">
        <v>7</v>
      </c>
      <c r="AA127" s="1">
        <v>0.28686640000000002</v>
      </c>
      <c r="AB127" t="s">
        <v>8</v>
      </c>
      <c r="AC127" s="1">
        <v>0</v>
      </c>
      <c r="AD127" s="1">
        <v>0.204545427546761</v>
      </c>
    </row>
    <row r="128" spans="20:30">
      <c r="T128" t="s">
        <v>4</v>
      </c>
      <c r="U128">
        <v>0</v>
      </c>
      <c r="V128" t="s">
        <v>5</v>
      </c>
      <c r="W128">
        <v>125</v>
      </c>
      <c r="X128" t="s">
        <v>6</v>
      </c>
      <c r="Y128" s="1">
        <v>0.5</v>
      </c>
      <c r="Z128" t="s">
        <v>7</v>
      </c>
      <c r="AA128" s="1">
        <v>0.2891705</v>
      </c>
      <c r="AB128" t="s">
        <v>8</v>
      </c>
      <c r="AC128" s="1">
        <v>0</v>
      </c>
      <c r="AD128" s="1">
        <v>0.204597911292487</v>
      </c>
    </row>
    <row r="129" spans="20:30">
      <c r="T129" t="s">
        <v>4</v>
      </c>
      <c r="U129">
        <v>0</v>
      </c>
      <c r="V129" t="s">
        <v>5</v>
      </c>
      <c r="W129">
        <v>126</v>
      </c>
      <c r="X129" t="s">
        <v>6</v>
      </c>
      <c r="Y129" s="1">
        <v>0.5</v>
      </c>
      <c r="Z129" t="s">
        <v>7</v>
      </c>
      <c r="AA129" s="1">
        <v>0.29147469999999998</v>
      </c>
      <c r="AB129" t="s">
        <v>8</v>
      </c>
      <c r="AC129" s="1">
        <v>0</v>
      </c>
      <c r="AD129" s="1">
        <v>0.20465120164504699</v>
      </c>
    </row>
    <row r="130" spans="20:30">
      <c r="T130" t="s">
        <v>4</v>
      </c>
      <c r="U130">
        <v>0</v>
      </c>
      <c r="V130" t="s">
        <v>5</v>
      </c>
      <c r="W130">
        <v>127</v>
      </c>
      <c r="X130" t="s">
        <v>6</v>
      </c>
      <c r="Y130" s="1">
        <v>0.5</v>
      </c>
      <c r="Z130" t="s">
        <v>7</v>
      </c>
      <c r="AA130" s="1">
        <v>0.29377880000000001</v>
      </c>
      <c r="AB130" t="s">
        <v>8</v>
      </c>
      <c r="AC130" s="1">
        <v>0</v>
      </c>
      <c r="AD130" s="1">
        <v>0.204705253588396</v>
      </c>
    </row>
    <row r="131" spans="20:30">
      <c r="T131" t="s">
        <v>4</v>
      </c>
      <c r="U131">
        <v>0</v>
      </c>
      <c r="V131" t="s">
        <v>5</v>
      </c>
      <c r="W131">
        <v>128</v>
      </c>
      <c r="X131" t="s">
        <v>6</v>
      </c>
      <c r="Y131" s="1">
        <v>0.5</v>
      </c>
      <c r="Z131" t="s">
        <v>7</v>
      </c>
      <c r="AA131" s="1">
        <v>0.29608289999999998</v>
      </c>
      <c r="AB131" t="s">
        <v>8</v>
      </c>
      <c r="AC131" s="1">
        <v>0</v>
      </c>
      <c r="AD131" s="1">
        <v>0.20475888443026999</v>
      </c>
    </row>
    <row r="132" spans="20:30">
      <c r="T132" t="s">
        <v>4</v>
      </c>
      <c r="U132">
        <v>0</v>
      </c>
      <c r="V132" t="s">
        <v>5</v>
      </c>
      <c r="W132">
        <v>129</v>
      </c>
      <c r="X132" t="s">
        <v>6</v>
      </c>
      <c r="Y132" s="1">
        <v>0.5</v>
      </c>
      <c r="Z132" t="s">
        <v>7</v>
      </c>
      <c r="AA132" s="1">
        <v>0.29838710000000002</v>
      </c>
      <c r="AB132" t="s">
        <v>8</v>
      </c>
      <c r="AC132" s="1">
        <v>0</v>
      </c>
      <c r="AD132" s="1">
        <v>0.20481205823607801</v>
      </c>
    </row>
    <row r="133" spans="20:30">
      <c r="T133" t="s">
        <v>4</v>
      </c>
      <c r="U133">
        <v>0</v>
      </c>
      <c r="V133" t="s">
        <v>5</v>
      </c>
      <c r="W133">
        <v>130</v>
      </c>
      <c r="X133" t="s">
        <v>6</v>
      </c>
      <c r="Y133" s="1">
        <v>0.5</v>
      </c>
      <c r="Z133" t="s">
        <v>7</v>
      </c>
      <c r="AA133" s="1">
        <v>0.30069119999999999</v>
      </c>
      <c r="AB133" t="s">
        <v>8</v>
      </c>
      <c r="AC133" s="1">
        <v>0</v>
      </c>
      <c r="AD133" s="1">
        <v>0.20486473919971801</v>
      </c>
    </row>
    <row r="134" spans="20:30">
      <c r="T134" t="s">
        <v>4</v>
      </c>
      <c r="U134">
        <v>0</v>
      </c>
      <c r="V134" t="s">
        <v>5</v>
      </c>
      <c r="W134">
        <v>131</v>
      </c>
      <c r="X134" t="s">
        <v>6</v>
      </c>
      <c r="Y134" s="1">
        <v>0.5</v>
      </c>
      <c r="Z134" t="s">
        <v>7</v>
      </c>
      <c r="AA134" s="1">
        <v>0.30299540000000003</v>
      </c>
      <c r="AB134" t="s">
        <v>8</v>
      </c>
      <c r="AC134" s="1">
        <v>0</v>
      </c>
      <c r="AD134" s="1">
        <v>0.204916891644607</v>
      </c>
    </row>
    <row r="135" spans="20:30">
      <c r="T135" t="s">
        <v>4</v>
      </c>
      <c r="U135">
        <v>0</v>
      </c>
      <c r="V135" t="s">
        <v>5</v>
      </c>
      <c r="W135">
        <v>132</v>
      </c>
      <c r="X135" t="s">
        <v>6</v>
      </c>
      <c r="Y135" s="1">
        <v>0.5</v>
      </c>
      <c r="Z135" t="s">
        <v>7</v>
      </c>
      <c r="AA135" s="1">
        <v>0.3052995</v>
      </c>
      <c r="AB135" t="s">
        <v>8</v>
      </c>
      <c r="AC135" s="1">
        <v>0</v>
      </c>
      <c r="AD135" s="1">
        <v>0.20496848002491599</v>
      </c>
    </row>
    <row r="136" spans="20:30">
      <c r="T136" t="s">
        <v>4</v>
      </c>
      <c r="U136">
        <v>0</v>
      </c>
      <c r="V136" t="s">
        <v>5</v>
      </c>
      <c r="W136">
        <v>133</v>
      </c>
      <c r="X136" t="s">
        <v>6</v>
      </c>
      <c r="Y136" s="1">
        <v>0.5</v>
      </c>
      <c r="Z136" t="s">
        <v>7</v>
      </c>
      <c r="AA136" s="1">
        <v>0.30760369999999998</v>
      </c>
      <c r="AB136" t="s">
        <v>8</v>
      </c>
      <c r="AC136" s="1">
        <v>0</v>
      </c>
      <c r="AD136" s="1">
        <v>0.20502081347723999</v>
      </c>
    </row>
    <row r="137" spans="20:30">
      <c r="T137" t="s">
        <v>4</v>
      </c>
      <c r="U137">
        <v>0</v>
      </c>
      <c r="V137" t="s">
        <v>5</v>
      </c>
      <c r="W137">
        <v>134</v>
      </c>
      <c r="X137" t="s">
        <v>6</v>
      </c>
      <c r="Y137" s="1">
        <v>0.5</v>
      </c>
      <c r="Z137" t="s">
        <v>7</v>
      </c>
      <c r="AA137" s="1">
        <v>0.30990780000000001</v>
      </c>
      <c r="AB137" t="s">
        <v>8</v>
      </c>
      <c r="AC137" s="1">
        <v>0</v>
      </c>
      <c r="AD137" s="1">
        <v>0.20507382736780799</v>
      </c>
    </row>
    <row r="138" spans="20:30">
      <c r="T138" t="s">
        <v>4</v>
      </c>
      <c r="U138">
        <v>0</v>
      </c>
      <c r="V138" t="s">
        <v>5</v>
      </c>
      <c r="W138">
        <v>135</v>
      </c>
      <c r="X138" t="s">
        <v>6</v>
      </c>
      <c r="Y138" s="1">
        <v>0.5</v>
      </c>
      <c r="Z138" t="s">
        <v>7</v>
      </c>
      <c r="AA138" s="1">
        <v>0.31221199999999999</v>
      </c>
      <c r="AB138" t="s">
        <v>8</v>
      </c>
      <c r="AC138" s="1">
        <v>0</v>
      </c>
      <c r="AD138" s="1">
        <v>0.20512612384762199</v>
      </c>
    </row>
    <row r="139" spans="20:30">
      <c r="T139" t="s">
        <v>4</v>
      </c>
      <c r="U139">
        <v>0</v>
      </c>
      <c r="V139" t="s">
        <v>5</v>
      </c>
      <c r="W139">
        <v>136</v>
      </c>
      <c r="X139" t="s">
        <v>6</v>
      </c>
      <c r="Y139" s="1">
        <v>0.5</v>
      </c>
      <c r="Z139" t="s">
        <v>7</v>
      </c>
      <c r="AA139" s="1">
        <v>0.31451610000000002</v>
      </c>
      <c r="AB139" t="s">
        <v>8</v>
      </c>
      <c r="AC139" s="1">
        <v>0</v>
      </c>
      <c r="AD139" s="1">
        <v>0.205177660291497</v>
      </c>
    </row>
    <row r="140" spans="20:30">
      <c r="T140" t="s">
        <v>4</v>
      </c>
      <c r="U140">
        <v>0</v>
      </c>
      <c r="V140" t="s">
        <v>5</v>
      </c>
      <c r="W140">
        <v>137</v>
      </c>
      <c r="X140" t="s">
        <v>6</v>
      </c>
      <c r="Y140" s="1">
        <v>0.5</v>
      </c>
      <c r="Z140" t="s">
        <v>7</v>
      </c>
      <c r="AA140" s="1">
        <v>0.3168203</v>
      </c>
      <c r="AB140" t="s">
        <v>8</v>
      </c>
      <c r="AC140" s="1">
        <v>0</v>
      </c>
      <c r="AD140" s="1">
        <v>0.20522839423918601</v>
      </c>
    </row>
    <row r="141" spans="20:30">
      <c r="T141" t="s">
        <v>4</v>
      </c>
      <c r="U141">
        <v>0</v>
      </c>
      <c r="V141" t="s">
        <v>5</v>
      </c>
      <c r="W141">
        <v>138</v>
      </c>
      <c r="X141" t="s">
        <v>6</v>
      </c>
      <c r="Y141" s="1">
        <v>0.5</v>
      </c>
      <c r="Z141" t="s">
        <v>7</v>
      </c>
      <c r="AA141" s="1">
        <v>0.31912439999999997</v>
      </c>
      <c r="AB141" t="s">
        <v>8</v>
      </c>
      <c r="AC141" s="1">
        <v>0</v>
      </c>
      <c r="AD141" s="1">
        <v>0.20527828339812701</v>
      </c>
    </row>
    <row r="142" spans="20:30">
      <c r="T142" t="s">
        <v>4</v>
      </c>
      <c r="U142">
        <v>0</v>
      </c>
      <c r="V142" t="s">
        <v>5</v>
      </c>
      <c r="W142">
        <v>139</v>
      </c>
      <c r="X142" t="s">
        <v>6</v>
      </c>
      <c r="Y142" s="1">
        <v>0.5</v>
      </c>
      <c r="Z142" t="s">
        <v>7</v>
      </c>
      <c r="AA142" s="1">
        <v>0.32142860000000001</v>
      </c>
      <c r="AB142" t="s">
        <v>8</v>
      </c>
      <c r="AC142" s="1">
        <v>0</v>
      </c>
      <c r="AD142" s="1">
        <v>0.20532728564489799</v>
      </c>
    </row>
    <row r="143" spans="20:30">
      <c r="T143" t="s">
        <v>4</v>
      </c>
      <c r="U143">
        <v>0</v>
      </c>
      <c r="V143" t="s">
        <v>5</v>
      </c>
      <c r="W143">
        <v>140</v>
      </c>
      <c r="X143" t="s">
        <v>6</v>
      </c>
      <c r="Y143" s="1">
        <v>0.5</v>
      </c>
      <c r="Z143" t="s">
        <v>7</v>
      </c>
      <c r="AA143" s="1">
        <v>0.32373269999999998</v>
      </c>
      <c r="AB143" t="s">
        <v>8</v>
      </c>
      <c r="AC143" s="1">
        <v>0</v>
      </c>
      <c r="AD143" s="1">
        <v>0.20537709853514499</v>
      </c>
    </row>
    <row r="144" spans="20:30">
      <c r="T144" t="s">
        <v>4</v>
      </c>
      <c r="U144">
        <v>0</v>
      </c>
      <c r="V144" t="s">
        <v>5</v>
      </c>
      <c r="W144">
        <v>141</v>
      </c>
      <c r="X144" t="s">
        <v>6</v>
      </c>
      <c r="Y144" s="1">
        <v>0.5</v>
      </c>
      <c r="Z144" t="s">
        <v>7</v>
      </c>
      <c r="AA144" s="1">
        <v>0.32603690000000002</v>
      </c>
      <c r="AB144" t="s">
        <v>8</v>
      </c>
      <c r="AC144" s="1">
        <v>0</v>
      </c>
      <c r="AD144" s="1">
        <v>0.20542765301729601</v>
      </c>
    </row>
    <row r="145" spans="20:30">
      <c r="T145" t="s">
        <v>4</v>
      </c>
      <c r="U145">
        <v>0</v>
      </c>
      <c r="V145" t="s">
        <v>5</v>
      </c>
      <c r="W145">
        <v>142</v>
      </c>
      <c r="X145" t="s">
        <v>6</v>
      </c>
      <c r="Y145" s="1">
        <v>0.5</v>
      </c>
      <c r="Z145" t="s">
        <v>7</v>
      </c>
      <c r="AA145" s="1">
        <v>0.32834099999999999</v>
      </c>
      <c r="AB145" t="s">
        <v>8</v>
      </c>
      <c r="AC145" s="1">
        <v>0</v>
      </c>
      <c r="AD145" s="1">
        <v>0.20547713468947101</v>
      </c>
    </row>
    <row r="146" spans="20:30">
      <c r="T146" t="s">
        <v>4</v>
      </c>
      <c r="U146">
        <v>0</v>
      </c>
      <c r="V146" t="s">
        <v>5</v>
      </c>
      <c r="W146">
        <v>143</v>
      </c>
      <c r="X146" t="s">
        <v>6</v>
      </c>
      <c r="Y146" s="1">
        <v>0.5</v>
      </c>
      <c r="Z146" t="s">
        <v>7</v>
      </c>
      <c r="AA146" s="1">
        <v>0.33064519999999997</v>
      </c>
      <c r="AB146" t="s">
        <v>8</v>
      </c>
      <c r="AC146" s="1">
        <v>0</v>
      </c>
      <c r="AD146" s="1">
        <v>0.20552547436628199</v>
      </c>
    </row>
    <row r="147" spans="20:30">
      <c r="T147" t="s">
        <v>4</v>
      </c>
      <c r="U147">
        <v>0</v>
      </c>
      <c r="V147" t="s">
        <v>5</v>
      </c>
      <c r="W147">
        <v>144</v>
      </c>
      <c r="X147" t="s">
        <v>6</v>
      </c>
      <c r="Y147" s="1">
        <v>0.5</v>
      </c>
      <c r="Z147" t="s">
        <v>7</v>
      </c>
      <c r="AA147" s="1">
        <v>0.3329493</v>
      </c>
      <c r="AB147" t="s">
        <v>8</v>
      </c>
      <c r="AC147" s="1">
        <v>0</v>
      </c>
      <c r="AD147" s="1">
        <v>0.20557260306915401</v>
      </c>
    </row>
    <row r="148" spans="20:30">
      <c r="T148" t="s">
        <v>4</v>
      </c>
      <c r="U148">
        <v>0</v>
      </c>
      <c r="V148" t="s">
        <v>5</v>
      </c>
      <c r="W148">
        <v>145</v>
      </c>
      <c r="X148" t="s">
        <v>6</v>
      </c>
      <c r="Y148" s="1">
        <v>0.5</v>
      </c>
      <c r="Z148" t="s">
        <v>7</v>
      </c>
      <c r="AA148" s="1">
        <v>0.33525349999999998</v>
      </c>
      <c r="AB148" t="s">
        <v>8</v>
      </c>
      <c r="AC148" s="1">
        <v>0</v>
      </c>
      <c r="AD148" s="1">
        <v>0.20561845203215301</v>
      </c>
    </row>
    <row r="149" spans="20:30">
      <c r="T149" t="s">
        <v>4</v>
      </c>
      <c r="U149">
        <v>0</v>
      </c>
      <c r="V149" t="s">
        <v>5</v>
      </c>
      <c r="W149">
        <v>146</v>
      </c>
      <c r="X149" t="s">
        <v>6</v>
      </c>
      <c r="Y149" s="1">
        <v>0.5</v>
      </c>
      <c r="Z149" t="s">
        <v>7</v>
      </c>
      <c r="AA149" s="1">
        <v>0.33755760000000001</v>
      </c>
      <c r="AB149" t="s">
        <v>8</v>
      </c>
      <c r="AC149" s="1">
        <v>0</v>
      </c>
      <c r="AD149" s="1">
        <v>0.20566295270662599</v>
      </c>
    </row>
    <row r="150" spans="20:30">
      <c r="T150" t="s">
        <v>4</v>
      </c>
      <c r="U150">
        <v>0</v>
      </c>
      <c r="V150" t="s">
        <v>5</v>
      </c>
      <c r="W150">
        <v>147</v>
      </c>
      <c r="X150" t="s">
        <v>6</v>
      </c>
      <c r="Y150" s="1">
        <v>0.5</v>
      </c>
      <c r="Z150" t="s">
        <v>7</v>
      </c>
      <c r="AA150" s="1">
        <v>0.33986179999999999</v>
      </c>
      <c r="AB150" t="s">
        <v>8</v>
      </c>
      <c r="AC150" s="1">
        <v>0</v>
      </c>
      <c r="AD150" s="1">
        <v>0.205707784367161</v>
      </c>
    </row>
    <row r="151" spans="20:30">
      <c r="T151" t="s">
        <v>4</v>
      </c>
      <c r="U151">
        <v>0</v>
      </c>
      <c r="V151" t="s">
        <v>5</v>
      </c>
      <c r="W151">
        <v>148</v>
      </c>
      <c r="X151" t="s">
        <v>6</v>
      </c>
      <c r="Y151" s="1">
        <v>0.5</v>
      </c>
      <c r="Z151" t="s">
        <v>7</v>
      </c>
      <c r="AA151" s="1">
        <v>0.34216590000000002</v>
      </c>
      <c r="AB151" t="s">
        <v>8</v>
      </c>
      <c r="AC151" s="1">
        <v>0</v>
      </c>
      <c r="AD151" s="1">
        <v>0.205752812991809</v>
      </c>
    </row>
    <row r="152" spans="20:30">
      <c r="T152" t="s">
        <v>4</v>
      </c>
      <c r="U152">
        <v>0</v>
      </c>
      <c r="V152" t="s">
        <v>5</v>
      </c>
      <c r="W152">
        <v>149</v>
      </c>
      <c r="X152" t="s">
        <v>6</v>
      </c>
      <c r="Y152" s="1">
        <v>0.5</v>
      </c>
      <c r="Z152" t="s">
        <v>7</v>
      </c>
      <c r="AA152" s="1">
        <v>0.34447</v>
      </c>
      <c r="AB152" t="s">
        <v>8</v>
      </c>
      <c r="AC152" s="1">
        <v>0</v>
      </c>
      <c r="AD152" s="1">
        <v>0.205796191254811</v>
      </c>
    </row>
    <row r="153" spans="20:30">
      <c r="T153" t="s">
        <v>4</v>
      </c>
      <c r="U153">
        <v>0</v>
      </c>
      <c r="V153" t="s">
        <v>5</v>
      </c>
      <c r="W153">
        <v>150</v>
      </c>
      <c r="X153" t="s">
        <v>6</v>
      </c>
      <c r="Y153" s="1">
        <v>0.5</v>
      </c>
      <c r="Z153" t="s">
        <v>7</v>
      </c>
      <c r="AA153" s="1">
        <v>0.34677419999999998</v>
      </c>
      <c r="AB153" t="s">
        <v>8</v>
      </c>
      <c r="AC153" s="1">
        <v>0</v>
      </c>
      <c r="AD153" s="1">
        <v>0.205837845664432</v>
      </c>
    </row>
    <row r="154" spans="20:30">
      <c r="T154" t="s">
        <v>4</v>
      </c>
      <c r="U154">
        <v>0</v>
      </c>
      <c r="V154" t="s">
        <v>5</v>
      </c>
      <c r="W154">
        <v>151</v>
      </c>
      <c r="X154" t="s">
        <v>6</v>
      </c>
      <c r="Y154" s="1">
        <v>0.5</v>
      </c>
      <c r="Z154" t="s">
        <v>7</v>
      </c>
      <c r="AA154" s="1">
        <v>0.34907830000000001</v>
      </c>
      <c r="AB154" t="s">
        <v>8</v>
      </c>
      <c r="AC154" s="1">
        <v>0</v>
      </c>
      <c r="AD154" s="1">
        <v>0.20587770306522199</v>
      </c>
    </row>
    <row r="155" spans="20:30">
      <c r="T155" t="s">
        <v>4</v>
      </c>
      <c r="U155">
        <v>0</v>
      </c>
      <c r="V155" t="s">
        <v>5</v>
      </c>
      <c r="W155">
        <v>152</v>
      </c>
      <c r="X155" t="s">
        <v>6</v>
      </c>
      <c r="Y155" s="1">
        <v>0.5</v>
      </c>
      <c r="Z155" t="s">
        <v>7</v>
      </c>
      <c r="AA155" s="1">
        <v>0.35138249999999999</v>
      </c>
      <c r="AB155" t="s">
        <v>8</v>
      </c>
      <c r="AC155" s="1">
        <v>0</v>
      </c>
      <c r="AD155" s="1">
        <v>0.205915690651058</v>
      </c>
    </row>
    <row r="156" spans="20:30">
      <c r="T156" t="s">
        <v>4</v>
      </c>
      <c r="U156">
        <v>0</v>
      </c>
      <c r="V156" t="s">
        <v>5</v>
      </c>
      <c r="W156">
        <v>153</v>
      </c>
      <c r="X156" t="s">
        <v>6</v>
      </c>
      <c r="Y156" s="1">
        <v>0.5</v>
      </c>
      <c r="Z156" t="s">
        <v>7</v>
      </c>
      <c r="AA156" s="1">
        <v>0.35368660000000002</v>
      </c>
      <c r="AB156" t="s">
        <v>8</v>
      </c>
      <c r="AC156" s="1">
        <v>0</v>
      </c>
      <c r="AD156" s="1">
        <v>0.20595173597817801</v>
      </c>
    </row>
    <row r="157" spans="20:30">
      <c r="T157" t="s">
        <v>4</v>
      </c>
      <c r="U157">
        <v>0</v>
      </c>
      <c r="V157" t="s">
        <v>5</v>
      </c>
      <c r="W157">
        <v>154</v>
      </c>
      <c r="X157" t="s">
        <v>6</v>
      </c>
      <c r="Y157" s="1">
        <v>0.5</v>
      </c>
      <c r="Z157" t="s">
        <v>7</v>
      </c>
      <c r="AA157" s="1">
        <v>0.3559908</v>
      </c>
      <c r="AB157" t="s">
        <v>8</v>
      </c>
      <c r="AC157" s="1">
        <v>0</v>
      </c>
      <c r="AD157" s="1">
        <v>0.20598882056562301</v>
      </c>
    </row>
    <row r="158" spans="20:30">
      <c r="T158" t="s">
        <v>4</v>
      </c>
      <c r="U158">
        <v>0</v>
      </c>
      <c r="V158" t="s">
        <v>5</v>
      </c>
      <c r="W158">
        <v>155</v>
      </c>
      <c r="X158" t="s">
        <v>6</v>
      </c>
      <c r="Y158" s="1">
        <v>0.5</v>
      </c>
      <c r="Z158" t="s">
        <v>7</v>
      </c>
      <c r="AA158" s="1">
        <v>0.35829490000000003</v>
      </c>
      <c r="AB158" t="s">
        <v>8</v>
      </c>
      <c r="AC158" s="1">
        <v>0</v>
      </c>
      <c r="AD158" s="1">
        <v>0.20602679972424701</v>
      </c>
    </row>
    <row r="159" spans="20:30">
      <c r="T159" t="s">
        <v>4</v>
      </c>
      <c r="U159">
        <v>0</v>
      </c>
      <c r="V159" t="s">
        <v>5</v>
      </c>
      <c r="W159">
        <v>156</v>
      </c>
      <c r="X159" t="s">
        <v>6</v>
      </c>
      <c r="Y159" s="1">
        <v>0.5</v>
      </c>
      <c r="Z159" t="s">
        <v>7</v>
      </c>
      <c r="AA159" s="1">
        <v>0.36059910000000001</v>
      </c>
      <c r="AB159" t="s">
        <v>8</v>
      </c>
      <c r="AC159" s="1">
        <v>0</v>
      </c>
      <c r="AD159" s="1">
        <v>0.20606245804093801</v>
      </c>
    </row>
    <row r="160" spans="20:30">
      <c r="T160" t="s">
        <v>4</v>
      </c>
      <c r="U160">
        <v>0</v>
      </c>
      <c r="V160" t="s">
        <v>5</v>
      </c>
      <c r="W160">
        <v>157</v>
      </c>
      <c r="X160" t="s">
        <v>6</v>
      </c>
      <c r="Y160" s="1">
        <v>0.5</v>
      </c>
      <c r="Z160" t="s">
        <v>7</v>
      </c>
      <c r="AA160" s="1">
        <v>0.36290319999999998</v>
      </c>
      <c r="AB160" t="s">
        <v>8</v>
      </c>
      <c r="AC160" s="1">
        <v>0</v>
      </c>
      <c r="AD160" s="1">
        <v>0.20609564842264</v>
      </c>
    </row>
    <row r="161" spans="20:30">
      <c r="T161" t="s">
        <v>4</v>
      </c>
      <c r="U161">
        <v>0</v>
      </c>
      <c r="V161" t="s">
        <v>5</v>
      </c>
      <c r="W161">
        <v>158</v>
      </c>
      <c r="X161" t="s">
        <v>6</v>
      </c>
      <c r="Y161" s="1">
        <v>0.5</v>
      </c>
      <c r="Z161" t="s">
        <v>7</v>
      </c>
      <c r="AA161" s="1">
        <v>0.36520740000000002</v>
      </c>
      <c r="AB161" t="s">
        <v>8</v>
      </c>
      <c r="AC161" s="1">
        <v>0</v>
      </c>
      <c r="AD161" s="1">
        <v>0.206126224143626</v>
      </c>
    </row>
    <row r="162" spans="20:30">
      <c r="T162" t="s">
        <v>4</v>
      </c>
      <c r="U162">
        <v>0</v>
      </c>
      <c r="V162" t="s">
        <v>5</v>
      </c>
      <c r="W162">
        <v>159</v>
      </c>
      <c r="X162" t="s">
        <v>6</v>
      </c>
      <c r="Y162" s="1">
        <v>0.5</v>
      </c>
      <c r="Z162" t="s">
        <v>7</v>
      </c>
      <c r="AA162" s="1">
        <v>0.36751149999999999</v>
      </c>
      <c r="AB162" t="s">
        <v>8</v>
      </c>
      <c r="AC162" s="1">
        <v>0</v>
      </c>
      <c r="AD162" s="1">
        <v>0.206154038877014</v>
      </c>
    </row>
    <row r="163" spans="20:30">
      <c r="T163" t="s">
        <v>4</v>
      </c>
      <c r="U163">
        <v>0</v>
      </c>
      <c r="V163" t="s">
        <v>5</v>
      </c>
      <c r="W163">
        <v>160</v>
      </c>
      <c r="X163" t="s">
        <v>6</v>
      </c>
      <c r="Y163" s="1">
        <v>0.5</v>
      </c>
      <c r="Z163" t="s">
        <v>7</v>
      </c>
      <c r="AA163" s="1">
        <v>0.36981570000000002</v>
      </c>
      <c r="AB163" t="s">
        <v>8</v>
      </c>
      <c r="AC163" s="1">
        <v>0</v>
      </c>
      <c r="AD163" s="1">
        <v>0.206178946726432</v>
      </c>
    </row>
    <row r="164" spans="20:30">
      <c r="T164" t="s">
        <v>4</v>
      </c>
      <c r="U164">
        <v>0</v>
      </c>
      <c r="V164" t="s">
        <v>5</v>
      </c>
      <c r="W164">
        <v>161</v>
      </c>
      <c r="X164" t="s">
        <v>6</v>
      </c>
      <c r="Y164" s="1">
        <v>0.5</v>
      </c>
      <c r="Z164" t="s">
        <v>7</v>
      </c>
      <c r="AA164" s="1">
        <v>0.3721198</v>
      </c>
      <c r="AB164" t="s">
        <v>8</v>
      </c>
      <c r="AC164" s="1">
        <v>0</v>
      </c>
      <c r="AD164" s="1">
        <v>0.20620234109118499</v>
      </c>
    </row>
    <row r="165" spans="20:30">
      <c r="T165" t="s">
        <v>4</v>
      </c>
      <c r="U165">
        <v>0</v>
      </c>
      <c r="V165" t="s">
        <v>5</v>
      </c>
      <c r="W165">
        <v>162</v>
      </c>
      <c r="X165" t="s">
        <v>6</v>
      </c>
      <c r="Y165" s="1">
        <v>0.5</v>
      </c>
      <c r="Z165" t="s">
        <v>7</v>
      </c>
      <c r="AA165" s="1">
        <v>0.37442399999999998</v>
      </c>
      <c r="AB165" t="s">
        <v>8</v>
      </c>
      <c r="AC165" s="1">
        <v>0</v>
      </c>
      <c r="AD165" s="1">
        <v>0.206223975699828</v>
      </c>
    </row>
    <row r="166" spans="20:30">
      <c r="T166" t="s">
        <v>4</v>
      </c>
      <c r="U166">
        <v>0</v>
      </c>
      <c r="V166" t="s">
        <v>5</v>
      </c>
      <c r="W166">
        <v>163</v>
      </c>
      <c r="X166" t="s">
        <v>6</v>
      </c>
      <c r="Y166" s="1">
        <v>0.5</v>
      </c>
      <c r="Z166" t="s">
        <v>7</v>
      </c>
      <c r="AA166" s="1">
        <v>0.37672810000000001</v>
      </c>
      <c r="AB166" t="s">
        <v>8</v>
      </c>
      <c r="AC166" s="1">
        <v>0</v>
      </c>
      <c r="AD166" s="1">
        <v>0.206242155382063</v>
      </c>
    </row>
    <row r="167" spans="20:30">
      <c r="T167" t="s">
        <v>4</v>
      </c>
      <c r="U167">
        <v>0</v>
      </c>
      <c r="V167" t="s">
        <v>5</v>
      </c>
      <c r="W167">
        <v>164</v>
      </c>
      <c r="X167" t="s">
        <v>6</v>
      </c>
      <c r="Y167" s="1">
        <v>0.5</v>
      </c>
      <c r="Z167" t="s">
        <v>7</v>
      </c>
      <c r="AA167" s="1">
        <v>0.37903229999999999</v>
      </c>
      <c r="AB167" t="s">
        <v>8</v>
      </c>
      <c r="AC167" s="1">
        <v>0</v>
      </c>
      <c r="AD167" s="1">
        <v>0.20625677410472701</v>
      </c>
    </row>
    <row r="168" spans="20:30">
      <c r="T168" t="s">
        <v>4</v>
      </c>
      <c r="U168">
        <v>0</v>
      </c>
      <c r="V168" t="s">
        <v>5</v>
      </c>
      <c r="W168">
        <v>165</v>
      </c>
      <c r="X168" t="s">
        <v>6</v>
      </c>
      <c r="Y168" s="1">
        <v>0.5</v>
      </c>
      <c r="Z168" t="s">
        <v>7</v>
      </c>
      <c r="AA168" s="1">
        <v>0.38133640000000002</v>
      </c>
      <c r="AB168" t="s">
        <v>8</v>
      </c>
      <c r="AC168" s="1">
        <v>0</v>
      </c>
      <c r="AD168" s="1">
        <v>0.20626772683382</v>
      </c>
    </row>
    <row r="169" spans="20:30">
      <c r="T169" t="s">
        <v>4</v>
      </c>
      <c r="U169">
        <v>0</v>
      </c>
      <c r="V169" t="s">
        <v>5</v>
      </c>
      <c r="W169">
        <v>166</v>
      </c>
      <c r="X169" t="s">
        <v>6</v>
      </c>
      <c r="Y169" s="1">
        <v>0.5</v>
      </c>
      <c r="Z169" t="s">
        <v>7</v>
      </c>
      <c r="AA169" s="1">
        <v>0.3836406</v>
      </c>
      <c r="AB169" t="s">
        <v>8</v>
      </c>
      <c r="AC169" s="1">
        <v>0</v>
      </c>
      <c r="AD169" s="1">
        <v>0.206274909640035</v>
      </c>
    </row>
    <row r="170" spans="20:30">
      <c r="T170" t="s">
        <v>4</v>
      </c>
      <c r="U170">
        <v>0</v>
      </c>
      <c r="V170" t="s">
        <v>5</v>
      </c>
      <c r="W170">
        <v>167</v>
      </c>
      <c r="X170" t="s">
        <v>6</v>
      </c>
      <c r="Y170" s="1">
        <v>0.5</v>
      </c>
      <c r="Z170" t="s">
        <v>7</v>
      </c>
      <c r="AA170" s="1">
        <v>0.38594469999999997</v>
      </c>
      <c r="AB170" t="s">
        <v>8</v>
      </c>
      <c r="AC170" s="1">
        <v>0</v>
      </c>
      <c r="AD170" s="1">
        <v>0.206278219812012</v>
      </c>
    </row>
    <row r="171" spans="20:30">
      <c r="T171" t="s">
        <v>4</v>
      </c>
      <c r="U171">
        <v>0</v>
      </c>
      <c r="V171" t="s">
        <v>5</v>
      </c>
      <c r="W171">
        <v>168</v>
      </c>
      <c r="X171" t="s">
        <v>6</v>
      </c>
      <c r="Y171" s="1">
        <v>0.5</v>
      </c>
      <c r="Z171" t="s">
        <v>7</v>
      </c>
      <c r="AA171" s="1">
        <v>0.38824880000000001</v>
      </c>
      <c r="AB171" t="s">
        <v>8</v>
      </c>
      <c r="AC171" s="1">
        <v>0</v>
      </c>
      <c r="AD171" s="1">
        <v>0.20628385774775199</v>
      </c>
    </row>
    <row r="172" spans="20:30">
      <c r="T172" t="s">
        <v>4</v>
      </c>
      <c r="U172">
        <v>0</v>
      </c>
      <c r="V172" t="s">
        <v>5</v>
      </c>
      <c r="W172">
        <v>169</v>
      </c>
      <c r="X172" t="s">
        <v>6</v>
      </c>
      <c r="Y172" s="1">
        <v>0.5</v>
      </c>
      <c r="Z172" t="s">
        <v>7</v>
      </c>
      <c r="AA172" s="1">
        <v>0.39055299999999998</v>
      </c>
      <c r="AB172" t="s">
        <v>8</v>
      </c>
      <c r="AC172" s="1">
        <v>0</v>
      </c>
      <c r="AD172" s="1">
        <v>0.206291250739292</v>
      </c>
    </row>
    <row r="173" spans="20:30">
      <c r="T173" t="s">
        <v>4</v>
      </c>
      <c r="U173">
        <v>0</v>
      </c>
      <c r="V173" t="s">
        <v>5</v>
      </c>
      <c r="W173">
        <v>170</v>
      </c>
      <c r="X173" t="s">
        <v>6</v>
      </c>
      <c r="Y173" s="1">
        <v>0.5</v>
      </c>
      <c r="Z173" t="s">
        <v>7</v>
      </c>
      <c r="AA173" s="1">
        <v>0.39285710000000001</v>
      </c>
      <c r="AB173" t="s">
        <v>8</v>
      </c>
      <c r="AC173" s="1">
        <v>0</v>
      </c>
      <c r="AD173" s="1">
        <v>0.206293564948974</v>
      </c>
    </row>
    <row r="174" spans="20:30">
      <c r="T174" t="s">
        <v>4</v>
      </c>
      <c r="U174">
        <v>0</v>
      </c>
      <c r="V174" t="s">
        <v>5</v>
      </c>
      <c r="W174">
        <v>171</v>
      </c>
      <c r="X174" t="s">
        <v>6</v>
      </c>
      <c r="Y174" s="1">
        <v>0.5</v>
      </c>
      <c r="Z174" t="s">
        <v>7</v>
      </c>
      <c r="AA174" s="1">
        <v>0.39516129999999999</v>
      </c>
      <c r="AB174" t="s">
        <v>8</v>
      </c>
      <c r="AC174" s="1">
        <v>0</v>
      </c>
      <c r="AD174" s="1">
        <v>0.20629040159286899</v>
      </c>
    </row>
    <row r="175" spans="20:30">
      <c r="T175" t="s">
        <v>4</v>
      </c>
      <c r="U175">
        <v>0</v>
      </c>
      <c r="V175" t="s">
        <v>5</v>
      </c>
      <c r="W175">
        <v>172</v>
      </c>
      <c r="X175" t="s">
        <v>6</v>
      </c>
      <c r="Y175" s="1">
        <v>0.5</v>
      </c>
      <c r="Z175" t="s">
        <v>7</v>
      </c>
      <c r="AA175" s="1">
        <v>0.39746540000000002</v>
      </c>
      <c r="AB175" t="s">
        <v>8</v>
      </c>
      <c r="AC175" s="1">
        <v>0</v>
      </c>
      <c r="AD175" s="1">
        <v>0.20628136249139201</v>
      </c>
    </row>
    <row r="176" spans="20:30">
      <c r="T176" t="s">
        <v>4</v>
      </c>
      <c r="U176">
        <v>0</v>
      </c>
      <c r="V176" t="s">
        <v>5</v>
      </c>
      <c r="W176">
        <v>173</v>
      </c>
      <c r="X176" t="s">
        <v>6</v>
      </c>
      <c r="Y176" s="1">
        <v>0.5</v>
      </c>
      <c r="Z176" t="s">
        <v>7</v>
      </c>
      <c r="AA176" s="1">
        <v>0.3997696</v>
      </c>
      <c r="AB176" t="s">
        <v>8</v>
      </c>
      <c r="AC176" s="1">
        <v>0</v>
      </c>
      <c r="AD176" s="1">
        <v>0.20626605035370499</v>
      </c>
    </row>
    <row r="177" spans="20:30">
      <c r="T177" t="s">
        <v>4</v>
      </c>
      <c r="U177">
        <v>0</v>
      </c>
      <c r="V177" t="s">
        <v>5</v>
      </c>
      <c r="W177">
        <v>174</v>
      </c>
      <c r="X177" t="s">
        <v>6</v>
      </c>
      <c r="Y177" s="1">
        <v>0.5</v>
      </c>
      <c r="Z177" t="s">
        <v>7</v>
      </c>
      <c r="AA177" s="1">
        <v>0.40207369999999998</v>
      </c>
      <c r="AB177" t="s">
        <v>8</v>
      </c>
      <c r="AC177" s="1">
        <v>0</v>
      </c>
      <c r="AD177" s="1">
        <v>0.20624406909287199</v>
      </c>
    </row>
    <row r="178" spans="20:30">
      <c r="T178" t="s">
        <v>4</v>
      </c>
      <c r="U178">
        <v>0</v>
      </c>
      <c r="V178" t="s">
        <v>5</v>
      </c>
      <c r="W178">
        <v>175</v>
      </c>
      <c r="X178" t="s">
        <v>6</v>
      </c>
      <c r="Y178" s="1">
        <v>0.5</v>
      </c>
      <c r="Z178" t="s">
        <v>7</v>
      </c>
      <c r="AA178" s="1">
        <v>0.40437790000000001</v>
      </c>
      <c r="AB178" t="s">
        <v>8</v>
      </c>
      <c r="AC178" s="1">
        <v>0</v>
      </c>
      <c r="AD178" s="1">
        <v>0.206213562046481</v>
      </c>
    </row>
    <row r="179" spans="20:30">
      <c r="T179" t="s">
        <v>4</v>
      </c>
      <c r="U179">
        <v>0</v>
      </c>
      <c r="V179" t="s">
        <v>5</v>
      </c>
      <c r="W179">
        <v>176</v>
      </c>
      <c r="X179" t="s">
        <v>6</v>
      </c>
      <c r="Y179" s="1">
        <v>0.5</v>
      </c>
      <c r="Z179" t="s">
        <v>7</v>
      </c>
      <c r="AA179" s="1">
        <v>0.40668199999999999</v>
      </c>
      <c r="AB179" t="s">
        <v>8</v>
      </c>
      <c r="AC179" s="1">
        <v>0</v>
      </c>
      <c r="AD179" s="1">
        <v>0.206174397609972</v>
      </c>
    </row>
    <row r="180" spans="20:30">
      <c r="T180" t="s">
        <v>4</v>
      </c>
      <c r="U180">
        <v>0</v>
      </c>
      <c r="V180" t="s">
        <v>5</v>
      </c>
      <c r="W180">
        <v>177</v>
      </c>
      <c r="X180" t="s">
        <v>6</v>
      </c>
      <c r="Y180" s="1">
        <v>0.5</v>
      </c>
      <c r="Z180" t="s">
        <v>7</v>
      </c>
      <c r="AA180" s="1">
        <v>0.40898620000000002</v>
      </c>
      <c r="AB180" t="s">
        <v>8</v>
      </c>
      <c r="AC180" s="1">
        <v>0</v>
      </c>
      <c r="AD180" s="1">
        <v>0.206128049621251</v>
      </c>
    </row>
    <row r="181" spans="20:30">
      <c r="T181" t="s">
        <v>4</v>
      </c>
      <c r="U181">
        <v>0</v>
      </c>
      <c r="V181" t="s">
        <v>5</v>
      </c>
      <c r="W181">
        <v>178</v>
      </c>
      <c r="X181" t="s">
        <v>6</v>
      </c>
      <c r="Y181" s="1">
        <v>0.5</v>
      </c>
      <c r="Z181" t="s">
        <v>7</v>
      </c>
      <c r="AA181" s="1">
        <v>0.4112903</v>
      </c>
      <c r="AB181" t="s">
        <v>8</v>
      </c>
      <c r="AC181" s="1">
        <v>0</v>
      </c>
      <c r="AD181" s="1">
        <v>0.20607450176897399</v>
      </c>
    </row>
    <row r="182" spans="20:30">
      <c r="T182" t="s">
        <v>4</v>
      </c>
      <c r="U182">
        <v>0</v>
      </c>
      <c r="V182" t="s">
        <v>5</v>
      </c>
      <c r="W182">
        <v>179</v>
      </c>
      <c r="X182" t="s">
        <v>6</v>
      </c>
      <c r="Y182" s="1">
        <v>0.5</v>
      </c>
      <c r="Z182" t="s">
        <v>7</v>
      </c>
      <c r="AA182" s="1">
        <v>0.41359449999999998</v>
      </c>
      <c r="AB182" t="s">
        <v>8</v>
      </c>
      <c r="AC182" s="1">
        <v>0</v>
      </c>
      <c r="AD182" s="1">
        <v>0.206013741872863</v>
      </c>
    </row>
    <row r="183" spans="20:30">
      <c r="T183" t="s">
        <v>4</v>
      </c>
      <c r="U183">
        <v>0</v>
      </c>
      <c r="V183" t="s">
        <v>5</v>
      </c>
      <c r="W183">
        <v>180</v>
      </c>
      <c r="X183" t="s">
        <v>6</v>
      </c>
      <c r="Y183" s="1">
        <v>0.5</v>
      </c>
      <c r="Z183" t="s">
        <v>7</v>
      </c>
      <c r="AA183" s="1">
        <v>0.41589860000000001</v>
      </c>
      <c r="AB183" t="s">
        <v>8</v>
      </c>
      <c r="AC183" s="1">
        <v>0</v>
      </c>
      <c r="AD183" s="1">
        <v>0.20594576307412399</v>
      </c>
    </row>
    <row r="184" spans="20:30">
      <c r="T184" t="s">
        <v>4</v>
      </c>
      <c r="U184">
        <v>0</v>
      </c>
      <c r="V184" t="s">
        <v>5</v>
      </c>
      <c r="W184">
        <v>181</v>
      </c>
      <c r="X184" t="s">
        <v>6</v>
      </c>
      <c r="Y184" s="1">
        <v>0.5</v>
      </c>
      <c r="Z184" t="s">
        <v>7</v>
      </c>
      <c r="AA184" s="1">
        <v>0.41820279999999999</v>
      </c>
      <c r="AB184" t="s">
        <v>8</v>
      </c>
      <c r="AC184" s="1">
        <v>0</v>
      </c>
      <c r="AD184" s="1">
        <v>0.20587056517219099</v>
      </c>
    </row>
    <row r="185" spans="20:30">
      <c r="T185" t="s">
        <v>4</v>
      </c>
      <c r="U185">
        <v>0</v>
      </c>
      <c r="V185" t="s">
        <v>5</v>
      </c>
      <c r="W185">
        <v>182</v>
      </c>
      <c r="X185" t="s">
        <v>6</v>
      </c>
      <c r="Y185" s="1">
        <v>0.5</v>
      </c>
      <c r="Z185" t="s">
        <v>7</v>
      </c>
      <c r="AA185" s="1">
        <v>0.42050690000000002</v>
      </c>
      <c r="AB185" t="s">
        <v>8</v>
      </c>
      <c r="AC185" s="1">
        <v>0</v>
      </c>
      <c r="AD185" s="1">
        <v>0.20580134705731501</v>
      </c>
    </row>
    <row r="186" spans="20:30">
      <c r="T186" t="s">
        <v>4</v>
      </c>
      <c r="U186">
        <v>0</v>
      </c>
      <c r="V186" t="s">
        <v>5</v>
      </c>
      <c r="W186">
        <v>183</v>
      </c>
      <c r="X186" t="s">
        <v>6</v>
      </c>
      <c r="Y186" s="1">
        <v>0.5</v>
      </c>
      <c r="Z186" t="s">
        <v>7</v>
      </c>
      <c r="AA186" s="1">
        <v>0.4228111</v>
      </c>
      <c r="AB186" t="s">
        <v>8</v>
      </c>
      <c r="AC186" s="1">
        <v>0</v>
      </c>
      <c r="AD186" s="1">
        <v>0.205735087306185</v>
      </c>
    </row>
    <row r="187" spans="20:30">
      <c r="T187" t="s">
        <v>4</v>
      </c>
      <c r="U187">
        <v>0</v>
      </c>
      <c r="V187" t="s">
        <v>5</v>
      </c>
      <c r="W187">
        <v>184</v>
      </c>
      <c r="X187" t="s">
        <v>6</v>
      </c>
      <c r="Y187" s="1">
        <v>0.5</v>
      </c>
      <c r="Z187" t="s">
        <v>7</v>
      </c>
      <c r="AA187" s="1">
        <v>0.42511520000000003</v>
      </c>
      <c r="AB187" t="s">
        <v>8</v>
      </c>
      <c r="AC187" s="1">
        <v>0</v>
      </c>
      <c r="AD187" s="1">
        <v>0.205656171169768</v>
      </c>
    </row>
    <row r="188" spans="20:30">
      <c r="T188" t="s">
        <v>4</v>
      </c>
      <c r="U188">
        <v>0</v>
      </c>
      <c r="V188" t="s">
        <v>5</v>
      </c>
      <c r="W188">
        <v>185</v>
      </c>
      <c r="X188" t="s">
        <v>6</v>
      </c>
      <c r="Y188" s="1">
        <v>0.5</v>
      </c>
      <c r="Z188" t="s">
        <v>7</v>
      </c>
      <c r="AA188" s="1">
        <v>0.4274194</v>
      </c>
      <c r="AB188" t="s">
        <v>8</v>
      </c>
      <c r="AC188" s="1">
        <v>0</v>
      </c>
      <c r="AD188" s="1">
        <v>0.205563114648151</v>
      </c>
    </row>
    <row r="189" spans="20:30">
      <c r="T189" t="s">
        <v>4</v>
      </c>
      <c r="U189">
        <v>0</v>
      </c>
      <c r="V189" t="s">
        <v>5</v>
      </c>
      <c r="W189">
        <v>186</v>
      </c>
      <c r="X189" t="s">
        <v>6</v>
      </c>
      <c r="Y189" s="1">
        <v>0.5</v>
      </c>
      <c r="Z189" t="s">
        <v>7</v>
      </c>
      <c r="AA189" s="1">
        <v>0.42972349999999998</v>
      </c>
      <c r="AB189" t="s">
        <v>8</v>
      </c>
      <c r="AC189" s="1">
        <v>0</v>
      </c>
      <c r="AD189" s="1">
        <v>0.20545443420499501</v>
      </c>
    </row>
    <row r="190" spans="20:30">
      <c r="T190" t="s">
        <v>4</v>
      </c>
      <c r="U190">
        <v>0</v>
      </c>
      <c r="V190" t="s">
        <v>5</v>
      </c>
      <c r="W190">
        <v>187</v>
      </c>
      <c r="X190" t="s">
        <v>6</v>
      </c>
      <c r="Y190" s="1">
        <v>0.5</v>
      </c>
      <c r="Z190" t="s">
        <v>7</v>
      </c>
      <c r="AA190" s="1">
        <v>0.43202760000000001</v>
      </c>
      <c r="AB190" t="s">
        <v>8</v>
      </c>
      <c r="AC190" s="1">
        <v>0</v>
      </c>
      <c r="AD190" s="1">
        <v>0.20532865049816401</v>
      </c>
    </row>
    <row r="191" spans="20:30">
      <c r="T191" t="s">
        <v>4</v>
      </c>
      <c r="U191">
        <v>0</v>
      </c>
      <c r="V191" t="s">
        <v>5</v>
      </c>
      <c r="W191">
        <v>188</v>
      </c>
      <c r="X191" t="s">
        <v>6</v>
      </c>
      <c r="Y191" s="1">
        <v>0.5</v>
      </c>
      <c r="Z191" t="s">
        <v>7</v>
      </c>
      <c r="AA191" s="1">
        <v>0.43433179999999999</v>
      </c>
      <c r="AB191" t="s">
        <v>8</v>
      </c>
      <c r="AC191" s="1">
        <v>0</v>
      </c>
      <c r="AD191" s="1">
        <v>0.20518429262339899</v>
      </c>
    </row>
    <row r="192" spans="20:30">
      <c r="T192" t="s">
        <v>4</v>
      </c>
      <c r="U192">
        <v>0</v>
      </c>
      <c r="V192" t="s">
        <v>5</v>
      </c>
      <c r="W192">
        <v>189</v>
      </c>
      <c r="X192" t="s">
        <v>6</v>
      </c>
      <c r="Y192" s="1">
        <v>0.5</v>
      </c>
      <c r="Z192" t="s">
        <v>7</v>
      </c>
      <c r="AA192" s="1">
        <v>0.43663590000000002</v>
      </c>
      <c r="AB192" t="s">
        <v>8</v>
      </c>
      <c r="AC192" s="1">
        <v>0</v>
      </c>
      <c r="AD192" s="1">
        <v>0.205007662718141</v>
      </c>
    </row>
    <row r="193" spans="20:30">
      <c r="T193" t="s">
        <v>4</v>
      </c>
      <c r="U193">
        <v>0</v>
      </c>
      <c r="V193" t="s">
        <v>5</v>
      </c>
      <c r="W193">
        <v>190</v>
      </c>
      <c r="X193" t="s">
        <v>6</v>
      </c>
      <c r="Y193" s="1">
        <v>0.5</v>
      </c>
      <c r="Z193" t="s">
        <v>7</v>
      </c>
      <c r="AA193" s="1">
        <v>0.4389401</v>
      </c>
      <c r="AB193" t="s">
        <v>8</v>
      </c>
      <c r="AC193" s="1">
        <v>0</v>
      </c>
      <c r="AD193" s="1">
        <v>0.204800107200165</v>
      </c>
    </row>
    <row r="194" spans="20:30">
      <c r="T194" t="s">
        <v>4</v>
      </c>
      <c r="U194">
        <v>0</v>
      </c>
      <c r="V194" t="s">
        <v>5</v>
      </c>
      <c r="W194">
        <v>191</v>
      </c>
      <c r="X194" t="s">
        <v>6</v>
      </c>
      <c r="Y194" s="1">
        <v>0.5</v>
      </c>
      <c r="Z194" t="s">
        <v>7</v>
      </c>
      <c r="AA194" s="1">
        <v>0.44124419999999998</v>
      </c>
      <c r="AB194" t="s">
        <v>8</v>
      </c>
      <c r="AC194" s="1">
        <v>0</v>
      </c>
      <c r="AD194" s="1">
        <v>0.204575393444868</v>
      </c>
    </row>
    <row r="195" spans="20:30">
      <c r="T195" t="s">
        <v>4</v>
      </c>
      <c r="U195">
        <v>0</v>
      </c>
      <c r="V195" t="s">
        <v>5</v>
      </c>
      <c r="W195">
        <v>192</v>
      </c>
      <c r="X195" t="s">
        <v>6</v>
      </c>
      <c r="Y195" s="1">
        <v>0.5</v>
      </c>
      <c r="Z195" t="s">
        <v>7</v>
      </c>
      <c r="AA195" s="1">
        <v>0.44354840000000001</v>
      </c>
      <c r="AB195" t="s">
        <v>8</v>
      </c>
      <c r="AC195" s="1">
        <v>0</v>
      </c>
      <c r="AD195" s="1">
        <v>0.204334382038146</v>
      </c>
    </row>
    <row r="196" spans="20:30">
      <c r="T196" t="s">
        <v>4</v>
      </c>
      <c r="U196">
        <v>0</v>
      </c>
      <c r="V196" t="s">
        <v>5</v>
      </c>
      <c r="W196">
        <v>193</v>
      </c>
      <c r="X196" t="s">
        <v>6</v>
      </c>
      <c r="Y196" s="1">
        <v>0.5</v>
      </c>
      <c r="Z196" t="s">
        <v>7</v>
      </c>
      <c r="AA196" s="1">
        <v>0.44585249999999998</v>
      </c>
      <c r="AB196" t="s">
        <v>8</v>
      </c>
      <c r="AC196" s="1">
        <v>0</v>
      </c>
      <c r="AD196" s="1">
        <v>0.20407796043731799</v>
      </c>
    </row>
    <row r="197" spans="20:30">
      <c r="T197" t="s">
        <v>4</v>
      </c>
      <c r="U197">
        <v>0</v>
      </c>
      <c r="V197" t="s">
        <v>5</v>
      </c>
      <c r="W197">
        <v>194</v>
      </c>
      <c r="X197" t="s">
        <v>6</v>
      </c>
      <c r="Y197" s="1">
        <v>0.5</v>
      </c>
      <c r="Z197" t="s">
        <v>7</v>
      </c>
      <c r="AA197" s="1">
        <v>0.44815670000000002</v>
      </c>
      <c r="AB197" t="s">
        <v>8</v>
      </c>
      <c r="AC197" s="1">
        <v>0</v>
      </c>
      <c r="AD197" s="1">
        <v>0.203807060935352</v>
      </c>
    </row>
    <row r="198" spans="20:30">
      <c r="T198" t="s">
        <v>4</v>
      </c>
      <c r="U198">
        <v>0</v>
      </c>
      <c r="V198" t="s">
        <v>5</v>
      </c>
      <c r="W198">
        <v>195</v>
      </c>
      <c r="X198" t="s">
        <v>6</v>
      </c>
      <c r="Y198" s="1">
        <v>0.5</v>
      </c>
      <c r="Z198" t="s">
        <v>7</v>
      </c>
      <c r="AA198" s="1">
        <v>0.45046079999999999</v>
      </c>
      <c r="AB198" t="s">
        <v>8</v>
      </c>
      <c r="AC198" s="1">
        <v>0</v>
      </c>
      <c r="AD198" s="1">
        <v>0.20352268071273899</v>
      </c>
    </row>
    <row r="199" spans="20:30">
      <c r="T199" t="s">
        <v>4</v>
      </c>
      <c r="U199">
        <v>0</v>
      </c>
      <c r="V199" t="s">
        <v>5</v>
      </c>
      <c r="W199">
        <v>196</v>
      </c>
      <c r="X199" t="s">
        <v>6</v>
      </c>
      <c r="Y199" s="1">
        <v>0.5</v>
      </c>
      <c r="Z199" t="s">
        <v>7</v>
      </c>
      <c r="AA199" s="1">
        <v>0.45276499999999997</v>
      </c>
      <c r="AB199" t="s">
        <v>8</v>
      </c>
      <c r="AC199" s="1">
        <v>0</v>
      </c>
      <c r="AD199" s="1">
        <v>0.20323864402226599</v>
      </c>
    </row>
    <row r="200" spans="20:30">
      <c r="T200" t="s">
        <v>4</v>
      </c>
      <c r="U200">
        <v>0</v>
      </c>
      <c r="V200" t="s">
        <v>5</v>
      </c>
      <c r="W200">
        <v>197</v>
      </c>
      <c r="X200" t="s">
        <v>6</v>
      </c>
      <c r="Y200" s="1">
        <v>0.5</v>
      </c>
      <c r="Z200" t="s">
        <v>7</v>
      </c>
      <c r="AA200" s="1">
        <v>0.4550691</v>
      </c>
      <c r="AB200" t="s">
        <v>8</v>
      </c>
      <c r="AC200" s="1">
        <v>0</v>
      </c>
      <c r="AD200" s="1">
        <v>0.20293855643876699</v>
      </c>
    </row>
    <row r="201" spans="20:30">
      <c r="T201" t="s">
        <v>4</v>
      </c>
      <c r="U201">
        <v>0</v>
      </c>
      <c r="V201" t="s">
        <v>5</v>
      </c>
      <c r="W201">
        <v>198</v>
      </c>
      <c r="X201" t="s">
        <v>6</v>
      </c>
      <c r="Y201" s="1">
        <v>0.5</v>
      </c>
      <c r="Z201" t="s">
        <v>7</v>
      </c>
      <c r="AA201" s="1">
        <v>0.45737329999999998</v>
      </c>
      <c r="AB201" t="s">
        <v>8</v>
      </c>
      <c r="AC201" s="1">
        <v>0</v>
      </c>
      <c r="AD201" s="1">
        <v>0.20259682937744999</v>
      </c>
    </row>
    <row r="202" spans="20:30">
      <c r="T202" t="s">
        <v>4</v>
      </c>
      <c r="U202">
        <v>0</v>
      </c>
      <c r="V202" t="s">
        <v>5</v>
      </c>
      <c r="W202">
        <v>199</v>
      </c>
      <c r="X202" t="s">
        <v>6</v>
      </c>
      <c r="Y202" s="1">
        <v>0.5</v>
      </c>
      <c r="Z202" t="s">
        <v>7</v>
      </c>
      <c r="AA202" s="1">
        <v>0.45967740000000001</v>
      </c>
      <c r="AB202" t="s">
        <v>8</v>
      </c>
      <c r="AC202" s="1">
        <v>0</v>
      </c>
      <c r="AD202" s="1">
        <v>0.202206042554777</v>
      </c>
    </row>
    <row r="203" spans="20:30">
      <c r="T203" t="s">
        <v>4</v>
      </c>
      <c r="U203">
        <v>0</v>
      </c>
      <c r="V203" t="s">
        <v>5</v>
      </c>
      <c r="W203">
        <v>200</v>
      </c>
      <c r="X203" t="s">
        <v>6</v>
      </c>
      <c r="Y203" s="1">
        <v>0.5</v>
      </c>
      <c r="Z203" t="s">
        <v>7</v>
      </c>
      <c r="AA203" s="1">
        <v>0.46198159999999999</v>
      </c>
      <c r="AB203" t="s">
        <v>8</v>
      </c>
      <c r="AC203" s="1">
        <v>0</v>
      </c>
      <c r="AD203" s="1">
        <v>0.20175877423515401</v>
      </c>
    </row>
    <row r="204" spans="20:30">
      <c r="T204" t="s">
        <v>4</v>
      </c>
      <c r="U204">
        <v>0</v>
      </c>
      <c r="V204" t="s">
        <v>5</v>
      </c>
      <c r="W204">
        <v>201</v>
      </c>
      <c r="X204" t="s">
        <v>6</v>
      </c>
      <c r="Y204" s="1">
        <v>0.5</v>
      </c>
      <c r="Z204" t="s">
        <v>7</v>
      </c>
      <c r="AA204" s="1">
        <v>0.46428570000000002</v>
      </c>
      <c r="AB204" t="s">
        <v>8</v>
      </c>
      <c r="AC204" s="1">
        <v>0</v>
      </c>
      <c r="AD204" s="1">
        <v>0.20124765939651301</v>
      </c>
    </row>
    <row r="205" spans="20:30">
      <c r="T205" t="s">
        <v>4</v>
      </c>
      <c r="U205">
        <v>0</v>
      </c>
      <c r="V205" t="s">
        <v>5</v>
      </c>
      <c r="W205">
        <v>202</v>
      </c>
      <c r="X205" t="s">
        <v>6</v>
      </c>
      <c r="Y205" s="1">
        <v>0.5</v>
      </c>
      <c r="Z205" t="s">
        <v>7</v>
      </c>
      <c r="AA205" s="1">
        <v>0.4665899</v>
      </c>
      <c r="AB205" t="s">
        <v>8</v>
      </c>
      <c r="AC205" s="1">
        <v>0</v>
      </c>
      <c r="AD205" s="1">
        <v>0.20066545511654199</v>
      </c>
    </row>
    <row r="206" spans="20:30">
      <c r="T206" t="s">
        <v>4</v>
      </c>
      <c r="U206">
        <v>0</v>
      </c>
      <c r="V206" t="s">
        <v>5</v>
      </c>
      <c r="W206">
        <v>203</v>
      </c>
      <c r="X206" t="s">
        <v>6</v>
      </c>
      <c r="Y206" s="1">
        <v>0.5</v>
      </c>
      <c r="Z206" t="s">
        <v>7</v>
      </c>
      <c r="AA206" s="1">
        <v>0.46889399999999998</v>
      </c>
      <c r="AB206" t="s">
        <v>8</v>
      </c>
      <c r="AC206" s="1">
        <v>0</v>
      </c>
      <c r="AD206" s="1">
        <v>0.19994440000036601</v>
      </c>
    </row>
    <row r="207" spans="20:30">
      <c r="T207" t="s">
        <v>4</v>
      </c>
      <c r="U207">
        <v>0</v>
      </c>
      <c r="V207" t="s">
        <v>5</v>
      </c>
      <c r="W207">
        <v>204</v>
      </c>
      <c r="X207" t="s">
        <v>6</v>
      </c>
      <c r="Y207" s="1">
        <v>0.5</v>
      </c>
      <c r="Z207" t="s">
        <v>7</v>
      </c>
      <c r="AA207" s="1">
        <v>0.47119820000000001</v>
      </c>
      <c r="AB207" t="s">
        <v>8</v>
      </c>
      <c r="AC207" s="1">
        <v>0</v>
      </c>
      <c r="AD207" s="1">
        <v>0.19908192575502101</v>
      </c>
    </row>
    <row r="208" spans="20:30">
      <c r="T208" t="s">
        <v>4</v>
      </c>
      <c r="U208">
        <v>0</v>
      </c>
      <c r="V208" t="s">
        <v>5</v>
      </c>
      <c r="W208">
        <v>205</v>
      </c>
      <c r="X208" t="s">
        <v>6</v>
      </c>
      <c r="Y208" s="1">
        <v>0.5</v>
      </c>
      <c r="Z208" t="s">
        <v>7</v>
      </c>
      <c r="AA208" s="1">
        <v>0.47350229999999999</v>
      </c>
      <c r="AB208" t="s">
        <v>8</v>
      </c>
      <c r="AC208" s="1">
        <v>0</v>
      </c>
      <c r="AD208" s="1">
        <v>0.19814275837130299</v>
      </c>
    </row>
    <row r="209" spans="20:30">
      <c r="T209" t="s">
        <v>4</v>
      </c>
      <c r="U209">
        <v>0</v>
      </c>
      <c r="V209" t="s">
        <v>5</v>
      </c>
      <c r="W209">
        <v>206</v>
      </c>
      <c r="X209" t="s">
        <v>6</v>
      </c>
      <c r="Y209" s="1">
        <v>0.5</v>
      </c>
      <c r="Z209" t="s">
        <v>7</v>
      </c>
      <c r="AA209" s="1">
        <v>0.47580650000000002</v>
      </c>
      <c r="AB209" t="s">
        <v>8</v>
      </c>
      <c r="AC209" s="1">
        <v>0</v>
      </c>
      <c r="AD209" s="1">
        <v>0.197132083244108</v>
      </c>
    </row>
    <row r="210" spans="20:30">
      <c r="T210" t="s">
        <v>4</v>
      </c>
      <c r="U210">
        <v>0</v>
      </c>
      <c r="V210" t="s">
        <v>5</v>
      </c>
      <c r="W210">
        <v>207</v>
      </c>
      <c r="X210" t="s">
        <v>6</v>
      </c>
      <c r="Y210" s="1">
        <v>0.5</v>
      </c>
      <c r="Z210" t="s">
        <v>7</v>
      </c>
      <c r="AA210" s="1">
        <v>0.4781106</v>
      </c>
      <c r="AB210" t="s">
        <v>8</v>
      </c>
      <c r="AC210" s="1">
        <v>0</v>
      </c>
      <c r="AD210" s="1">
        <v>0.19605649063726199</v>
      </c>
    </row>
    <row r="211" spans="20:30">
      <c r="T211" t="s">
        <v>4</v>
      </c>
      <c r="U211">
        <v>0</v>
      </c>
      <c r="V211" t="s">
        <v>5</v>
      </c>
      <c r="W211">
        <v>208</v>
      </c>
      <c r="X211" t="s">
        <v>6</v>
      </c>
      <c r="Y211" s="1">
        <v>0.5</v>
      </c>
      <c r="Z211" t="s">
        <v>7</v>
      </c>
      <c r="AA211" s="1">
        <v>0.48041469999999997</v>
      </c>
      <c r="AB211" t="s">
        <v>8</v>
      </c>
      <c r="AC211" s="1">
        <v>0</v>
      </c>
      <c r="AD211" s="1">
        <v>0.19492481931757499</v>
      </c>
    </row>
    <row r="212" spans="20:30">
      <c r="T212" t="s">
        <v>4</v>
      </c>
      <c r="U212">
        <v>0</v>
      </c>
      <c r="V212" t="s">
        <v>5</v>
      </c>
      <c r="W212">
        <v>209</v>
      </c>
      <c r="X212" t="s">
        <v>6</v>
      </c>
      <c r="Y212" s="1">
        <v>0.5</v>
      </c>
      <c r="Z212" t="s">
        <v>7</v>
      </c>
      <c r="AA212" s="1">
        <v>0.48271890000000001</v>
      </c>
      <c r="AB212" t="s">
        <v>8</v>
      </c>
      <c r="AC212" s="1">
        <v>0</v>
      </c>
      <c r="AD212" s="1">
        <v>0.193749037069505</v>
      </c>
    </row>
    <row r="213" spans="20:30">
      <c r="T213" t="s">
        <v>4</v>
      </c>
      <c r="U213">
        <v>0</v>
      </c>
      <c r="V213" t="s">
        <v>5</v>
      </c>
      <c r="W213">
        <v>210</v>
      </c>
      <c r="X213" t="s">
        <v>6</v>
      </c>
      <c r="Y213" s="1">
        <v>0.5</v>
      </c>
      <c r="Z213" t="s">
        <v>7</v>
      </c>
      <c r="AA213" s="1">
        <v>0.48502299999999998</v>
      </c>
      <c r="AB213" t="s">
        <v>8</v>
      </c>
      <c r="AC213" s="1">
        <v>0</v>
      </c>
      <c r="AD213" s="1">
        <v>0.192126460228875</v>
      </c>
    </row>
    <row r="214" spans="20:30">
      <c r="T214" t="s">
        <v>4</v>
      </c>
      <c r="U214">
        <v>0</v>
      </c>
      <c r="V214" t="s">
        <v>5</v>
      </c>
      <c r="W214">
        <v>211</v>
      </c>
      <c r="X214" t="s">
        <v>6</v>
      </c>
      <c r="Y214" s="1">
        <v>0.5</v>
      </c>
      <c r="Z214" t="s">
        <v>7</v>
      </c>
      <c r="AA214" s="1">
        <v>0.48732720000000002</v>
      </c>
      <c r="AB214" t="s">
        <v>8</v>
      </c>
      <c r="AC214" s="1">
        <v>0</v>
      </c>
      <c r="AD214" s="1">
        <v>0.189756199029534</v>
      </c>
    </row>
    <row r="215" spans="20:30">
      <c r="T215" t="s">
        <v>4</v>
      </c>
      <c r="U215">
        <v>0</v>
      </c>
      <c r="V215" t="s">
        <v>5</v>
      </c>
      <c r="W215">
        <v>212</v>
      </c>
      <c r="X215" t="s">
        <v>6</v>
      </c>
      <c r="Y215" s="1">
        <v>0.5</v>
      </c>
      <c r="Z215" t="s">
        <v>7</v>
      </c>
      <c r="AA215" s="1">
        <v>0.48963129999999999</v>
      </c>
      <c r="AB215" t="s">
        <v>8</v>
      </c>
      <c r="AC215" s="1">
        <v>0</v>
      </c>
      <c r="AD215" s="1">
        <v>0.18679185194341</v>
      </c>
    </row>
    <row r="216" spans="20:30">
      <c r="T216" t="s">
        <v>4</v>
      </c>
      <c r="U216">
        <v>0</v>
      </c>
      <c r="V216" t="s">
        <v>5</v>
      </c>
      <c r="W216">
        <v>213</v>
      </c>
      <c r="X216" t="s">
        <v>6</v>
      </c>
      <c r="Y216" s="1">
        <v>0.5</v>
      </c>
      <c r="Z216" t="s">
        <v>7</v>
      </c>
      <c r="AA216" s="1">
        <v>0.49193550000000003</v>
      </c>
      <c r="AB216" t="s">
        <v>8</v>
      </c>
      <c r="AC216" s="1">
        <v>0</v>
      </c>
      <c r="AD216" s="1">
        <v>0.183070467690091</v>
      </c>
    </row>
    <row r="217" spans="20:30">
      <c r="T217" t="s">
        <v>4</v>
      </c>
      <c r="U217">
        <v>0</v>
      </c>
      <c r="V217" t="s">
        <v>5</v>
      </c>
      <c r="W217">
        <v>214</v>
      </c>
      <c r="X217" t="s">
        <v>6</v>
      </c>
      <c r="Y217" s="1">
        <v>0.5</v>
      </c>
      <c r="Z217" t="s">
        <v>7</v>
      </c>
      <c r="AA217" s="1">
        <v>0.4942396</v>
      </c>
      <c r="AB217" t="s">
        <v>8</v>
      </c>
      <c r="AC217" s="1">
        <v>0</v>
      </c>
      <c r="AD217" s="1">
        <v>0.17845709469892801</v>
      </c>
    </row>
    <row r="218" spans="20:30">
      <c r="T218" t="s">
        <v>4</v>
      </c>
      <c r="U218">
        <v>0</v>
      </c>
      <c r="V218" t="s">
        <v>5</v>
      </c>
      <c r="W218">
        <v>215</v>
      </c>
      <c r="X218" t="s">
        <v>6</v>
      </c>
      <c r="Y218" s="1">
        <v>0.5</v>
      </c>
      <c r="Z218" t="s">
        <v>7</v>
      </c>
      <c r="AA218" s="1">
        <v>0.49654379999999998</v>
      </c>
      <c r="AB218" t="s">
        <v>8</v>
      </c>
      <c r="AC218" s="1">
        <v>0</v>
      </c>
      <c r="AD218" s="1">
        <v>0.17286499990902199</v>
      </c>
    </row>
    <row r="219" spans="20:30">
      <c r="T219" t="s">
        <v>4</v>
      </c>
      <c r="U219">
        <v>0</v>
      </c>
      <c r="V219" t="s">
        <v>5</v>
      </c>
      <c r="W219">
        <v>216</v>
      </c>
      <c r="X219" t="s">
        <v>6</v>
      </c>
      <c r="Y219" s="1">
        <v>0.5</v>
      </c>
      <c r="Z219" t="s">
        <v>7</v>
      </c>
      <c r="AA219" s="1">
        <v>0.49884790000000001</v>
      </c>
      <c r="AB219" t="s">
        <v>8</v>
      </c>
      <c r="AC219" s="1">
        <v>0</v>
      </c>
      <c r="AD219" s="1">
        <v>0.16627773679514299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3FB0-C398-4F7C-ADAB-D9C4C257FFF5}">
  <dimension ref="A1:AO219"/>
  <sheetViews>
    <sheetView zoomScale="45" zoomScaleNormal="130" workbookViewId="0">
      <selection activeCell="AD44" sqref="AD44"/>
    </sheetView>
  </sheetViews>
  <sheetFormatPr defaultRowHeight="18"/>
  <sheetData>
    <row r="1" spans="1:41">
      <c r="A1" t="s">
        <v>0</v>
      </c>
      <c r="B1" t="s">
        <v>11</v>
      </c>
      <c r="C1" t="s">
        <v>1</v>
      </c>
      <c r="D1" t="s">
        <v>12</v>
      </c>
      <c r="S1" t="s">
        <v>1</v>
      </c>
      <c r="T1" t="s">
        <v>13</v>
      </c>
      <c r="AE1" t="s">
        <v>10</v>
      </c>
      <c r="AF1" t="s">
        <v>13</v>
      </c>
    </row>
    <row r="2" spans="1:41">
      <c r="A2" t="s">
        <v>2</v>
      </c>
      <c r="B2" t="s">
        <v>3</v>
      </c>
      <c r="S2" t="s">
        <v>2</v>
      </c>
      <c r="T2" t="s">
        <v>3</v>
      </c>
      <c r="AE2" t="s">
        <v>2</v>
      </c>
      <c r="AF2" t="s">
        <v>3</v>
      </c>
    </row>
    <row r="3" spans="1:41">
      <c r="A3" t="s">
        <v>4</v>
      </c>
      <c r="B3">
        <v>0</v>
      </c>
      <c r="C3" t="s">
        <v>5</v>
      </c>
      <c r="D3">
        <v>0</v>
      </c>
      <c r="E3" t="s">
        <v>6</v>
      </c>
      <c r="F3" s="1">
        <v>0.5</v>
      </c>
      <c r="G3" t="s">
        <v>7</v>
      </c>
      <c r="H3" s="1">
        <v>8.0645160000000007E-3</v>
      </c>
      <c r="I3" t="s">
        <v>8</v>
      </c>
      <c r="J3" s="1">
        <v>0</v>
      </c>
      <c r="K3" s="1">
        <v>0.20060054101702199</v>
      </c>
      <c r="S3" t="s">
        <v>4</v>
      </c>
      <c r="T3">
        <v>0</v>
      </c>
      <c r="U3" t="s">
        <v>5</v>
      </c>
      <c r="V3">
        <v>0</v>
      </c>
      <c r="W3" t="s">
        <v>6</v>
      </c>
      <c r="X3" s="1">
        <v>0.5</v>
      </c>
      <c r="Y3" t="s">
        <v>7</v>
      </c>
      <c r="Z3" s="1">
        <v>8.0645160000000007E-3</v>
      </c>
      <c r="AA3" t="s">
        <v>8</v>
      </c>
      <c r="AB3" s="1">
        <v>0</v>
      </c>
      <c r="AC3" s="1">
        <v>0.20064928331685</v>
      </c>
      <c r="AE3" t="s">
        <v>4</v>
      </c>
      <c r="AF3">
        <v>0</v>
      </c>
      <c r="AG3" t="s">
        <v>5</v>
      </c>
      <c r="AH3">
        <v>0</v>
      </c>
      <c r="AI3" t="s">
        <v>6</v>
      </c>
      <c r="AJ3" s="1">
        <v>0.5</v>
      </c>
      <c r="AK3" t="s">
        <v>7</v>
      </c>
      <c r="AL3" s="1">
        <v>1.1520739999999999E-3</v>
      </c>
      <c r="AM3" t="s">
        <v>8</v>
      </c>
      <c r="AN3" s="1">
        <v>0</v>
      </c>
      <c r="AO3" s="1">
        <v>0.20139351612919201</v>
      </c>
    </row>
    <row r="4" spans="1:41">
      <c r="A4" t="s">
        <v>4</v>
      </c>
      <c r="B4">
        <v>0</v>
      </c>
      <c r="C4" t="s">
        <v>5</v>
      </c>
      <c r="D4">
        <v>1</v>
      </c>
      <c r="E4" t="s">
        <v>6</v>
      </c>
      <c r="F4" s="1">
        <v>0.5</v>
      </c>
      <c r="G4" t="s">
        <v>7</v>
      </c>
      <c r="H4" s="1">
        <v>2.4193550000000001E-2</v>
      </c>
      <c r="I4" t="s">
        <v>8</v>
      </c>
      <c r="J4" s="1">
        <v>0</v>
      </c>
      <c r="K4" s="1">
        <v>0.20062643210105199</v>
      </c>
      <c r="S4" t="s">
        <v>4</v>
      </c>
      <c r="T4">
        <v>0</v>
      </c>
      <c r="U4" t="s">
        <v>5</v>
      </c>
      <c r="V4">
        <v>1</v>
      </c>
      <c r="W4" t="s">
        <v>6</v>
      </c>
      <c r="X4" s="1">
        <v>0.5</v>
      </c>
      <c r="Y4" t="s">
        <v>7</v>
      </c>
      <c r="Z4" s="1">
        <v>2.4193550000000001E-2</v>
      </c>
      <c r="AA4" t="s">
        <v>8</v>
      </c>
      <c r="AB4" s="1">
        <v>0</v>
      </c>
      <c r="AC4" s="1">
        <v>0.20066914256576199</v>
      </c>
      <c r="AE4" t="s">
        <v>4</v>
      </c>
      <c r="AF4">
        <v>0</v>
      </c>
      <c r="AG4" t="s">
        <v>5</v>
      </c>
      <c r="AH4">
        <v>1</v>
      </c>
      <c r="AI4" t="s">
        <v>6</v>
      </c>
      <c r="AJ4" s="1">
        <v>0.5</v>
      </c>
      <c r="AK4" t="s">
        <v>7</v>
      </c>
      <c r="AL4" s="1">
        <v>3.4562210000000002E-3</v>
      </c>
      <c r="AM4" t="s">
        <v>8</v>
      </c>
      <c r="AN4" s="1">
        <v>0</v>
      </c>
      <c r="AO4" s="1">
        <v>0.19990462831004199</v>
      </c>
    </row>
    <row r="5" spans="1:41">
      <c r="A5" t="s">
        <v>4</v>
      </c>
      <c r="B5">
        <v>0</v>
      </c>
      <c r="C5" t="s">
        <v>5</v>
      </c>
      <c r="D5">
        <v>2</v>
      </c>
      <c r="E5" t="s">
        <v>6</v>
      </c>
      <c r="F5" s="1">
        <v>0.5</v>
      </c>
      <c r="G5" t="s">
        <v>7</v>
      </c>
      <c r="H5" s="1">
        <v>4.0322579999999997E-2</v>
      </c>
      <c r="I5" t="s">
        <v>8</v>
      </c>
      <c r="J5" s="1">
        <v>0</v>
      </c>
      <c r="K5" s="1">
        <v>0.200678052299265</v>
      </c>
      <c r="S5" t="s">
        <v>4</v>
      </c>
      <c r="T5">
        <v>0</v>
      </c>
      <c r="U5" t="s">
        <v>5</v>
      </c>
      <c r="V5">
        <v>2</v>
      </c>
      <c r="W5" t="s">
        <v>6</v>
      </c>
      <c r="X5" s="1">
        <v>0.5</v>
      </c>
      <c r="Y5" t="s">
        <v>7</v>
      </c>
      <c r="Z5" s="1">
        <v>4.0322579999999997E-2</v>
      </c>
      <c r="AA5" t="s">
        <v>8</v>
      </c>
      <c r="AB5" s="1">
        <v>0</v>
      </c>
      <c r="AC5" s="1">
        <v>0.20072042771295001</v>
      </c>
      <c r="AE5" t="s">
        <v>4</v>
      </c>
      <c r="AF5">
        <v>0</v>
      </c>
      <c r="AG5" t="s">
        <v>5</v>
      </c>
      <c r="AH5">
        <v>2</v>
      </c>
      <c r="AI5" t="s">
        <v>6</v>
      </c>
      <c r="AJ5" s="1">
        <v>0.5</v>
      </c>
      <c r="AK5" t="s">
        <v>7</v>
      </c>
      <c r="AL5" s="1">
        <v>5.7603690000000004E-3</v>
      </c>
      <c r="AM5" t="s">
        <v>8</v>
      </c>
      <c r="AN5" s="1">
        <v>0</v>
      </c>
      <c r="AO5" s="1">
        <v>0.20139183845563499</v>
      </c>
    </row>
    <row r="6" spans="1:41">
      <c r="A6" t="s">
        <v>4</v>
      </c>
      <c r="B6">
        <v>0</v>
      </c>
      <c r="C6" t="s">
        <v>5</v>
      </c>
      <c r="D6">
        <v>3</v>
      </c>
      <c r="E6" t="s">
        <v>6</v>
      </c>
      <c r="F6" s="1">
        <v>0.5</v>
      </c>
      <c r="G6" t="s">
        <v>7</v>
      </c>
      <c r="H6" s="1">
        <v>5.6451609999999999E-2</v>
      </c>
      <c r="I6" t="s">
        <v>8</v>
      </c>
      <c r="J6" s="1">
        <v>0</v>
      </c>
      <c r="K6" s="1">
        <v>0.20075546697975699</v>
      </c>
      <c r="S6" t="s">
        <v>4</v>
      </c>
      <c r="T6">
        <v>0</v>
      </c>
      <c r="U6" t="s">
        <v>5</v>
      </c>
      <c r="V6">
        <v>3</v>
      </c>
      <c r="W6" t="s">
        <v>6</v>
      </c>
      <c r="X6" s="1">
        <v>0.5</v>
      </c>
      <c r="Y6" t="s">
        <v>7</v>
      </c>
      <c r="Z6" s="1">
        <v>5.6451609999999999E-2</v>
      </c>
      <c r="AA6" t="s">
        <v>8</v>
      </c>
      <c r="AB6" s="1">
        <v>0</v>
      </c>
      <c r="AC6" s="1">
        <v>0.20079732898764899</v>
      </c>
      <c r="AE6" t="s">
        <v>4</v>
      </c>
      <c r="AF6">
        <v>0</v>
      </c>
      <c r="AG6" t="s">
        <v>5</v>
      </c>
      <c r="AH6">
        <v>3</v>
      </c>
      <c r="AI6" t="s">
        <v>6</v>
      </c>
      <c r="AJ6" s="1">
        <v>0.5</v>
      </c>
      <c r="AK6" t="s">
        <v>7</v>
      </c>
      <c r="AL6" s="1">
        <v>8.0645160000000007E-3</v>
      </c>
      <c r="AM6" t="s">
        <v>8</v>
      </c>
      <c r="AN6" s="1">
        <v>0</v>
      </c>
      <c r="AO6" s="1">
        <v>0.199298906717467</v>
      </c>
    </row>
    <row r="7" spans="1:41">
      <c r="A7" t="s">
        <v>4</v>
      </c>
      <c r="B7">
        <v>0</v>
      </c>
      <c r="C7" t="s">
        <v>5</v>
      </c>
      <c r="D7">
        <v>4</v>
      </c>
      <c r="E7" t="s">
        <v>6</v>
      </c>
      <c r="F7" s="1">
        <v>0.5</v>
      </c>
      <c r="G7" t="s">
        <v>7</v>
      </c>
      <c r="H7" s="1">
        <v>7.2580649999999997E-2</v>
      </c>
      <c r="I7" t="s">
        <v>8</v>
      </c>
      <c r="J7" s="1">
        <v>0</v>
      </c>
      <c r="K7" s="1">
        <v>0.200858595692814</v>
      </c>
      <c r="S7" t="s">
        <v>4</v>
      </c>
      <c r="T7">
        <v>0</v>
      </c>
      <c r="U7" t="s">
        <v>5</v>
      </c>
      <c r="V7">
        <v>4</v>
      </c>
      <c r="W7" t="s">
        <v>6</v>
      </c>
      <c r="X7" s="1">
        <v>0.5</v>
      </c>
      <c r="Y7" t="s">
        <v>7</v>
      </c>
      <c r="Z7" s="1">
        <v>7.2580649999999997E-2</v>
      </c>
      <c r="AA7" t="s">
        <v>8</v>
      </c>
      <c r="AB7" s="1">
        <v>0</v>
      </c>
      <c r="AC7" s="1">
        <v>0.20089975602114299</v>
      </c>
      <c r="AE7" t="s">
        <v>4</v>
      </c>
      <c r="AF7">
        <v>0</v>
      </c>
      <c r="AG7" t="s">
        <v>5</v>
      </c>
      <c r="AH7">
        <v>4</v>
      </c>
      <c r="AI7" t="s">
        <v>6</v>
      </c>
      <c r="AJ7" s="1">
        <v>0.5</v>
      </c>
      <c r="AK7" t="s">
        <v>7</v>
      </c>
      <c r="AL7" s="1">
        <v>1.036866E-2</v>
      </c>
      <c r="AM7" t="s">
        <v>8</v>
      </c>
      <c r="AN7" s="1">
        <v>0</v>
      </c>
      <c r="AO7" s="1">
        <v>0.20139462226992699</v>
      </c>
    </row>
    <row r="8" spans="1:41">
      <c r="A8" t="s">
        <v>4</v>
      </c>
      <c r="B8">
        <v>0</v>
      </c>
      <c r="C8" t="s">
        <v>5</v>
      </c>
      <c r="D8">
        <v>5</v>
      </c>
      <c r="E8" t="s">
        <v>6</v>
      </c>
      <c r="F8" s="1">
        <v>0.5</v>
      </c>
      <c r="G8" t="s">
        <v>7</v>
      </c>
      <c r="H8" s="1">
        <v>8.8709679999999999E-2</v>
      </c>
      <c r="I8" t="s">
        <v>8</v>
      </c>
      <c r="J8" s="1">
        <v>0</v>
      </c>
      <c r="K8" s="1">
        <v>0.20098736097285599</v>
      </c>
      <c r="S8" t="s">
        <v>4</v>
      </c>
      <c r="T8">
        <v>0</v>
      </c>
      <c r="U8" t="s">
        <v>5</v>
      </c>
      <c r="V8">
        <v>5</v>
      </c>
      <c r="W8" t="s">
        <v>6</v>
      </c>
      <c r="X8" s="1">
        <v>0.5</v>
      </c>
      <c r="Y8" t="s">
        <v>7</v>
      </c>
      <c r="Z8" s="1">
        <v>8.8709679999999999E-2</v>
      </c>
      <c r="AA8" t="s">
        <v>8</v>
      </c>
      <c r="AB8" s="1">
        <v>0</v>
      </c>
      <c r="AC8" s="1">
        <v>0.20102761466249799</v>
      </c>
      <c r="AE8" t="s">
        <v>4</v>
      </c>
      <c r="AF8">
        <v>0</v>
      </c>
      <c r="AG8" t="s">
        <v>5</v>
      </c>
      <c r="AH8">
        <v>5</v>
      </c>
      <c r="AI8" t="s">
        <v>6</v>
      </c>
      <c r="AJ8" s="1">
        <v>0.5</v>
      </c>
      <c r="AK8" t="s">
        <v>7</v>
      </c>
      <c r="AL8" s="1">
        <v>1.267281E-2</v>
      </c>
      <c r="AM8" t="s">
        <v>8</v>
      </c>
      <c r="AN8" s="1">
        <v>0</v>
      </c>
      <c r="AO8" s="1">
        <v>0.199881155331501</v>
      </c>
    </row>
    <row r="9" spans="1:41">
      <c r="A9" t="s">
        <v>4</v>
      </c>
      <c r="B9">
        <v>0</v>
      </c>
      <c r="C9" t="s">
        <v>5</v>
      </c>
      <c r="D9">
        <v>6</v>
      </c>
      <c r="E9" t="s">
        <v>6</v>
      </c>
      <c r="F9" s="1">
        <v>0.5</v>
      </c>
      <c r="G9" t="s">
        <v>7</v>
      </c>
      <c r="H9" s="1">
        <v>0.10483870000000001</v>
      </c>
      <c r="I9" t="s">
        <v>8</v>
      </c>
      <c r="J9" s="1">
        <v>0</v>
      </c>
      <c r="K9" s="1">
        <v>0.20114162763211099</v>
      </c>
      <c r="S9" t="s">
        <v>4</v>
      </c>
      <c r="T9">
        <v>0</v>
      </c>
      <c r="U9" t="s">
        <v>5</v>
      </c>
      <c r="V9">
        <v>6</v>
      </c>
      <c r="W9" t="s">
        <v>6</v>
      </c>
      <c r="X9" s="1">
        <v>0.5</v>
      </c>
      <c r="Y9" t="s">
        <v>7</v>
      </c>
      <c r="Z9" s="1">
        <v>0.10483870000000001</v>
      </c>
      <c r="AA9" t="s">
        <v>8</v>
      </c>
      <c r="AB9" s="1">
        <v>0</v>
      </c>
      <c r="AC9" s="1">
        <v>0.20118074879970199</v>
      </c>
      <c r="AE9" t="s">
        <v>4</v>
      </c>
      <c r="AF9">
        <v>0</v>
      </c>
      <c r="AG9" t="s">
        <v>5</v>
      </c>
      <c r="AH9">
        <v>6</v>
      </c>
      <c r="AI9" t="s">
        <v>6</v>
      </c>
      <c r="AJ9" s="1">
        <v>0.5</v>
      </c>
      <c r="AK9" t="s">
        <v>7</v>
      </c>
      <c r="AL9" s="1">
        <v>1.4976959999999999E-2</v>
      </c>
      <c r="AM9" t="s">
        <v>8</v>
      </c>
      <c r="AN9" s="1">
        <v>0</v>
      </c>
      <c r="AO9" s="1">
        <v>0.20124333209199199</v>
      </c>
    </row>
    <row r="10" spans="1:41">
      <c r="A10" t="s">
        <v>4</v>
      </c>
      <c r="B10">
        <v>0</v>
      </c>
      <c r="C10" t="s">
        <v>5</v>
      </c>
      <c r="D10">
        <v>7</v>
      </c>
      <c r="E10" t="s">
        <v>6</v>
      </c>
      <c r="F10" s="1">
        <v>0.5</v>
      </c>
      <c r="G10" t="s">
        <v>7</v>
      </c>
      <c r="H10" s="1">
        <v>0.1209677</v>
      </c>
      <c r="I10" t="s">
        <v>8</v>
      </c>
      <c r="J10" s="1">
        <v>0</v>
      </c>
      <c r="K10" s="1">
        <v>0.20132120578340301</v>
      </c>
      <c r="S10" t="s">
        <v>4</v>
      </c>
      <c r="T10">
        <v>0</v>
      </c>
      <c r="U10" t="s">
        <v>5</v>
      </c>
      <c r="V10">
        <v>7</v>
      </c>
      <c r="W10" t="s">
        <v>6</v>
      </c>
      <c r="X10" s="1">
        <v>0.5</v>
      </c>
      <c r="Y10" t="s">
        <v>7</v>
      </c>
      <c r="Z10" s="1">
        <v>0.1209677</v>
      </c>
      <c r="AA10" t="s">
        <v>8</v>
      </c>
      <c r="AB10" s="1">
        <v>0</v>
      </c>
      <c r="AC10" s="1">
        <v>0.20135894123117601</v>
      </c>
      <c r="AE10" t="s">
        <v>4</v>
      </c>
      <c r="AF10">
        <v>0</v>
      </c>
      <c r="AG10" t="s">
        <v>5</v>
      </c>
      <c r="AH10">
        <v>7</v>
      </c>
      <c r="AI10" t="s">
        <v>6</v>
      </c>
      <c r="AJ10" s="1">
        <v>0.5</v>
      </c>
      <c r="AK10" t="s">
        <v>7</v>
      </c>
      <c r="AL10" s="1">
        <v>1.7281109999999999E-2</v>
      </c>
      <c r="AM10" t="s">
        <v>8</v>
      </c>
      <c r="AN10" s="1">
        <v>0</v>
      </c>
      <c r="AO10" s="1">
        <v>0.201247719904321</v>
      </c>
    </row>
    <row r="11" spans="1:41">
      <c r="A11" t="s">
        <v>4</v>
      </c>
      <c r="B11">
        <v>0</v>
      </c>
      <c r="C11" t="s">
        <v>5</v>
      </c>
      <c r="D11">
        <v>8</v>
      </c>
      <c r="E11" t="s">
        <v>6</v>
      </c>
      <c r="F11" s="1">
        <v>0.5</v>
      </c>
      <c r="G11" t="s">
        <v>7</v>
      </c>
      <c r="H11" s="1">
        <v>0.13709679999999999</v>
      </c>
      <c r="I11" t="s">
        <v>8</v>
      </c>
      <c r="J11" s="1">
        <v>0</v>
      </c>
      <c r="K11" s="1">
        <v>0.20152582168500899</v>
      </c>
      <c r="S11" t="s">
        <v>4</v>
      </c>
      <c r="T11">
        <v>0</v>
      </c>
      <c r="U11" t="s">
        <v>5</v>
      </c>
      <c r="V11">
        <v>8</v>
      </c>
      <c r="W11" t="s">
        <v>6</v>
      </c>
      <c r="X11" s="1">
        <v>0.5</v>
      </c>
      <c r="Y11" t="s">
        <v>7</v>
      </c>
      <c r="Z11" s="1">
        <v>0.13709679999999999</v>
      </c>
      <c r="AA11" t="s">
        <v>8</v>
      </c>
      <c r="AB11" s="1">
        <v>0</v>
      </c>
      <c r="AC11" s="1">
        <v>0.201561884074654</v>
      </c>
      <c r="AE11" t="s">
        <v>4</v>
      </c>
      <c r="AF11">
        <v>0</v>
      </c>
      <c r="AG11" t="s">
        <v>5</v>
      </c>
      <c r="AH11">
        <v>8</v>
      </c>
      <c r="AI11" t="s">
        <v>6</v>
      </c>
      <c r="AJ11" s="1">
        <v>0.5</v>
      </c>
      <c r="AK11" t="s">
        <v>7</v>
      </c>
      <c r="AL11" s="1">
        <v>1.9585249999999998E-2</v>
      </c>
      <c r="AM11" t="s">
        <v>8</v>
      </c>
      <c r="AN11" s="1">
        <v>0</v>
      </c>
      <c r="AO11" s="1">
        <v>0.19989345817225199</v>
      </c>
    </row>
    <row r="12" spans="1:41">
      <c r="A12" t="s">
        <v>4</v>
      </c>
      <c r="B12">
        <v>0</v>
      </c>
      <c r="C12" t="s">
        <v>5</v>
      </c>
      <c r="D12">
        <v>9</v>
      </c>
      <c r="E12" t="s">
        <v>6</v>
      </c>
      <c r="F12" s="1">
        <v>0.5</v>
      </c>
      <c r="G12" t="s">
        <v>7</v>
      </c>
      <c r="H12" s="1">
        <v>0.1532258</v>
      </c>
      <c r="I12" t="s">
        <v>8</v>
      </c>
      <c r="J12" s="1">
        <v>0</v>
      </c>
      <c r="K12" s="1">
        <v>0.201755090968121</v>
      </c>
      <c r="S12" t="s">
        <v>4</v>
      </c>
      <c r="T12">
        <v>0</v>
      </c>
      <c r="U12" t="s">
        <v>5</v>
      </c>
      <c r="V12">
        <v>9</v>
      </c>
      <c r="W12" t="s">
        <v>6</v>
      </c>
      <c r="X12" s="1">
        <v>0.5</v>
      </c>
      <c r="Y12" t="s">
        <v>7</v>
      </c>
      <c r="Z12" s="1">
        <v>0.1532258</v>
      </c>
      <c r="AA12" t="s">
        <v>8</v>
      </c>
      <c r="AB12" s="1">
        <v>0</v>
      </c>
      <c r="AC12" s="1">
        <v>0.20178915034941999</v>
      </c>
      <c r="AE12" t="s">
        <v>4</v>
      </c>
      <c r="AF12">
        <v>0</v>
      </c>
      <c r="AG12" t="s">
        <v>5</v>
      </c>
      <c r="AH12">
        <v>9</v>
      </c>
      <c r="AI12" t="s">
        <v>6</v>
      </c>
      <c r="AJ12" s="1">
        <v>0.5</v>
      </c>
      <c r="AK12" t="s">
        <v>7</v>
      </c>
      <c r="AL12" s="1">
        <v>2.18894E-2</v>
      </c>
      <c r="AM12" t="s">
        <v>8</v>
      </c>
      <c r="AN12" s="1">
        <v>0</v>
      </c>
      <c r="AO12" s="1">
        <v>0.20141397029291999</v>
      </c>
    </row>
    <row r="13" spans="1:41">
      <c r="A13" t="s">
        <v>4</v>
      </c>
      <c r="B13">
        <v>0</v>
      </c>
      <c r="C13" t="s">
        <v>5</v>
      </c>
      <c r="D13">
        <v>10</v>
      </c>
      <c r="E13" t="s">
        <v>6</v>
      </c>
      <c r="F13" s="1">
        <v>0.5</v>
      </c>
      <c r="G13" t="s">
        <v>7</v>
      </c>
      <c r="H13" s="1">
        <v>0.1693548</v>
      </c>
      <c r="I13" t="s">
        <v>8</v>
      </c>
      <c r="J13" s="1">
        <v>0</v>
      </c>
      <c r="K13" s="1">
        <v>0.20200848360896301</v>
      </c>
      <c r="S13" t="s">
        <v>4</v>
      </c>
      <c r="T13">
        <v>0</v>
      </c>
      <c r="U13" t="s">
        <v>5</v>
      </c>
      <c r="V13">
        <v>10</v>
      </c>
      <c r="W13" t="s">
        <v>6</v>
      </c>
      <c r="X13" s="1">
        <v>0.5</v>
      </c>
      <c r="Y13" t="s">
        <v>7</v>
      </c>
      <c r="Z13" s="1">
        <v>0.1693548</v>
      </c>
      <c r="AA13" t="s">
        <v>8</v>
      </c>
      <c r="AB13" s="1">
        <v>0</v>
      </c>
      <c r="AC13" s="1">
        <v>0.202040157673889</v>
      </c>
      <c r="AE13" t="s">
        <v>4</v>
      </c>
      <c r="AF13">
        <v>0</v>
      </c>
      <c r="AG13" t="s">
        <v>5</v>
      </c>
      <c r="AH13">
        <v>10</v>
      </c>
      <c r="AI13" t="s">
        <v>6</v>
      </c>
      <c r="AJ13" s="1">
        <v>0.5</v>
      </c>
      <c r="AK13" t="s">
        <v>7</v>
      </c>
      <c r="AL13" s="1">
        <v>2.4193550000000001E-2</v>
      </c>
      <c r="AM13" t="s">
        <v>8</v>
      </c>
      <c r="AN13" s="1">
        <v>0</v>
      </c>
      <c r="AO13" s="1">
        <v>0.199324694807366</v>
      </c>
    </row>
    <row r="14" spans="1:41">
      <c r="A14" t="s">
        <v>4</v>
      </c>
      <c r="B14">
        <v>0</v>
      </c>
      <c r="C14" t="s">
        <v>5</v>
      </c>
      <c r="D14">
        <v>11</v>
      </c>
      <c r="E14" t="s">
        <v>6</v>
      </c>
      <c r="F14" s="1">
        <v>0.5</v>
      </c>
      <c r="G14" t="s">
        <v>7</v>
      </c>
      <c r="H14" s="1">
        <v>0.18548390000000001</v>
      </c>
      <c r="I14" t="s">
        <v>8</v>
      </c>
      <c r="J14" s="1">
        <v>0</v>
      </c>
      <c r="K14" s="1">
        <v>0.20228527031417101</v>
      </c>
      <c r="S14" t="s">
        <v>4</v>
      </c>
      <c r="T14">
        <v>0</v>
      </c>
      <c r="U14" t="s">
        <v>5</v>
      </c>
      <c r="V14">
        <v>11</v>
      </c>
      <c r="W14" t="s">
        <v>6</v>
      </c>
      <c r="X14" s="1">
        <v>0.5</v>
      </c>
      <c r="Y14" t="s">
        <v>7</v>
      </c>
      <c r="Z14" s="1">
        <v>0.18548390000000001</v>
      </c>
      <c r="AA14" t="s">
        <v>8</v>
      </c>
      <c r="AB14" s="1">
        <v>0</v>
      </c>
      <c r="AC14" s="1">
        <v>0.20231411239202701</v>
      </c>
      <c r="AE14" t="s">
        <v>4</v>
      </c>
      <c r="AF14">
        <v>0</v>
      </c>
      <c r="AG14" t="s">
        <v>5</v>
      </c>
      <c r="AH14">
        <v>11</v>
      </c>
      <c r="AI14" t="s">
        <v>6</v>
      </c>
      <c r="AJ14" s="1">
        <v>0.5</v>
      </c>
      <c r="AK14" t="s">
        <v>7</v>
      </c>
      <c r="AL14" s="1">
        <v>2.6497699999999999E-2</v>
      </c>
      <c r="AM14" t="s">
        <v>8</v>
      </c>
      <c r="AN14" s="1">
        <v>0</v>
      </c>
      <c r="AO14" s="1">
        <v>0.201422307073575</v>
      </c>
    </row>
    <row r="15" spans="1:41">
      <c r="A15" t="s">
        <v>4</v>
      </c>
      <c r="B15">
        <v>0</v>
      </c>
      <c r="C15" t="s">
        <v>5</v>
      </c>
      <c r="D15">
        <v>12</v>
      </c>
      <c r="E15" t="s">
        <v>6</v>
      </c>
      <c r="F15" s="1">
        <v>0.5</v>
      </c>
      <c r="G15" t="s">
        <v>7</v>
      </c>
      <c r="H15" s="1">
        <v>0.20161290000000001</v>
      </c>
      <c r="I15" t="s">
        <v>8</v>
      </c>
      <c r="J15" s="1">
        <v>0</v>
      </c>
      <c r="K15" s="1">
        <v>0.20258446867981</v>
      </c>
      <c r="S15" t="s">
        <v>4</v>
      </c>
      <c r="T15">
        <v>0</v>
      </c>
      <c r="U15" t="s">
        <v>5</v>
      </c>
      <c r="V15">
        <v>12</v>
      </c>
      <c r="W15" t="s">
        <v>6</v>
      </c>
      <c r="X15" s="1">
        <v>0.5</v>
      </c>
      <c r="Y15" t="s">
        <v>7</v>
      </c>
      <c r="Z15" s="1">
        <v>0.20161290000000001</v>
      </c>
      <c r="AA15" t="s">
        <v>8</v>
      </c>
      <c r="AB15" s="1">
        <v>0</v>
      </c>
      <c r="AC15" s="1">
        <v>0.202609954300457</v>
      </c>
      <c r="AE15" t="s">
        <v>4</v>
      </c>
      <c r="AF15">
        <v>0</v>
      </c>
      <c r="AG15" t="s">
        <v>5</v>
      </c>
      <c r="AH15">
        <v>12</v>
      </c>
      <c r="AI15" t="s">
        <v>6</v>
      </c>
      <c r="AJ15" s="1">
        <v>0.5</v>
      </c>
      <c r="AK15" t="s">
        <v>7</v>
      </c>
      <c r="AL15" s="1">
        <v>2.8801839999999999E-2</v>
      </c>
      <c r="AM15" t="s">
        <v>8</v>
      </c>
      <c r="AN15" s="1">
        <v>0</v>
      </c>
      <c r="AO15" s="1">
        <v>0.19991391459909899</v>
      </c>
    </row>
    <row r="16" spans="1:41">
      <c r="A16" t="s">
        <v>4</v>
      </c>
      <c r="B16">
        <v>0</v>
      </c>
      <c r="C16" t="s">
        <v>5</v>
      </c>
      <c r="D16">
        <v>13</v>
      </c>
      <c r="E16" t="s">
        <v>6</v>
      </c>
      <c r="F16" s="1">
        <v>0.5</v>
      </c>
      <c r="G16" t="s">
        <v>7</v>
      </c>
      <c r="H16" s="1">
        <v>0.21774189999999999</v>
      </c>
      <c r="I16" t="s">
        <v>8</v>
      </c>
      <c r="J16" s="1">
        <v>0</v>
      </c>
      <c r="K16" s="1">
        <v>0.20290474356765401</v>
      </c>
      <c r="S16" t="s">
        <v>4</v>
      </c>
      <c r="T16">
        <v>0</v>
      </c>
      <c r="U16" t="s">
        <v>5</v>
      </c>
      <c r="V16">
        <v>13</v>
      </c>
      <c r="W16" t="s">
        <v>6</v>
      </c>
      <c r="X16" s="1">
        <v>0.5</v>
      </c>
      <c r="Y16" t="s">
        <v>7</v>
      </c>
      <c r="Z16" s="1">
        <v>0.21774189999999999</v>
      </c>
      <c r="AA16" t="s">
        <v>8</v>
      </c>
      <c r="AB16" s="1">
        <v>0</v>
      </c>
      <c r="AC16" s="1">
        <v>0.20292625353924501</v>
      </c>
      <c r="AE16" t="s">
        <v>4</v>
      </c>
      <c r="AF16">
        <v>0</v>
      </c>
      <c r="AG16" t="s">
        <v>5</v>
      </c>
      <c r="AH16">
        <v>13</v>
      </c>
      <c r="AI16" t="s">
        <v>6</v>
      </c>
      <c r="AJ16" s="1">
        <v>0.5</v>
      </c>
      <c r="AK16" t="s">
        <v>7</v>
      </c>
      <c r="AL16" s="1">
        <v>3.110599E-2</v>
      </c>
      <c r="AM16" t="s">
        <v>8</v>
      </c>
      <c r="AN16" s="1">
        <v>0</v>
      </c>
      <c r="AO16" s="1">
        <v>0.20127879447222599</v>
      </c>
    </row>
    <row r="17" spans="1:41">
      <c r="A17" t="s">
        <v>4</v>
      </c>
      <c r="B17">
        <v>0</v>
      </c>
      <c r="C17" t="s">
        <v>5</v>
      </c>
      <c r="D17">
        <v>14</v>
      </c>
      <c r="E17" t="s">
        <v>6</v>
      </c>
      <c r="F17" s="1">
        <v>0.5</v>
      </c>
      <c r="G17" t="s">
        <v>7</v>
      </c>
      <c r="H17" s="1">
        <v>0.233871</v>
      </c>
      <c r="I17" t="s">
        <v>8</v>
      </c>
      <c r="J17" s="1">
        <v>0</v>
      </c>
      <c r="K17" s="1">
        <v>0.203244319313026</v>
      </c>
      <c r="S17" t="s">
        <v>4</v>
      </c>
      <c r="T17">
        <v>0</v>
      </c>
      <c r="U17" t="s">
        <v>5</v>
      </c>
      <c r="V17">
        <v>14</v>
      </c>
      <c r="W17" t="s">
        <v>6</v>
      </c>
      <c r="X17" s="1">
        <v>0.5</v>
      </c>
      <c r="Y17" t="s">
        <v>7</v>
      </c>
      <c r="Z17" s="1">
        <v>0.233871</v>
      </c>
      <c r="AA17" t="s">
        <v>8</v>
      </c>
      <c r="AB17" s="1">
        <v>0</v>
      </c>
      <c r="AC17" s="1">
        <v>0.203261122709189</v>
      </c>
      <c r="AE17" t="s">
        <v>4</v>
      </c>
      <c r="AF17">
        <v>0</v>
      </c>
      <c r="AG17" t="s">
        <v>5</v>
      </c>
      <c r="AH17">
        <v>14</v>
      </c>
      <c r="AI17" t="s">
        <v>6</v>
      </c>
      <c r="AJ17" s="1">
        <v>0.5</v>
      </c>
      <c r="AK17" t="s">
        <v>7</v>
      </c>
      <c r="AL17" s="1">
        <v>3.3410139999999998E-2</v>
      </c>
      <c r="AM17" t="s">
        <v>8</v>
      </c>
      <c r="AN17" s="1">
        <v>0</v>
      </c>
      <c r="AO17" s="1">
        <v>0.20128756864032801</v>
      </c>
    </row>
    <row r="18" spans="1:41">
      <c r="A18" t="s">
        <v>4</v>
      </c>
      <c r="B18">
        <v>0</v>
      </c>
      <c r="C18" t="s">
        <v>5</v>
      </c>
      <c r="D18">
        <v>15</v>
      </c>
      <c r="E18" t="s">
        <v>6</v>
      </c>
      <c r="F18" s="1">
        <v>0.5</v>
      </c>
      <c r="G18" t="s">
        <v>7</v>
      </c>
      <c r="H18" s="1">
        <v>0.25</v>
      </c>
      <c r="I18" t="s">
        <v>8</v>
      </c>
      <c r="J18" s="1">
        <v>0</v>
      </c>
      <c r="K18" s="1">
        <v>0.20360078806780499</v>
      </c>
      <c r="S18" t="s">
        <v>4</v>
      </c>
      <c r="T18">
        <v>0</v>
      </c>
      <c r="U18" t="s">
        <v>5</v>
      </c>
      <c r="V18">
        <v>15</v>
      </c>
      <c r="W18" t="s">
        <v>6</v>
      </c>
      <c r="X18" s="1">
        <v>0.5</v>
      </c>
      <c r="Y18" t="s">
        <v>7</v>
      </c>
      <c r="Z18" s="1">
        <v>0.25</v>
      </c>
      <c r="AA18" t="s">
        <v>8</v>
      </c>
      <c r="AB18" s="1">
        <v>0</v>
      </c>
      <c r="AC18" s="1">
        <v>0.20361201952656099</v>
      </c>
      <c r="AE18" t="s">
        <v>4</v>
      </c>
      <c r="AF18">
        <v>0</v>
      </c>
      <c r="AG18" t="s">
        <v>5</v>
      </c>
      <c r="AH18">
        <v>15</v>
      </c>
      <c r="AI18" t="s">
        <v>6</v>
      </c>
      <c r="AJ18" s="1">
        <v>0.5</v>
      </c>
      <c r="AK18" t="s">
        <v>7</v>
      </c>
      <c r="AL18" s="1">
        <v>3.5714290000000003E-2</v>
      </c>
      <c r="AM18" t="s">
        <v>8</v>
      </c>
      <c r="AN18" s="1">
        <v>0</v>
      </c>
      <c r="AO18" s="1">
        <v>0.19993840509014801</v>
      </c>
    </row>
    <row r="19" spans="1:41">
      <c r="A19" t="s">
        <v>4</v>
      </c>
      <c r="B19">
        <v>0</v>
      </c>
      <c r="C19" t="s">
        <v>5</v>
      </c>
      <c r="D19">
        <v>16</v>
      </c>
      <c r="E19" t="s">
        <v>6</v>
      </c>
      <c r="F19" s="1">
        <v>0.5</v>
      </c>
      <c r="G19" t="s">
        <v>7</v>
      </c>
      <c r="H19" s="1">
        <v>0.266129</v>
      </c>
      <c r="I19" t="s">
        <v>8</v>
      </c>
      <c r="J19" s="1">
        <v>0</v>
      </c>
      <c r="K19" s="1">
        <v>0.20397096366401801</v>
      </c>
      <c r="S19" t="s">
        <v>4</v>
      </c>
      <c r="T19">
        <v>0</v>
      </c>
      <c r="U19" t="s">
        <v>5</v>
      </c>
      <c r="V19">
        <v>16</v>
      </c>
      <c r="W19" t="s">
        <v>6</v>
      </c>
      <c r="X19" s="1">
        <v>0.5</v>
      </c>
      <c r="Y19" t="s">
        <v>7</v>
      </c>
      <c r="Z19" s="1">
        <v>0.266129</v>
      </c>
      <c r="AA19" t="s">
        <v>8</v>
      </c>
      <c r="AB19" s="1">
        <v>0</v>
      </c>
      <c r="AC19" s="1">
        <v>0.20397560699721401</v>
      </c>
      <c r="AE19" t="s">
        <v>4</v>
      </c>
      <c r="AF19">
        <v>0</v>
      </c>
      <c r="AG19" t="s">
        <v>5</v>
      </c>
      <c r="AH19">
        <v>16</v>
      </c>
      <c r="AI19" t="s">
        <v>6</v>
      </c>
      <c r="AJ19" s="1">
        <v>0.5</v>
      </c>
      <c r="AK19" t="s">
        <v>7</v>
      </c>
      <c r="AL19" s="1">
        <v>3.8018429999999999E-2</v>
      </c>
      <c r="AM19" t="s">
        <v>8</v>
      </c>
      <c r="AN19" s="1">
        <v>0</v>
      </c>
      <c r="AO19" s="1">
        <v>0.20146098843072699</v>
      </c>
    </row>
    <row r="20" spans="1:41">
      <c r="A20" t="s">
        <v>4</v>
      </c>
      <c r="B20">
        <v>0</v>
      </c>
      <c r="C20" t="s">
        <v>5</v>
      </c>
      <c r="D20">
        <v>17</v>
      </c>
      <c r="E20" t="s">
        <v>6</v>
      </c>
      <c r="F20" s="1">
        <v>0.5</v>
      </c>
      <c r="G20" t="s">
        <v>7</v>
      </c>
      <c r="H20" s="1">
        <v>0.28225810000000001</v>
      </c>
      <c r="I20" t="s">
        <v>8</v>
      </c>
      <c r="J20" s="1">
        <v>0</v>
      </c>
      <c r="K20" s="1">
        <v>0.20435046699864801</v>
      </c>
      <c r="S20" t="s">
        <v>4</v>
      </c>
      <c r="T20">
        <v>0</v>
      </c>
      <c r="U20" t="s">
        <v>5</v>
      </c>
      <c r="V20">
        <v>17</v>
      </c>
      <c r="W20" t="s">
        <v>6</v>
      </c>
      <c r="X20" s="1">
        <v>0.5</v>
      </c>
      <c r="Y20" t="s">
        <v>7</v>
      </c>
      <c r="Z20" s="1">
        <v>0.28225810000000001</v>
      </c>
      <c r="AA20" t="s">
        <v>8</v>
      </c>
      <c r="AB20" s="1">
        <v>0</v>
      </c>
      <c r="AC20" s="1">
        <v>0.20434732855304399</v>
      </c>
      <c r="AE20" t="s">
        <v>4</v>
      </c>
      <c r="AF20">
        <v>0</v>
      </c>
      <c r="AG20" t="s">
        <v>5</v>
      </c>
      <c r="AH20">
        <v>17</v>
      </c>
      <c r="AI20" t="s">
        <v>6</v>
      </c>
      <c r="AJ20" s="1">
        <v>0.5</v>
      </c>
      <c r="AK20" t="s">
        <v>7</v>
      </c>
      <c r="AL20" s="1">
        <v>4.0322579999999997E-2</v>
      </c>
      <c r="AM20" t="s">
        <v>8</v>
      </c>
      <c r="AN20" s="1">
        <v>0</v>
      </c>
      <c r="AO20" s="1">
        <v>0.199375882487556</v>
      </c>
    </row>
    <row r="21" spans="1:41">
      <c r="A21" t="s">
        <v>4</v>
      </c>
      <c r="B21">
        <v>0</v>
      </c>
      <c r="C21" t="s">
        <v>5</v>
      </c>
      <c r="D21">
        <v>18</v>
      </c>
      <c r="E21" t="s">
        <v>6</v>
      </c>
      <c r="F21" s="1">
        <v>0.5</v>
      </c>
      <c r="G21" t="s">
        <v>7</v>
      </c>
      <c r="H21" s="1">
        <v>0.29838710000000002</v>
      </c>
      <c r="I21" t="s">
        <v>8</v>
      </c>
      <c r="J21" s="1">
        <v>0</v>
      </c>
      <c r="K21" s="1">
        <v>0.204733554170344</v>
      </c>
      <c r="S21" t="s">
        <v>4</v>
      </c>
      <c r="T21">
        <v>0</v>
      </c>
      <c r="U21" t="s">
        <v>5</v>
      </c>
      <c r="V21">
        <v>18</v>
      </c>
      <c r="W21" t="s">
        <v>6</v>
      </c>
      <c r="X21" s="1">
        <v>0.5</v>
      </c>
      <c r="Y21" t="s">
        <v>7</v>
      </c>
      <c r="Z21" s="1">
        <v>0.29838710000000002</v>
      </c>
      <c r="AA21" t="s">
        <v>8</v>
      </c>
      <c r="AB21" s="1">
        <v>0</v>
      </c>
      <c r="AC21" s="1">
        <v>0.20472126476602201</v>
      </c>
      <c r="AE21" t="s">
        <v>4</v>
      </c>
      <c r="AF21">
        <v>0</v>
      </c>
      <c r="AG21" t="s">
        <v>5</v>
      </c>
      <c r="AH21">
        <v>18</v>
      </c>
      <c r="AI21" t="s">
        <v>6</v>
      </c>
      <c r="AJ21" s="1">
        <v>0.5</v>
      </c>
      <c r="AK21" t="s">
        <v>7</v>
      </c>
      <c r="AL21" s="1">
        <v>4.2626730000000002E-2</v>
      </c>
      <c r="AM21" t="s">
        <v>8</v>
      </c>
      <c r="AN21" s="1">
        <v>0</v>
      </c>
      <c r="AO21" s="1">
        <v>0.201474844499265</v>
      </c>
    </row>
    <row r="22" spans="1:41">
      <c r="A22" t="s">
        <v>4</v>
      </c>
      <c r="B22">
        <v>0</v>
      </c>
      <c r="C22" t="s">
        <v>5</v>
      </c>
      <c r="D22">
        <v>19</v>
      </c>
      <c r="E22" t="s">
        <v>6</v>
      </c>
      <c r="F22" s="1">
        <v>0.5</v>
      </c>
      <c r="G22" t="s">
        <v>7</v>
      </c>
      <c r="H22" s="1">
        <v>0.31451610000000002</v>
      </c>
      <c r="I22" t="s">
        <v>8</v>
      </c>
      <c r="J22" s="1">
        <v>0</v>
      </c>
      <c r="K22" s="1">
        <v>0.20511189719564299</v>
      </c>
      <c r="S22" t="s">
        <v>4</v>
      </c>
      <c r="T22">
        <v>0</v>
      </c>
      <c r="U22" t="s">
        <v>5</v>
      </c>
      <c r="V22">
        <v>19</v>
      </c>
      <c r="W22" t="s">
        <v>6</v>
      </c>
      <c r="X22" s="1">
        <v>0.5</v>
      </c>
      <c r="Y22" t="s">
        <v>7</v>
      </c>
      <c r="Z22" s="1">
        <v>0.31451610000000002</v>
      </c>
      <c r="AA22" t="s">
        <v>8</v>
      </c>
      <c r="AB22" s="1">
        <v>0</v>
      </c>
      <c r="AC22" s="1">
        <v>0.20508889298219499</v>
      </c>
      <c r="AE22" t="s">
        <v>4</v>
      </c>
      <c r="AF22">
        <v>0</v>
      </c>
      <c r="AG22" t="s">
        <v>5</v>
      </c>
      <c r="AH22">
        <v>19</v>
      </c>
      <c r="AI22" t="s">
        <v>6</v>
      </c>
      <c r="AJ22" s="1">
        <v>0.5</v>
      </c>
      <c r="AK22" t="s">
        <v>7</v>
      </c>
      <c r="AL22" s="1">
        <v>4.4930879999999999E-2</v>
      </c>
      <c r="AM22" t="s">
        <v>8</v>
      </c>
      <c r="AN22" s="1">
        <v>0</v>
      </c>
      <c r="AO22" s="1">
        <v>0.19997257965427301</v>
      </c>
    </row>
    <row r="23" spans="1:41">
      <c r="A23" t="s">
        <v>4</v>
      </c>
      <c r="B23">
        <v>0</v>
      </c>
      <c r="C23" t="s">
        <v>5</v>
      </c>
      <c r="D23">
        <v>20</v>
      </c>
      <c r="E23" t="s">
        <v>6</v>
      </c>
      <c r="F23" s="1">
        <v>0.5</v>
      </c>
      <c r="G23" t="s">
        <v>7</v>
      </c>
      <c r="H23" s="1">
        <v>0.33064519999999997</v>
      </c>
      <c r="I23" t="s">
        <v>8</v>
      </c>
      <c r="J23" s="1">
        <v>0</v>
      </c>
      <c r="K23" s="1">
        <v>0.20547513597259401</v>
      </c>
      <c r="S23" t="s">
        <v>4</v>
      </c>
      <c r="T23">
        <v>0</v>
      </c>
      <c r="U23" t="s">
        <v>5</v>
      </c>
      <c r="V23">
        <v>20</v>
      </c>
      <c r="W23" t="s">
        <v>6</v>
      </c>
      <c r="X23" s="1">
        <v>0.5</v>
      </c>
      <c r="Y23" t="s">
        <v>7</v>
      </c>
      <c r="Z23" s="1">
        <v>0.33064519999999997</v>
      </c>
      <c r="AA23" t="s">
        <v>8</v>
      </c>
      <c r="AB23" s="1">
        <v>0</v>
      </c>
      <c r="AC23" s="1">
        <v>0.20543973648583</v>
      </c>
      <c r="AE23" t="s">
        <v>4</v>
      </c>
      <c r="AF23">
        <v>0</v>
      </c>
      <c r="AG23" t="s">
        <v>5</v>
      </c>
      <c r="AH23">
        <v>20</v>
      </c>
      <c r="AI23" t="s">
        <v>6</v>
      </c>
      <c r="AJ23" s="1">
        <v>0.5</v>
      </c>
      <c r="AK23" t="s">
        <v>7</v>
      </c>
      <c r="AL23" s="1">
        <v>4.7235020000000003E-2</v>
      </c>
      <c r="AM23" t="s">
        <v>8</v>
      </c>
      <c r="AN23" s="1">
        <v>0</v>
      </c>
      <c r="AO23" s="1">
        <v>0.20133933371936899</v>
      </c>
    </row>
    <row r="24" spans="1:41">
      <c r="A24" t="s">
        <v>4</v>
      </c>
      <c r="B24">
        <v>0</v>
      </c>
      <c r="C24" t="s">
        <v>5</v>
      </c>
      <c r="D24">
        <v>21</v>
      </c>
      <c r="E24" t="s">
        <v>6</v>
      </c>
      <c r="F24" s="1">
        <v>0.5</v>
      </c>
      <c r="G24" t="s">
        <v>7</v>
      </c>
      <c r="H24" s="1">
        <v>0.34677419999999998</v>
      </c>
      <c r="I24" t="s">
        <v>8</v>
      </c>
      <c r="J24" s="1">
        <v>0</v>
      </c>
      <c r="K24" s="1">
        <v>0.20580570009591201</v>
      </c>
      <c r="S24" t="s">
        <v>4</v>
      </c>
      <c r="T24">
        <v>0</v>
      </c>
      <c r="U24" t="s">
        <v>5</v>
      </c>
      <c r="V24">
        <v>21</v>
      </c>
      <c r="W24" t="s">
        <v>6</v>
      </c>
      <c r="X24" s="1">
        <v>0.5</v>
      </c>
      <c r="Y24" t="s">
        <v>7</v>
      </c>
      <c r="Z24" s="1">
        <v>0.34677419999999998</v>
      </c>
      <c r="AA24" t="s">
        <v>8</v>
      </c>
      <c r="AB24" s="1">
        <v>0</v>
      </c>
      <c r="AC24" s="1">
        <v>0.20575613856331301</v>
      </c>
      <c r="AE24" t="s">
        <v>4</v>
      </c>
      <c r="AF24">
        <v>0</v>
      </c>
      <c r="AG24" t="s">
        <v>5</v>
      </c>
      <c r="AH24">
        <v>21</v>
      </c>
      <c r="AI24" t="s">
        <v>6</v>
      </c>
      <c r="AJ24" s="1">
        <v>0.5</v>
      </c>
      <c r="AK24" t="s">
        <v>7</v>
      </c>
      <c r="AL24" s="1">
        <v>4.953917E-2</v>
      </c>
      <c r="AM24" t="s">
        <v>8</v>
      </c>
      <c r="AN24" s="1">
        <v>0</v>
      </c>
      <c r="AO24" s="1">
        <v>0.20135249713422099</v>
      </c>
    </row>
    <row r="25" spans="1:41">
      <c r="A25" t="s">
        <v>4</v>
      </c>
      <c r="B25">
        <v>0</v>
      </c>
      <c r="C25" t="s">
        <v>5</v>
      </c>
      <c r="D25">
        <v>22</v>
      </c>
      <c r="E25" t="s">
        <v>6</v>
      </c>
      <c r="F25" s="1">
        <v>0.5</v>
      </c>
      <c r="G25" t="s">
        <v>7</v>
      </c>
      <c r="H25" s="1">
        <v>0.36290319999999998</v>
      </c>
      <c r="I25" t="s">
        <v>8</v>
      </c>
      <c r="J25" s="1">
        <v>0</v>
      </c>
      <c r="K25" s="1">
        <v>0.20608553678845601</v>
      </c>
      <c r="S25" t="s">
        <v>4</v>
      </c>
      <c r="T25">
        <v>0</v>
      </c>
      <c r="U25" t="s">
        <v>5</v>
      </c>
      <c r="V25">
        <v>22</v>
      </c>
      <c r="W25" t="s">
        <v>6</v>
      </c>
      <c r="X25" s="1">
        <v>0.5</v>
      </c>
      <c r="Y25" t="s">
        <v>7</v>
      </c>
      <c r="Z25" s="1">
        <v>0.36290319999999998</v>
      </c>
      <c r="AA25" t="s">
        <v>8</v>
      </c>
      <c r="AB25" s="1">
        <v>0</v>
      </c>
      <c r="AC25" s="1">
        <v>0.20602028051628599</v>
      </c>
      <c r="AE25" t="s">
        <v>4</v>
      </c>
      <c r="AF25">
        <v>0</v>
      </c>
      <c r="AG25" t="s">
        <v>5</v>
      </c>
      <c r="AH25">
        <v>22</v>
      </c>
      <c r="AI25" t="s">
        <v>6</v>
      </c>
      <c r="AJ25" s="1">
        <v>0.5</v>
      </c>
      <c r="AK25" t="s">
        <v>7</v>
      </c>
      <c r="AL25" s="1">
        <v>5.1843319999999998E-2</v>
      </c>
      <c r="AM25" t="s">
        <v>8</v>
      </c>
      <c r="AN25" s="1">
        <v>0</v>
      </c>
      <c r="AO25" s="1">
        <v>0.200009302613915</v>
      </c>
    </row>
    <row r="26" spans="1:41">
      <c r="A26" t="s">
        <v>4</v>
      </c>
      <c r="B26">
        <v>0</v>
      </c>
      <c r="C26" t="s">
        <v>5</v>
      </c>
      <c r="D26">
        <v>23</v>
      </c>
      <c r="E26" t="s">
        <v>6</v>
      </c>
      <c r="F26" s="1">
        <v>0.5</v>
      </c>
      <c r="G26" t="s">
        <v>7</v>
      </c>
      <c r="H26" s="1">
        <v>0.37903229999999999</v>
      </c>
      <c r="I26" t="s">
        <v>8</v>
      </c>
      <c r="J26" s="1">
        <v>0</v>
      </c>
      <c r="K26" s="1">
        <v>0.206270808840119</v>
      </c>
      <c r="S26" t="s">
        <v>4</v>
      </c>
      <c r="T26">
        <v>0</v>
      </c>
      <c r="U26" t="s">
        <v>5</v>
      </c>
      <c r="V26">
        <v>23</v>
      </c>
      <c r="W26" t="s">
        <v>6</v>
      </c>
      <c r="X26" s="1">
        <v>0.5</v>
      </c>
      <c r="Y26" t="s">
        <v>7</v>
      </c>
      <c r="Z26" s="1">
        <v>0.37903229999999999</v>
      </c>
      <c r="AA26" t="s">
        <v>8</v>
      </c>
      <c r="AB26" s="1">
        <v>0</v>
      </c>
      <c r="AC26" s="1">
        <v>0.206188767862998</v>
      </c>
      <c r="AE26" t="s">
        <v>4</v>
      </c>
      <c r="AF26">
        <v>0</v>
      </c>
      <c r="AG26" t="s">
        <v>5</v>
      </c>
      <c r="AH26">
        <v>23</v>
      </c>
      <c r="AI26" t="s">
        <v>6</v>
      </c>
      <c r="AJ26" s="1">
        <v>0.5</v>
      </c>
      <c r="AK26" t="s">
        <v>7</v>
      </c>
      <c r="AL26" s="1">
        <v>5.4147470000000003E-2</v>
      </c>
      <c r="AM26" t="s">
        <v>8</v>
      </c>
      <c r="AN26" s="1">
        <v>0</v>
      </c>
      <c r="AO26" s="1">
        <v>0.20153284763287699</v>
      </c>
    </row>
    <row r="27" spans="1:41">
      <c r="A27" t="s">
        <v>4</v>
      </c>
      <c r="B27">
        <v>0</v>
      </c>
      <c r="C27" t="s">
        <v>5</v>
      </c>
      <c r="D27">
        <v>24</v>
      </c>
      <c r="E27" t="s">
        <v>6</v>
      </c>
      <c r="F27" s="1">
        <v>0.5</v>
      </c>
      <c r="G27" t="s">
        <v>7</v>
      </c>
      <c r="H27" s="1">
        <v>0.39516129999999999</v>
      </c>
      <c r="I27" t="s">
        <v>8</v>
      </c>
      <c r="J27" s="1">
        <v>0</v>
      </c>
      <c r="K27" s="1">
        <v>0.20633310284651099</v>
      </c>
      <c r="S27" t="s">
        <v>4</v>
      </c>
      <c r="T27">
        <v>0</v>
      </c>
      <c r="U27" t="s">
        <v>5</v>
      </c>
      <c r="V27">
        <v>24</v>
      </c>
      <c r="W27" t="s">
        <v>6</v>
      </c>
      <c r="X27" s="1">
        <v>0.5</v>
      </c>
      <c r="Y27" t="s">
        <v>7</v>
      </c>
      <c r="Z27" s="1">
        <v>0.39516129999999999</v>
      </c>
      <c r="AA27" t="s">
        <v>8</v>
      </c>
      <c r="AB27" s="1">
        <v>0</v>
      </c>
      <c r="AC27" s="1">
        <v>0.20623460160555299</v>
      </c>
      <c r="AE27" t="s">
        <v>4</v>
      </c>
      <c r="AF27">
        <v>0</v>
      </c>
      <c r="AG27" t="s">
        <v>5</v>
      </c>
      <c r="AH27">
        <v>24</v>
      </c>
      <c r="AI27" t="s">
        <v>6</v>
      </c>
      <c r="AJ27" s="1">
        <v>0.5</v>
      </c>
      <c r="AK27" t="s">
        <v>7</v>
      </c>
      <c r="AL27" s="1">
        <v>5.6451609999999999E-2</v>
      </c>
      <c r="AM27" t="s">
        <v>8</v>
      </c>
      <c r="AN27" s="1">
        <v>0</v>
      </c>
      <c r="AO27" s="1">
        <v>0.19945263508524799</v>
      </c>
    </row>
    <row r="28" spans="1:41">
      <c r="A28" t="s">
        <v>4</v>
      </c>
      <c r="B28">
        <v>0</v>
      </c>
      <c r="C28" t="s">
        <v>5</v>
      </c>
      <c r="D28">
        <v>25</v>
      </c>
      <c r="E28" t="s">
        <v>6</v>
      </c>
      <c r="F28" s="1">
        <v>0.5</v>
      </c>
      <c r="G28" t="s">
        <v>7</v>
      </c>
      <c r="H28" s="1">
        <v>0.4112903</v>
      </c>
      <c r="I28" t="s">
        <v>8</v>
      </c>
      <c r="J28" s="1">
        <v>0</v>
      </c>
      <c r="K28" s="1">
        <v>0.20614165428023101</v>
      </c>
      <c r="S28" t="s">
        <v>4</v>
      </c>
      <c r="T28">
        <v>0</v>
      </c>
      <c r="U28" t="s">
        <v>5</v>
      </c>
      <c r="V28">
        <v>25</v>
      </c>
      <c r="W28" t="s">
        <v>6</v>
      </c>
      <c r="X28" s="1">
        <v>0.5</v>
      </c>
      <c r="Y28" t="s">
        <v>7</v>
      </c>
      <c r="Z28" s="1">
        <v>0.4112903</v>
      </c>
      <c r="AA28" t="s">
        <v>8</v>
      </c>
      <c r="AB28" s="1">
        <v>0</v>
      </c>
      <c r="AC28" s="1">
        <v>0.206029100379578</v>
      </c>
      <c r="AE28" t="s">
        <v>4</v>
      </c>
      <c r="AF28">
        <v>0</v>
      </c>
      <c r="AG28" t="s">
        <v>5</v>
      </c>
      <c r="AH28">
        <v>25</v>
      </c>
      <c r="AI28" t="s">
        <v>6</v>
      </c>
      <c r="AJ28" s="1">
        <v>0.5</v>
      </c>
      <c r="AK28" t="s">
        <v>7</v>
      </c>
      <c r="AL28" s="1">
        <v>5.8755759999999997E-2</v>
      </c>
      <c r="AM28" t="s">
        <v>8</v>
      </c>
      <c r="AN28" s="1">
        <v>0</v>
      </c>
      <c r="AO28" s="1">
        <v>0.20155216147812599</v>
      </c>
    </row>
    <row r="29" spans="1:41">
      <c r="A29" t="s">
        <v>4</v>
      </c>
      <c r="B29">
        <v>0</v>
      </c>
      <c r="C29" t="s">
        <v>5</v>
      </c>
      <c r="D29">
        <v>26</v>
      </c>
      <c r="E29" t="s">
        <v>6</v>
      </c>
      <c r="F29" s="1">
        <v>0.5</v>
      </c>
      <c r="G29" t="s">
        <v>7</v>
      </c>
      <c r="H29" s="1">
        <v>0.4274194</v>
      </c>
      <c r="I29" t="s">
        <v>8</v>
      </c>
      <c r="J29" s="1">
        <v>0</v>
      </c>
      <c r="K29" s="1">
        <v>0.20565213091157</v>
      </c>
      <c r="S29" t="s">
        <v>4</v>
      </c>
      <c r="T29">
        <v>0</v>
      </c>
      <c r="U29" t="s">
        <v>5</v>
      </c>
      <c r="V29">
        <v>26</v>
      </c>
      <c r="W29" t="s">
        <v>6</v>
      </c>
      <c r="X29" s="1">
        <v>0.5</v>
      </c>
      <c r="Y29" t="s">
        <v>7</v>
      </c>
      <c r="Z29" s="1">
        <v>0.4274194</v>
      </c>
      <c r="AA29" t="s">
        <v>8</v>
      </c>
      <c r="AB29" s="1">
        <v>0</v>
      </c>
      <c r="AC29" s="1">
        <v>0.20553222563939499</v>
      </c>
      <c r="AE29" t="s">
        <v>4</v>
      </c>
      <c r="AF29">
        <v>0</v>
      </c>
      <c r="AG29" t="s">
        <v>5</v>
      </c>
      <c r="AH29">
        <v>26</v>
      </c>
      <c r="AI29" t="s">
        <v>6</v>
      </c>
      <c r="AJ29" s="1">
        <v>0.5</v>
      </c>
      <c r="AK29" t="s">
        <v>7</v>
      </c>
      <c r="AL29" s="1">
        <v>6.1059910000000002E-2</v>
      </c>
      <c r="AM29" t="s">
        <v>8</v>
      </c>
      <c r="AN29" s="1">
        <v>0</v>
      </c>
      <c r="AO29" s="1">
        <v>0.200057076425675</v>
      </c>
    </row>
    <row r="30" spans="1:41">
      <c r="A30" t="s">
        <v>4</v>
      </c>
      <c r="B30">
        <v>0</v>
      </c>
      <c r="C30" t="s">
        <v>5</v>
      </c>
      <c r="D30">
        <v>27</v>
      </c>
      <c r="E30" t="s">
        <v>6</v>
      </c>
      <c r="F30" s="1">
        <v>0.5</v>
      </c>
      <c r="G30" t="s">
        <v>7</v>
      </c>
      <c r="H30" s="1">
        <v>0.44354840000000001</v>
      </c>
      <c r="I30" t="s">
        <v>8</v>
      </c>
      <c r="J30" s="1">
        <v>0</v>
      </c>
      <c r="K30" s="1">
        <v>0.20441150638585601</v>
      </c>
      <c r="S30" t="s">
        <v>4</v>
      </c>
      <c r="T30">
        <v>0</v>
      </c>
      <c r="U30" t="s">
        <v>5</v>
      </c>
      <c r="V30">
        <v>27</v>
      </c>
      <c r="W30" t="s">
        <v>6</v>
      </c>
      <c r="X30" s="1">
        <v>0.5</v>
      </c>
      <c r="Y30" t="s">
        <v>7</v>
      </c>
      <c r="Z30" s="1">
        <v>0.44354840000000001</v>
      </c>
      <c r="AA30" t="s">
        <v>8</v>
      </c>
      <c r="AB30" s="1">
        <v>0</v>
      </c>
      <c r="AC30" s="1">
        <v>0.20429612032545699</v>
      </c>
      <c r="AE30" t="s">
        <v>4</v>
      </c>
      <c r="AF30">
        <v>0</v>
      </c>
      <c r="AG30" t="s">
        <v>5</v>
      </c>
      <c r="AH30">
        <v>27</v>
      </c>
      <c r="AI30" t="s">
        <v>6</v>
      </c>
      <c r="AJ30" s="1">
        <v>0.5</v>
      </c>
      <c r="AK30" t="s">
        <v>7</v>
      </c>
      <c r="AL30" s="1">
        <v>6.336406E-2</v>
      </c>
      <c r="AM30" t="s">
        <v>8</v>
      </c>
      <c r="AN30" s="1">
        <v>0</v>
      </c>
      <c r="AO30" s="1">
        <v>0.20142486194961401</v>
      </c>
    </row>
    <row r="31" spans="1:41">
      <c r="A31" t="s">
        <v>4</v>
      </c>
      <c r="B31">
        <v>0</v>
      </c>
      <c r="C31" t="s">
        <v>5</v>
      </c>
      <c r="D31">
        <v>28</v>
      </c>
      <c r="E31" t="s">
        <v>6</v>
      </c>
      <c r="F31" s="1">
        <v>0.5</v>
      </c>
      <c r="G31" t="s">
        <v>7</v>
      </c>
      <c r="H31" s="1">
        <v>0.45967740000000001</v>
      </c>
      <c r="I31" t="s">
        <v>8</v>
      </c>
      <c r="J31" s="1">
        <v>0</v>
      </c>
      <c r="K31" s="1">
        <v>0.20218738373134801</v>
      </c>
      <c r="S31" t="s">
        <v>4</v>
      </c>
      <c r="T31">
        <v>0</v>
      </c>
      <c r="U31" t="s">
        <v>5</v>
      </c>
      <c r="V31">
        <v>28</v>
      </c>
      <c r="W31" t="s">
        <v>6</v>
      </c>
      <c r="X31" s="1">
        <v>0.5</v>
      </c>
      <c r="Y31" t="s">
        <v>7</v>
      </c>
      <c r="Z31" s="1">
        <v>0.45967740000000001</v>
      </c>
      <c r="AA31" t="s">
        <v>8</v>
      </c>
      <c r="AB31" s="1">
        <v>0</v>
      </c>
      <c r="AC31" s="1">
        <v>0.202095395697659</v>
      </c>
      <c r="AE31" t="s">
        <v>4</v>
      </c>
      <c r="AF31">
        <v>0</v>
      </c>
      <c r="AG31" t="s">
        <v>5</v>
      </c>
      <c r="AH31">
        <v>28</v>
      </c>
      <c r="AI31" t="s">
        <v>6</v>
      </c>
      <c r="AJ31" s="1">
        <v>0.5</v>
      </c>
      <c r="AK31" t="s">
        <v>7</v>
      </c>
      <c r="AL31" s="1">
        <v>6.5668199999999996E-2</v>
      </c>
      <c r="AM31" t="s">
        <v>8</v>
      </c>
      <c r="AN31" s="1">
        <v>0</v>
      </c>
      <c r="AO31" s="1">
        <v>0.20144241524363801</v>
      </c>
    </row>
    <row r="32" spans="1:41">
      <c r="A32" t="s">
        <v>4</v>
      </c>
      <c r="B32">
        <v>0</v>
      </c>
      <c r="C32" t="s">
        <v>5</v>
      </c>
      <c r="D32">
        <v>29</v>
      </c>
      <c r="E32" t="s">
        <v>6</v>
      </c>
      <c r="F32" s="1">
        <v>0.5</v>
      </c>
      <c r="G32" t="s">
        <v>7</v>
      </c>
      <c r="H32" s="1">
        <v>0.47580650000000002</v>
      </c>
      <c r="I32" t="s">
        <v>8</v>
      </c>
      <c r="J32" s="1">
        <v>0</v>
      </c>
      <c r="K32" s="1">
        <v>0.19677419531620699</v>
      </c>
      <c r="S32" t="s">
        <v>4</v>
      </c>
      <c r="T32">
        <v>0</v>
      </c>
      <c r="U32" t="s">
        <v>5</v>
      </c>
      <c r="V32">
        <v>29</v>
      </c>
      <c r="W32" t="s">
        <v>6</v>
      </c>
      <c r="X32" s="1">
        <v>0.5</v>
      </c>
      <c r="Y32" t="s">
        <v>7</v>
      </c>
      <c r="Z32" s="1">
        <v>0.47580650000000002</v>
      </c>
      <c r="AA32" t="s">
        <v>8</v>
      </c>
      <c r="AB32" s="1">
        <v>0</v>
      </c>
      <c r="AC32" s="1">
        <v>0.19672752727336201</v>
      </c>
      <c r="AE32" t="s">
        <v>4</v>
      </c>
      <c r="AF32">
        <v>0</v>
      </c>
      <c r="AG32" t="s">
        <v>5</v>
      </c>
      <c r="AH32">
        <v>29</v>
      </c>
      <c r="AI32" t="s">
        <v>6</v>
      </c>
      <c r="AJ32" s="1">
        <v>0.5</v>
      </c>
      <c r="AK32" t="s">
        <v>7</v>
      </c>
      <c r="AL32" s="1">
        <v>6.7972350000000001E-2</v>
      </c>
      <c r="AM32" t="s">
        <v>8</v>
      </c>
      <c r="AN32" s="1">
        <v>0</v>
      </c>
      <c r="AO32" s="1">
        <v>0.20010597500079799</v>
      </c>
    </row>
    <row r="33" spans="1:41">
      <c r="A33" t="s">
        <v>4</v>
      </c>
      <c r="B33">
        <v>0</v>
      </c>
      <c r="C33" t="s">
        <v>5</v>
      </c>
      <c r="D33">
        <v>30</v>
      </c>
      <c r="E33" t="s">
        <v>6</v>
      </c>
      <c r="F33" s="1">
        <v>0.5</v>
      </c>
      <c r="G33" t="s">
        <v>7</v>
      </c>
      <c r="H33" s="1">
        <v>0.49193550000000003</v>
      </c>
      <c r="I33" t="s">
        <v>8</v>
      </c>
      <c r="J33" s="1">
        <v>0</v>
      </c>
      <c r="K33" s="1">
        <v>0.180016608880116</v>
      </c>
      <c r="S33" t="s">
        <v>4</v>
      </c>
      <c r="T33">
        <v>0</v>
      </c>
      <c r="U33" t="s">
        <v>5</v>
      </c>
      <c r="V33">
        <v>30</v>
      </c>
      <c r="W33" t="s">
        <v>6</v>
      </c>
      <c r="X33" s="1">
        <v>0.5</v>
      </c>
      <c r="Y33" t="s">
        <v>7</v>
      </c>
      <c r="Z33" s="1">
        <v>0.49193550000000003</v>
      </c>
      <c r="AA33" t="s">
        <v>8</v>
      </c>
      <c r="AB33" s="1">
        <v>0</v>
      </c>
      <c r="AC33" s="1">
        <v>0.180048454743785</v>
      </c>
      <c r="AE33" t="s">
        <v>4</v>
      </c>
      <c r="AF33">
        <v>0</v>
      </c>
      <c r="AG33" t="s">
        <v>5</v>
      </c>
      <c r="AH33">
        <v>30</v>
      </c>
      <c r="AI33" t="s">
        <v>6</v>
      </c>
      <c r="AJ33" s="1">
        <v>0.5</v>
      </c>
      <c r="AK33" t="s">
        <v>7</v>
      </c>
      <c r="AL33" s="1">
        <v>7.0276500000000006E-2</v>
      </c>
      <c r="AM33" t="s">
        <v>8</v>
      </c>
      <c r="AN33" s="1">
        <v>0</v>
      </c>
      <c r="AO33" s="1">
        <v>0.201629454673699</v>
      </c>
    </row>
    <row r="34" spans="1:41">
      <c r="AE34" t="s">
        <v>4</v>
      </c>
      <c r="AF34">
        <v>0</v>
      </c>
      <c r="AG34" t="s">
        <v>5</v>
      </c>
      <c r="AH34">
        <v>31</v>
      </c>
      <c r="AI34" t="s">
        <v>6</v>
      </c>
      <c r="AJ34" s="1">
        <v>0.5</v>
      </c>
      <c r="AK34" t="s">
        <v>7</v>
      </c>
      <c r="AL34" s="1">
        <v>7.2580649999999997E-2</v>
      </c>
      <c r="AM34" t="s">
        <v>8</v>
      </c>
      <c r="AN34" s="1">
        <v>0</v>
      </c>
      <c r="AO34" s="1">
        <v>0.199554780196878</v>
      </c>
    </row>
    <row r="35" spans="1:41">
      <c r="AE35" t="s">
        <v>4</v>
      </c>
      <c r="AF35">
        <v>0</v>
      </c>
      <c r="AG35" t="s">
        <v>5</v>
      </c>
      <c r="AH35">
        <v>32</v>
      </c>
      <c r="AI35" t="s">
        <v>6</v>
      </c>
      <c r="AJ35" s="1">
        <v>0.5</v>
      </c>
      <c r="AK35" t="s">
        <v>7</v>
      </c>
      <c r="AL35" s="1">
        <v>7.4884790000000007E-2</v>
      </c>
      <c r="AM35" t="s">
        <v>8</v>
      </c>
      <c r="AN35" s="1">
        <v>0</v>
      </c>
      <c r="AO35" s="1">
        <v>0.201654136093119</v>
      </c>
    </row>
    <row r="36" spans="1:41">
      <c r="AE36" t="s">
        <v>4</v>
      </c>
      <c r="AF36">
        <v>0</v>
      </c>
      <c r="AG36" t="s">
        <v>5</v>
      </c>
      <c r="AH36">
        <v>33</v>
      </c>
      <c r="AI36" t="s">
        <v>6</v>
      </c>
      <c r="AJ36" s="1">
        <v>0.5</v>
      </c>
      <c r="AK36" t="s">
        <v>7</v>
      </c>
      <c r="AL36" s="1">
        <v>7.7188939999999998E-2</v>
      </c>
      <c r="AM36" t="s">
        <v>8</v>
      </c>
      <c r="AN36" s="1">
        <v>0</v>
      </c>
      <c r="AO36" s="1">
        <v>0.20016734337928399</v>
      </c>
    </row>
    <row r="37" spans="1:41">
      <c r="AE37" t="s">
        <v>4</v>
      </c>
      <c r="AF37">
        <v>0</v>
      </c>
      <c r="AG37" t="s">
        <v>5</v>
      </c>
      <c r="AH37">
        <v>34</v>
      </c>
      <c r="AI37" t="s">
        <v>6</v>
      </c>
      <c r="AJ37" s="1">
        <v>0.5</v>
      </c>
      <c r="AK37" t="s">
        <v>7</v>
      </c>
      <c r="AL37" s="1">
        <v>7.9493090000000002E-2</v>
      </c>
      <c r="AM37" t="s">
        <v>8</v>
      </c>
      <c r="AN37" s="1">
        <v>0</v>
      </c>
      <c r="AO37" s="1">
        <v>0.20153527543747299</v>
      </c>
    </row>
    <row r="38" spans="1:41">
      <c r="AE38" t="s">
        <v>4</v>
      </c>
      <c r="AF38">
        <v>0</v>
      </c>
      <c r="AG38" t="s">
        <v>5</v>
      </c>
      <c r="AH38">
        <v>35</v>
      </c>
      <c r="AI38" t="s">
        <v>6</v>
      </c>
      <c r="AJ38" s="1">
        <v>0.5</v>
      </c>
      <c r="AK38" t="s">
        <v>7</v>
      </c>
      <c r="AL38" s="1">
        <v>8.1797239999999993E-2</v>
      </c>
      <c r="AM38" t="s">
        <v>8</v>
      </c>
      <c r="AN38" s="1">
        <v>0</v>
      </c>
      <c r="AO38" s="1">
        <v>0.201557218078429</v>
      </c>
    </row>
    <row r="39" spans="1:41">
      <c r="AE39" t="s">
        <v>4</v>
      </c>
      <c r="AF39">
        <v>0</v>
      </c>
      <c r="AG39" t="s">
        <v>5</v>
      </c>
      <c r="AH39">
        <v>36</v>
      </c>
      <c r="AI39" t="s">
        <v>6</v>
      </c>
      <c r="AJ39" s="1">
        <v>0.5</v>
      </c>
      <c r="AK39" t="s">
        <v>7</v>
      </c>
      <c r="AL39" s="1">
        <v>8.4101380000000003E-2</v>
      </c>
      <c r="AM39" t="s">
        <v>8</v>
      </c>
      <c r="AN39" s="1">
        <v>0</v>
      </c>
      <c r="AO39" s="1">
        <v>0.20022836535097999</v>
      </c>
    </row>
    <row r="40" spans="1:41">
      <c r="AE40" t="s">
        <v>4</v>
      </c>
      <c r="AF40">
        <v>0</v>
      </c>
      <c r="AG40" t="s">
        <v>5</v>
      </c>
      <c r="AH40">
        <v>37</v>
      </c>
      <c r="AI40" t="s">
        <v>6</v>
      </c>
      <c r="AJ40" s="1">
        <v>0.5</v>
      </c>
      <c r="AK40" t="s">
        <v>7</v>
      </c>
      <c r="AL40" s="1">
        <v>8.6405529999999994E-2</v>
      </c>
      <c r="AM40" t="s">
        <v>8</v>
      </c>
      <c r="AN40" s="1">
        <v>0</v>
      </c>
      <c r="AO40" s="1">
        <v>0.20175066794657101</v>
      </c>
    </row>
    <row r="41" spans="1:41">
      <c r="AE41" t="s">
        <v>4</v>
      </c>
      <c r="AF41">
        <v>0</v>
      </c>
      <c r="AG41" t="s">
        <v>5</v>
      </c>
      <c r="AH41">
        <v>38</v>
      </c>
      <c r="AI41" t="s">
        <v>6</v>
      </c>
      <c r="AJ41" s="1">
        <v>0.5</v>
      </c>
      <c r="AK41" t="s">
        <v>7</v>
      </c>
      <c r="AL41" s="1">
        <v>8.8709679999999999E-2</v>
      </c>
      <c r="AM41" t="s">
        <v>8</v>
      </c>
      <c r="AN41" s="1">
        <v>0</v>
      </c>
      <c r="AO41" s="1">
        <v>0.19968217808166999</v>
      </c>
    </row>
    <row r="42" spans="1:41">
      <c r="AE42" t="s">
        <v>4</v>
      </c>
      <c r="AF42">
        <v>0</v>
      </c>
      <c r="AG42" t="s">
        <v>5</v>
      </c>
      <c r="AH42">
        <v>39</v>
      </c>
      <c r="AI42" t="s">
        <v>6</v>
      </c>
      <c r="AJ42" s="1">
        <v>0.5</v>
      </c>
      <c r="AK42" t="s">
        <v>7</v>
      </c>
      <c r="AL42" s="1">
        <v>9.1013819999999995E-2</v>
      </c>
      <c r="AM42" t="s">
        <v>8</v>
      </c>
      <c r="AN42" s="1">
        <v>0</v>
      </c>
      <c r="AO42" s="1">
        <v>0.201780591759946</v>
      </c>
    </row>
    <row r="43" spans="1:41">
      <c r="AE43" t="s">
        <v>4</v>
      </c>
      <c r="AF43">
        <v>0</v>
      </c>
      <c r="AG43" t="s">
        <v>5</v>
      </c>
      <c r="AH43">
        <v>40</v>
      </c>
      <c r="AI43" t="s">
        <v>6</v>
      </c>
      <c r="AJ43" s="1">
        <v>0.5</v>
      </c>
      <c r="AK43" t="s">
        <v>7</v>
      </c>
      <c r="AL43" s="1">
        <v>9.331797E-2</v>
      </c>
      <c r="AM43" t="s">
        <v>8</v>
      </c>
      <c r="AN43" s="1">
        <v>0</v>
      </c>
      <c r="AO43" s="1">
        <v>0.200303249689642</v>
      </c>
    </row>
    <row r="44" spans="1:41">
      <c r="AE44" t="s">
        <v>4</v>
      </c>
      <c r="AF44">
        <v>0</v>
      </c>
      <c r="AG44" t="s">
        <v>5</v>
      </c>
      <c r="AH44">
        <v>41</v>
      </c>
      <c r="AI44" t="s">
        <v>6</v>
      </c>
      <c r="AJ44" s="1">
        <v>0.5</v>
      </c>
      <c r="AK44" t="s">
        <v>7</v>
      </c>
      <c r="AL44" s="1">
        <v>9.5622120000000005E-2</v>
      </c>
      <c r="AM44" t="s">
        <v>8</v>
      </c>
      <c r="AN44" s="1">
        <v>0</v>
      </c>
      <c r="AO44" s="1">
        <v>0.20167040754815599</v>
      </c>
    </row>
    <row r="45" spans="1:41">
      <c r="AE45" t="s">
        <v>4</v>
      </c>
      <c r="AF45">
        <v>0</v>
      </c>
      <c r="AG45" t="s">
        <v>5</v>
      </c>
      <c r="AH45">
        <v>42</v>
      </c>
      <c r="AI45" t="s">
        <v>6</v>
      </c>
      <c r="AJ45" s="1">
        <v>0.5</v>
      </c>
      <c r="AK45" t="s">
        <v>7</v>
      </c>
      <c r="AL45" s="1">
        <v>9.7926269999999996E-2</v>
      </c>
      <c r="AM45" t="s">
        <v>8</v>
      </c>
      <c r="AN45" s="1">
        <v>0</v>
      </c>
      <c r="AO45" s="1">
        <v>0.20169673523930601</v>
      </c>
    </row>
    <row r="46" spans="1:41">
      <c r="AE46" t="s">
        <v>4</v>
      </c>
      <c r="AF46">
        <v>0</v>
      </c>
      <c r="AG46" t="s">
        <v>5</v>
      </c>
      <c r="AH46">
        <v>43</v>
      </c>
      <c r="AI46" t="s">
        <v>6</v>
      </c>
      <c r="AJ46" s="1">
        <v>0.5</v>
      </c>
      <c r="AK46" t="s">
        <v>7</v>
      </c>
      <c r="AL46" s="1">
        <v>0.1002304</v>
      </c>
      <c r="AM46" t="s">
        <v>8</v>
      </c>
      <c r="AN46" s="1">
        <v>0</v>
      </c>
      <c r="AO46" s="1">
        <v>0.200376308236104</v>
      </c>
    </row>
    <row r="47" spans="1:41">
      <c r="AE47" t="s">
        <v>4</v>
      </c>
      <c r="AF47">
        <v>0</v>
      </c>
      <c r="AG47" t="s">
        <v>5</v>
      </c>
      <c r="AH47">
        <v>44</v>
      </c>
      <c r="AI47" t="s">
        <v>6</v>
      </c>
      <c r="AJ47" s="1">
        <v>0.5</v>
      </c>
      <c r="AK47" t="s">
        <v>7</v>
      </c>
      <c r="AL47" s="1">
        <v>0.1025346</v>
      </c>
      <c r="AM47" t="s">
        <v>8</v>
      </c>
      <c r="AN47" s="1">
        <v>0</v>
      </c>
      <c r="AO47" s="1">
        <v>0.201896278465796</v>
      </c>
    </row>
    <row r="48" spans="1:41">
      <c r="AE48" t="s">
        <v>4</v>
      </c>
      <c r="AF48">
        <v>0</v>
      </c>
      <c r="AG48" t="s">
        <v>5</v>
      </c>
      <c r="AH48">
        <v>45</v>
      </c>
      <c r="AI48" t="s">
        <v>6</v>
      </c>
      <c r="AJ48" s="1">
        <v>0.5</v>
      </c>
      <c r="AK48" t="s">
        <v>7</v>
      </c>
      <c r="AL48" s="1">
        <v>0.10483870000000001</v>
      </c>
      <c r="AM48" t="s">
        <v>8</v>
      </c>
      <c r="AN48" s="1">
        <v>0</v>
      </c>
      <c r="AO48" s="1">
        <v>0.19983459406531701</v>
      </c>
    </row>
    <row r="49" spans="31:41">
      <c r="AE49" t="s">
        <v>4</v>
      </c>
      <c r="AF49">
        <v>0</v>
      </c>
      <c r="AG49" t="s">
        <v>5</v>
      </c>
      <c r="AH49">
        <v>46</v>
      </c>
      <c r="AI49" t="s">
        <v>6</v>
      </c>
      <c r="AJ49" s="1">
        <v>0.5</v>
      </c>
      <c r="AK49" t="s">
        <v>7</v>
      </c>
      <c r="AL49" s="1">
        <v>0.1071429</v>
      </c>
      <c r="AM49" t="s">
        <v>8</v>
      </c>
      <c r="AN49" s="1">
        <v>0</v>
      </c>
      <c r="AO49" s="1">
        <v>0.20193127766215799</v>
      </c>
    </row>
    <row r="50" spans="31:41">
      <c r="AE50" t="s">
        <v>4</v>
      </c>
      <c r="AF50">
        <v>0</v>
      </c>
      <c r="AG50" t="s">
        <v>5</v>
      </c>
      <c r="AH50">
        <v>47</v>
      </c>
      <c r="AI50" t="s">
        <v>6</v>
      </c>
      <c r="AJ50" s="1">
        <v>0.5</v>
      </c>
      <c r="AK50" t="s">
        <v>7</v>
      </c>
      <c r="AL50" s="1">
        <v>0.109447</v>
      </c>
      <c r="AM50" t="s">
        <v>8</v>
      </c>
      <c r="AN50" s="1">
        <v>0</v>
      </c>
      <c r="AO50" s="1">
        <v>0.20046462512433499</v>
      </c>
    </row>
    <row r="51" spans="31:41">
      <c r="AE51" t="s">
        <v>4</v>
      </c>
      <c r="AF51">
        <v>0</v>
      </c>
      <c r="AG51" t="s">
        <v>5</v>
      </c>
      <c r="AH51">
        <v>48</v>
      </c>
      <c r="AI51" t="s">
        <v>6</v>
      </c>
      <c r="AJ51" s="1">
        <v>0.5</v>
      </c>
      <c r="AK51" t="s">
        <v>7</v>
      </c>
      <c r="AL51" s="1">
        <v>0.11175119999999999</v>
      </c>
      <c r="AM51" t="s">
        <v>8</v>
      </c>
      <c r="AN51" s="1">
        <v>0</v>
      </c>
      <c r="AO51" s="1">
        <v>0.20183002637030101</v>
      </c>
    </row>
    <row r="52" spans="31:41">
      <c r="AE52" t="s">
        <v>4</v>
      </c>
      <c r="AF52">
        <v>0</v>
      </c>
      <c r="AG52" t="s">
        <v>5</v>
      </c>
      <c r="AH52">
        <v>49</v>
      </c>
      <c r="AI52" t="s">
        <v>6</v>
      </c>
      <c r="AJ52" s="1">
        <v>0.5</v>
      </c>
      <c r="AK52" t="s">
        <v>7</v>
      </c>
      <c r="AL52" s="1">
        <v>0.1140553</v>
      </c>
      <c r="AM52" t="s">
        <v>8</v>
      </c>
      <c r="AN52" s="1">
        <v>0</v>
      </c>
      <c r="AO52" s="1">
        <v>0.20186072875553601</v>
      </c>
    </row>
    <row r="53" spans="31:41">
      <c r="AE53" t="s">
        <v>4</v>
      </c>
      <c r="AF53">
        <v>0</v>
      </c>
      <c r="AG53" t="s">
        <v>5</v>
      </c>
      <c r="AH53">
        <v>50</v>
      </c>
      <c r="AI53" t="s">
        <v>6</v>
      </c>
      <c r="AJ53" s="1">
        <v>0.5</v>
      </c>
      <c r="AK53" t="s">
        <v>7</v>
      </c>
      <c r="AL53" s="1">
        <v>0.1163594</v>
      </c>
      <c r="AM53" t="s">
        <v>8</v>
      </c>
      <c r="AN53" s="1">
        <v>0</v>
      </c>
      <c r="AO53" s="1">
        <v>0.20054960380351999</v>
      </c>
    </row>
    <row r="54" spans="31:41">
      <c r="AE54" t="s">
        <v>4</v>
      </c>
      <c r="AF54">
        <v>0</v>
      </c>
      <c r="AG54" t="s">
        <v>5</v>
      </c>
      <c r="AH54">
        <v>51</v>
      </c>
      <c r="AI54" t="s">
        <v>6</v>
      </c>
      <c r="AJ54" s="1">
        <v>0.5</v>
      </c>
      <c r="AK54" t="s">
        <v>7</v>
      </c>
      <c r="AL54" s="1">
        <v>0.11866359999999999</v>
      </c>
      <c r="AM54" t="s">
        <v>8</v>
      </c>
      <c r="AN54" s="1">
        <v>0</v>
      </c>
      <c r="AO54" s="1">
        <v>0.202065989633016</v>
      </c>
    </row>
    <row r="55" spans="31:41">
      <c r="AE55" t="s">
        <v>4</v>
      </c>
      <c r="AF55">
        <v>0</v>
      </c>
      <c r="AG55" t="s">
        <v>5</v>
      </c>
      <c r="AH55">
        <v>52</v>
      </c>
      <c r="AI55" t="s">
        <v>6</v>
      </c>
      <c r="AJ55" s="1">
        <v>0.5</v>
      </c>
      <c r="AK55" t="s">
        <v>7</v>
      </c>
      <c r="AL55" s="1">
        <v>0.1209677</v>
      </c>
      <c r="AM55" t="s">
        <v>8</v>
      </c>
      <c r="AN55" s="1">
        <v>0</v>
      </c>
      <c r="AO55" s="1">
        <v>0.20001172891135599</v>
      </c>
    </row>
    <row r="56" spans="31:41">
      <c r="AE56" t="s">
        <v>4</v>
      </c>
      <c r="AF56">
        <v>0</v>
      </c>
      <c r="AG56" t="s">
        <v>5</v>
      </c>
      <c r="AH56">
        <v>53</v>
      </c>
      <c r="AI56" t="s">
        <v>6</v>
      </c>
      <c r="AJ56" s="1">
        <v>0.5</v>
      </c>
      <c r="AK56" t="s">
        <v>7</v>
      </c>
      <c r="AL56" s="1">
        <v>0.1232719</v>
      </c>
      <c r="AM56" t="s">
        <v>8</v>
      </c>
      <c r="AN56" s="1">
        <v>0</v>
      </c>
      <c r="AO56" s="1">
        <v>0.20210584540069801</v>
      </c>
    </row>
    <row r="57" spans="31:41">
      <c r="AE57" t="s">
        <v>4</v>
      </c>
      <c r="AF57">
        <v>0</v>
      </c>
      <c r="AG57" t="s">
        <v>5</v>
      </c>
      <c r="AH57">
        <v>54</v>
      </c>
      <c r="AI57" t="s">
        <v>6</v>
      </c>
      <c r="AJ57" s="1">
        <v>0.5</v>
      </c>
      <c r="AK57" t="s">
        <v>7</v>
      </c>
      <c r="AL57" s="1">
        <v>0.12557599999999999</v>
      </c>
      <c r="AM57" t="s">
        <v>8</v>
      </c>
      <c r="AN57" s="1">
        <v>0</v>
      </c>
      <c r="AO57" s="1">
        <v>0.20065122509224401</v>
      </c>
    </row>
    <row r="58" spans="31:41">
      <c r="AE58" t="s">
        <v>4</v>
      </c>
      <c r="AF58">
        <v>0</v>
      </c>
      <c r="AG58" t="s">
        <v>5</v>
      </c>
      <c r="AH58">
        <v>55</v>
      </c>
      <c r="AI58" t="s">
        <v>6</v>
      </c>
      <c r="AJ58" s="1">
        <v>0.5</v>
      </c>
      <c r="AK58" t="s">
        <v>7</v>
      </c>
      <c r="AL58" s="1">
        <v>0.1278802</v>
      </c>
      <c r="AM58" t="s">
        <v>8</v>
      </c>
      <c r="AN58" s="1">
        <v>0</v>
      </c>
      <c r="AO58" s="1">
        <v>0.20201380474678399</v>
      </c>
    </row>
    <row r="59" spans="31:41">
      <c r="AE59" t="s">
        <v>4</v>
      </c>
      <c r="AF59">
        <v>0</v>
      </c>
      <c r="AG59" t="s">
        <v>5</v>
      </c>
      <c r="AH59">
        <v>56</v>
      </c>
      <c r="AI59" t="s">
        <v>6</v>
      </c>
      <c r="AJ59" s="1">
        <v>0.5</v>
      </c>
      <c r="AK59" t="s">
        <v>7</v>
      </c>
      <c r="AL59" s="1">
        <v>0.1301843</v>
      </c>
      <c r="AM59" t="s">
        <v>8</v>
      </c>
      <c r="AN59" s="1">
        <v>0</v>
      </c>
      <c r="AO59" s="1">
        <v>0.202048861886648</v>
      </c>
    </row>
    <row r="60" spans="31:41">
      <c r="AE60" t="s">
        <v>4</v>
      </c>
      <c r="AF60">
        <v>0</v>
      </c>
      <c r="AG60" t="s">
        <v>5</v>
      </c>
      <c r="AH60">
        <v>57</v>
      </c>
      <c r="AI60" t="s">
        <v>6</v>
      </c>
      <c r="AJ60" s="1">
        <v>0.5</v>
      </c>
      <c r="AK60" t="s">
        <v>7</v>
      </c>
      <c r="AL60" s="1">
        <v>0.13248850000000001</v>
      </c>
      <c r="AM60" t="s">
        <v>8</v>
      </c>
      <c r="AN60" s="1">
        <v>0</v>
      </c>
      <c r="AO60" s="1">
        <v>0.20074796431851399</v>
      </c>
    </row>
    <row r="61" spans="31:41">
      <c r="AE61" t="s">
        <v>4</v>
      </c>
      <c r="AF61">
        <v>0</v>
      </c>
      <c r="AG61" t="s">
        <v>5</v>
      </c>
      <c r="AH61">
        <v>58</v>
      </c>
      <c r="AI61" t="s">
        <v>6</v>
      </c>
      <c r="AJ61" s="1">
        <v>0.5</v>
      </c>
      <c r="AK61" t="s">
        <v>7</v>
      </c>
      <c r="AL61" s="1">
        <v>0.13479260000000001</v>
      </c>
      <c r="AM61" t="s">
        <v>8</v>
      </c>
      <c r="AN61" s="1">
        <v>0</v>
      </c>
      <c r="AO61" s="1">
        <v>0.20225938819536199</v>
      </c>
    </row>
    <row r="62" spans="31:41">
      <c r="AE62" t="s">
        <v>4</v>
      </c>
      <c r="AF62">
        <v>0</v>
      </c>
      <c r="AG62" t="s">
        <v>5</v>
      </c>
      <c r="AH62">
        <v>59</v>
      </c>
      <c r="AI62" t="s">
        <v>6</v>
      </c>
      <c r="AJ62" s="1">
        <v>0.5</v>
      </c>
      <c r="AK62" t="s">
        <v>7</v>
      </c>
      <c r="AL62" s="1">
        <v>0.13709679999999999</v>
      </c>
      <c r="AM62" t="s">
        <v>8</v>
      </c>
      <c r="AN62" s="1">
        <v>0</v>
      </c>
      <c r="AO62" s="1">
        <v>0.200213183882612</v>
      </c>
    </row>
    <row r="63" spans="31:41">
      <c r="AE63" t="s">
        <v>4</v>
      </c>
      <c r="AF63">
        <v>0</v>
      </c>
      <c r="AG63" t="s">
        <v>5</v>
      </c>
      <c r="AH63">
        <v>60</v>
      </c>
      <c r="AI63" t="s">
        <v>6</v>
      </c>
      <c r="AJ63" s="1">
        <v>0.5</v>
      </c>
      <c r="AK63" t="s">
        <v>7</v>
      </c>
      <c r="AL63" s="1">
        <v>0.13940089999999999</v>
      </c>
      <c r="AM63" t="s">
        <v>8</v>
      </c>
      <c r="AN63" s="1">
        <v>0</v>
      </c>
      <c r="AO63" s="1">
        <v>0.20230381741837999</v>
      </c>
    </row>
    <row r="64" spans="31:41">
      <c r="AE64" t="s">
        <v>4</v>
      </c>
      <c r="AF64">
        <v>0</v>
      </c>
      <c r="AG64" t="s">
        <v>5</v>
      </c>
      <c r="AH64">
        <v>61</v>
      </c>
      <c r="AI64" t="s">
        <v>6</v>
      </c>
      <c r="AJ64" s="1">
        <v>0.5</v>
      </c>
      <c r="AK64" t="s">
        <v>7</v>
      </c>
      <c r="AL64" s="1">
        <v>0.1417051</v>
      </c>
      <c r="AM64" t="s">
        <v>8</v>
      </c>
      <c r="AN64" s="1">
        <v>0</v>
      </c>
      <c r="AO64" s="1">
        <v>0.20086271613696499</v>
      </c>
    </row>
    <row r="65" spans="31:41">
      <c r="AE65" t="s">
        <v>4</v>
      </c>
      <c r="AF65">
        <v>0</v>
      </c>
      <c r="AG65" t="s">
        <v>5</v>
      </c>
      <c r="AH65">
        <v>62</v>
      </c>
      <c r="AI65" t="s">
        <v>6</v>
      </c>
      <c r="AJ65" s="1">
        <v>0.5</v>
      </c>
      <c r="AK65" t="s">
        <v>7</v>
      </c>
      <c r="AL65" s="1">
        <v>0.1440092</v>
      </c>
      <c r="AM65" t="s">
        <v>8</v>
      </c>
      <c r="AN65" s="1">
        <v>0</v>
      </c>
      <c r="AO65" s="1">
        <v>0.20222129305984499</v>
      </c>
    </row>
    <row r="66" spans="31:41">
      <c r="AE66" t="s">
        <v>4</v>
      </c>
      <c r="AF66">
        <v>0</v>
      </c>
      <c r="AG66" t="s">
        <v>5</v>
      </c>
      <c r="AH66">
        <v>63</v>
      </c>
      <c r="AI66" t="s">
        <v>6</v>
      </c>
      <c r="AJ66" s="1">
        <v>0.5</v>
      </c>
      <c r="AK66" t="s">
        <v>7</v>
      </c>
      <c r="AL66" s="1">
        <v>0.14631340000000001</v>
      </c>
      <c r="AM66" t="s">
        <v>8</v>
      </c>
      <c r="AN66" s="1">
        <v>0</v>
      </c>
      <c r="AO66" s="1">
        <v>0.20226067085107899</v>
      </c>
    </row>
    <row r="67" spans="31:41">
      <c r="AE67" t="s">
        <v>4</v>
      </c>
      <c r="AF67">
        <v>0</v>
      </c>
      <c r="AG67" t="s">
        <v>5</v>
      </c>
      <c r="AH67">
        <v>64</v>
      </c>
      <c r="AI67" t="s">
        <v>6</v>
      </c>
      <c r="AJ67" s="1">
        <v>0.5</v>
      </c>
      <c r="AK67" t="s">
        <v>7</v>
      </c>
      <c r="AL67" s="1">
        <v>0.14861750000000001</v>
      </c>
      <c r="AM67" t="s">
        <v>8</v>
      </c>
      <c r="AN67" s="1">
        <v>0</v>
      </c>
      <c r="AO67" s="1">
        <v>0.20097099828201101</v>
      </c>
    </row>
    <row r="68" spans="31:41">
      <c r="AE68" t="s">
        <v>4</v>
      </c>
      <c r="AF68">
        <v>0</v>
      </c>
      <c r="AG68" t="s">
        <v>5</v>
      </c>
      <c r="AH68">
        <v>65</v>
      </c>
      <c r="AI68" t="s">
        <v>6</v>
      </c>
      <c r="AJ68" s="1">
        <v>0.5</v>
      </c>
      <c r="AK68" t="s">
        <v>7</v>
      </c>
      <c r="AL68" s="1">
        <v>0.15092169999999999</v>
      </c>
      <c r="AM68" t="s">
        <v>8</v>
      </c>
      <c r="AN68" s="1">
        <v>0</v>
      </c>
      <c r="AO68" s="1">
        <v>0.20247590646885599</v>
      </c>
    </row>
    <row r="69" spans="31:41">
      <c r="AE69" t="s">
        <v>4</v>
      </c>
      <c r="AF69">
        <v>0</v>
      </c>
      <c r="AG69" t="s">
        <v>5</v>
      </c>
      <c r="AH69">
        <v>66</v>
      </c>
      <c r="AI69" t="s">
        <v>6</v>
      </c>
      <c r="AJ69" s="1">
        <v>0.5</v>
      </c>
      <c r="AK69" t="s">
        <v>7</v>
      </c>
      <c r="AL69" s="1">
        <v>0.1532258</v>
      </c>
      <c r="AM69" t="s">
        <v>8</v>
      </c>
      <c r="AN69" s="1">
        <v>0</v>
      </c>
      <c r="AO69" s="1">
        <v>0.20043843681965301</v>
      </c>
    </row>
    <row r="70" spans="31:41">
      <c r="AE70" t="s">
        <v>4</v>
      </c>
      <c r="AF70">
        <v>0</v>
      </c>
      <c r="AG70" t="s">
        <v>5</v>
      </c>
      <c r="AH70">
        <v>67</v>
      </c>
      <c r="AI70" t="s">
        <v>6</v>
      </c>
      <c r="AJ70" s="1">
        <v>0.5</v>
      </c>
      <c r="AK70" t="s">
        <v>7</v>
      </c>
      <c r="AL70" s="1">
        <v>0.15553</v>
      </c>
      <c r="AM70" t="s">
        <v>8</v>
      </c>
      <c r="AN70" s="1">
        <v>0</v>
      </c>
      <c r="AO70" s="1">
        <v>0.20252454492288499</v>
      </c>
    </row>
    <row r="71" spans="31:41">
      <c r="AE71" t="s">
        <v>4</v>
      </c>
      <c r="AF71">
        <v>0</v>
      </c>
      <c r="AG71" t="s">
        <v>5</v>
      </c>
      <c r="AH71">
        <v>68</v>
      </c>
      <c r="AI71" t="s">
        <v>6</v>
      </c>
      <c r="AJ71" s="1">
        <v>0.5</v>
      </c>
      <c r="AK71" t="s">
        <v>7</v>
      </c>
      <c r="AL71" s="1">
        <v>0.1578341</v>
      </c>
      <c r="AM71" t="s">
        <v>8</v>
      </c>
      <c r="AN71" s="1">
        <v>0</v>
      </c>
      <c r="AO71" s="1">
        <v>0.2010986477085</v>
      </c>
    </row>
    <row r="72" spans="31:41">
      <c r="AE72" t="s">
        <v>4</v>
      </c>
      <c r="AF72">
        <v>0</v>
      </c>
      <c r="AG72" t="s">
        <v>5</v>
      </c>
      <c r="AH72">
        <v>69</v>
      </c>
      <c r="AI72" t="s">
        <v>6</v>
      </c>
      <c r="AJ72" s="1">
        <v>0.5</v>
      </c>
      <c r="AK72" t="s">
        <v>7</v>
      </c>
      <c r="AL72" s="1">
        <v>0.16013820000000001</v>
      </c>
      <c r="AM72" t="s">
        <v>8</v>
      </c>
      <c r="AN72" s="1">
        <v>0</v>
      </c>
      <c r="AO72" s="1">
        <v>0.20245187703026901</v>
      </c>
    </row>
    <row r="73" spans="31:41">
      <c r="AE73" t="s">
        <v>4</v>
      </c>
      <c r="AF73">
        <v>0</v>
      </c>
      <c r="AG73" t="s">
        <v>5</v>
      </c>
      <c r="AH73">
        <v>70</v>
      </c>
      <c r="AI73" t="s">
        <v>6</v>
      </c>
      <c r="AJ73" s="1">
        <v>0.5</v>
      </c>
      <c r="AK73" t="s">
        <v>7</v>
      </c>
      <c r="AL73" s="1">
        <v>0.16244239999999999</v>
      </c>
      <c r="AM73" t="s">
        <v>8</v>
      </c>
      <c r="AN73" s="1">
        <v>0</v>
      </c>
      <c r="AO73" s="1">
        <v>0.20249552145792499</v>
      </c>
    </row>
    <row r="74" spans="31:41">
      <c r="AE74" t="s">
        <v>4</v>
      </c>
      <c r="AF74">
        <v>0</v>
      </c>
      <c r="AG74" t="s">
        <v>5</v>
      </c>
      <c r="AH74">
        <v>71</v>
      </c>
      <c r="AI74" t="s">
        <v>6</v>
      </c>
      <c r="AJ74" s="1">
        <v>0.5</v>
      </c>
      <c r="AK74" t="s">
        <v>7</v>
      </c>
      <c r="AL74" s="1">
        <v>0.16474649999999999</v>
      </c>
      <c r="AM74" t="s">
        <v>8</v>
      </c>
      <c r="AN74" s="1">
        <v>0</v>
      </c>
      <c r="AO74" s="1">
        <v>0.20121818752878401</v>
      </c>
    </row>
    <row r="75" spans="31:41">
      <c r="AE75" t="s">
        <v>4</v>
      </c>
      <c r="AF75">
        <v>0</v>
      </c>
      <c r="AG75" t="s">
        <v>5</v>
      </c>
      <c r="AH75">
        <v>72</v>
      </c>
      <c r="AI75" t="s">
        <v>6</v>
      </c>
      <c r="AJ75" s="1">
        <v>0.5</v>
      </c>
      <c r="AK75" t="s">
        <v>7</v>
      </c>
      <c r="AL75" s="1">
        <v>0.1670507</v>
      </c>
      <c r="AM75" t="s">
        <v>8</v>
      </c>
      <c r="AN75" s="1">
        <v>0</v>
      </c>
      <c r="AO75" s="1">
        <v>0.20271477413293801</v>
      </c>
    </row>
    <row r="76" spans="31:41">
      <c r="AE76" t="s">
        <v>4</v>
      </c>
      <c r="AF76">
        <v>0</v>
      </c>
      <c r="AG76" t="s">
        <v>5</v>
      </c>
      <c r="AH76">
        <v>73</v>
      </c>
      <c r="AI76" t="s">
        <v>6</v>
      </c>
      <c r="AJ76" s="1">
        <v>0.5</v>
      </c>
      <c r="AK76" t="s">
        <v>7</v>
      </c>
      <c r="AL76" s="1">
        <v>0.1693548</v>
      </c>
      <c r="AM76" t="s">
        <v>8</v>
      </c>
      <c r="AN76" s="1">
        <v>0</v>
      </c>
      <c r="AO76" s="1">
        <v>0.20068682289083201</v>
      </c>
    </row>
    <row r="77" spans="31:41">
      <c r="AE77" t="s">
        <v>4</v>
      </c>
      <c r="AF77">
        <v>0</v>
      </c>
      <c r="AG77" t="s">
        <v>5</v>
      </c>
      <c r="AH77">
        <v>74</v>
      </c>
      <c r="AI77" t="s">
        <v>6</v>
      </c>
      <c r="AJ77" s="1">
        <v>0.5</v>
      </c>
      <c r="AK77" t="s">
        <v>7</v>
      </c>
      <c r="AL77" s="1">
        <v>0.17165900000000001</v>
      </c>
      <c r="AM77" t="s">
        <v>8</v>
      </c>
      <c r="AN77" s="1">
        <v>0</v>
      </c>
      <c r="AO77" s="1">
        <v>0.20276715573367801</v>
      </c>
    </row>
    <row r="78" spans="31:41">
      <c r="AE78" t="s">
        <v>4</v>
      </c>
      <c r="AF78">
        <v>0</v>
      </c>
      <c r="AG78" t="s">
        <v>5</v>
      </c>
      <c r="AH78">
        <v>75</v>
      </c>
      <c r="AI78" t="s">
        <v>6</v>
      </c>
      <c r="AJ78" s="1">
        <v>0.5</v>
      </c>
      <c r="AK78" t="s">
        <v>7</v>
      </c>
      <c r="AL78" s="1">
        <v>0.17396310000000001</v>
      </c>
      <c r="AM78" t="s">
        <v>8</v>
      </c>
      <c r="AN78" s="1">
        <v>0</v>
      </c>
      <c r="AO78" s="1">
        <v>0.20135841072921301</v>
      </c>
    </row>
    <row r="79" spans="31:41">
      <c r="AE79" t="s">
        <v>4</v>
      </c>
      <c r="AF79">
        <v>0</v>
      </c>
      <c r="AG79" t="s">
        <v>5</v>
      </c>
      <c r="AH79">
        <v>76</v>
      </c>
      <c r="AI79" t="s">
        <v>6</v>
      </c>
      <c r="AJ79" s="1">
        <v>0.5</v>
      </c>
      <c r="AK79" t="s">
        <v>7</v>
      </c>
      <c r="AL79" s="1">
        <v>0.17626729999999999</v>
      </c>
      <c r="AM79" t="s">
        <v>8</v>
      </c>
      <c r="AN79" s="1">
        <v>0</v>
      </c>
      <c r="AO79" s="1">
        <v>0.202704728938402</v>
      </c>
    </row>
    <row r="80" spans="31:41">
      <c r="AE80" t="s">
        <v>4</v>
      </c>
      <c r="AF80">
        <v>0</v>
      </c>
      <c r="AG80" t="s">
        <v>5</v>
      </c>
      <c r="AH80">
        <v>77</v>
      </c>
      <c r="AI80" t="s">
        <v>6</v>
      </c>
      <c r="AJ80" s="1">
        <v>0.5</v>
      </c>
      <c r="AK80" t="s">
        <v>7</v>
      </c>
      <c r="AL80" s="1">
        <v>0.17857139999999999</v>
      </c>
      <c r="AM80" t="s">
        <v>8</v>
      </c>
      <c r="AN80" s="1">
        <v>0</v>
      </c>
      <c r="AO80" s="1">
        <v>0.20275255772980899</v>
      </c>
    </row>
    <row r="81" spans="31:41">
      <c r="AE81" t="s">
        <v>4</v>
      </c>
      <c r="AF81">
        <v>0</v>
      </c>
      <c r="AG81" t="s">
        <v>5</v>
      </c>
      <c r="AH81">
        <v>78</v>
      </c>
      <c r="AI81" t="s">
        <v>6</v>
      </c>
      <c r="AJ81" s="1">
        <v>0.5</v>
      </c>
      <c r="AK81" t="s">
        <v>7</v>
      </c>
      <c r="AL81" s="1">
        <v>0.1808756</v>
      </c>
      <c r="AM81" t="s">
        <v>8</v>
      </c>
      <c r="AN81" s="1">
        <v>0</v>
      </c>
      <c r="AO81" s="1">
        <v>0.20148882070045701</v>
      </c>
    </row>
    <row r="82" spans="31:41">
      <c r="AE82" t="s">
        <v>4</v>
      </c>
      <c r="AF82">
        <v>0</v>
      </c>
      <c r="AG82" t="s">
        <v>5</v>
      </c>
      <c r="AH82">
        <v>79</v>
      </c>
      <c r="AI82" t="s">
        <v>6</v>
      </c>
      <c r="AJ82" s="1">
        <v>0.5</v>
      </c>
      <c r="AK82" t="s">
        <v>7</v>
      </c>
      <c r="AL82" s="1">
        <v>0.1831797</v>
      </c>
      <c r="AM82" t="s">
        <v>8</v>
      </c>
      <c r="AN82" s="1">
        <v>0</v>
      </c>
      <c r="AO82" s="1">
        <v>0.20297495236037699</v>
      </c>
    </row>
    <row r="83" spans="31:41">
      <c r="AE83" t="s">
        <v>4</v>
      </c>
      <c r="AF83">
        <v>0</v>
      </c>
      <c r="AG83" t="s">
        <v>5</v>
      </c>
      <c r="AH83">
        <v>80</v>
      </c>
      <c r="AI83" t="s">
        <v>6</v>
      </c>
      <c r="AJ83" s="1">
        <v>0.5</v>
      </c>
      <c r="AK83" t="s">
        <v>7</v>
      </c>
      <c r="AL83" s="1">
        <v>0.18548390000000001</v>
      </c>
      <c r="AM83" t="s">
        <v>8</v>
      </c>
      <c r="AN83" s="1">
        <v>0</v>
      </c>
      <c r="AO83" s="1">
        <v>0.20095747555854501</v>
      </c>
    </row>
    <row r="84" spans="31:41">
      <c r="AE84" t="s">
        <v>4</v>
      </c>
      <c r="AF84">
        <v>0</v>
      </c>
      <c r="AG84" t="s">
        <v>5</v>
      </c>
      <c r="AH84">
        <v>81</v>
      </c>
      <c r="AI84" t="s">
        <v>6</v>
      </c>
      <c r="AJ84" s="1">
        <v>0.5</v>
      </c>
      <c r="AK84" t="s">
        <v>7</v>
      </c>
      <c r="AL84" s="1">
        <v>0.18778800000000001</v>
      </c>
      <c r="AM84" t="s">
        <v>8</v>
      </c>
      <c r="AN84" s="1">
        <v>0</v>
      </c>
      <c r="AO84" s="1">
        <v>0.203030480591158</v>
      </c>
    </row>
    <row r="85" spans="31:41">
      <c r="AE85" t="s">
        <v>4</v>
      </c>
      <c r="AF85">
        <v>0</v>
      </c>
      <c r="AG85" t="s">
        <v>5</v>
      </c>
      <c r="AH85">
        <v>82</v>
      </c>
      <c r="AI85" t="s">
        <v>6</v>
      </c>
      <c r="AJ85" s="1">
        <v>0.5</v>
      </c>
      <c r="AK85" t="s">
        <v>7</v>
      </c>
      <c r="AL85" s="1">
        <v>0.19009219999999999</v>
      </c>
      <c r="AM85" t="s">
        <v>8</v>
      </c>
      <c r="AN85" s="1">
        <v>0</v>
      </c>
      <c r="AO85" s="1">
        <v>0.20164120931290799</v>
      </c>
    </row>
    <row r="86" spans="31:41">
      <c r="AE86" t="s">
        <v>4</v>
      </c>
      <c r="AF86">
        <v>0</v>
      </c>
      <c r="AG86" t="s">
        <v>5</v>
      </c>
      <c r="AH86">
        <v>83</v>
      </c>
      <c r="AI86" t="s">
        <v>6</v>
      </c>
      <c r="AJ86" s="1">
        <v>0.5</v>
      </c>
      <c r="AK86" t="s">
        <v>7</v>
      </c>
      <c r="AL86" s="1">
        <v>0.19239629999999999</v>
      </c>
      <c r="AM86" t="s">
        <v>8</v>
      </c>
      <c r="AN86" s="1">
        <v>0</v>
      </c>
      <c r="AO86" s="1">
        <v>0.20297873574125699</v>
      </c>
    </row>
    <row r="87" spans="31:41">
      <c r="AE87" t="s">
        <v>4</v>
      </c>
      <c r="AF87">
        <v>0</v>
      </c>
      <c r="AG87" t="s">
        <v>5</v>
      </c>
      <c r="AH87">
        <v>84</v>
      </c>
      <c r="AI87" t="s">
        <v>6</v>
      </c>
      <c r="AJ87" s="1">
        <v>0.5</v>
      </c>
      <c r="AK87" t="s">
        <v>7</v>
      </c>
      <c r="AL87" s="1">
        <v>0.1947005</v>
      </c>
      <c r="AM87" t="s">
        <v>8</v>
      </c>
      <c r="AN87" s="1">
        <v>0</v>
      </c>
      <c r="AO87" s="1">
        <v>0.203030629242032</v>
      </c>
    </row>
    <row r="88" spans="31:41">
      <c r="AE88" t="s">
        <v>4</v>
      </c>
      <c r="AF88">
        <v>0</v>
      </c>
      <c r="AG88" t="s">
        <v>5</v>
      </c>
      <c r="AH88">
        <v>85</v>
      </c>
      <c r="AI88" t="s">
        <v>6</v>
      </c>
      <c r="AJ88" s="1">
        <v>0.5</v>
      </c>
      <c r="AK88" t="s">
        <v>7</v>
      </c>
      <c r="AL88" s="1">
        <v>0.1970046</v>
      </c>
      <c r="AM88" t="s">
        <v>8</v>
      </c>
      <c r="AN88" s="1">
        <v>0</v>
      </c>
      <c r="AO88" s="1">
        <v>0.201781995326025</v>
      </c>
    </row>
    <row r="89" spans="31:41">
      <c r="AE89" t="s">
        <v>4</v>
      </c>
      <c r="AF89">
        <v>0</v>
      </c>
      <c r="AG89" t="s">
        <v>5</v>
      </c>
      <c r="AH89">
        <v>86</v>
      </c>
      <c r="AI89" t="s">
        <v>6</v>
      </c>
      <c r="AJ89" s="1">
        <v>0.5</v>
      </c>
      <c r="AK89" t="s">
        <v>7</v>
      </c>
      <c r="AL89" s="1">
        <v>0.19930880000000001</v>
      </c>
      <c r="AM89" t="s">
        <v>8</v>
      </c>
      <c r="AN89" s="1">
        <v>0</v>
      </c>
      <c r="AO89" s="1">
        <v>0.203255055001475</v>
      </c>
    </row>
    <row r="90" spans="31:41">
      <c r="AE90" t="s">
        <v>4</v>
      </c>
      <c r="AF90">
        <v>0</v>
      </c>
      <c r="AG90" t="s">
        <v>5</v>
      </c>
      <c r="AH90">
        <v>87</v>
      </c>
      <c r="AI90" t="s">
        <v>6</v>
      </c>
      <c r="AJ90" s="1">
        <v>0.5</v>
      </c>
      <c r="AK90" t="s">
        <v>7</v>
      </c>
      <c r="AL90" s="1">
        <v>0.20161290000000001</v>
      </c>
      <c r="AM90" t="s">
        <v>8</v>
      </c>
      <c r="AN90" s="1">
        <v>0</v>
      </c>
      <c r="AO90" s="1">
        <v>0.201249316066061</v>
      </c>
    </row>
    <row r="91" spans="31:41">
      <c r="AE91" t="s">
        <v>4</v>
      </c>
      <c r="AF91">
        <v>0</v>
      </c>
      <c r="AG91" t="s">
        <v>5</v>
      </c>
      <c r="AH91">
        <v>88</v>
      </c>
      <c r="AI91" t="s">
        <v>6</v>
      </c>
      <c r="AJ91" s="1">
        <v>0.5</v>
      </c>
      <c r="AK91" t="s">
        <v>7</v>
      </c>
      <c r="AL91" s="1">
        <v>0.20391709999999999</v>
      </c>
      <c r="AM91" t="s">
        <v>8</v>
      </c>
      <c r="AN91" s="1">
        <v>0</v>
      </c>
      <c r="AO91" s="1">
        <v>0.20331296915475899</v>
      </c>
    </row>
    <row r="92" spans="31:41">
      <c r="AE92" t="s">
        <v>4</v>
      </c>
      <c r="AF92">
        <v>0</v>
      </c>
      <c r="AG92" t="s">
        <v>5</v>
      </c>
      <c r="AH92">
        <v>89</v>
      </c>
      <c r="AI92" t="s">
        <v>6</v>
      </c>
      <c r="AJ92" s="1">
        <v>0.5</v>
      </c>
      <c r="AK92" t="s">
        <v>7</v>
      </c>
      <c r="AL92" s="1">
        <v>0.20622119999999999</v>
      </c>
      <c r="AM92" t="s">
        <v>8</v>
      </c>
      <c r="AN92" s="1">
        <v>0</v>
      </c>
      <c r="AO92" s="1">
        <v>0.20194596234807199</v>
      </c>
    </row>
    <row r="93" spans="31:41">
      <c r="AE93" t="s">
        <v>4</v>
      </c>
      <c r="AF93">
        <v>0</v>
      </c>
      <c r="AG93" t="s">
        <v>5</v>
      </c>
      <c r="AH93">
        <v>90</v>
      </c>
      <c r="AI93" t="s">
        <v>6</v>
      </c>
      <c r="AJ93" s="1">
        <v>0.5</v>
      </c>
      <c r="AK93" t="s">
        <v>7</v>
      </c>
      <c r="AL93" s="1">
        <v>0.2085253</v>
      </c>
      <c r="AM93" t="s">
        <v>8</v>
      </c>
      <c r="AN93" s="1">
        <v>0</v>
      </c>
      <c r="AO93" s="1">
        <v>0.20327242040590299</v>
      </c>
    </row>
    <row r="94" spans="31:41">
      <c r="AE94" t="s">
        <v>4</v>
      </c>
      <c r="AF94">
        <v>0</v>
      </c>
      <c r="AG94" t="s">
        <v>5</v>
      </c>
      <c r="AH94">
        <v>91</v>
      </c>
      <c r="AI94" t="s">
        <v>6</v>
      </c>
      <c r="AJ94" s="1">
        <v>0.5</v>
      </c>
      <c r="AK94" t="s">
        <v>7</v>
      </c>
      <c r="AL94" s="1">
        <v>0.2108295</v>
      </c>
      <c r="AM94" t="s">
        <v>8</v>
      </c>
      <c r="AN94" s="1">
        <v>0</v>
      </c>
      <c r="AO94" s="1">
        <v>0.20332820551098599</v>
      </c>
    </row>
    <row r="95" spans="31:41">
      <c r="AE95" t="s">
        <v>4</v>
      </c>
      <c r="AF95">
        <v>0</v>
      </c>
      <c r="AG95" t="s">
        <v>5</v>
      </c>
      <c r="AH95">
        <v>92</v>
      </c>
      <c r="AI95" t="s">
        <v>6</v>
      </c>
      <c r="AJ95" s="1">
        <v>0.5</v>
      </c>
      <c r="AK95" t="s">
        <v>7</v>
      </c>
      <c r="AL95" s="1">
        <v>0.21313360000000001</v>
      </c>
      <c r="AM95" t="s">
        <v>8</v>
      </c>
      <c r="AN95" s="1">
        <v>0</v>
      </c>
      <c r="AO95" s="1">
        <v>0.202096451350462</v>
      </c>
    </row>
    <row r="96" spans="31:41">
      <c r="AE96" t="s">
        <v>4</v>
      </c>
      <c r="AF96">
        <v>0</v>
      </c>
      <c r="AG96" t="s">
        <v>5</v>
      </c>
      <c r="AH96">
        <v>93</v>
      </c>
      <c r="AI96" t="s">
        <v>6</v>
      </c>
      <c r="AJ96" s="1">
        <v>0.5</v>
      </c>
      <c r="AK96" t="s">
        <v>7</v>
      </c>
      <c r="AL96" s="1">
        <v>0.21543780000000001</v>
      </c>
      <c r="AM96" t="s">
        <v>8</v>
      </c>
      <c r="AN96" s="1">
        <v>0</v>
      </c>
      <c r="AO96" s="1">
        <v>0.203553230657781</v>
      </c>
    </row>
    <row r="97" spans="31:41">
      <c r="AE97" t="s">
        <v>4</v>
      </c>
      <c r="AF97">
        <v>0</v>
      </c>
      <c r="AG97" t="s">
        <v>5</v>
      </c>
      <c r="AH97">
        <v>94</v>
      </c>
      <c r="AI97" t="s">
        <v>6</v>
      </c>
      <c r="AJ97" s="1">
        <v>0.5</v>
      </c>
      <c r="AK97" t="s">
        <v>7</v>
      </c>
      <c r="AL97" s="1">
        <v>0.21774189999999999</v>
      </c>
      <c r="AM97" t="s">
        <v>8</v>
      </c>
      <c r="AN97" s="1">
        <v>0</v>
      </c>
      <c r="AO97" s="1">
        <v>0.20156094332294</v>
      </c>
    </row>
    <row r="98" spans="31:41">
      <c r="AE98" t="s">
        <v>4</v>
      </c>
      <c r="AF98">
        <v>0</v>
      </c>
      <c r="AG98" t="s">
        <v>5</v>
      </c>
      <c r="AH98">
        <v>95</v>
      </c>
      <c r="AI98" t="s">
        <v>6</v>
      </c>
      <c r="AJ98" s="1">
        <v>0.5</v>
      </c>
      <c r="AK98" t="s">
        <v>7</v>
      </c>
      <c r="AL98" s="1">
        <v>0.22004609999999999</v>
      </c>
      <c r="AM98" t="s">
        <v>8</v>
      </c>
      <c r="AN98" s="1">
        <v>0</v>
      </c>
      <c r="AO98" s="1">
        <v>0.20361255609689499</v>
      </c>
    </row>
    <row r="99" spans="31:41">
      <c r="AE99" t="s">
        <v>4</v>
      </c>
      <c r="AF99">
        <v>0</v>
      </c>
      <c r="AG99" t="s">
        <v>5</v>
      </c>
      <c r="AH99">
        <v>96</v>
      </c>
      <c r="AI99" t="s">
        <v>6</v>
      </c>
      <c r="AJ99" s="1">
        <v>0.5</v>
      </c>
      <c r="AK99" t="s">
        <v>7</v>
      </c>
      <c r="AL99" s="1">
        <v>0.2223502</v>
      </c>
      <c r="AM99" t="s">
        <v>8</v>
      </c>
      <c r="AN99" s="1">
        <v>0</v>
      </c>
      <c r="AO99" s="1">
        <v>0.20227130886957401</v>
      </c>
    </row>
    <row r="100" spans="31:41">
      <c r="AE100" t="s">
        <v>4</v>
      </c>
      <c r="AF100">
        <v>0</v>
      </c>
      <c r="AG100" t="s">
        <v>5</v>
      </c>
      <c r="AH100">
        <v>97</v>
      </c>
      <c r="AI100" t="s">
        <v>6</v>
      </c>
      <c r="AJ100" s="1">
        <v>0.5</v>
      </c>
      <c r="AK100" t="s">
        <v>7</v>
      </c>
      <c r="AL100" s="1">
        <v>0.2246544</v>
      </c>
      <c r="AM100" t="s">
        <v>8</v>
      </c>
      <c r="AN100" s="1">
        <v>0</v>
      </c>
      <c r="AO100" s="1">
        <v>0.20358381130665601</v>
      </c>
    </row>
    <row r="101" spans="31:41">
      <c r="AE101" t="s">
        <v>4</v>
      </c>
      <c r="AF101">
        <v>0</v>
      </c>
      <c r="AG101" t="s">
        <v>5</v>
      </c>
      <c r="AH101">
        <v>98</v>
      </c>
      <c r="AI101" t="s">
        <v>6</v>
      </c>
      <c r="AJ101" s="1">
        <v>0.5</v>
      </c>
      <c r="AK101" t="s">
        <v>7</v>
      </c>
      <c r="AL101" s="1">
        <v>0.22695850000000001</v>
      </c>
      <c r="AM101" t="s">
        <v>8</v>
      </c>
      <c r="AN101" s="1">
        <v>0</v>
      </c>
      <c r="AO101" s="1">
        <v>0.203643248467683</v>
      </c>
    </row>
    <row r="102" spans="31:41">
      <c r="AE102" t="s">
        <v>4</v>
      </c>
      <c r="AF102">
        <v>0</v>
      </c>
      <c r="AG102" t="s">
        <v>5</v>
      </c>
      <c r="AH102">
        <v>99</v>
      </c>
      <c r="AI102" t="s">
        <v>6</v>
      </c>
      <c r="AJ102" s="1">
        <v>0.5</v>
      </c>
      <c r="AK102" t="s">
        <v>7</v>
      </c>
      <c r="AL102" s="1">
        <v>0.22926270000000001</v>
      </c>
      <c r="AM102" t="s">
        <v>8</v>
      </c>
      <c r="AN102" s="1">
        <v>0</v>
      </c>
      <c r="AO102" s="1">
        <v>0.202430658313039</v>
      </c>
    </row>
    <row r="103" spans="31:41">
      <c r="AE103" t="s">
        <v>4</v>
      </c>
      <c r="AF103">
        <v>0</v>
      </c>
      <c r="AG103" t="s">
        <v>5</v>
      </c>
      <c r="AH103">
        <v>100</v>
      </c>
      <c r="AI103" t="s">
        <v>6</v>
      </c>
      <c r="AJ103" s="1">
        <v>0.5</v>
      </c>
      <c r="AK103" t="s">
        <v>7</v>
      </c>
      <c r="AL103" s="1">
        <v>0.23156679999999999</v>
      </c>
      <c r="AM103" t="s">
        <v>8</v>
      </c>
      <c r="AN103" s="1">
        <v>0</v>
      </c>
      <c r="AO103" s="1">
        <v>0.20386703845683801</v>
      </c>
    </row>
    <row r="104" spans="31:41">
      <c r="AE104" t="s">
        <v>4</v>
      </c>
      <c r="AF104">
        <v>0</v>
      </c>
      <c r="AG104" t="s">
        <v>5</v>
      </c>
      <c r="AH104">
        <v>101</v>
      </c>
      <c r="AI104" t="s">
        <v>6</v>
      </c>
      <c r="AJ104" s="1">
        <v>0.5</v>
      </c>
      <c r="AK104" t="s">
        <v>7</v>
      </c>
      <c r="AL104" s="1">
        <v>0.233871</v>
      </c>
      <c r="AM104" t="s">
        <v>8</v>
      </c>
      <c r="AN104" s="1">
        <v>0</v>
      </c>
      <c r="AO104" s="1">
        <v>0.20189063050431399</v>
      </c>
    </row>
    <row r="105" spans="31:41">
      <c r="AE105" t="s">
        <v>4</v>
      </c>
      <c r="AF105">
        <v>0</v>
      </c>
      <c r="AG105" t="s">
        <v>5</v>
      </c>
      <c r="AH105">
        <v>102</v>
      </c>
      <c r="AI105" t="s">
        <v>6</v>
      </c>
      <c r="AJ105" s="1">
        <v>0.5</v>
      </c>
      <c r="AK105" t="s">
        <v>7</v>
      </c>
      <c r="AL105" s="1">
        <v>0.2361751</v>
      </c>
      <c r="AM105" t="s">
        <v>8</v>
      </c>
      <c r="AN105" s="1">
        <v>0</v>
      </c>
      <c r="AO105" s="1">
        <v>0.20392653185017101</v>
      </c>
    </row>
    <row r="106" spans="31:41">
      <c r="AE106" t="s">
        <v>4</v>
      </c>
      <c r="AF106">
        <v>0</v>
      </c>
      <c r="AG106" t="s">
        <v>5</v>
      </c>
      <c r="AH106">
        <v>103</v>
      </c>
      <c r="AI106" t="s">
        <v>6</v>
      </c>
      <c r="AJ106" s="1">
        <v>0.5</v>
      </c>
      <c r="AK106" t="s">
        <v>7</v>
      </c>
      <c r="AL106" s="1">
        <v>0.23847930000000001</v>
      </c>
      <c r="AM106" t="s">
        <v>8</v>
      </c>
      <c r="AN106" s="1">
        <v>0</v>
      </c>
      <c r="AO106" s="1">
        <v>0.20261534655477001</v>
      </c>
    </row>
    <row r="107" spans="31:41">
      <c r="AE107" t="s">
        <v>4</v>
      </c>
      <c r="AF107">
        <v>0</v>
      </c>
      <c r="AG107" t="s">
        <v>5</v>
      </c>
      <c r="AH107">
        <v>104</v>
      </c>
      <c r="AI107" t="s">
        <v>6</v>
      </c>
      <c r="AJ107" s="1">
        <v>0.5</v>
      </c>
      <c r="AK107" t="s">
        <v>7</v>
      </c>
      <c r="AL107" s="1">
        <v>0.24078340000000001</v>
      </c>
      <c r="AM107" t="s">
        <v>8</v>
      </c>
      <c r="AN107" s="1">
        <v>0</v>
      </c>
      <c r="AO107" s="1">
        <v>0.203910321125018</v>
      </c>
    </row>
    <row r="108" spans="31:41">
      <c r="AE108" t="s">
        <v>4</v>
      </c>
      <c r="AF108">
        <v>0</v>
      </c>
      <c r="AG108" t="s">
        <v>5</v>
      </c>
      <c r="AH108">
        <v>105</v>
      </c>
      <c r="AI108" t="s">
        <v>6</v>
      </c>
      <c r="AJ108" s="1">
        <v>0.5</v>
      </c>
      <c r="AK108" t="s">
        <v>7</v>
      </c>
      <c r="AL108" s="1">
        <v>0.24308759999999999</v>
      </c>
      <c r="AM108" t="s">
        <v>8</v>
      </c>
      <c r="AN108" s="1">
        <v>0</v>
      </c>
      <c r="AO108" s="1">
        <v>0.20397307028122399</v>
      </c>
    </row>
    <row r="109" spans="31:41">
      <c r="AE109" t="s">
        <v>4</v>
      </c>
      <c r="AF109">
        <v>0</v>
      </c>
      <c r="AG109" t="s">
        <v>5</v>
      </c>
      <c r="AH109">
        <v>106</v>
      </c>
      <c r="AI109" t="s">
        <v>6</v>
      </c>
      <c r="AJ109" s="1">
        <v>0.5</v>
      </c>
      <c r="AK109" t="s">
        <v>7</v>
      </c>
      <c r="AL109" s="1">
        <v>0.24539169999999999</v>
      </c>
      <c r="AM109" t="s">
        <v>8</v>
      </c>
      <c r="AN109" s="1">
        <v>0</v>
      </c>
      <c r="AO109" s="1">
        <v>0.202782402301938</v>
      </c>
    </row>
    <row r="110" spans="31:41">
      <c r="AE110" t="s">
        <v>4</v>
      </c>
      <c r="AF110">
        <v>0</v>
      </c>
      <c r="AG110" t="s">
        <v>5</v>
      </c>
      <c r="AH110">
        <v>107</v>
      </c>
      <c r="AI110" t="s">
        <v>6</v>
      </c>
      <c r="AJ110" s="1">
        <v>0.5</v>
      </c>
      <c r="AK110" t="s">
        <v>7</v>
      </c>
      <c r="AL110" s="1">
        <v>0.2476959</v>
      </c>
      <c r="AM110" t="s">
        <v>8</v>
      </c>
      <c r="AN110" s="1">
        <v>0</v>
      </c>
      <c r="AO110" s="1">
        <v>0.20419322313993599</v>
      </c>
    </row>
    <row r="111" spans="31:41">
      <c r="AE111" t="s">
        <v>4</v>
      </c>
      <c r="AF111">
        <v>0</v>
      </c>
      <c r="AG111" t="s">
        <v>5</v>
      </c>
      <c r="AH111">
        <v>108</v>
      </c>
      <c r="AI111" t="s">
        <v>6</v>
      </c>
      <c r="AJ111" s="1">
        <v>0.5</v>
      </c>
      <c r="AK111" t="s">
        <v>7</v>
      </c>
      <c r="AL111" s="1">
        <v>0.25</v>
      </c>
      <c r="AM111" t="s">
        <v>8</v>
      </c>
      <c r="AN111" s="1">
        <v>0</v>
      </c>
      <c r="AO111" s="1">
        <v>0.20223614264756401</v>
      </c>
    </row>
    <row r="112" spans="31:41">
      <c r="AE112" t="s">
        <v>4</v>
      </c>
      <c r="AF112">
        <v>0</v>
      </c>
      <c r="AG112" t="s">
        <v>5</v>
      </c>
      <c r="AH112">
        <v>109</v>
      </c>
      <c r="AI112" t="s">
        <v>6</v>
      </c>
      <c r="AJ112" s="1">
        <v>0.5</v>
      </c>
      <c r="AK112" t="s">
        <v>7</v>
      </c>
      <c r="AL112" s="1">
        <v>0.25230409999999998</v>
      </c>
      <c r="AM112" t="s">
        <v>8</v>
      </c>
      <c r="AN112" s="1">
        <v>0</v>
      </c>
      <c r="AO112" s="1">
        <v>0.204251282847809</v>
      </c>
    </row>
    <row r="113" spans="31:41">
      <c r="AE113" t="s">
        <v>4</v>
      </c>
      <c r="AF113">
        <v>0</v>
      </c>
      <c r="AG113" t="s">
        <v>5</v>
      </c>
      <c r="AH113">
        <v>110</v>
      </c>
      <c r="AI113" t="s">
        <v>6</v>
      </c>
      <c r="AJ113" s="1">
        <v>0.5</v>
      </c>
      <c r="AK113" t="s">
        <v>7</v>
      </c>
      <c r="AL113" s="1">
        <v>0.25460830000000001</v>
      </c>
      <c r="AM113" t="s">
        <v>8</v>
      </c>
      <c r="AN113" s="1">
        <v>0</v>
      </c>
      <c r="AO113" s="1">
        <v>0.20297577673133901</v>
      </c>
    </row>
    <row r="114" spans="31:41">
      <c r="AE114" t="s">
        <v>4</v>
      </c>
      <c r="AF114">
        <v>0</v>
      </c>
      <c r="AG114" t="s">
        <v>5</v>
      </c>
      <c r="AH114">
        <v>111</v>
      </c>
      <c r="AI114" t="s">
        <v>6</v>
      </c>
      <c r="AJ114" s="1">
        <v>0.5</v>
      </c>
      <c r="AK114" t="s">
        <v>7</v>
      </c>
      <c r="AL114" s="1">
        <v>0.25691239999999999</v>
      </c>
      <c r="AM114" t="s">
        <v>8</v>
      </c>
      <c r="AN114" s="1">
        <v>0</v>
      </c>
      <c r="AO114" s="1">
        <v>0.204248491874087</v>
      </c>
    </row>
    <row r="115" spans="31:41">
      <c r="AE115" t="s">
        <v>4</v>
      </c>
      <c r="AF115">
        <v>0</v>
      </c>
      <c r="AG115" t="s">
        <v>5</v>
      </c>
      <c r="AH115">
        <v>112</v>
      </c>
      <c r="AI115" t="s">
        <v>6</v>
      </c>
      <c r="AJ115" s="1">
        <v>0.5</v>
      </c>
      <c r="AK115" t="s">
        <v>7</v>
      </c>
      <c r="AL115" s="1">
        <v>0.25921660000000002</v>
      </c>
      <c r="AM115" t="s">
        <v>8</v>
      </c>
      <c r="AN115" s="1">
        <v>0</v>
      </c>
      <c r="AO115" s="1">
        <v>0.20431409864609901</v>
      </c>
    </row>
    <row r="116" spans="31:41">
      <c r="AE116" t="s">
        <v>4</v>
      </c>
      <c r="AF116">
        <v>0</v>
      </c>
      <c r="AG116" t="s">
        <v>5</v>
      </c>
      <c r="AH116">
        <v>113</v>
      </c>
      <c r="AI116" t="s">
        <v>6</v>
      </c>
      <c r="AJ116" s="1">
        <v>0.5</v>
      </c>
      <c r="AK116" t="s">
        <v>7</v>
      </c>
      <c r="AL116" s="1">
        <v>0.26152069999999999</v>
      </c>
      <c r="AM116" t="s">
        <v>8</v>
      </c>
      <c r="AN116" s="1">
        <v>0</v>
      </c>
      <c r="AO116" s="1">
        <v>0.20314909645617499</v>
      </c>
    </row>
    <row r="117" spans="31:41">
      <c r="AE117" t="s">
        <v>4</v>
      </c>
      <c r="AF117">
        <v>0</v>
      </c>
      <c r="AG117" t="s">
        <v>5</v>
      </c>
      <c r="AH117">
        <v>114</v>
      </c>
      <c r="AI117" t="s">
        <v>6</v>
      </c>
      <c r="AJ117" s="1">
        <v>0.5</v>
      </c>
      <c r="AK117" t="s">
        <v>7</v>
      </c>
      <c r="AL117" s="1">
        <v>0.26382489999999997</v>
      </c>
      <c r="AM117" t="s">
        <v>8</v>
      </c>
      <c r="AN117" s="1">
        <v>0</v>
      </c>
      <c r="AO117" s="1">
        <v>0.20452753309354499</v>
      </c>
    </row>
    <row r="118" spans="31:41">
      <c r="AE118" t="s">
        <v>4</v>
      </c>
      <c r="AF118">
        <v>0</v>
      </c>
      <c r="AG118" t="s">
        <v>5</v>
      </c>
      <c r="AH118">
        <v>115</v>
      </c>
      <c r="AI118" t="s">
        <v>6</v>
      </c>
      <c r="AJ118" s="1">
        <v>0.5</v>
      </c>
      <c r="AK118" t="s">
        <v>7</v>
      </c>
      <c r="AL118" s="1">
        <v>0.266129</v>
      </c>
      <c r="AM118" t="s">
        <v>8</v>
      </c>
      <c r="AN118" s="1">
        <v>0</v>
      </c>
      <c r="AO118" s="1">
        <v>0.20259471138721899</v>
      </c>
    </row>
    <row r="119" spans="31:41">
      <c r="AE119" t="s">
        <v>4</v>
      </c>
      <c r="AF119">
        <v>0</v>
      </c>
      <c r="AG119" t="s">
        <v>5</v>
      </c>
      <c r="AH119">
        <v>116</v>
      </c>
      <c r="AI119" t="s">
        <v>6</v>
      </c>
      <c r="AJ119" s="1">
        <v>0.5</v>
      </c>
      <c r="AK119" t="s">
        <v>7</v>
      </c>
      <c r="AL119" s="1">
        <v>0.26843319999999998</v>
      </c>
      <c r="AM119" t="s">
        <v>8</v>
      </c>
      <c r="AN119" s="1">
        <v>0</v>
      </c>
      <c r="AO119" s="1">
        <v>0.20458211015453701</v>
      </c>
    </row>
    <row r="120" spans="31:41">
      <c r="AE120" t="s">
        <v>4</v>
      </c>
      <c r="AF120">
        <v>0</v>
      </c>
      <c r="AG120" t="s">
        <v>5</v>
      </c>
      <c r="AH120">
        <v>117</v>
      </c>
      <c r="AI120" t="s">
        <v>6</v>
      </c>
      <c r="AJ120" s="1">
        <v>0.5</v>
      </c>
      <c r="AK120" t="s">
        <v>7</v>
      </c>
      <c r="AL120" s="1">
        <v>0.27073730000000001</v>
      </c>
      <c r="AM120" t="s">
        <v>8</v>
      </c>
      <c r="AN120" s="1">
        <v>0</v>
      </c>
      <c r="AO120" s="1">
        <v>0.20334927037399</v>
      </c>
    </row>
    <row r="121" spans="31:41">
      <c r="AE121" t="s">
        <v>4</v>
      </c>
      <c r="AF121">
        <v>0</v>
      </c>
      <c r="AG121" t="s">
        <v>5</v>
      </c>
      <c r="AH121">
        <v>118</v>
      </c>
      <c r="AI121" t="s">
        <v>6</v>
      </c>
      <c r="AJ121" s="1">
        <v>0.5</v>
      </c>
      <c r="AK121" t="s">
        <v>7</v>
      </c>
      <c r="AL121" s="1">
        <v>0.27304149999999999</v>
      </c>
      <c r="AM121" t="s">
        <v>8</v>
      </c>
      <c r="AN121" s="1">
        <v>0</v>
      </c>
      <c r="AO121" s="1">
        <v>0.20459382459756401</v>
      </c>
    </row>
    <row r="122" spans="31:41">
      <c r="AE122" t="s">
        <v>4</v>
      </c>
      <c r="AF122">
        <v>0</v>
      </c>
      <c r="AG122" t="s">
        <v>5</v>
      </c>
      <c r="AH122">
        <v>119</v>
      </c>
      <c r="AI122" t="s">
        <v>6</v>
      </c>
      <c r="AJ122" s="1">
        <v>0.5</v>
      </c>
      <c r="AK122" t="s">
        <v>7</v>
      </c>
      <c r="AL122" s="1">
        <v>0.27534560000000002</v>
      </c>
      <c r="AM122" t="s">
        <v>8</v>
      </c>
      <c r="AN122" s="1">
        <v>0</v>
      </c>
      <c r="AO122" s="1">
        <v>0.20466164245312299</v>
      </c>
    </row>
    <row r="123" spans="31:41">
      <c r="AE123" t="s">
        <v>4</v>
      </c>
      <c r="AF123">
        <v>0</v>
      </c>
      <c r="AG123" t="s">
        <v>5</v>
      </c>
      <c r="AH123">
        <v>120</v>
      </c>
      <c r="AI123" t="s">
        <v>6</v>
      </c>
      <c r="AJ123" s="1">
        <v>0.5</v>
      </c>
      <c r="AK123" t="s">
        <v>7</v>
      </c>
      <c r="AL123" s="1">
        <v>0.2776498</v>
      </c>
      <c r="AM123" t="s">
        <v>8</v>
      </c>
      <c r="AN123" s="1">
        <v>0</v>
      </c>
      <c r="AO123" s="1">
        <v>0.20352686748218399</v>
      </c>
    </row>
    <row r="124" spans="31:41">
      <c r="AE124" t="s">
        <v>4</v>
      </c>
      <c r="AF124">
        <v>0</v>
      </c>
      <c r="AG124" t="s">
        <v>5</v>
      </c>
      <c r="AH124">
        <v>121</v>
      </c>
      <c r="AI124" t="s">
        <v>6</v>
      </c>
      <c r="AJ124" s="1">
        <v>0.5</v>
      </c>
      <c r="AK124" t="s">
        <v>7</v>
      </c>
      <c r="AL124" s="1">
        <v>0.27995389999999998</v>
      </c>
      <c r="AM124" t="s">
        <v>8</v>
      </c>
      <c r="AN124" s="1">
        <v>0</v>
      </c>
      <c r="AO124" s="1">
        <v>0.20486426070844499</v>
      </c>
    </row>
    <row r="125" spans="31:41">
      <c r="AE125" t="s">
        <v>4</v>
      </c>
      <c r="AF125">
        <v>0</v>
      </c>
      <c r="AG125" t="s">
        <v>5</v>
      </c>
      <c r="AH125">
        <v>122</v>
      </c>
      <c r="AI125" t="s">
        <v>6</v>
      </c>
      <c r="AJ125" s="1">
        <v>0.5</v>
      </c>
      <c r="AK125" t="s">
        <v>7</v>
      </c>
      <c r="AL125" s="1">
        <v>0.28225810000000001</v>
      </c>
      <c r="AM125" t="s">
        <v>8</v>
      </c>
      <c r="AN125" s="1">
        <v>0</v>
      </c>
      <c r="AO125" s="1">
        <v>0.20296270397072599</v>
      </c>
    </row>
    <row r="126" spans="31:41">
      <c r="AE126" t="s">
        <v>4</v>
      </c>
      <c r="AF126">
        <v>0</v>
      </c>
      <c r="AG126" t="s">
        <v>5</v>
      </c>
      <c r="AH126">
        <v>123</v>
      </c>
      <c r="AI126" t="s">
        <v>6</v>
      </c>
      <c r="AJ126" s="1">
        <v>0.5</v>
      </c>
      <c r="AK126" t="s">
        <v>7</v>
      </c>
      <c r="AL126" s="1">
        <v>0.28456219999999999</v>
      </c>
      <c r="AM126" t="s">
        <v>8</v>
      </c>
      <c r="AN126" s="1">
        <v>0</v>
      </c>
      <c r="AO126" s="1">
        <v>0.20491268851494601</v>
      </c>
    </row>
    <row r="127" spans="31:41">
      <c r="AE127" t="s">
        <v>4</v>
      </c>
      <c r="AF127">
        <v>0</v>
      </c>
      <c r="AG127" t="s">
        <v>5</v>
      </c>
      <c r="AH127">
        <v>124</v>
      </c>
      <c r="AI127" t="s">
        <v>6</v>
      </c>
      <c r="AJ127" s="1">
        <v>0.5</v>
      </c>
      <c r="AK127" t="s">
        <v>7</v>
      </c>
      <c r="AL127" s="1">
        <v>0.28686640000000002</v>
      </c>
      <c r="AM127" t="s">
        <v>8</v>
      </c>
      <c r="AN127" s="1">
        <v>0</v>
      </c>
      <c r="AO127" s="1">
        <v>0.20373176142306401</v>
      </c>
    </row>
    <row r="128" spans="31:41">
      <c r="AE128" t="s">
        <v>4</v>
      </c>
      <c r="AF128">
        <v>0</v>
      </c>
      <c r="AG128" t="s">
        <v>5</v>
      </c>
      <c r="AH128">
        <v>125</v>
      </c>
      <c r="AI128" t="s">
        <v>6</v>
      </c>
      <c r="AJ128" s="1">
        <v>0.5</v>
      </c>
      <c r="AK128" t="s">
        <v>7</v>
      </c>
      <c r="AL128" s="1">
        <v>0.2891705</v>
      </c>
      <c r="AM128" t="s">
        <v>8</v>
      </c>
      <c r="AN128" s="1">
        <v>0</v>
      </c>
      <c r="AO128" s="1">
        <v>0.204940231402478</v>
      </c>
    </row>
    <row r="129" spans="31:41">
      <c r="AE129" t="s">
        <v>4</v>
      </c>
      <c r="AF129">
        <v>0</v>
      </c>
      <c r="AG129" t="s">
        <v>5</v>
      </c>
      <c r="AH129">
        <v>126</v>
      </c>
      <c r="AI129" t="s">
        <v>6</v>
      </c>
      <c r="AJ129" s="1">
        <v>0.5</v>
      </c>
      <c r="AK129" t="s">
        <v>7</v>
      </c>
      <c r="AL129" s="1">
        <v>0.29147469999999998</v>
      </c>
      <c r="AM129" t="s">
        <v>8</v>
      </c>
      <c r="AN129" s="1">
        <v>0</v>
      </c>
      <c r="AO129" s="1">
        <v>0.205009417412504</v>
      </c>
    </row>
    <row r="130" spans="31:41">
      <c r="AE130" t="s">
        <v>4</v>
      </c>
      <c r="AF130">
        <v>0</v>
      </c>
      <c r="AG130" t="s">
        <v>5</v>
      </c>
      <c r="AH130">
        <v>127</v>
      </c>
      <c r="AI130" t="s">
        <v>6</v>
      </c>
      <c r="AJ130" s="1">
        <v>0.5</v>
      </c>
      <c r="AK130" t="s">
        <v>7</v>
      </c>
      <c r="AL130" s="1">
        <v>0.29377880000000001</v>
      </c>
      <c r="AM130" t="s">
        <v>8</v>
      </c>
      <c r="AN130" s="1">
        <v>0</v>
      </c>
      <c r="AO130" s="1">
        <v>0.20391113413346601</v>
      </c>
    </row>
    <row r="131" spans="31:41">
      <c r="AE131" t="s">
        <v>4</v>
      </c>
      <c r="AF131">
        <v>0</v>
      </c>
      <c r="AG131" t="s">
        <v>5</v>
      </c>
      <c r="AH131">
        <v>128</v>
      </c>
      <c r="AI131" t="s">
        <v>6</v>
      </c>
      <c r="AJ131" s="1">
        <v>0.5</v>
      </c>
      <c r="AK131" t="s">
        <v>7</v>
      </c>
      <c r="AL131" s="1">
        <v>0.29608289999999998</v>
      </c>
      <c r="AM131" t="s">
        <v>8</v>
      </c>
      <c r="AN131" s="1">
        <v>0</v>
      </c>
      <c r="AO131" s="1">
        <v>0.20519599855014201</v>
      </c>
    </row>
    <row r="132" spans="31:41">
      <c r="AE132" t="s">
        <v>4</v>
      </c>
      <c r="AF132">
        <v>0</v>
      </c>
      <c r="AG132" t="s">
        <v>5</v>
      </c>
      <c r="AH132">
        <v>129</v>
      </c>
      <c r="AI132" t="s">
        <v>6</v>
      </c>
      <c r="AJ132" s="1">
        <v>0.5</v>
      </c>
      <c r="AK132" t="s">
        <v>7</v>
      </c>
      <c r="AL132" s="1">
        <v>0.29838710000000002</v>
      </c>
      <c r="AM132" t="s">
        <v>8</v>
      </c>
      <c r="AN132" s="1">
        <v>0</v>
      </c>
      <c r="AO132" s="1">
        <v>0.20333573501978799</v>
      </c>
    </row>
    <row r="133" spans="31:41">
      <c r="AE133" t="s">
        <v>4</v>
      </c>
      <c r="AF133">
        <v>0</v>
      </c>
      <c r="AG133" t="s">
        <v>5</v>
      </c>
      <c r="AH133">
        <v>130</v>
      </c>
      <c r="AI133" t="s">
        <v>6</v>
      </c>
      <c r="AJ133" s="1">
        <v>0.5</v>
      </c>
      <c r="AK133" t="s">
        <v>7</v>
      </c>
      <c r="AL133" s="1">
        <v>0.30069119999999999</v>
      </c>
      <c r="AM133" t="s">
        <v>8</v>
      </c>
      <c r="AN133" s="1">
        <v>0</v>
      </c>
      <c r="AO133" s="1">
        <v>0.205234855676906</v>
      </c>
    </row>
    <row r="134" spans="31:41">
      <c r="AE134" t="s">
        <v>4</v>
      </c>
      <c r="AF134">
        <v>0</v>
      </c>
      <c r="AG134" t="s">
        <v>5</v>
      </c>
      <c r="AH134">
        <v>131</v>
      </c>
      <c r="AI134" t="s">
        <v>6</v>
      </c>
      <c r="AJ134" s="1">
        <v>0.5</v>
      </c>
      <c r="AK134" t="s">
        <v>7</v>
      </c>
      <c r="AL134" s="1">
        <v>0.30299540000000003</v>
      </c>
      <c r="AM134" t="s">
        <v>8</v>
      </c>
      <c r="AN134" s="1">
        <v>0</v>
      </c>
      <c r="AO134" s="1">
        <v>0.20411773610488201</v>
      </c>
    </row>
    <row r="135" spans="31:41">
      <c r="AE135" t="s">
        <v>4</v>
      </c>
      <c r="AF135">
        <v>0</v>
      </c>
      <c r="AG135" t="s">
        <v>5</v>
      </c>
      <c r="AH135">
        <v>132</v>
      </c>
      <c r="AI135" t="s">
        <v>6</v>
      </c>
      <c r="AJ135" s="1">
        <v>0.5</v>
      </c>
      <c r="AK135" t="s">
        <v>7</v>
      </c>
      <c r="AL135" s="1">
        <v>0.3052995</v>
      </c>
      <c r="AM135" t="s">
        <v>8</v>
      </c>
      <c r="AN135" s="1">
        <v>0</v>
      </c>
      <c r="AO135" s="1">
        <v>0.20527986520442501</v>
      </c>
    </row>
    <row r="136" spans="31:41">
      <c r="AE136" t="s">
        <v>4</v>
      </c>
      <c r="AF136">
        <v>0</v>
      </c>
      <c r="AG136" t="s">
        <v>5</v>
      </c>
      <c r="AH136">
        <v>133</v>
      </c>
      <c r="AI136" t="s">
        <v>6</v>
      </c>
      <c r="AJ136" s="1">
        <v>0.5</v>
      </c>
      <c r="AK136" t="s">
        <v>7</v>
      </c>
      <c r="AL136" s="1">
        <v>0.30760369999999998</v>
      </c>
      <c r="AM136" t="s">
        <v>8</v>
      </c>
      <c r="AN136" s="1">
        <v>0</v>
      </c>
      <c r="AO136" s="1">
        <v>0.205349207547355</v>
      </c>
    </row>
    <row r="137" spans="31:41">
      <c r="AE137" t="s">
        <v>4</v>
      </c>
      <c r="AF137">
        <v>0</v>
      </c>
      <c r="AG137" t="s">
        <v>5</v>
      </c>
      <c r="AH137">
        <v>134</v>
      </c>
      <c r="AI137" t="s">
        <v>6</v>
      </c>
      <c r="AJ137" s="1">
        <v>0.5</v>
      </c>
      <c r="AK137" t="s">
        <v>7</v>
      </c>
      <c r="AL137" s="1">
        <v>0.30990780000000001</v>
      </c>
      <c r="AM137" t="s">
        <v>8</v>
      </c>
      <c r="AN137" s="1">
        <v>0</v>
      </c>
      <c r="AO137" s="1">
        <v>0.204295261425019</v>
      </c>
    </row>
    <row r="138" spans="31:41">
      <c r="AE138" t="s">
        <v>4</v>
      </c>
      <c r="AF138">
        <v>0</v>
      </c>
      <c r="AG138" t="s">
        <v>5</v>
      </c>
      <c r="AH138">
        <v>135</v>
      </c>
      <c r="AI138" t="s">
        <v>6</v>
      </c>
      <c r="AJ138" s="1">
        <v>0.5</v>
      </c>
      <c r="AK138" t="s">
        <v>7</v>
      </c>
      <c r="AL138" s="1">
        <v>0.31221199999999999</v>
      </c>
      <c r="AM138" t="s">
        <v>8</v>
      </c>
      <c r="AN138" s="1">
        <v>0</v>
      </c>
      <c r="AO138" s="1">
        <v>0.20551268904898301</v>
      </c>
    </row>
    <row r="139" spans="31:41">
      <c r="AE139" t="s">
        <v>4</v>
      </c>
      <c r="AF139">
        <v>0</v>
      </c>
      <c r="AG139" t="s">
        <v>5</v>
      </c>
      <c r="AH139">
        <v>136</v>
      </c>
      <c r="AI139" t="s">
        <v>6</v>
      </c>
      <c r="AJ139" s="1">
        <v>0.5</v>
      </c>
      <c r="AK139" t="s">
        <v>7</v>
      </c>
      <c r="AL139" s="1">
        <v>0.31451610000000002</v>
      </c>
      <c r="AM139" t="s">
        <v>8</v>
      </c>
      <c r="AN139" s="1">
        <v>0</v>
      </c>
      <c r="AO139" s="1">
        <v>0.20370704255216199</v>
      </c>
    </row>
    <row r="140" spans="31:41">
      <c r="AE140" t="s">
        <v>4</v>
      </c>
      <c r="AF140">
        <v>0</v>
      </c>
      <c r="AG140" t="s">
        <v>5</v>
      </c>
      <c r="AH140">
        <v>137</v>
      </c>
      <c r="AI140" t="s">
        <v>6</v>
      </c>
      <c r="AJ140" s="1">
        <v>0.5</v>
      </c>
      <c r="AK140" t="s">
        <v>7</v>
      </c>
      <c r="AL140" s="1">
        <v>0.3168203</v>
      </c>
      <c r="AM140" t="s">
        <v>8</v>
      </c>
      <c r="AN140" s="1">
        <v>0</v>
      </c>
      <c r="AO140" s="1">
        <v>0.20553742581214399</v>
      </c>
    </row>
    <row r="141" spans="31:41">
      <c r="AE141" t="s">
        <v>4</v>
      </c>
      <c r="AF141">
        <v>0</v>
      </c>
      <c r="AG141" t="s">
        <v>5</v>
      </c>
      <c r="AH141">
        <v>138</v>
      </c>
      <c r="AI141" t="s">
        <v>6</v>
      </c>
      <c r="AJ141" s="1">
        <v>0.5</v>
      </c>
      <c r="AK141" t="s">
        <v>7</v>
      </c>
      <c r="AL141" s="1">
        <v>0.31912439999999997</v>
      </c>
      <c r="AM141" t="s">
        <v>8</v>
      </c>
      <c r="AN141" s="1">
        <v>0</v>
      </c>
      <c r="AO141" s="1">
        <v>0.20449853371135801</v>
      </c>
    </row>
    <row r="142" spans="31:41">
      <c r="AE142" t="s">
        <v>4</v>
      </c>
      <c r="AF142">
        <v>0</v>
      </c>
      <c r="AG142" t="s">
        <v>5</v>
      </c>
      <c r="AH142">
        <v>139</v>
      </c>
      <c r="AI142" t="s">
        <v>6</v>
      </c>
      <c r="AJ142" s="1">
        <v>0.5</v>
      </c>
      <c r="AK142" t="s">
        <v>7</v>
      </c>
      <c r="AL142" s="1">
        <v>0.32142860000000001</v>
      </c>
      <c r="AM142" t="s">
        <v>8</v>
      </c>
      <c r="AN142" s="1">
        <v>0</v>
      </c>
      <c r="AO142" s="1">
        <v>0.20560176892252599</v>
      </c>
    </row>
    <row r="143" spans="31:41">
      <c r="AE143" t="s">
        <v>4</v>
      </c>
      <c r="AF143">
        <v>0</v>
      </c>
      <c r="AG143" t="s">
        <v>5</v>
      </c>
      <c r="AH143">
        <v>140</v>
      </c>
      <c r="AI143" t="s">
        <v>6</v>
      </c>
      <c r="AJ143" s="1">
        <v>0.5</v>
      </c>
      <c r="AK143" t="s">
        <v>7</v>
      </c>
      <c r="AL143" s="1">
        <v>0.32373269999999998</v>
      </c>
      <c r="AM143" t="s">
        <v>8</v>
      </c>
      <c r="AN143" s="1">
        <v>0</v>
      </c>
      <c r="AO143" s="1">
        <v>0.20566968380573999</v>
      </c>
    </row>
    <row r="144" spans="31:41">
      <c r="AE144" t="s">
        <v>4</v>
      </c>
      <c r="AF144">
        <v>0</v>
      </c>
      <c r="AG144" t="s">
        <v>5</v>
      </c>
      <c r="AH144">
        <v>141</v>
      </c>
      <c r="AI144" t="s">
        <v>6</v>
      </c>
      <c r="AJ144" s="1">
        <v>0.5</v>
      </c>
      <c r="AK144" t="s">
        <v>7</v>
      </c>
      <c r="AL144" s="1">
        <v>0.32603690000000002</v>
      </c>
      <c r="AM144" t="s">
        <v>8</v>
      </c>
      <c r="AN144" s="1">
        <v>0</v>
      </c>
      <c r="AO144" s="1">
        <v>0.204670044105316</v>
      </c>
    </row>
    <row r="145" spans="31:41">
      <c r="AE145" t="s">
        <v>4</v>
      </c>
      <c r="AF145">
        <v>0</v>
      </c>
      <c r="AG145" t="s">
        <v>5</v>
      </c>
      <c r="AH145">
        <v>142</v>
      </c>
      <c r="AI145" t="s">
        <v>6</v>
      </c>
      <c r="AJ145" s="1">
        <v>0.5</v>
      </c>
      <c r="AK145" t="s">
        <v>7</v>
      </c>
      <c r="AL145" s="1">
        <v>0.32834099999999999</v>
      </c>
      <c r="AM145" t="s">
        <v>8</v>
      </c>
      <c r="AN145" s="1">
        <v>0</v>
      </c>
      <c r="AO145" s="1">
        <v>0.20580120730451201</v>
      </c>
    </row>
    <row r="146" spans="31:41">
      <c r="AE146" t="s">
        <v>4</v>
      </c>
      <c r="AF146">
        <v>0</v>
      </c>
      <c r="AG146" t="s">
        <v>5</v>
      </c>
      <c r="AH146">
        <v>143</v>
      </c>
      <c r="AI146" t="s">
        <v>6</v>
      </c>
      <c r="AJ146" s="1">
        <v>0.5</v>
      </c>
      <c r="AK146" t="s">
        <v>7</v>
      </c>
      <c r="AL146" s="1">
        <v>0.33064519999999997</v>
      </c>
      <c r="AM146" t="s">
        <v>8</v>
      </c>
      <c r="AN146" s="1">
        <v>0</v>
      </c>
      <c r="AO146" s="1">
        <v>0.204070801466326</v>
      </c>
    </row>
    <row r="147" spans="31:41">
      <c r="AE147" t="s">
        <v>4</v>
      </c>
      <c r="AF147">
        <v>0</v>
      </c>
      <c r="AG147" t="s">
        <v>5</v>
      </c>
      <c r="AH147">
        <v>144</v>
      </c>
      <c r="AI147" t="s">
        <v>6</v>
      </c>
      <c r="AJ147" s="1">
        <v>0.5</v>
      </c>
      <c r="AK147" t="s">
        <v>7</v>
      </c>
      <c r="AL147" s="1">
        <v>0.3329493</v>
      </c>
      <c r="AM147" t="s">
        <v>8</v>
      </c>
      <c r="AN147" s="1">
        <v>0</v>
      </c>
      <c r="AO147" s="1">
        <v>0.205806040105249</v>
      </c>
    </row>
    <row r="148" spans="31:41">
      <c r="AE148" t="s">
        <v>4</v>
      </c>
      <c r="AF148">
        <v>0</v>
      </c>
      <c r="AG148" t="s">
        <v>5</v>
      </c>
      <c r="AH148">
        <v>145</v>
      </c>
      <c r="AI148" t="s">
        <v>6</v>
      </c>
      <c r="AJ148" s="1">
        <v>0.5</v>
      </c>
      <c r="AK148" t="s">
        <v>7</v>
      </c>
      <c r="AL148" s="1">
        <v>0.33525349999999998</v>
      </c>
      <c r="AM148" t="s">
        <v>8</v>
      </c>
      <c r="AN148" s="1">
        <v>0</v>
      </c>
      <c r="AO148" s="1">
        <v>0.20486732959450399</v>
      </c>
    </row>
    <row r="149" spans="31:41">
      <c r="AE149" t="s">
        <v>4</v>
      </c>
      <c r="AF149">
        <v>0</v>
      </c>
      <c r="AG149" t="s">
        <v>5</v>
      </c>
      <c r="AH149">
        <v>146</v>
      </c>
      <c r="AI149" t="s">
        <v>6</v>
      </c>
      <c r="AJ149" s="1">
        <v>0.5</v>
      </c>
      <c r="AK149" t="s">
        <v>7</v>
      </c>
      <c r="AL149" s="1">
        <v>0.33755760000000001</v>
      </c>
      <c r="AM149" t="s">
        <v>8</v>
      </c>
      <c r="AN149" s="1">
        <v>0</v>
      </c>
      <c r="AO149" s="1">
        <v>0.20589209821030799</v>
      </c>
    </row>
    <row r="150" spans="31:41">
      <c r="AE150" t="s">
        <v>4</v>
      </c>
      <c r="AF150">
        <v>0</v>
      </c>
      <c r="AG150" t="s">
        <v>5</v>
      </c>
      <c r="AH150">
        <v>147</v>
      </c>
      <c r="AI150" t="s">
        <v>6</v>
      </c>
      <c r="AJ150" s="1">
        <v>0.5</v>
      </c>
      <c r="AK150" t="s">
        <v>7</v>
      </c>
      <c r="AL150" s="1">
        <v>0.33986179999999999</v>
      </c>
      <c r="AM150" t="s">
        <v>8</v>
      </c>
      <c r="AN150" s="1">
        <v>0</v>
      </c>
      <c r="AO150" s="1">
        <v>0.20595634337372301</v>
      </c>
    </row>
    <row r="151" spans="31:41">
      <c r="AE151" t="s">
        <v>4</v>
      </c>
      <c r="AF151">
        <v>0</v>
      </c>
      <c r="AG151" t="s">
        <v>5</v>
      </c>
      <c r="AH151">
        <v>148</v>
      </c>
      <c r="AI151" t="s">
        <v>6</v>
      </c>
      <c r="AJ151" s="1">
        <v>0.5</v>
      </c>
      <c r="AK151" t="s">
        <v>7</v>
      </c>
      <c r="AL151" s="1">
        <v>0.34216590000000002</v>
      </c>
      <c r="AM151" t="s">
        <v>8</v>
      </c>
      <c r="AN151" s="1">
        <v>0</v>
      </c>
      <c r="AO151" s="1">
        <v>0.20502471715139001</v>
      </c>
    </row>
    <row r="152" spans="31:41">
      <c r="AE152" t="s">
        <v>4</v>
      </c>
      <c r="AF152">
        <v>0</v>
      </c>
      <c r="AG152" t="s">
        <v>5</v>
      </c>
      <c r="AH152">
        <v>149</v>
      </c>
      <c r="AI152" t="s">
        <v>6</v>
      </c>
      <c r="AJ152" s="1">
        <v>0.5</v>
      </c>
      <c r="AK152" t="s">
        <v>7</v>
      </c>
      <c r="AL152" s="1">
        <v>0.34447</v>
      </c>
      <c r="AM152" t="s">
        <v>8</v>
      </c>
      <c r="AN152" s="1">
        <v>0</v>
      </c>
      <c r="AO152" s="1">
        <v>0.20604371085979001</v>
      </c>
    </row>
    <row r="153" spans="31:41">
      <c r="AE153" t="s">
        <v>4</v>
      </c>
      <c r="AF153">
        <v>0</v>
      </c>
      <c r="AG153" t="s">
        <v>5</v>
      </c>
      <c r="AH153">
        <v>150</v>
      </c>
      <c r="AI153" t="s">
        <v>6</v>
      </c>
      <c r="AJ153" s="1">
        <v>0.5</v>
      </c>
      <c r="AK153" t="s">
        <v>7</v>
      </c>
      <c r="AL153" s="1">
        <v>0.34677419999999998</v>
      </c>
      <c r="AM153" t="s">
        <v>8</v>
      </c>
      <c r="AN153" s="1">
        <v>0</v>
      </c>
      <c r="AO153" s="1">
        <v>0.20440912114676299</v>
      </c>
    </row>
    <row r="154" spans="31:41">
      <c r="AE154" t="s">
        <v>4</v>
      </c>
      <c r="AF154">
        <v>0</v>
      </c>
      <c r="AG154" t="s">
        <v>5</v>
      </c>
      <c r="AH154">
        <v>151</v>
      </c>
      <c r="AI154" t="s">
        <v>6</v>
      </c>
      <c r="AJ154" s="1">
        <v>0.5</v>
      </c>
      <c r="AK154" t="s">
        <v>7</v>
      </c>
      <c r="AL154" s="1">
        <v>0.34907830000000001</v>
      </c>
      <c r="AM154" t="s">
        <v>8</v>
      </c>
      <c r="AN154" s="1">
        <v>0</v>
      </c>
      <c r="AO154" s="1">
        <v>0.20602046760137199</v>
      </c>
    </row>
    <row r="155" spans="31:41">
      <c r="AE155" t="s">
        <v>4</v>
      </c>
      <c r="AF155">
        <v>0</v>
      </c>
      <c r="AG155" t="s">
        <v>5</v>
      </c>
      <c r="AH155">
        <v>152</v>
      </c>
      <c r="AI155" t="s">
        <v>6</v>
      </c>
      <c r="AJ155" s="1">
        <v>0.5</v>
      </c>
      <c r="AK155" t="s">
        <v>7</v>
      </c>
      <c r="AL155" s="1">
        <v>0.35138249999999999</v>
      </c>
      <c r="AM155" t="s">
        <v>8</v>
      </c>
      <c r="AN155" s="1">
        <v>0</v>
      </c>
      <c r="AO155" s="1">
        <v>0.20519892918876101</v>
      </c>
    </row>
    <row r="156" spans="31:41">
      <c r="AE156" t="s">
        <v>4</v>
      </c>
      <c r="AF156">
        <v>0</v>
      </c>
      <c r="AG156" t="s">
        <v>5</v>
      </c>
      <c r="AH156">
        <v>153</v>
      </c>
      <c r="AI156" t="s">
        <v>6</v>
      </c>
      <c r="AJ156" s="1">
        <v>0.5</v>
      </c>
      <c r="AK156" t="s">
        <v>7</v>
      </c>
      <c r="AL156" s="1">
        <v>0.35368660000000002</v>
      </c>
      <c r="AM156" t="s">
        <v>8</v>
      </c>
      <c r="AN156" s="1">
        <v>0</v>
      </c>
      <c r="AO156" s="1">
        <v>0.20613005607267099</v>
      </c>
    </row>
    <row r="157" spans="31:41">
      <c r="AE157" t="s">
        <v>4</v>
      </c>
      <c r="AF157">
        <v>0</v>
      </c>
      <c r="AG157" t="s">
        <v>5</v>
      </c>
      <c r="AH157">
        <v>154</v>
      </c>
      <c r="AI157" t="s">
        <v>6</v>
      </c>
      <c r="AJ157" s="1">
        <v>0.5</v>
      </c>
      <c r="AK157" t="s">
        <v>7</v>
      </c>
      <c r="AL157" s="1">
        <v>0.3559908</v>
      </c>
      <c r="AM157" t="s">
        <v>8</v>
      </c>
      <c r="AN157" s="1">
        <v>0</v>
      </c>
      <c r="AO157" s="1">
        <v>0.206187455108018</v>
      </c>
    </row>
    <row r="158" spans="31:41">
      <c r="AE158" t="s">
        <v>4</v>
      </c>
      <c r="AF158">
        <v>0</v>
      </c>
      <c r="AG158" t="s">
        <v>5</v>
      </c>
      <c r="AH158">
        <v>155</v>
      </c>
      <c r="AI158" t="s">
        <v>6</v>
      </c>
      <c r="AJ158" s="1">
        <v>0.5</v>
      </c>
      <c r="AK158" t="s">
        <v>7</v>
      </c>
      <c r="AL158" s="1">
        <v>0.35829490000000003</v>
      </c>
      <c r="AM158" t="s">
        <v>8</v>
      </c>
      <c r="AN158" s="1">
        <v>0</v>
      </c>
      <c r="AO158" s="1">
        <v>0.205337348054868</v>
      </c>
    </row>
    <row r="159" spans="31:41">
      <c r="AE159" t="s">
        <v>4</v>
      </c>
      <c r="AF159">
        <v>0</v>
      </c>
      <c r="AG159" t="s">
        <v>5</v>
      </c>
      <c r="AH159">
        <v>156</v>
      </c>
      <c r="AI159" t="s">
        <v>6</v>
      </c>
      <c r="AJ159" s="1">
        <v>0.5</v>
      </c>
      <c r="AK159" t="s">
        <v>7</v>
      </c>
      <c r="AL159" s="1">
        <v>0.36059910000000001</v>
      </c>
      <c r="AM159" t="s">
        <v>8</v>
      </c>
      <c r="AN159" s="1">
        <v>0</v>
      </c>
      <c r="AO159" s="1">
        <v>0.206215800651398</v>
      </c>
    </row>
    <row r="160" spans="31:41">
      <c r="AE160" t="s">
        <v>4</v>
      </c>
      <c r="AF160">
        <v>0</v>
      </c>
      <c r="AG160" t="s">
        <v>5</v>
      </c>
      <c r="AH160">
        <v>157</v>
      </c>
      <c r="AI160" t="s">
        <v>6</v>
      </c>
      <c r="AJ160" s="1">
        <v>0.5</v>
      </c>
      <c r="AK160" t="s">
        <v>7</v>
      </c>
      <c r="AL160" s="1">
        <v>0.36290319999999998</v>
      </c>
      <c r="AM160" t="s">
        <v>8</v>
      </c>
      <c r="AN160" s="1">
        <v>0</v>
      </c>
      <c r="AO160" s="1">
        <v>0.204722381394221</v>
      </c>
    </row>
    <row r="161" spans="31:41">
      <c r="AE161" t="s">
        <v>4</v>
      </c>
      <c r="AF161">
        <v>0</v>
      </c>
      <c r="AG161" t="s">
        <v>5</v>
      </c>
      <c r="AH161">
        <v>158</v>
      </c>
      <c r="AI161" t="s">
        <v>6</v>
      </c>
      <c r="AJ161" s="1">
        <v>0.5</v>
      </c>
      <c r="AK161" t="s">
        <v>7</v>
      </c>
      <c r="AL161" s="1">
        <v>0.36520740000000002</v>
      </c>
      <c r="AM161" t="s">
        <v>8</v>
      </c>
      <c r="AN161" s="1">
        <v>0</v>
      </c>
      <c r="AO161" s="1">
        <v>0.20615479661460001</v>
      </c>
    </row>
    <row r="162" spans="31:41">
      <c r="AE162" t="s">
        <v>4</v>
      </c>
      <c r="AF162">
        <v>0</v>
      </c>
      <c r="AG162" t="s">
        <v>5</v>
      </c>
      <c r="AH162">
        <v>159</v>
      </c>
      <c r="AI162" t="s">
        <v>6</v>
      </c>
      <c r="AJ162" s="1">
        <v>0.5</v>
      </c>
      <c r="AK162" t="s">
        <v>7</v>
      </c>
      <c r="AL162" s="1">
        <v>0.36751149999999999</v>
      </c>
      <c r="AM162" t="s">
        <v>8</v>
      </c>
      <c r="AN162" s="1">
        <v>0</v>
      </c>
      <c r="AO162" s="1">
        <v>0.205496869167482</v>
      </c>
    </row>
    <row r="163" spans="31:41">
      <c r="AE163" t="s">
        <v>4</v>
      </c>
      <c r="AF163">
        <v>0</v>
      </c>
      <c r="AG163" t="s">
        <v>5</v>
      </c>
      <c r="AH163">
        <v>160</v>
      </c>
      <c r="AI163" t="s">
        <v>6</v>
      </c>
      <c r="AJ163" s="1">
        <v>0.5</v>
      </c>
      <c r="AK163" t="s">
        <v>7</v>
      </c>
      <c r="AL163" s="1">
        <v>0.36981570000000002</v>
      </c>
      <c r="AM163" t="s">
        <v>8</v>
      </c>
      <c r="AN163" s="1">
        <v>0</v>
      </c>
      <c r="AO163" s="1">
        <v>0.20629089968883199</v>
      </c>
    </row>
    <row r="164" spans="31:41">
      <c r="AE164" t="s">
        <v>4</v>
      </c>
      <c r="AF164">
        <v>0</v>
      </c>
      <c r="AG164" t="s">
        <v>5</v>
      </c>
      <c r="AH164">
        <v>161</v>
      </c>
      <c r="AI164" t="s">
        <v>6</v>
      </c>
      <c r="AJ164" s="1">
        <v>0.5</v>
      </c>
      <c r="AK164" t="s">
        <v>7</v>
      </c>
      <c r="AL164" s="1">
        <v>0.3721198</v>
      </c>
      <c r="AM164" t="s">
        <v>8</v>
      </c>
      <c r="AN164" s="1">
        <v>0</v>
      </c>
      <c r="AO164" s="1">
        <v>0.20633742415970399</v>
      </c>
    </row>
    <row r="165" spans="31:41">
      <c r="AE165" t="s">
        <v>4</v>
      </c>
      <c r="AF165">
        <v>0</v>
      </c>
      <c r="AG165" t="s">
        <v>5</v>
      </c>
      <c r="AH165">
        <v>162</v>
      </c>
      <c r="AI165" t="s">
        <v>6</v>
      </c>
      <c r="AJ165" s="1">
        <v>0.5</v>
      </c>
      <c r="AK165" t="s">
        <v>7</v>
      </c>
      <c r="AL165" s="1">
        <v>0.37442399999999998</v>
      </c>
      <c r="AM165" t="s">
        <v>8</v>
      </c>
      <c r="AN165" s="1">
        <v>0</v>
      </c>
      <c r="AO165" s="1">
        <v>0.20559061378406601</v>
      </c>
    </row>
    <row r="166" spans="31:41">
      <c r="AE166" t="s">
        <v>4</v>
      </c>
      <c r="AF166">
        <v>0</v>
      </c>
      <c r="AG166" t="s">
        <v>5</v>
      </c>
      <c r="AH166">
        <v>163</v>
      </c>
      <c r="AI166" t="s">
        <v>6</v>
      </c>
      <c r="AJ166" s="1">
        <v>0.5</v>
      </c>
      <c r="AK166" t="s">
        <v>7</v>
      </c>
      <c r="AL166" s="1">
        <v>0.37672810000000001</v>
      </c>
      <c r="AM166" t="s">
        <v>8</v>
      </c>
      <c r="AN166" s="1">
        <v>0</v>
      </c>
      <c r="AO166" s="1">
        <v>0.20628583861164401</v>
      </c>
    </row>
    <row r="167" spans="31:41">
      <c r="AE167" t="s">
        <v>4</v>
      </c>
      <c r="AF167">
        <v>0</v>
      </c>
      <c r="AG167" t="s">
        <v>5</v>
      </c>
      <c r="AH167">
        <v>164</v>
      </c>
      <c r="AI167" t="s">
        <v>6</v>
      </c>
      <c r="AJ167" s="1">
        <v>0.5</v>
      </c>
      <c r="AK167" t="s">
        <v>7</v>
      </c>
      <c r="AL167" s="1">
        <v>0.37903229999999999</v>
      </c>
      <c r="AM167" t="s">
        <v>8</v>
      </c>
      <c r="AN167" s="1">
        <v>0</v>
      </c>
      <c r="AO167" s="1">
        <v>0.20494263567858501</v>
      </c>
    </row>
    <row r="168" spans="31:41">
      <c r="AE168" t="s">
        <v>4</v>
      </c>
      <c r="AF168">
        <v>0</v>
      </c>
      <c r="AG168" t="s">
        <v>5</v>
      </c>
      <c r="AH168">
        <v>165</v>
      </c>
      <c r="AI168" t="s">
        <v>6</v>
      </c>
      <c r="AJ168" s="1">
        <v>0.5</v>
      </c>
      <c r="AK168" t="s">
        <v>7</v>
      </c>
      <c r="AL168" s="1">
        <v>0.38133640000000002</v>
      </c>
      <c r="AM168" t="s">
        <v>8</v>
      </c>
      <c r="AN168" s="1">
        <v>0</v>
      </c>
      <c r="AO168" s="1">
        <v>0.20617062844689699</v>
      </c>
    </row>
    <row r="169" spans="31:41">
      <c r="AE169" t="s">
        <v>4</v>
      </c>
      <c r="AF169">
        <v>0</v>
      </c>
      <c r="AG169" t="s">
        <v>5</v>
      </c>
      <c r="AH169">
        <v>166</v>
      </c>
      <c r="AI169" t="s">
        <v>6</v>
      </c>
      <c r="AJ169" s="1">
        <v>0.5</v>
      </c>
      <c r="AK169" t="s">
        <v>7</v>
      </c>
      <c r="AL169" s="1">
        <v>0.3836406</v>
      </c>
      <c r="AM169" t="s">
        <v>8</v>
      </c>
      <c r="AN169" s="1">
        <v>0</v>
      </c>
      <c r="AO169" s="1">
        <v>0.20567051279411699</v>
      </c>
    </row>
    <row r="170" spans="31:41">
      <c r="AE170" t="s">
        <v>4</v>
      </c>
      <c r="AF170">
        <v>0</v>
      </c>
      <c r="AG170" t="s">
        <v>5</v>
      </c>
      <c r="AH170">
        <v>167</v>
      </c>
      <c r="AI170" t="s">
        <v>6</v>
      </c>
      <c r="AJ170" s="1">
        <v>0.5</v>
      </c>
      <c r="AK170" t="s">
        <v>7</v>
      </c>
      <c r="AL170" s="1">
        <v>0.38594469999999997</v>
      </c>
      <c r="AM170" t="s">
        <v>8</v>
      </c>
      <c r="AN170" s="1">
        <v>0</v>
      </c>
      <c r="AO170" s="1">
        <v>0.20633061737355499</v>
      </c>
    </row>
    <row r="171" spans="31:41">
      <c r="AE171" t="s">
        <v>4</v>
      </c>
      <c r="AF171">
        <v>0</v>
      </c>
      <c r="AG171" t="s">
        <v>5</v>
      </c>
      <c r="AH171">
        <v>168</v>
      </c>
      <c r="AI171" t="s">
        <v>6</v>
      </c>
      <c r="AJ171" s="1">
        <v>0.5</v>
      </c>
      <c r="AK171" t="s">
        <v>7</v>
      </c>
      <c r="AL171" s="1">
        <v>0.38824880000000001</v>
      </c>
      <c r="AM171" t="s">
        <v>8</v>
      </c>
      <c r="AN171" s="1">
        <v>0</v>
      </c>
      <c r="AO171" s="1">
        <v>0.20635903598737301</v>
      </c>
    </row>
    <row r="172" spans="31:41">
      <c r="AE172" t="s">
        <v>4</v>
      </c>
      <c r="AF172">
        <v>0</v>
      </c>
      <c r="AG172" t="s">
        <v>5</v>
      </c>
      <c r="AH172">
        <v>169</v>
      </c>
      <c r="AI172" t="s">
        <v>6</v>
      </c>
      <c r="AJ172" s="1">
        <v>0.5</v>
      </c>
      <c r="AK172" t="s">
        <v>7</v>
      </c>
      <c r="AL172" s="1">
        <v>0.39055299999999998</v>
      </c>
      <c r="AM172" t="s">
        <v>8</v>
      </c>
      <c r="AN172" s="1">
        <v>0</v>
      </c>
      <c r="AO172" s="1">
        <v>0.20572670698930101</v>
      </c>
    </row>
    <row r="173" spans="31:41">
      <c r="AE173" t="s">
        <v>4</v>
      </c>
      <c r="AF173">
        <v>0</v>
      </c>
      <c r="AG173" t="s">
        <v>5</v>
      </c>
      <c r="AH173">
        <v>170</v>
      </c>
      <c r="AI173" t="s">
        <v>6</v>
      </c>
      <c r="AJ173" s="1">
        <v>0.5</v>
      </c>
      <c r="AK173" t="s">
        <v>7</v>
      </c>
      <c r="AL173" s="1">
        <v>0.39285710000000001</v>
      </c>
      <c r="AM173" t="s">
        <v>8</v>
      </c>
      <c r="AN173" s="1">
        <v>0</v>
      </c>
      <c r="AO173" s="1">
        <v>0.20620369189431301</v>
      </c>
    </row>
    <row r="174" spans="31:41">
      <c r="AE174" t="s">
        <v>4</v>
      </c>
      <c r="AF174">
        <v>0</v>
      </c>
      <c r="AG174" t="s">
        <v>5</v>
      </c>
      <c r="AH174">
        <v>171</v>
      </c>
      <c r="AI174" t="s">
        <v>6</v>
      </c>
      <c r="AJ174" s="1">
        <v>0.5</v>
      </c>
      <c r="AK174" t="s">
        <v>7</v>
      </c>
      <c r="AL174" s="1">
        <v>0.39516129999999999</v>
      </c>
      <c r="AM174" t="s">
        <v>8</v>
      </c>
      <c r="AN174" s="1">
        <v>0</v>
      </c>
      <c r="AO174" s="1">
        <v>0.205120799179068</v>
      </c>
    </row>
    <row r="175" spans="31:41">
      <c r="AE175" t="s">
        <v>4</v>
      </c>
      <c r="AF175">
        <v>0</v>
      </c>
      <c r="AG175" t="s">
        <v>5</v>
      </c>
      <c r="AH175">
        <v>172</v>
      </c>
      <c r="AI175" t="s">
        <v>6</v>
      </c>
      <c r="AJ175" s="1">
        <v>0.5</v>
      </c>
      <c r="AK175" t="s">
        <v>7</v>
      </c>
      <c r="AL175" s="1">
        <v>0.39746540000000002</v>
      </c>
      <c r="AM175" t="s">
        <v>8</v>
      </c>
      <c r="AN175" s="1">
        <v>0</v>
      </c>
      <c r="AO175" s="1">
        <v>0.20601951235694599</v>
      </c>
    </row>
    <row r="176" spans="31:41">
      <c r="AE176" t="s">
        <v>4</v>
      </c>
      <c r="AF176">
        <v>0</v>
      </c>
      <c r="AG176" t="s">
        <v>5</v>
      </c>
      <c r="AH176">
        <v>173</v>
      </c>
      <c r="AI176" t="s">
        <v>6</v>
      </c>
      <c r="AJ176" s="1">
        <v>0.5</v>
      </c>
      <c r="AK176" t="s">
        <v>7</v>
      </c>
      <c r="AL176" s="1">
        <v>0.3997696</v>
      </c>
      <c r="AM176" t="s">
        <v>8</v>
      </c>
      <c r="AN176" s="1">
        <v>0</v>
      </c>
      <c r="AO176" s="1">
        <v>0.20578546960473901</v>
      </c>
    </row>
    <row r="177" spans="31:41">
      <c r="AE177" t="s">
        <v>4</v>
      </c>
      <c r="AF177">
        <v>0</v>
      </c>
      <c r="AG177" t="s">
        <v>5</v>
      </c>
      <c r="AH177">
        <v>174</v>
      </c>
      <c r="AI177" t="s">
        <v>6</v>
      </c>
      <c r="AJ177" s="1">
        <v>0.5</v>
      </c>
      <c r="AK177" t="s">
        <v>7</v>
      </c>
      <c r="AL177" s="1">
        <v>0.40207369999999998</v>
      </c>
      <c r="AM177" t="s">
        <v>8</v>
      </c>
      <c r="AN177" s="1">
        <v>0</v>
      </c>
      <c r="AO177" s="1">
        <v>0.206204875082351</v>
      </c>
    </row>
    <row r="178" spans="31:41">
      <c r="AE178" t="s">
        <v>4</v>
      </c>
      <c r="AF178">
        <v>0</v>
      </c>
      <c r="AG178" t="s">
        <v>5</v>
      </c>
      <c r="AH178">
        <v>175</v>
      </c>
      <c r="AI178" t="s">
        <v>6</v>
      </c>
      <c r="AJ178" s="1">
        <v>0.5</v>
      </c>
      <c r="AK178" t="s">
        <v>7</v>
      </c>
      <c r="AL178" s="1">
        <v>0.40437790000000001</v>
      </c>
      <c r="AM178" t="s">
        <v>8</v>
      </c>
      <c r="AN178" s="1">
        <v>0</v>
      </c>
      <c r="AO178" s="1">
        <v>0.20620817785394299</v>
      </c>
    </row>
    <row r="179" spans="31:41">
      <c r="AE179" t="s">
        <v>4</v>
      </c>
      <c r="AF179">
        <v>0</v>
      </c>
      <c r="AG179" t="s">
        <v>5</v>
      </c>
      <c r="AH179">
        <v>176</v>
      </c>
      <c r="AI179" t="s">
        <v>6</v>
      </c>
      <c r="AJ179" s="1">
        <v>0.5</v>
      </c>
      <c r="AK179" t="s">
        <v>7</v>
      </c>
      <c r="AL179" s="1">
        <v>0.40668199999999999</v>
      </c>
      <c r="AM179" t="s">
        <v>8</v>
      </c>
      <c r="AN179" s="1">
        <v>0</v>
      </c>
      <c r="AO179" s="1">
        <v>0.205700407624651</v>
      </c>
    </row>
    <row r="180" spans="31:41">
      <c r="AE180" t="s">
        <v>4</v>
      </c>
      <c r="AF180">
        <v>0</v>
      </c>
      <c r="AG180" t="s">
        <v>5</v>
      </c>
      <c r="AH180">
        <v>177</v>
      </c>
      <c r="AI180" t="s">
        <v>6</v>
      </c>
      <c r="AJ180" s="1">
        <v>0.5</v>
      </c>
      <c r="AK180" t="s">
        <v>7</v>
      </c>
      <c r="AL180" s="1">
        <v>0.40898620000000002</v>
      </c>
      <c r="AM180" t="s">
        <v>8</v>
      </c>
      <c r="AN180" s="1">
        <v>0</v>
      </c>
      <c r="AO180" s="1">
        <v>0.20591341023544299</v>
      </c>
    </row>
    <row r="181" spans="31:41">
      <c r="AE181" t="s">
        <v>4</v>
      </c>
      <c r="AF181">
        <v>0</v>
      </c>
      <c r="AG181" t="s">
        <v>5</v>
      </c>
      <c r="AH181">
        <v>178</v>
      </c>
      <c r="AI181" t="s">
        <v>6</v>
      </c>
      <c r="AJ181" s="1">
        <v>0.5</v>
      </c>
      <c r="AK181" t="s">
        <v>7</v>
      </c>
      <c r="AL181" s="1">
        <v>0.4112903</v>
      </c>
      <c r="AM181" t="s">
        <v>8</v>
      </c>
      <c r="AN181" s="1">
        <v>0</v>
      </c>
      <c r="AO181" s="1">
        <v>0.20496681791298599</v>
      </c>
    </row>
    <row r="182" spans="31:41">
      <c r="AE182" t="s">
        <v>4</v>
      </c>
      <c r="AF182">
        <v>0</v>
      </c>
      <c r="AG182" t="s">
        <v>5</v>
      </c>
      <c r="AH182">
        <v>179</v>
      </c>
      <c r="AI182" t="s">
        <v>6</v>
      </c>
      <c r="AJ182" s="1">
        <v>0.5</v>
      </c>
      <c r="AK182" t="s">
        <v>7</v>
      </c>
      <c r="AL182" s="1">
        <v>0.41359449999999998</v>
      </c>
      <c r="AM182" t="s">
        <v>8</v>
      </c>
      <c r="AN182" s="1">
        <v>0</v>
      </c>
      <c r="AO182" s="1">
        <v>0.205619537929983</v>
      </c>
    </row>
    <row r="183" spans="31:41">
      <c r="AE183" t="s">
        <v>4</v>
      </c>
      <c r="AF183">
        <v>0</v>
      </c>
      <c r="AG183" t="s">
        <v>5</v>
      </c>
      <c r="AH183">
        <v>180</v>
      </c>
      <c r="AI183" t="s">
        <v>6</v>
      </c>
      <c r="AJ183" s="1">
        <v>0.5</v>
      </c>
      <c r="AK183" t="s">
        <v>7</v>
      </c>
      <c r="AL183" s="1">
        <v>0.41589860000000001</v>
      </c>
      <c r="AM183" t="s">
        <v>8</v>
      </c>
      <c r="AN183" s="1">
        <v>0</v>
      </c>
      <c r="AO183" s="1">
        <v>0.205508569535892</v>
      </c>
    </row>
    <row r="184" spans="31:41">
      <c r="AE184" t="s">
        <v>4</v>
      </c>
      <c r="AF184">
        <v>0</v>
      </c>
      <c r="AG184" t="s">
        <v>5</v>
      </c>
      <c r="AH184">
        <v>181</v>
      </c>
      <c r="AI184" t="s">
        <v>6</v>
      </c>
      <c r="AJ184" s="1">
        <v>0.5</v>
      </c>
      <c r="AK184" t="s">
        <v>7</v>
      </c>
      <c r="AL184" s="1">
        <v>0.41820279999999999</v>
      </c>
      <c r="AM184" t="s">
        <v>8</v>
      </c>
      <c r="AN184" s="1">
        <v>0</v>
      </c>
      <c r="AO184" s="1">
        <v>0.205801619497544</v>
      </c>
    </row>
    <row r="185" spans="31:41">
      <c r="AE185" t="s">
        <v>4</v>
      </c>
      <c r="AF185">
        <v>0</v>
      </c>
      <c r="AG185" t="s">
        <v>5</v>
      </c>
      <c r="AH185">
        <v>182</v>
      </c>
      <c r="AI185" t="s">
        <v>6</v>
      </c>
      <c r="AJ185" s="1">
        <v>0.5</v>
      </c>
      <c r="AK185" t="s">
        <v>7</v>
      </c>
      <c r="AL185" s="1">
        <v>0.42050690000000002</v>
      </c>
      <c r="AM185" t="s">
        <v>8</v>
      </c>
      <c r="AN185" s="1">
        <v>0</v>
      </c>
      <c r="AO185" s="1">
        <v>0.205760741563455</v>
      </c>
    </row>
    <row r="186" spans="31:41">
      <c r="AE186" t="s">
        <v>4</v>
      </c>
      <c r="AF186">
        <v>0</v>
      </c>
      <c r="AG186" t="s">
        <v>5</v>
      </c>
      <c r="AH186">
        <v>183</v>
      </c>
      <c r="AI186" t="s">
        <v>6</v>
      </c>
      <c r="AJ186" s="1">
        <v>0.5</v>
      </c>
      <c r="AK186" t="s">
        <v>7</v>
      </c>
      <c r="AL186" s="1">
        <v>0.4228111</v>
      </c>
      <c r="AM186" t="s">
        <v>8</v>
      </c>
      <c r="AN186" s="1">
        <v>0</v>
      </c>
      <c r="AO186" s="1">
        <v>0.20535903766681199</v>
      </c>
    </row>
    <row r="187" spans="31:41">
      <c r="AE187" t="s">
        <v>4</v>
      </c>
      <c r="AF187">
        <v>0</v>
      </c>
      <c r="AG187" t="s">
        <v>5</v>
      </c>
      <c r="AH187">
        <v>184</v>
      </c>
      <c r="AI187" t="s">
        <v>6</v>
      </c>
      <c r="AJ187" s="1">
        <v>0.5</v>
      </c>
      <c r="AK187" t="s">
        <v>7</v>
      </c>
      <c r="AL187" s="1">
        <v>0.42511520000000003</v>
      </c>
      <c r="AM187" t="s">
        <v>8</v>
      </c>
      <c r="AN187" s="1">
        <v>0</v>
      </c>
      <c r="AO187" s="1">
        <v>0.20529470966562599</v>
      </c>
    </row>
    <row r="188" spans="31:41">
      <c r="AE188" t="s">
        <v>4</v>
      </c>
      <c r="AF188">
        <v>0</v>
      </c>
      <c r="AG188" t="s">
        <v>5</v>
      </c>
      <c r="AH188">
        <v>185</v>
      </c>
      <c r="AI188" t="s">
        <v>6</v>
      </c>
      <c r="AJ188" s="1">
        <v>0.5</v>
      </c>
      <c r="AK188" t="s">
        <v>7</v>
      </c>
      <c r="AL188" s="1">
        <v>0.4274194</v>
      </c>
      <c r="AM188" t="s">
        <v>8</v>
      </c>
      <c r="AN188" s="1">
        <v>0</v>
      </c>
      <c r="AO188" s="1">
        <v>0.20473265622689699</v>
      </c>
    </row>
    <row r="189" spans="31:41">
      <c r="AE189" t="s">
        <v>4</v>
      </c>
      <c r="AF189">
        <v>0</v>
      </c>
      <c r="AG189" t="s">
        <v>5</v>
      </c>
      <c r="AH189">
        <v>186</v>
      </c>
      <c r="AI189" t="s">
        <v>6</v>
      </c>
      <c r="AJ189" s="1">
        <v>0.5</v>
      </c>
      <c r="AK189" t="s">
        <v>7</v>
      </c>
      <c r="AL189" s="1">
        <v>0.42972349999999998</v>
      </c>
      <c r="AM189" t="s">
        <v>8</v>
      </c>
      <c r="AN189" s="1">
        <v>0</v>
      </c>
      <c r="AO189" s="1">
        <v>0.20487636930783801</v>
      </c>
    </row>
    <row r="190" spans="31:41">
      <c r="AE190" t="s">
        <v>4</v>
      </c>
      <c r="AF190">
        <v>0</v>
      </c>
      <c r="AG190" t="s">
        <v>5</v>
      </c>
      <c r="AH190">
        <v>187</v>
      </c>
      <c r="AI190" t="s">
        <v>6</v>
      </c>
      <c r="AJ190" s="1">
        <v>0.5</v>
      </c>
      <c r="AK190" t="s">
        <v>7</v>
      </c>
      <c r="AL190" s="1">
        <v>0.43202760000000001</v>
      </c>
      <c r="AM190" t="s">
        <v>8</v>
      </c>
      <c r="AN190" s="1">
        <v>0</v>
      </c>
      <c r="AO190" s="1">
        <v>0.20508578365628499</v>
      </c>
    </row>
    <row r="191" spans="31:41">
      <c r="AE191" t="s">
        <v>4</v>
      </c>
      <c r="AF191">
        <v>0</v>
      </c>
      <c r="AG191" t="s">
        <v>5</v>
      </c>
      <c r="AH191">
        <v>188</v>
      </c>
      <c r="AI191" t="s">
        <v>6</v>
      </c>
      <c r="AJ191" s="1">
        <v>0.5</v>
      </c>
      <c r="AK191" t="s">
        <v>7</v>
      </c>
      <c r="AL191" s="1">
        <v>0.43433179999999999</v>
      </c>
      <c r="AM191" t="s">
        <v>8</v>
      </c>
      <c r="AN191" s="1">
        <v>0</v>
      </c>
      <c r="AO191" s="1">
        <v>0.20503962710767701</v>
      </c>
    </row>
    <row r="192" spans="31:41">
      <c r="AE192" t="s">
        <v>4</v>
      </c>
      <c r="AF192">
        <v>0</v>
      </c>
      <c r="AG192" t="s">
        <v>5</v>
      </c>
      <c r="AH192">
        <v>189</v>
      </c>
      <c r="AI192" t="s">
        <v>6</v>
      </c>
      <c r="AJ192" s="1">
        <v>0.5</v>
      </c>
      <c r="AK192" t="s">
        <v>7</v>
      </c>
      <c r="AL192" s="1">
        <v>0.43663590000000002</v>
      </c>
      <c r="AM192" t="s">
        <v>8</v>
      </c>
      <c r="AN192" s="1">
        <v>0</v>
      </c>
      <c r="AO192" s="1">
        <v>0.20493963713024799</v>
      </c>
    </row>
    <row r="193" spans="31:41">
      <c r="AE193" t="s">
        <v>4</v>
      </c>
      <c r="AF193">
        <v>0</v>
      </c>
      <c r="AG193" t="s">
        <v>5</v>
      </c>
      <c r="AH193">
        <v>190</v>
      </c>
      <c r="AI193" t="s">
        <v>6</v>
      </c>
      <c r="AJ193" s="1">
        <v>0.5</v>
      </c>
      <c r="AK193" t="s">
        <v>7</v>
      </c>
      <c r="AL193" s="1">
        <v>0.4389401</v>
      </c>
      <c r="AM193" t="s">
        <v>8</v>
      </c>
      <c r="AN193" s="1">
        <v>0</v>
      </c>
      <c r="AO193" s="1">
        <v>0.20442918465249299</v>
      </c>
    </row>
    <row r="194" spans="31:41">
      <c r="AE194" t="s">
        <v>4</v>
      </c>
      <c r="AF194">
        <v>0</v>
      </c>
      <c r="AG194" t="s">
        <v>5</v>
      </c>
      <c r="AH194">
        <v>191</v>
      </c>
      <c r="AI194" t="s">
        <v>6</v>
      </c>
      <c r="AJ194" s="1">
        <v>0.5</v>
      </c>
      <c r="AK194" t="s">
        <v>7</v>
      </c>
      <c r="AL194" s="1">
        <v>0.44124419999999998</v>
      </c>
      <c r="AM194" t="s">
        <v>8</v>
      </c>
      <c r="AN194" s="1">
        <v>0</v>
      </c>
      <c r="AO194" s="1">
        <v>0.204236913766212</v>
      </c>
    </row>
    <row r="195" spans="31:41">
      <c r="AE195" t="s">
        <v>4</v>
      </c>
      <c r="AF195">
        <v>0</v>
      </c>
      <c r="AG195" t="s">
        <v>5</v>
      </c>
      <c r="AH195">
        <v>192</v>
      </c>
      <c r="AI195" t="s">
        <v>6</v>
      </c>
      <c r="AJ195" s="1">
        <v>0.5</v>
      </c>
      <c r="AK195" t="s">
        <v>7</v>
      </c>
      <c r="AL195" s="1">
        <v>0.44354840000000001</v>
      </c>
      <c r="AM195" t="s">
        <v>8</v>
      </c>
      <c r="AN195" s="1">
        <v>0</v>
      </c>
      <c r="AO195" s="1">
        <v>0.20319572738144101</v>
      </c>
    </row>
    <row r="196" spans="31:41">
      <c r="AE196" t="s">
        <v>4</v>
      </c>
      <c r="AF196">
        <v>0</v>
      </c>
      <c r="AG196" t="s">
        <v>5</v>
      </c>
      <c r="AH196">
        <v>193</v>
      </c>
      <c r="AI196" t="s">
        <v>6</v>
      </c>
      <c r="AJ196" s="1">
        <v>0.5</v>
      </c>
      <c r="AK196" t="s">
        <v>7</v>
      </c>
      <c r="AL196" s="1">
        <v>0.44585249999999998</v>
      </c>
      <c r="AM196" t="s">
        <v>8</v>
      </c>
      <c r="AN196" s="1">
        <v>0</v>
      </c>
      <c r="AO196" s="1">
        <v>0.20356364957235701</v>
      </c>
    </row>
    <row r="197" spans="31:41">
      <c r="AE197" t="s">
        <v>4</v>
      </c>
      <c r="AF197">
        <v>0</v>
      </c>
      <c r="AG197" t="s">
        <v>5</v>
      </c>
      <c r="AH197">
        <v>194</v>
      </c>
      <c r="AI197" t="s">
        <v>6</v>
      </c>
      <c r="AJ197" s="1">
        <v>0.5</v>
      </c>
      <c r="AK197" t="s">
        <v>7</v>
      </c>
      <c r="AL197" s="1">
        <v>0.44815670000000002</v>
      </c>
      <c r="AM197" t="s">
        <v>8</v>
      </c>
      <c r="AN197" s="1">
        <v>0</v>
      </c>
      <c r="AO197" s="1">
        <v>0.203347453540351</v>
      </c>
    </row>
    <row r="198" spans="31:41">
      <c r="AE198" t="s">
        <v>4</v>
      </c>
      <c r="AF198">
        <v>0</v>
      </c>
      <c r="AG198" t="s">
        <v>5</v>
      </c>
      <c r="AH198">
        <v>195</v>
      </c>
      <c r="AI198" t="s">
        <v>6</v>
      </c>
      <c r="AJ198" s="1">
        <v>0.5</v>
      </c>
      <c r="AK198" t="s">
        <v>7</v>
      </c>
      <c r="AL198" s="1">
        <v>0.45046079999999999</v>
      </c>
      <c r="AM198" t="s">
        <v>8</v>
      </c>
      <c r="AN198" s="1">
        <v>0</v>
      </c>
      <c r="AO198" s="1">
        <v>0.20355555777295301</v>
      </c>
    </row>
    <row r="199" spans="31:41">
      <c r="AE199" t="s">
        <v>4</v>
      </c>
      <c r="AF199">
        <v>0</v>
      </c>
      <c r="AG199" t="s">
        <v>5</v>
      </c>
      <c r="AH199">
        <v>196</v>
      </c>
      <c r="AI199" t="s">
        <v>6</v>
      </c>
      <c r="AJ199" s="1">
        <v>0.5</v>
      </c>
      <c r="AK199" t="s">
        <v>7</v>
      </c>
      <c r="AL199" s="1">
        <v>0.45276499999999997</v>
      </c>
      <c r="AM199" t="s">
        <v>8</v>
      </c>
      <c r="AN199" s="1">
        <v>0</v>
      </c>
      <c r="AO199" s="1">
        <v>0.203340065927792</v>
      </c>
    </row>
    <row r="200" spans="31:41">
      <c r="AE200" t="s">
        <v>4</v>
      </c>
      <c r="AF200">
        <v>0</v>
      </c>
      <c r="AG200" t="s">
        <v>5</v>
      </c>
      <c r="AH200">
        <v>197</v>
      </c>
      <c r="AI200" t="s">
        <v>6</v>
      </c>
      <c r="AJ200" s="1">
        <v>0.5</v>
      </c>
      <c r="AK200" t="s">
        <v>7</v>
      </c>
      <c r="AL200" s="1">
        <v>0.4550691</v>
      </c>
      <c r="AM200" t="s">
        <v>8</v>
      </c>
      <c r="AN200" s="1">
        <v>0</v>
      </c>
      <c r="AO200" s="1">
        <v>0.20241179246082999</v>
      </c>
    </row>
    <row r="201" spans="31:41">
      <c r="AE201" t="s">
        <v>4</v>
      </c>
      <c r="AF201">
        <v>0</v>
      </c>
      <c r="AG201" t="s">
        <v>5</v>
      </c>
      <c r="AH201">
        <v>198</v>
      </c>
      <c r="AI201" t="s">
        <v>6</v>
      </c>
      <c r="AJ201" s="1">
        <v>0.5</v>
      </c>
      <c r="AK201" t="s">
        <v>7</v>
      </c>
      <c r="AL201" s="1">
        <v>0.45737329999999998</v>
      </c>
      <c r="AM201" t="s">
        <v>8</v>
      </c>
      <c r="AN201" s="1">
        <v>0</v>
      </c>
      <c r="AO201" s="1">
        <v>0.20239208582155399</v>
      </c>
    </row>
    <row r="202" spans="31:41">
      <c r="AE202" t="s">
        <v>4</v>
      </c>
      <c r="AF202">
        <v>0</v>
      </c>
      <c r="AG202" t="s">
        <v>5</v>
      </c>
      <c r="AH202">
        <v>199</v>
      </c>
      <c r="AI202" t="s">
        <v>6</v>
      </c>
      <c r="AJ202" s="1">
        <v>0.5</v>
      </c>
      <c r="AK202" t="s">
        <v>7</v>
      </c>
      <c r="AL202" s="1">
        <v>0.45967740000000001</v>
      </c>
      <c r="AM202" t="s">
        <v>8</v>
      </c>
      <c r="AN202" s="1">
        <v>0</v>
      </c>
      <c r="AO202" s="1">
        <v>0.20075764324263601</v>
      </c>
    </row>
    <row r="203" spans="31:41">
      <c r="AE203" t="s">
        <v>4</v>
      </c>
      <c r="AF203">
        <v>0</v>
      </c>
      <c r="AG203" t="s">
        <v>5</v>
      </c>
      <c r="AH203">
        <v>200</v>
      </c>
      <c r="AI203" t="s">
        <v>6</v>
      </c>
      <c r="AJ203" s="1">
        <v>0.5</v>
      </c>
      <c r="AK203" t="s">
        <v>7</v>
      </c>
      <c r="AL203" s="1">
        <v>0.46198159999999999</v>
      </c>
      <c r="AM203" t="s">
        <v>8</v>
      </c>
      <c r="AN203" s="1">
        <v>0</v>
      </c>
      <c r="AO203" s="1">
        <v>0.20146775735057501</v>
      </c>
    </row>
    <row r="204" spans="31:41">
      <c r="AE204" t="s">
        <v>4</v>
      </c>
      <c r="AF204">
        <v>0</v>
      </c>
      <c r="AG204" t="s">
        <v>5</v>
      </c>
      <c r="AH204">
        <v>201</v>
      </c>
      <c r="AI204" t="s">
        <v>6</v>
      </c>
      <c r="AJ204" s="1">
        <v>0.5</v>
      </c>
      <c r="AK204" t="s">
        <v>7</v>
      </c>
      <c r="AL204" s="1">
        <v>0.46428570000000002</v>
      </c>
      <c r="AM204" t="s">
        <v>8</v>
      </c>
      <c r="AN204" s="1">
        <v>0</v>
      </c>
      <c r="AO204" s="1">
        <v>0.20030805712431901</v>
      </c>
    </row>
    <row r="205" spans="31:41">
      <c r="AE205" t="s">
        <v>4</v>
      </c>
      <c r="AF205">
        <v>0</v>
      </c>
      <c r="AG205" t="s">
        <v>5</v>
      </c>
      <c r="AH205">
        <v>202</v>
      </c>
      <c r="AI205" t="s">
        <v>6</v>
      </c>
      <c r="AJ205" s="1">
        <v>0.5</v>
      </c>
      <c r="AK205" t="s">
        <v>7</v>
      </c>
      <c r="AL205" s="1">
        <v>0.4665899</v>
      </c>
      <c r="AM205" t="s">
        <v>8</v>
      </c>
      <c r="AN205" s="1">
        <v>0</v>
      </c>
      <c r="AO205" s="1">
        <v>0.201116470380344</v>
      </c>
    </row>
    <row r="206" spans="31:41">
      <c r="AE206" t="s">
        <v>4</v>
      </c>
      <c r="AF206">
        <v>0</v>
      </c>
      <c r="AG206" t="s">
        <v>5</v>
      </c>
      <c r="AH206">
        <v>203</v>
      </c>
      <c r="AI206" t="s">
        <v>6</v>
      </c>
      <c r="AJ206" s="1">
        <v>0.5</v>
      </c>
      <c r="AK206" t="s">
        <v>7</v>
      </c>
      <c r="AL206" s="1">
        <v>0.46889399999999998</v>
      </c>
      <c r="AM206" t="s">
        <v>8</v>
      </c>
      <c r="AN206" s="1">
        <v>0</v>
      </c>
      <c r="AO206" s="1">
        <v>0.20070294734747901</v>
      </c>
    </row>
    <row r="207" spans="31:41">
      <c r="AE207" t="s">
        <v>4</v>
      </c>
      <c r="AF207">
        <v>0</v>
      </c>
      <c r="AG207" t="s">
        <v>5</v>
      </c>
      <c r="AH207">
        <v>204</v>
      </c>
      <c r="AI207" t="s">
        <v>6</v>
      </c>
      <c r="AJ207" s="1">
        <v>0.5</v>
      </c>
      <c r="AK207" t="s">
        <v>7</v>
      </c>
      <c r="AL207" s="1">
        <v>0.47119820000000001</v>
      </c>
      <c r="AM207" t="s">
        <v>8</v>
      </c>
      <c r="AN207" s="1">
        <v>0</v>
      </c>
      <c r="AO207" s="1">
        <v>0.19689787577726101</v>
      </c>
    </row>
    <row r="208" spans="31:41">
      <c r="AE208" t="s">
        <v>4</v>
      </c>
      <c r="AF208">
        <v>0</v>
      </c>
      <c r="AG208" t="s">
        <v>5</v>
      </c>
      <c r="AH208">
        <v>205</v>
      </c>
      <c r="AI208" t="s">
        <v>6</v>
      </c>
      <c r="AJ208" s="1">
        <v>0.5</v>
      </c>
      <c r="AK208" t="s">
        <v>7</v>
      </c>
      <c r="AL208" s="1">
        <v>0.47350229999999999</v>
      </c>
      <c r="AM208" t="s">
        <v>8</v>
      </c>
      <c r="AN208" s="1">
        <v>0</v>
      </c>
      <c r="AO208" s="1">
        <v>0.19931085590070299</v>
      </c>
    </row>
    <row r="209" spans="31:41">
      <c r="AE209" t="s">
        <v>4</v>
      </c>
      <c r="AF209">
        <v>0</v>
      </c>
      <c r="AG209" t="s">
        <v>5</v>
      </c>
      <c r="AH209">
        <v>206</v>
      </c>
      <c r="AI209" t="s">
        <v>6</v>
      </c>
      <c r="AJ209" s="1">
        <v>0.5</v>
      </c>
      <c r="AK209" t="s">
        <v>7</v>
      </c>
      <c r="AL209" s="1">
        <v>0.47580650000000002</v>
      </c>
      <c r="AM209" t="s">
        <v>8</v>
      </c>
      <c r="AN209" s="1">
        <v>0</v>
      </c>
      <c r="AO209" s="1">
        <v>0.191042101471077</v>
      </c>
    </row>
    <row r="210" spans="31:41">
      <c r="AE210" t="s">
        <v>4</v>
      </c>
      <c r="AF210">
        <v>0</v>
      </c>
      <c r="AG210" t="s">
        <v>5</v>
      </c>
      <c r="AH210">
        <v>207</v>
      </c>
      <c r="AI210" t="s">
        <v>6</v>
      </c>
      <c r="AJ210" s="1">
        <v>0.5</v>
      </c>
      <c r="AK210" t="s">
        <v>7</v>
      </c>
      <c r="AL210" s="1">
        <v>0.4781106</v>
      </c>
      <c r="AM210" t="s">
        <v>8</v>
      </c>
      <c r="AN210" s="1">
        <v>0</v>
      </c>
      <c r="AO210" s="1">
        <v>0.19756361413360199</v>
      </c>
    </row>
    <row r="211" spans="31:41">
      <c r="AE211" t="s">
        <v>4</v>
      </c>
      <c r="AF211">
        <v>0</v>
      </c>
      <c r="AG211" t="s">
        <v>5</v>
      </c>
      <c r="AH211">
        <v>208</v>
      </c>
      <c r="AI211" t="s">
        <v>6</v>
      </c>
      <c r="AJ211" s="1">
        <v>0.5</v>
      </c>
      <c r="AK211" t="s">
        <v>7</v>
      </c>
      <c r="AL211" s="1">
        <v>0.48041469999999997</v>
      </c>
      <c r="AM211" t="s">
        <v>8</v>
      </c>
      <c r="AN211" s="1">
        <v>0</v>
      </c>
      <c r="AO211" s="1">
        <v>0.19050966367245101</v>
      </c>
    </row>
    <row r="212" spans="31:41">
      <c r="AE212" t="s">
        <v>4</v>
      </c>
      <c r="AF212">
        <v>0</v>
      </c>
      <c r="AG212" t="s">
        <v>5</v>
      </c>
      <c r="AH212">
        <v>209</v>
      </c>
      <c r="AI212" t="s">
        <v>6</v>
      </c>
      <c r="AJ212" s="1">
        <v>0.5</v>
      </c>
      <c r="AK212" t="s">
        <v>7</v>
      </c>
      <c r="AL212" s="1">
        <v>0.48271890000000001</v>
      </c>
      <c r="AM212" t="s">
        <v>8</v>
      </c>
      <c r="AN212" s="1">
        <v>0</v>
      </c>
      <c r="AO212" s="1">
        <v>0.19610130821748001</v>
      </c>
    </row>
    <row r="213" spans="31:41">
      <c r="AE213" t="s">
        <v>4</v>
      </c>
      <c r="AF213">
        <v>0</v>
      </c>
      <c r="AG213" t="s">
        <v>5</v>
      </c>
      <c r="AH213">
        <v>210</v>
      </c>
      <c r="AI213" t="s">
        <v>6</v>
      </c>
      <c r="AJ213" s="1">
        <v>0.5</v>
      </c>
      <c r="AK213" t="s">
        <v>7</v>
      </c>
      <c r="AL213" s="1">
        <v>0.48502299999999998</v>
      </c>
      <c r="AM213" t="s">
        <v>8</v>
      </c>
      <c r="AN213" s="1">
        <v>0</v>
      </c>
      <c r="AO213" s="1">
        <v>0.195304436284432</v>
      </c>
    </row>
    <row r="214" spans="31:41">
      <c r="AE214" t="s">
        <v>4</v>
      </c>
      <c r="AF214">
        <v>0</v>
      </c>
      <c r="AG214" t="s">
        <v>5</v>
      </c>
      <c r="AH214">
        <v>211</v>
      </c>
      <c r="AI214" t="s">
        <v>6</v>
      </c>
      <c r="AJ214" s="1">
        <v>0.5</v>
      </c>
      <c r="AK214" t="s">
        <v>7</v>
      </c>
      <c r="AL214" s="1">
        <v>0.48732720000000002</v>
      </c>
      <c r="AM214" t="s">
        <v>8</v>
      </c>
      <c r="AN214" s="1">
        <v>0</v>
      </c>
      <c r="AO214" s="1">
        <v>0.180596267577533</v>
      </c>
    </row>
    <row r="215" spans="31:41">
      <c r="AE215" t="s">
        <v>4</v>
      </c>
      <c r="AF215">
        <v>0</v>
      </c>
      <c r="AG215" t="s">
        <v>5</v>
      </c>
      <c r="AH215">
        <v>212</v>
      </c>
      <c r="AI215" t="s">
        <v>6</v>
      </c>
      <c r="AJ215" s="1">
        <v>0.5</v>
      </c>
      <c r="AK215" t="s">
        <v>7</v>
      </c>
      <c r="AL215" s="1">
        <v>0.48963129999999999</v>
      </c>
      <c r="AM215" t="s">
        <v>8</v>
      </c>
      <c r="AN215" s="1">
        <v>0</v>
      </c>
      <c r="AO215" s="1">
        <v>0.19347760971351399</v>
      </c>
    </row>
    <row r="216" spans="31:41">
      <c r="AE216" t="s">
        <v>4</v>
      </c>
      <c r="AF216">
        <v>0</v>
      </c>
      <c r="AG216" t="s">
        <v>5</v>
      </c>
      <c r="AH216">
        <v>213</v>
      </c>
      <c r="AI216" t="s">
        <v>6</v>
      </c>
      <c r="AJ216" s="1">
        <v>0.5</v>
      </c>
      <c r="AK216" t="s">
        <v>7</v>
      </c>
      <c r="AL216" s="1">
        <v>0.49193550000000003</v>
      </c>
      <c r="AM216" t="s">
        <v>8</v>
      </c>
      <c r="AN216" s="1">
        <v>0</v>
      </c>
      <c r="AO216" s="1">
        <v>0.15147238253753001</v>
      </c>
    </row>
    <row r="217" spans="31:41">
      <c r="AE217" t="s">
        <v>4</v>
      </c>
      <c r="AF217">
        <v>0</v>
      </c>
      <c r="AG217" t="s">
        <v>5</v>
      </c>
      <c r="AH217">
        <v>214</v>
      </c>
      <c r="AI217" t="s">
        <v>6</v>
      </c>
      <c r="AJ217" s="1">
        <v>0.5</v>
      </c>
      <c r="AK217" t="s">
        <v>7</v>
      </c>
      <c r="AL217" s="1">
        <v>0.4942396</v>
      </c>
      <c r="AM217" t="s">
        <v>8</v>
      </c>
      <c r="AN217" s="1">
        <v>0</v>
      </c>
      <c r="AO217" s="1">
        <v>0.189460889172505</v>
      </c>
    </row>
    <row r="218" spans="31:41">
      <c r="AE218" t="s">
        <v>4</v>
      </c>
      <c r="AF218">
        <v>0</v>
      </c>
      <c r="AG218" t="s">
        <v>5</v>
      </c>
      <c r="AH218">
        <v>215</v>
      </c>
      <c r="AI218" t="s">
        <v>6</v>
      </c>
      <c r="AJ218" s="1">
        <v>0.5</v>
      </c>
      <c r="AK218" t="s">
        <v>7</v>
      </c>
      <c r="AL218" s="1">
        <v>0.49654379999999998</v>
      </c>
      <c r="AM218" t="s">
        <v>8</v>
      </c>
      <c r="AN218" s="1">
        <v>0</v>
      </c>
      <c r="AO218" s="1">
        <v>0.14354414722893</v>
      </c>
    </row>
    <row r="219" spans="31:41">
      <c r="AE219" t="s">
        <v>4</v>
      </c>
      <c r="AF219">
        <v>0</v>
      </c>
      <c r="AG219" t="s">
        <v>5</v>
      </c>
      <c r="AH219">
        <v>216</v>
      </c>
      <c r="AI219" t="s">
        <v>6</v>
      </c>
      <c r="AJ219" s="1">
        <v>0.5</v>
      </c>
      <c r="AK219" t="s">
        <v>7</v>
      </c>
      <c r="AL219" s="1">
        <v>0.49884790000000001</v>
      </c>
      <c r="AM219" t="s">
        <v>8</v>
      </c>
      <c r="AN219" s="1">
        <v>0</v>
      </c>
      <c r="AO219" s="1">
        <v>0.18433904490429001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CAF6B-6D31-453E-8741-404C43A901EB}">
  <dimension ref="A1:BI81"/>
  <sheetViews>
    <sheetView topLeftCell="A28" zoomScale="115" zoomScaleNormal="115" workbookViewId="0">
      <selection activeCell="U23" sqref="U23"/>
    </sheetView>
  </sheetViews>
  <sheetFormatPr defaultRowHeight="18"/>
  <cols>
    <col min="6" max="6" width="9.5" bestFit="1" customWidth="1"/>
    <col min="8" max="8" width="9.5" bestFit="1" customWidth="1"/>
    <col min="10" max="10" width="10.09765625" bestFit="1" customWidth="1"/>
    <col min="11" max="11" width="9.5" bestFit="1" customWidth="1"/>
    <col min="21" max="21" width="8.8984375" bestFit="1" customWidth="1"/>
    <col min="23" max="23" width="8.8984375" bestFit="1" customWidth="1"/>
    <col min="55" max="55" width="9.59765625" bestFit="1" customWidth="1"/>
  </cols>
  <sheetData>
    <row r="1" spans="1:61">
      <c r="A1" t="s">
        <v>14</v>
      </c>
      <c r="T1" t="s">
        <v>2</v>
      </c>
      <c r="U1" t="s">
        <v>3</v>
      </c>
      <c r="BI1" t="s">
        <v>15</v>
      </c>
    </row>
    <row r="2" spans="1:61">
      <c r="A2" t="s">
        <v>4</v>
      </c>
      <c r="B2">
        <v>0</v>
      </c>
      <c r="C2" t="s">
        <v>5</v>
      </c>
      <c r="D2">
        <v>0</v>
      </c>
      <c r="E2" t="s">
        <v>6</v>
      </c>
      <c r="F2" s="1">
        <v>1.5625E-2</v>
      </c>
      <c r="G2" t="s">
        <v>7</v>
      </c>
      <c r="H2" s="1">
        <v>0.5</v>
      </c>
      <c r="I2" t="s">
        <v>8</v>
      </c>
      <c r="J2" s="1">
        <v>0</v>
      </c>
      <c r="K2" s="1">
        <v>0.199878639631451</v>
      </c>
      <c r="T2" t="s">
        <v>4</v>
      </c>
      <c r="U2">
        <v>0</v>
      </c>
      <c r="V2" t="s">
        <v>5</v>
      </c>
      <c r="W2">
        <v>0</v>
      </c>
      <c r="X2" t="s">
        <v>6</v>
      </c>
      <c r="Y2" s="1">
        <v>1.5625E-2</v>
      </c>
      <c r="Z2" t="s">
        <v>7</v>
      </c>
      <c r="AA2" s="1">
        <v>0.5</v>
      </c>
      <c r="AB2" t="s">
        <v>8</v>
      </c>
      <c r="AC2" s="1">
        <v>0</v>
      </c>
      <c r="AD2" s="1">
        <v>0.19987728421887299</v>
      </c>
      <c r="AF2" t="s">
        <v>4</v>
      </c>
      <c r="AG2">
        <v>0</v>
      </c>
      <c r="AH2" t="s">
        <v>5</v>
      </c>
      <c r="AI2">
        <v>0</v>
      </c>
      <c r="AJ2" t="s">
        <v>6</v>
      </c>
      <c r="AK2" s="1">
        <v>3.1250000000000002E-3</v>
      </c>
      <c r="AL2" t="s">
        <v>7</v>
      </c>
      <c r="AM2" s="1">
        <v>0.5</v>
      </c>
      <c r="AN2" t="s">
        <v>8</v>
      </c>
      <c r="AO2" s="1">
        <v>0</v>
      </c>
      <c r="AP2" s="1">
        <v>0.199592180405081</v>
      </c>
      <c r="AR2" t="s">
        <v>4</v>
      </c>
      <c r="AS2">
        <v>0</v>
      </c>
      <c r="AT2" t="s">
        <v>5</v>
      </c>
      <c r="AU2">
        <v>0</v>
      </c>
      <c r="AV2" t="s">
        <v>6</v>
      </c>
      <c r="AW2" s="1">
        <v>1.5625E-2</v>
      </c>
      <c r="AX2" t="s">
        <v>7</v>
      </c>
      <c r="AY2" s="1">
        <v>0.5</v>
      </c>
      <c r="AZ2" t="s">
        <v>8</v>
      </c>
      <c r="BA2" s="1">
        <v>0</v>
      </c>
      <c r="BB2" s="1">
        <v>0.199878639631451</v>
      </c>
      <c r="BC2" s="1">
        <f t="shared" ref="BC2:BC17" si="0">AW2*-1</f>
        <v>-1.5625E-2</v>
      </c>
      <c r="BD2" s="1">
        <f t="shared" ref="BD2:BD33" si="1">BB2</f>
        <v>0.199878639631451</v>
      </c>
    </row>
    <row r="3" spans="1:61">
      <c r="A3" t="s">
        <v>4</v>
      </c>
      <c r="B3">
        <v>0</v>
      </c>
      <c r="C3" t="s">
        <v>5</v>
      </c>
      <c r="D3">
        <v>1</v>
      </c>
      <c r="E3" t="s">
        <v>6</v>
      </c>
      <c r="F3" s="1">
        <v>4.6875E-2</v>
      </c>
      <c r="G3" t="s">
        <v>7</v>
      </c>
      <c r="H3" s="1">
        <v>0.5</v>
      </c>
      <c r="I3" t="s">
        <v>8</v>
      </c>
      <c r="J3" s="1">
        <v>0</v>
      </c>
      <c r="K3" s="1">
        <v>0.19996715117472399</v>
      </c>
      <c r="T3" t="s">
        <v>4</v>
      </c>
      <c r="U3">
        <v>0</v>
      </c>
      <c r="V3" t="s">
        <v>5</v>
      </c>
      <c r="W3">
        <v>1</v>
      </c>
      <c r="X3" t="s">
        <v>6</v>
      </c>
      <c r="Y3" s="1">
        <v>4.6875E-2</v>
      </c>
      <c r="Z3" t="s">
        <v>7</v>
      </c>
      <c r="AA3" s="1">
        <v>0.5</v>
      </c>
      <c r="AB3" t="s">
        <v>8</v>
      </c>
      <c r="AC3" s="1">
        <v>0</v>
      </c>
      <c r="AD3" s="1">
        <v>0.19994515558298501</v>
      </c>
      <c r="AF3" t="s">
        <v>4</v>
      </c>
      <c r="AG3">
        <v>0</v>
      </c>
      <c r="AH3" t="s">
        <v>5</v>
      </c>
      <c r="AI3">
        <v>1</v>
      </c>
      <c r="AJ3" t="s">
        <v>6</v>
      </c>
      <c r="AK3" s="1">
        <v>9.3749999999999997E-3</v>
      </c>
      <c r="AL3" t="s">
        <v>7</v>
      </c>
      <c r="AM3" s="1">
        <v>0.5</v>
      </c>
      <c r="AN3" t="s">
        <v>8</v>
      </c>
      <c r="AO3" s="1">
        <v>0</v>
      </c>
      <c r="AP3" s="1">
        <v>0.19960705471977</v>
      </c>
      <c r="AR3" t="s">
        <v>4</v>
      </c>
      <c r="AS3">
        <v>0</v>
      </c>
      <c r="AT3" t="s">
        <v>5</v>
      </c>
      <c r="AU3">
        <v>15</v>
      </c>
      <c r="AV3" t="s">
        <v>6</v>
      </c>
      <c r="AW3" s="1">
        <v>0.484375</v>
      </c>
      <c r="AX3" t="s">
        <v>7</v>
      </c>
      <c r="AY3" s="1">
        <v>0.5</v>
      </c>
      <c r="AZ3" t="s">
        <v>8</v>
      </c>
      <c r="BA3" s="1">
        <v>0</v>
      </c>
      <c r="BB3" s="1">
        <v>0.19250670265921199</v>
      </c>
      <c r="BC3" s="1">
        <f t="shared" si="0"/>
        <v>-0.484375</v>
      </c>
      <c r="BD3" s="1">
        <f t="shared" si="1"/>
        <v>0.19250670265921199</v>
      </c>
    </row>
    <row r="4" spans="1:61">
      <c r="A4" t="s">
        <v>4</v>
      </c>
      <c r="B4">
        <v>0</v>
      </c>
      <c r="C4" t="s">
        <v>5</v>
      </c>
      <c r="D4">
        <v>2</v>
      </c>
      <c r="E4" t="s">
        <v>6</v>
      </c>
      <c r="F4" s="1">
        <v>7.8125E-2</v>
      </c>
      <c r="G4" t="s">
        <v>7</v>
      </c>
      <c r="H4" s="1">
        <v>0.5</v>
      </c>
      <c r="I4" t="s">
        <v>8</v>
      </c>
      <c r="J4" s="1">
        <v>0</v>
      </c>
      <c r="K4" s="1">
        <v>0.20012428212191799</v>
      </c>
      <c r="T4" t="s">
        <v>4</v>
      </c>
      <c r="U4">
        <v>0</v>
      </c>
      <c r="V4" t="s">
        <v>5</v>
      </c>
      <c r="W4">
        <v>2</v>
      </c>
      <c r="X4" t="s">
        <v>6</v>
      </c>
      <c r="Y4" s="1">
        <v>7.8125E-2</v>
      </c>
      <c r="Z4" t="s">
        <v>7</v>
      </c>
      <c r="AA4" s="1">
        <v>0.5</v>
      </c>
      <c r="AB4" t="s">
        <v>8</v>
      </c>
      <c r="AC4" s="1">
        <v>0</v>
      </c>
      <c r="AD4" s="1">
        <v>0.20016373950545099</v>
      </c>
      <c r="AF4" t="s">
        <v>4</v>
      </c>
      <c r="AG4">
        <v>0</v>
      </c>
      <c r="AH4" t="s">
        <v>5</v>
      </c>
      <c r="AI4">
        <v>2</v>
      </c>
      <c r="AJ4" t="s">
        <v>6</v>
      </c>
      <c r="AK4" s="1">
        <v>1.5625E-2</v>
      </c>
      <c r="AL4" t="s">
        <v>7</v>
      </c>
      <c r="AM4" s="1">
        <v>0.5</v>
      </c>
      <c r="AN4" t="s">
        <v>8</v>
      </c>
      <c r="AO4" s="1">
        <v>0</v>
      </c>
      <c r="AP4" s="1">
        <v>0.199622637805417</v>
      </c>
      <c r="AR4" t="s">
        <v>4</v>
      </c>
      <c r="AS4">
        <v>0</v>
      </c>
      <c r="AT4" t="s">
        <v>5</v>
      </c>
      <c r="AU4">
        <v>14</v>
      </c>
      <c r="AV4" t="s">
        <v>6</v>
      </c>
      <c r="AW4" s="1">
        <v>0.453125</v>
      </c>
      <c r="AX4" t="s">
        <v>7</v>
      </c>
      <c r="AY4" s="1">
        <v>0.5</v>
      </c>
      <c r="AZ4" t="s">
        <v>8</v>
      </c>
      <c r="BA4" s="1">
        <v>0</v>
      </c>
      <c r="BB4" s="1">
        <v>0.20226773253215499</v>
      </c>
      <c r="BC4" s="1">
        <f t="shared" si="0"/>
        <v>-0.453125</v>
      </c>
      <c r="BD4" s="1">
        <f t="shared" si="1"/>
        <v>0.20226773253215499</v>
      </c>
    </row>
    <row r="5" spans="1:61">
      <c r="A5" t="s">
        <v>4</v>
      </c>
      <c r="B5">
        <v>0</v>
      </c>
      <c r="C5" t="s">
        <v>5</v>
      </c>
      <c r="D5">
        <v>3</v>
      </c>
      <c r="E5" t="s">
        <v>6</v>
      </c>
      <c r="F5" s="1">
        <v>0.109375</v>
      </c>
      <c r="G5" t="s">
        <v>7</v>
      </c>
      <c r="H5" s="1">
        <v>0.5</v>
      </c>
      <c r="I5" t="s">
        <v>8</v>
      </c>
      <c r="J5" s="1">
        <v>0</v>
      </c>
      <c r="K5" s="1">
        <v>0.20043016580794201</v>
      </c>
      <c r="T5" t="s">
        <v>4</v>
      </c>
      <c r="U5">
        <v>0</v>
      </c>
      <c r="V5" t="s">
        <v>5</v>
      </c>
      <c r="W5">
        <v>3</v>
      </c>
      <c r="X5" t="s">
        <v>6</v>
      </c>
      <c r="Y5" s="1">
        <v>0.109375</v>
      </c>
      <c r="Z5" t="s">
        <v>7</v>
      </c>
      <c r="AA5" s="1">
        <v>0.5</v>
      </c>
      <c r="AB5" t="s">
        <v>8</v>
      </c>
      <c r="AC5" s="1">
        <v>0</v>
      </c>
      <c r="AD5" s="1">
        <v>0.20041880381239799</v>
      </c>
      <c r="AF5" t="s">
        <v>4</v>
      </c>
      <c r="AG5">
        <v>0</v>
      </c>
      <c r="AH5" t="s">
        <v>5</v>
      </c>
      <c r="AI5">
        <v>3</v>
      </c>
      <c r="AJ5" t="s">
        <v>6</v>
      </c>
      <c r="AK5" s="1">
        <v>2.1874999999999999E-2</v>
      </c>
      <c r="AL5" t="s">
        <v>7</v>
      </c>
      <c r="AM5" s="1">
        <v>0.5</v>
      </c>
      <c r="AN5" t="s">
        <v>8</v>
      </c>
      <c r="AO5" s="1">
        <v>0</v>
      </c>
      <c r="AP5" s="1">
        <v>0.19963890718230301</v>
      </c>
      <c r="AR5" t="s">
        <v>4</v>
      </c>
      <c r="AS5">
        <v>0</v>
      </c>
      <c r="AT5" t="s">
        <v>5</v>
      </c>
      <c r="AU5">
        <v>13</v>
      </c>
      <c r="AV5" t="s">
        <v>6</v>
      </c>
      <c r="AW5" s="1">
        <v>0.421875</v>
      </c>
      <c r="AX5" t="s">
        <v>7</v>
      </c>
      <c r="AY5" s="1">
        <v>0.5</v>
      </c>
      <c r="AZ5" t="s">
        <v>8</v>
      </c>
      <c r="BA5" s="1">
        <v>0</v>
      </c>
      <c r="BB5" s="1">
        <v>0.20423082370818901</v>
      </c>
      <c r="BC5" s="1">
        <f t="shared" si="0"/>
        <v>-0.421875</v>
      </c>
      <c r="BD5" s="1">
        <f t="shared" si="1"/>
        <v>0.20423082370818901</v>
      </c>
    </row>
    <row r="6" spans="1:61">
      <c r="A6" t="s">
        <v>4</v>
      </c>
      <c r="B6">
        <v>0</v>
      </c>
      <c r="C6" t="s">
        <v>5</v>
      </c>
      <c r="D6">
        <v>4</v>
      </c>
      <c r="E6" t="s">
        <v>6</v>
      </c>
      <c r="F6" s="1">
        <v>0.140625</v>
      </c>
      <c r="G6" t="s">
        <v>7</v>
      </c>
      <c r="H6" s="1">
        <v>0.5</v>
      </c>
      <c r="I6" t="s">
        <v>8</v>
      </c>
      <c r="J6" s="1">
        <v>0</v>
      </c>
      <c r="K6" s="1">
        <v>0.20073709624622901</v>
      </c>
      <c r="T6" t="s">
        <v>4</v>
      </c>
      <c r="U6">
        <v>0</v>
      </c>
      <c r="V6" t="s">
        <v>5</v>
      </c>
      <c r="W6">
        <v>4</v>
      </c>
      <c r="X6" t="s">
        <v>6</v>
      </c>
      <c r="Y6" s="1">
        <v>0.140625</v>
      </c>
      <c r="Z6" t="s">
        <v>7</v>
      </c>
      <c r="AA6" s="1">
        <v>0.5</v>
      </c>
      <c r="AB6" t="s">
        <v>8</v>
      </c>
      <c r="AC6" s="1">
        <v>0</v>
      </c>
      <c r="AD6" s="1">
        <v>0.20071156278277699</v>
      </c>
      <c r="AF6" t="s">
        <v>4</v>
      </c>
      <c r="AG6">
        <v>0</v>
      </c>
      <c r="AH6" t="s">
        <v>5</v>
      </c>
      <c r="AI6">
        <v>4</v>
      </c>
      <c r="AJ6" t="s">
        <v>6</v>
      </c>
      <c r="AK6" s="1">
        <v>2.8125000000000001E-2</v>
      </c>
      <c r="AL6" t="s">
        <v>7</v>
      </c>
      <c r="AM6" s="1">
        <v>0.5</v>
      </c>
      <c r="AN6" t="s">
        <v>8</v>
      </c>
      <c r="AO6" s="1">
        <v>0</v>
      </c>
      <c r="AP6" s="1">
        <v>0.199655841164571</v>
      </c>
      <c r="AR6" t="s">
        <v>4</v>
      </c>
      <c r="AS6">
        <v>0</v>
      </c>
      <c r="AT6" t="s">
        <v>5</v>
      </c>
      <c r="AU6">
        <v>12</v>
      </c>
      <c r="AV6" t="s">
        <v>6</v>
      </c>
      <c r="AW6" s="1">
        <v>0.390625</v>
      </c>
      <c r="AX6" t="s">
        <v>7</v>
      </c>
      <c r="AY6" s="1">
        <v>0.5</v>
      </c>
      <c r="AZ6" t="s">
        <v>8</v>
      </c>
      <c r="BA6" s="1">
        <v>0</v>
      </c>
      <c r="BB6" s="1">
        <v>0.20484434001568699</v>
      </c>
      <c r="BC6" s="1">
        <f t="shared" si="0"/>
        <v>-0.390625</v>
      </c>
      <c r="BD6" s="1">
        <f t="shared" si="1"/>
        <v>0.20484434001568699</v>
      </c>
    </row>
    <row r="7" spans="1:61">
      <c r="A7" t="s">
        <v>4</v>
      </c>
      <c r="B7">
        <v>0</v>
      </c>
      <c r="C7" t="s">
        <v>5</v>
      </c>
      <c r="D7">
        <v>5</v>
      </c>
      <c r="E7" t="s">
        <v>6</v>
      </c>
      <c r="F7" s="1">
        <v>0.171875</v>
      </c>
      <c r="G7" t="s">
        <v>7</v>
      </c>
      <c r="H7" s="1">
        <v>0.5</v>
      </c>
      <c r="I7" t="s">
        <v>8</v>
      </c>
      <c r="J7" s="1">
        <v>0</v>
      </c>
      <c r="K7" s="1">
        <v>0.20118723338237501</v>
      </c>
      <c r="T7" t="s">
        <v>4</v>
      </c>
      <c r="U7">
        <v>0</v>
      </c>
      <c r="V7" t="s">
        <v>5</v>
      </c>
      <c r="W7">
        <v>5</v>
      </c>
      <c r="X7" t="s">
        <v>6</v>
      </c>
      <c r="Y7" s="1">
        <v>0.171875</v>
      </c>
      <c r="Z7" t="s">
        <v>7</v>
      </c>
      <c r="AA7" s="1">
        <v>0.5</v>
      </c>
      <c r="AB7" t="s">
        <v>8</v>
      </c>
      <c r="AC7" s="1">
        <v>0</v>
      </c>
      <c r="AD7" s="1">
        <v>0.20120506145705999</v>
      </c>
      <c r="AF7" t="s">
        <v>4</v>
      </c>
      <c r="AG7">
        <v>0</v>
      </c>
      <c r="AH7" t="s">
        <v>5</v>
      </c>
      <c r="AI7">
        <v>5</v>
      </c>
      <c r="AJ7" t="s">
        <v>6</v>
      </c>
      <c r="AK7" s="1">
        <v>3.4375000000000003E-2</v>
      </c>
      <c r="AL7" t="s">
        <v>7</v>
      </c>
      <c r="AM7" s="1">
        <v>0.5</v>
      </c>
      <c r="AN7" t="s">
        <v>8</v>
      </c>
      <c r="AO7" s="1">
        <v>0</v>
      </c>
      <c r="AP7" s="1">
        <v>0.19967341919696899</v>
      </c>
      <c r="AR7" t="s">
        <v>4</v>
      </c>
      <c r="AS7">
        <v>0</v>
      </c>
      <c r="AT7" t="s">
        <v>5</v>
      </c>
      <c r="AU7">
        <v>11</v>
      </c>
      <c r="AV7" t="s">
        <v>6</v>
      </c>
      <c r="AW7" s="1">
        <v>0.359375</v>
      </c>
      <c r="AX7" t="s">
        <v>7</v>
      </c>
      <c r="AY7" s="1">
        <v>0.5</v>
      </c>
      <c r="AZ7" t="s">
        <v>8</v>
      </c>
      <c r="BA7" s="1">
        <v>0</v>
      </c>
      <c r="BB7" s="1">
        <v>0.204740023952829</v>
      </c>
      <c r="BC7" s="1">
        <f t="shared" si="0"/>
        <v>-0.359375</v>
      </c>
      <c r="BD7" s="1">
        <f t="shared" si="1"/>
        <v>0.204740023952829</v>
      </c>
    </row>
    <row r="8" spans="1:61">
      <c r="A8" t="s">
        <v>4</v>
      </c>
      <c r="B8">
        <v>0</v>
      </c>
      <c r="C8" t="s">
        <v>5</v>
      </c>
      <c r="D8">
        <v>6</v>
      </c>
      <c r="E8" t="s">
        <v>6</v>
      </c>
      <c r="F8" s="1">
        <v>0.203125</v>
      </c>
      <c r="G8" t="s">
        <v>7</v>
      </c>
      <c r="H8" s="1">
        <v>0.5</v>
      </c>
      <c r="I8" t="s">
        <v>8</v>
      </c>
      <c r="J8" s="1">
        <v>0</v>
      </c>
      <c r="K8" s="1">
        <v>0.201646576695443</v>
      </c>
      <c r="T8" t="s">
        <v>4</v>
      </c>
      <c r="U8">
        <v>0</v>
      </c>
      <c r="V8" t="s">
        <v>5</v>
      </c>
      <c r="W8">
        <v>6</v>
      </c>
      <c r="X8" t="s">
        <v>6</v>
      </c>
      <c r="Y8" s="1">
        <v>0.203125</v>
      </c>
      <c r="Z8" t="s">
        <v>7</v>
      </c>
      <c r="AA8" s="1">
        <v>0.5</v>
      </c>
      <c r="AB8" t="s">
        <v>8</v>
      </c>
      <c r="AC8" s="1">
        <v>0</v>
      </c>
      <c r="AD8" s="1">
        <v>0.20167410525061899</v>
      </c>
      <c r="AF8" t="s">
        <v>4</v>
      </c>
      <c r="AG8">
        <v>0</v>
      </c>
      <c r="AH8" t="s">
        <v>5</v>
      </c>
      <c r="AI8">
        <v>6</v>
      </c>
      <c r="AJ8" t="s">
        <v>6</v>
      </c>
      <c r="AK8" s="1">
        <v>4.0625000000000001E-2</v>
      </c>
      <c r="AL8" t="s">
        <v>7</v>
      </c>
      <c r="AM8" s="1">
        <v>0.5</v>
      </c>
      <c r="AN8" t="s">
        <v>8</v>
      </c>
      <c r="AO8" s="1">
        <v>0</v>
      </c>
      <c r="AP8" s="1">
        <v>0.19969162219033701</v>
      </c>
      <c r="AR8" t="s">
        <v>4</v>
      </c>
      <c r="AS8">
        <v>0</v>
      </c>
      <c r="AT8" t="s">
        <v>5</v>
      </c>
      <c r="AU8">
        <v>10</v>
      </c>
      <c r="AV8" t="s">
        <v>6</v>
      </c>
      <c r="AW8" s="1">
        <v>0.328125</v>
      </c>
      <c r="AX8" t="s">
        <v>7</v>
      </c>
      <c r="AY8" s="1">
        <v>0.5</v>
      </c>
      <c r="AZ8" t="s">
        <v>8</v>
      </c>
      <c r="BA8" s="1">
        <v>0</v>
      </c>
      <c r="BB8" s="1">
        <v>0.204099756482125</v>
      </c>
      <c r="BC8" s="1">
        <f t="shared" si="0"/>
        <v>-0.328125</v>
      </c>
      <c r="BD8" s="1">
        <f t="shared" si="1"/>
        <v>0.204099756482125</v>
      </c>
    </row>
    <row r="9" spans="1:61">
      <c r="A9" t="s">
        <v>4</v>
      </c>
      <c r="B9">
        <v>0</v>
      </c>
      <c r="C9" t="s">
        <v>5</v>
      </c>
      <c r="D9">
        <v>7</v>
      </c>
      <c r="E9" t="s">
        <v>6</v>
      </c>
      <c r="F9" s="1">
        <v>0.234375</v>
      </c>
      <c r="G9" t="s">
        <v>7</v>
      </c>
      <c r="H9" s="1">
        <v>0.5</v>
      </c>
      <c r="I9" t="s">
        <v>8</v>
      </c>
      <c r="J9" s="1">
        <v>0</v>
      </c>
      <c r="K9" s="1">
        <v>0.20232630473097099</v>
      </c>
      <c r="T9" t="s">
        <v>4</v>
      </c>
      <c r="U9">
        <v>0</v>
      </c>
      <c r="V9" t="s">
        <v>5</v>
      </c>
      <c r="W9">
        <v>7</v>
      </c>
      <c r="X9" t="s">
        <v>6</v>
      </c>
      <c r="Y9" s="1">
        <v>0.234375</v>
      </c>
      <c r="Z9" t="s">
        <v>7</v>
      </c>
      <c r="AA9" s="1">
        <v>0.5</v>
      </c>
      <c r="AB9" t="s">
        <v>8</v>
      </c>
      <c r="AC9" s="1">
        <v>0</v>
      </c>
      <c r="AD9" s="1">
        <v>0.202313020906665</v>
      </c>
      <c r="AF9" t="s">
        <v>4</v>
      </c>
      <c r="AG9">
        <v>0</v>
      </c>
      <c r="AH9" t="s">
        <v>5</v>
      </c>
      <c r="AI9">
        <v>7</v>
      </c>
      <c r="AJ9" t="s">
        <v>6</v>
      </c>
      <c r="AK9" s="1">
        <v>4.6875E-2</v>
      </c>
      <c r="AL9" t="s">
        <v>7</v>
      </c>
      <c r="AM9" s="1">
        <v>0.5</v>
      </c>
      <c r="AN9" t="s">
        <v>8</v>
      </c>
      <c r="AO9" s="1">
        <v>0</v>
      </c>
      <c r="AP9" s="1">
        <v>0.19971043285554099</v>
      </c>
      <c r="AR9" t="s">
        <v>4</v>
      </c>
      <c r="AS9">
        <v>0</v>
      </c>
      <c r="AT9" t="s">
        <v>5</v>
      </c>
      <c r="AU9">
        <v>9</v>
      </c>
      <c r="AV9" t="s">
        <v>6</v>
      </c>
      <c r="AW9" s="1">
        <v>0.296875</v>
      </c>
      <c r="AX9" t="s">
        <v>7</v>
      </c>
      <c r="AY9" s="1">
        <v>0.5</v>
      </c>
      <c r="AZ9" t="s">
        <v>8</v>
      </c>
      <c r="BA9" s="1">
        <v>0</v>
      </c>
      <c r="BB9" s="1">
        <v>0.20352154683951501</v>
      </c>
      <c r="BC9" s="1">
        <f t="shared" si="0"/>
        <v>-0.296875</v>
      </c>
      <c r="BD9" s="1">
        <f t="shared" si="1"/>
        <v>0.20352154683951501</v>
      </c>
    </row>
    <row r="10" spans="1:61">
      <c r="A10" t="s">
        <v>4</v>
      </c>
      <c r="B10">
        <v>0</v>
      </c>
      <c r="C10" t="s">
        <v>5</v>
      </c>
      <c r="D10">
        <v>8</v>
      </c>
      <c r="E10" t="s">
        <v>6</v>
      </c>
      <c r="F10" s="1">
        <v>0.265625</v>
      </c>
      <c r="G10" t="s">
        <v>7</v>
      </c>
      <c r="H10" s="1">
        <v>0.5</v>
      </c>
      <c r="I10" t="s">
        <v>8</v>
      </c>
      <c r="J10" s="1">
        <v>0</v>
      </c>
      <c r="K10" s="1">
        <v>0.202857744787344</v>
      </c>
      <c r="T10" t="s">
        <v>4</v>
      </c>
      <c r="U10">
        <v>0</v>
      </c>
      <c r="V10" t="s">
        <v>5</v>
      </c>
      <c r="W10">
        <v>8</v>
      </c>
      <c r="X10" t="s">
        <v>6</v>
      </c>
      <c r="Y10" s="1">
        <v>0.265625</v>
      </c>
      <c r="Z10" t="s">
        <v>7</v>
      </c>
      <c r="AA10" s="1">
        <v>0.5</v>
      </c>
      <c r="AB10" t="s">
        <v>8</v>
      </c>
      <c r="AC10" s="1">
        <v>0</v>
      </c>
      <c r="AD10" s="1">
        <v>0.20284390215953199</v>
      </c>
      <c r="AF10" t="s">
        <v>4</v>
      </c>
      <c r="AG10">
        <v>0</v>
      </c>
      <c r="AH10" t="s">
        <v>5</v>
      </c>
      <c r="AI10">
        <v>8</v>
      </c>
      <c r="AJ10" t="s">
        <v>6</v>
      </c>
      <c r="AK10" s="1">
        <v>5.3124999999999999E-2</v>
      </c>
      <c r="AL10" t="s">
        <v>7</v>
      </c>
      <c r="AM10" s="1">
        <v>0.5</v>
      </c>
      <c r="AN10" t="s">
        <v>8</v>
      </c>
      <c r="AO10" s="1">
        <v>0</v>
      </c>
      <c r="AP10" s="1">
        <v>0.19972983603594399</v>
      </c>
      <c r="AR10" t="s">
        <v>4</v>
      </c>
      <c r="AS10">
        <v>0</v>
      </c>
      <c r="AT10" t="s">
        <v>5</v>
      </c>
      <c r="AU10">
        <v>8</v>
      </c>
      <c r="AV10" t="s">
        <v>6</v>
      </c>
      <c r="AW10" s="1">
        <v>0.265625</v>
      </c>
      <c r="AX10" t="s">
        <v>7</v>
      </c>
      <c r="AY10" s="1">
        <v>0.5</v>
      </c>
      <c r="AZ10" t="s">
        <v>8</v>
      </c>
      <c r="BA10" s="1">
        <v>0</v>
      </c>
      <c r="BB10" s="1">
        <v>0.202857744787344</v>
      </c>
      <c r="BC10" s="1">
        <f t="shared" si="0"/>
        <v>-0.265625</v>
      </c>
      <c r="BD10" s="1">
        <f t="shared" si="1"/>
        <v>0.202857744787344</v>
      </c>
    </row>
    <row r="11" spans="1:61">
      <c r="A11" t="s">
        <v>4</v>
      </c>
      <c r="B11">
        <v>0</v>
      </c>
      <c r="C11" t="s">
        <v>5</v>
      </c>
      <c r="D11">
        <v>9</v>
      </c>
      <c r="E11" t="s">
        <v>6</v>
      </c>
      <c r="F11" s="1">
        <v>0.296875</v>
      </c>
      <c r="G11" t="s">
        <v>7</v>
      </c>
      <c r="H11" s="1">
        <v>0.5</v>
      </c>
      <c r="I11" t="s">
        <v>8</v>
      </c>
      <c r="J11" s="1">
        <v>0</v>
      </c>
      <c r="K11" s="1">
        <v>0.20352154683951501</v>
      </c>
      <c r="T11" t="s">
        <v>4</v>
      </c>
      <c r="U11">
        <v>0</v>
      </c>
      <c r="V11" t="s">
        <v>5</v>
      </c>
      <c r="W11">
        <v>9</v>
      </c>
      <c r="X11" t="s">
        <v>6</v>
      </c>
      <c r="Y11" s="1">
        <v>0.296875</v>
      </c>
      <c r="Z11" t="s">
        <v>7</v>
      </c>
      <c r="AA11" s="1">
        <v>0.5</v>
      </c>
      <c r="AB11" t="s">
        <v>8</v>
      </c>
      <c r="AC11" s="1">
        <v>0</v>
      </c>
      <c r="AD11" s="1">
        <v>0.20356842248412699</v>
      </c>
      <c r="AF11" t="s">
        <v>4</v>
      </c>
      <c r="AG11">
        <v>0</v>
      </c>
      <c r="AH11" t="s">
        <v>5</v>
      </c>
      <c r="AI11">
        <v>9</v>
      </c>
      <c r="AJ11" t="s">
        <v>6</v>
      </c>
      <c r="AK11" s="1">
        <v>5.9374999999999997E-2</v>
      </c>
      <c r="AL11" t="s">
        <v>7</v>
      </c>
      <c r="AM11" s="1">
        <v>0.5</v>
      </c>
      <c r="AN11" t="s">
        <v>8</v>
      </c>
      <c r="AO11" s="1">
        <v>0</v>
      </c>
      <c r="AP11" s="1">
        <v>0.199749819038499</v>
      </c>
      <c r="AR11" t="s">
        <v>4</v>
      </c>
      <c r="AS11">
        <v>0</v>
      </c>
      <c r="AT11" t="s">
        <v>5</v>
      </c>
      <c r="AU11">
        <v>7</v>
      </c>
      <c r="AV11" t="s">
        <v>6</v>
      </c>
      <c r="AW11" s="1">
        <v>0.234375</v>
      </c>
      <c r="AX11" t="s">
        <v>7</v>
      </c>
      <c r="AY11" s="1">
        <v>0.5</v>
      </c>
      <c r="AZ11" t="s">
        <v>8</v>
      </c>
      <c r="BA11" s="1">
        <v>0</v>
      </c>
      <c r="BB11" s="1">
        <v>0.20232630473097099</v>
      </c>
      <c r="BC11" s="1">
        <f t="shared" si="0"/>
        <v>-0.234375</v>
      </c>
      <c r="BD11" s="1">
        <f t="shared" si="1"/>
        <v>0.20232630473097099</v>
      </c>
    </row>
    <row r="12" spans="1:61">
      <c r="A12" t="s">
        <v>4</v>
      </c>
      <c r="B12">
        <v>0</v>
      </c>
      <c r="C12" t="s">
        <v>5</v>
      </c>
      <c r="D12">
        <v>10</v>
      </c>
      <c r="E12" t="s">
        <v>6</v>
      </c>
      <c r="F12" s="1">
        <v>0.328125</v>
      </c>
      <c r="G12" t="s">
        <v>7</v>
      </c>
      <c r="H12" s="1">
        <v>0.5</v>
      </c>
      <c r="I12" t="s">
        <v>8</v>
      </c>
      <c r="J12" s="1">
        <v>0</v>
      </c>
      <c r="K12" s="1">
        <v>0.204099756482125</v>
      </c>
      <c r="T12" t="s">
        <v>4</v>
      </c>
      <c r="U12">
        <v>0</v>
      </c>
      <c r="V12" t="s">
        <v>5</v>
      </c>
      <c r="W12">
        <v>10</v>
      </c>
      <c r="X12" t="s">
        <v>6</v>
      </c>
      <c r="Y12" s="1">
        <v>0.328125</v>
      </c>
      <c r="Z12" t="s">
        <v>7</v>
      </c>
      <c r="AA12" s="1">
        <v>0.5</v>
      </c>
      <c r="AB12" t="s">
        <v>8</v>
      </c>
      <c r="AC12" s="1">
        <v>0</v>
      </c>
      <c r="AD12" s="1">
        <v>0.20406046700819699</v>
      </c>
      <c r="AF12" t="s">
        <v>4</v>
      </c>
      <c r="AG12">
        <v>0</v>
      </c>
      <c r="AH12" t="s">
        <v>5</v>
      </c>
      <c r="AI12">
        <v>10</v>
      </c>
      <c r="AJ12" t="s">
        <v>6</v>
      </c>
      <c r="AK12" s="1">
        <v>6.5625000000000003E-2</v>
      </c>
      <c r="AL12" t="s">
        <v>7</v>
      </c>
      <c r="AM12" s="1">
        <v>0.5</v>
      </c>
      <c r="AN12" t="s">
        <v>8</v>
      </c>
      <c r="AO12" s="1">
        <v>0</v>
      </c>
      <c r="AP12" s="1">
        <v>0.19978788598952499</v>
      </c>
      <c r="AR12" t="s">
        <v>4</v>
      </c>
      <c r="AS12">
        <v>0</v>
      </c>
      <c r="AT12" t="s">
        <v>5</v>
      </c>
      <c r="AU12">
        <v>6</v>
      </c>
      <c r="AV12" t="s">
        <v>6</v>
      </c>
      <c r="AW12" s="1">
        <v>0.203125</v>
      </c>
      <c r="AX12" t="s">
        <v>7</v>
      </c>
      <c r="AY12" s="1">
        <v>0.5</v>
      </c>
      <c r="AZ12" t="s">
        <v>8</v>
      </c>
      <c r="BA12" s="1">
        <v>0</v>
      </c>
      <c r="BB12" s="1">
        <v>0.201646576695443</v>
      </c>
      <c r="BC12" s="1">
        <f t="shared" si="0"/>
        <v>-0.203125</v>
      </c>
      <c r="BD12" s="1">
        <f t="shared" si="1"/>
        <v>0.201646576695443</v>
      </c>
    </row>
    <row r="13" spans="1:61">
      <c r="A13" t="s">
        <v>4</v>
      </c>
      <c r="B13">
        <v>0</v>
      </c>
      <c r="C13" t="s">
        <v>5</v>
      </c>
      <c r="D13">
        <v>11</v>
      </c>
      <c r="E13" t="s">
        <v>6</v>
      </c>
      <c r="F13" s="1">
        <v>0.359375</v>
      </c>
      <c r="G13" t="s">
        <v>7</v>
      </c>
      <c r="H13" s="1">
        <v>0.5</v>
      </c>
      <c r="I13" t="s">
        <v>8</v>
      </c>
      <c r="J13" s="1">
        <v>0</v>
      </c>
      <c r="K13" s="1">
        <v>0.204740023952829</v>
      </c>
      <c r="T13" t="s">
        <v>4</v>
      </c>
      <c r="U13">
        <v>0</v>
      </c>
      <c r="V13" t="s">
        <v>5</v>
      </c>
      <c r="W13">
        <v>11</v>
      </c>
      <c r="X13" t="s">
        <v>6</v>
      </c>
      <c r="Y13" s="1">
        <v>0.359375</v>
      </c>
      <c r="Z13" t="s">
        <v>7</v>
      </c>
      <c r="AA13" s="1">
        <v>0.5</v>
      </c>
      <c r="AB13" t="s">
        <v>8</v>
      </c>
      <c r="AC13" s="1">
        <v>0</v>
      </c>
      <c r="AD13" s="1">
        <v>0.20477513407895101</v>
      </c>
      <c r="AF13" t="s">
        <v>4</v>
      </c>
      <c r="AG13">
        <v>0</v>
      </c>
      <c r="AH13" t="s">
        <v>5</v>
      </c>
      <c r="AI13">
        <v>11</v>
      </c>
      <c r="AJ13" t="s">
        <v>6</v>
      </c>
      <c r="AK13" s="1">
        <v>7.1874999999999994E-2</v>
      </c>
      <c r="AL13" t="s">
        <v>7</v>
      </c>
      <c r="AM13" s="1">
        <v>0.5</v>
      </c>
      <c r="AN13" t="s">
        <v>8</v>
      </c>
      <c r="AO13" s="1">
        <v>0</v>
      </c>
      <c r="AP13" s="1">
        <v>0.19984442063830901</v>
      </c>
      <c r="AR13" t="s">
        <v>4</v>
      </c>
      <c r="AS13">
        <v>0</v>
      </c>
      <c r="AT13" t="s">
        <v>5</v>
      </c>
      <c r="AU13">
        <v>5</v>
      </c>
      <c r="AV13" t="s">
        <v>6</v>
      </c>
      <c r="AW13" s="1">
        <v>0.171875</v>
      </c>
      <c r="AX13" t="s">
        <v>7</v>
      </c>
      <c r="AY13" s="1">
        <v>0.5</v>
      </c>
      <c r="AZ13" t="s">
        <v>8</v>
      </c>
      <c r="BA13" s="1">
        <v>0</v>
      </c>
      <c r="BB13" s="1">
        <v>0.20118723338237501</v>
      </c>
      <c r="BC13" s="1">
        <f t="shared" si="0"/>
        <v>-0.171875</v>
      </c>
      <c r="BD13" s="1">
        <f t="shared" si="1"/>
        <v>0.20118723338237501</v>
      </c>
    </row>
    <row r="14" spans="1:61">
      <c r="A14" t="s">
        <v>4</v>
      </c>
      <c r="B14">
        <v>0</v>
      </c>
      <c r="C14" t="s">
        <v>5</v>
      </c>
      <c r="D14">
        <v>12</v>
      </c>
      <c r="E14" t="s">
        <v>6</v>
      </c>
      <c r="F14" s="1">
        <v>0.390625</v>
      </c>
      <c r="G14" t="s">
        <v>7</v>
      </c>
      <c r="H14" s="1">
        <v>0.5</v>
      </c>
      <c r="I14" t="s">
        <v>8</v>
      </c>
      <c r="J14" s="1">
        <v>0</v>
      </c>
      <c r="K14" s="1">
        <v>0.20484434001568699</v>
      </c>
      <c r="T14" t="s">
        <v>4</v>
      </c>
      <c r="U14">
        <v>0</v>
      </c>
      <c r="V14" t="s">
        <v>5</v>
      </c>
      <c r="W14">
        <v>12</v>
      </c>
      <c r="X14" t="s">
        <v>6</v>
      </c>
      <c r="Y14" s="1">
        <v>0.390625</v>
      </c>
      <c r="Z14" t="s">
        <v>7</v>
      </c>
      <c r="AA14" s="1">
        <v>0.5</v>
      </c>
      <c r="AB14" t="s">
        <v>8</v>
      </c>
      <c r="AC14" s="1">
        <v>0</v>
      </c>
      <c r="AD14" s="1">
        <v>0.20499643662710099</v>
      </c>
      <c r="AF14" t="s">
        <v>4</v>
      </c>
      <c r="AG14">
        <v>0</v>
      </c>
      <c r="AH14" t="s">
        <v>5</v>
      </c>
      <c r="AI14">
        <v>12</v>
      </c>
      <c r="AJ14" t="s">
        <v>6</v>
      </c>
      <c r="AK14" s="1">
        <v>7.8125E-2</v>
      </c>
      <c r="AL14" t="s">
        <v>7</v>
      </c>
      <c r="AM14" s="1">
        <v>0.5</v>
      </c>
      <c r="AN14" t="s">
        <v>8</v>
      </c>
      <c r="AO14" s="1">
        <v>0</v>
      </c>
      <c r="AP14" s="1">
        <v>0.199902027322305</v>
      </c>
      <c r="AR14" t="s">
        <v>4</v>
      </c>
      <c r="AS14">
        <v>0</v>
      </c>
      <c r="AT14" t="s">
        <v>5</v>
      </c>
      <c r="AU14">
        <v>4</v>
      </c>
      <c r="AV14" t="s">
        <v>6</v>
      </c>
      <c r="AW14" s="1">
        <v>0.140625</v>
      </c>
      <c r="AX14" t="s">
        <v>7</v>
      </c>
      <c r="AY14" s="1">
        <v>0.5</v>
      </c>
      <c r="AZ14" t="s">
        <v>8</v>
      </c>
      <c r="BA14" s="1">
        <v>0</v>
      </c>
      <c r="BB14" s="1">
        <v>0.20073709624622901</v>
      </c>
      <c r="BC14" s="1">
        <f t="shared" si="0"/>
        <v>-0.140625</v>
      </c>
      <c r="BD14" s="1">
        <f t="shared" si="1"/>
        <v>0.20073709624622901</v>
      </c>
    </row>
    <row r="15" spans="1:61">
      <c r="A15" t="s">
        <v>4</v>
      </c>
      <c r="B15">
        <v>0</v>
      </c>
      <c r="C15" t="s">
        <v>5</v>
      </c>
      <c r="D15">
        <v>13</v>
      </c>
      <c r="E15" t="s">
        <v>6</v>
      </c>
      <c r="F15" s="1">
        <v>0.421875</v>
      </c>
      <c r="G15" t="s">
        <v>7</v>
      </c>
      <c r="H15" s="1">
        <v>0.5</v>
      </c>
      <c r="I15" t="s">
        <v>8</v>
      </c>
      <c r="J15" s="1">
        <v>0</v>
      </c>
      <c r="K15" s="1">
        <v>0.20423082370818901</v>
      </c>
      <c r="T15" t="s">
        <v>4</v>
      </c>
      <c r="U15">
        <v>0</v>
      </c>
      <c r="V15" t="s">
        <v>5</v>
      </c>
      <c r="W15">
        <v>13</v>
      </c>
      <c r="X15" t="s">
        <v>6</v>
      </c>
      <c r="Y15" s="1">
        <v>0.421875</v>
      </c>
      <c r="Z15" t="s">
        <v>7</v>
      </c>
      <c r="AA15" s="1">
        <v>0.5</v>
      </c>
      <c r="AB15" t="s">
        <v>8</v>
      </c>
      <c r="AC15" s="1">
        <v>0</v>
      </c>
      <c r="AD15" s="1">
        <v>0.204145576311694</v>
      </c>
      <c r="AF15" t="s">
        <v>4</v>
      </c>
      <c r="AG15">
        <v>0</v>
      </c>
      <c r="AH15" t="s">
        <v>5</v>
      </c>
      <c r="AI15">
        <v>13</v>
      </c>
      <c r="AJ15" t="s">
        <v>6</v>
      </c>
      <c r="AK15" s="1">
        <v>8.4375000000000006E-2</v>
      </c>
      <c r="AL15" t="s">
        <v>7</v>
      </c>
      <c r="AM15" s="1">
        <v>0.5</v>
      </c>
      <c r="AN15" t="s">
        <v>8</v>
      </c>
      <c r="AO15" s="1">
        <v>0</v>
      </c>
      <c r="AP15" s="1">
        <v>0.19996065547443401</v>
      </c>
      <c r="AR15" t="s">
        <v>4</v>
      </c>
      <c r="AS15">
        <v>0</v>
      </c>
      <c r="AT15" t="s">
        <v>5</v>
      </c>
      <c r="AU15">
        <v>3</v>
      </c>
      <c r="AV15" t="s">
        <v>6</v>
      </c>
      <c r="AW15" s="1">
        <v>0.109375</v>
      </c>
      <c r="AX15" t="s">
        <v>7</v>
      </c>
      <c r="AY15" s="1">
        <v>0.5</v>
      </c>
      <c r="AZ15" t="s">
        <v>8</v>
      </c>
      <c r="BA15" s="1">
        <v>0</v>
      </c>
      <c r="BB15" s="1">
        <v>0.20043016580794201</v>
      </c>
      <c r="BC15" s="1">
        <f t="shared" si="0"/>
        <v>-0.109375</v>
      </c>
      <c r="BD15" s="1">
        <f t="shared" si="1"/>
        <v>0.20043016580794201</v>
      </c>
    </row>
    <row r="16" spans="1:61">
      <c r="A16" t="s">
        <v>4</v>
      </c>
      <c r="B16">
        <v>0</v>
      </c>
      <c r="C16" t="s">
        <v>5</v>
      </c>
      <c r="D16">
        <v>14</v>
      </c>
      <c r="E16" t="s">
        <v>6</v>
      </c>
      <c r="F16" s="1">
        <v>0.453125</v>
      </c>
      <c r="G16" t="s">
        <v>7</v>
      </c>
      <c r="H16" s="1">
        <v>0.5</v>
      </c>
      <c r="I16" t="s">
        <v>8</v>
      </c>
      <c r="J16" s="1">
        <v>0</v>
      </c>
      <c r="K16" s="1">
        <v>0.20226773253215499</v>
      </c>
      <c r="T16" t="s">
        <v>4</v>
      </c>
      <c r="U16">
        <v>0</v>
      </c>
      <c r="V16" t="s">
        <v>5</v>
      </c>
      <c r="W16">
        <v>14</v>
      </c>
      <c r="X16" t="s">
        <v>6</v>
      </c>
      <c r="Y16" s="1">
        <v>0.453125</v>
      </c>
      <c r="Z16" t="s">
        <v>7</v>
      </c>
      <c r="AA16" s="1">
        <v>0.5</v>
      </c>
      <c r="AB16" t="s">
        <v>8</v>
      </c>
      <c r="AC16" s="1">
        <v>0</v>
      </c>
      <c r="AD16" s="1">
        <v>0.20236646895780699</v>
      </c>
      <c r="AF16" t="s">
        <v>4</v>
      </c>
      <c r="AG16">
        <v>0</v>
      </c>
      <c r="AH16" t="s">
        <v>5</v>
      </c>
      <c r="AI16">
        <v>14</v>
      </c>
      <c r="AJ16" t="s">
        <v>6</v>
      </c>
      <c r="AK16" s="1">
        <v>9.0624999999999997E-2</v>
      </c>
      <c r="AL16" t="s">
        <v>7</v>
      </c>
      <c r="AM16" s="1">
        <v>0.5</v>
      </c>
      <c r="AN16" t="s">
        <v>8</v>
      </c>
      <c r="AO16" s="1">
        <v>0</v>
      </c>
      <c r="AP16" s="1">
        <v>0.200020256486971</v>
      </c>
      <c r="AR16" t="s">
        <v>4</v>
      </c>
      <c r="AS16">
        <v>0</v>
      </c>
      <c r="AT16" t="s">
        <v>5</v>
      </c>
      <c r="AU16">
        <v>2</v>
      </c>
      <c r="AV16" t="s">
        <v>6</v>
      </c>
      <c r="AW16" s="1">
        <v>7.8125E-2</v>
      </c>
      <c r="AX16" t="s">
        <v>7</v>
      </c>
      <c r="AY16" s="1">
        <v>0.5</v>
      </c>
      <c r="AZ16" t="s">
        <v>8</v>
      </c>
      <c r="BA16" s="1">
        <v>0</v>
      </c>
      <c r="BB16" s="1">
        <v>0.20012428212191799</v>
      </c>
      <c r="BC16" s="1">
        <f t="shared" si="0"/>
        <v>-7.8125E-2</v>
      </c>
      <c r="BD16" s="1">
        <f t="shared" si="1"/>
        <v>0.20012428212191799</v>
      </c>
    </row>
    <row r="17" spans="1:56">
      <c r="A17" t="s">
        <v>4</v>
      </c>
      <c r="B17">
        <v>0</v>
      </c>
      <c r="C17" t="s">
        <v>5</v>
      </c>
      <c r="D17">
        <v>15</v>
      </c>
      <c r="E17" t="s">
        <v>6</v>
      </c>
      <c r="F17" s="1">
        <v>0.484375</v>
      </c>
      <c r="G17" t="s">
        <v>7</v>
      </c>
      <c r="H17" s="1">
        <v>0.5</v>
      </c>
      <c r="I17" t="s">
        <v>8</v>
      </c>
      <c r="J17" s="1">
        <v>0</v>
      </c>
      <c r="K17" s="1">
        <v>0.19250670265921199</v>
      </c>
      <c r="T17" t="s">
        <v>4</v>
      </c>
      <c r="U17">
        <v>0</v>
      </c>
      <c r="V17" t="s">
        <v>5</v>
      </c>
      <c r="W17">
        <v>15</v>
      </c>
      <c r="X17" t="s">
        <v>6</v>
      </c>
      <c r="Y17" s="1">
        <v>0.484375</v>
      </c>
      <c r="Z17" t="s">
        <v>7</v>
      </c>
      <c r="AA17" s="1">
        <v>0.5</v>
      </c>
      <c r="AB17" t="s">
        <v>8</v>
      </c>
      <c r="AC17" s="1">
        <v>0</v>
      </c>
      <c r="AD17" s="1">
        <v>0.192240266331548</v>
      </c>
      <c r="AF17" t="s">
        <v>4</v>
      </c>
      <c r="AG17">
        <v>0</v>
      </c>
      <c r="AH17" t="s">
        <v>5</v>
      </c>
      <c r="AI17">
        <v>15</v>
      </c>
      <c r="AJ17" t="s">
        <v>6</v>
      </c>
      <c r="AK17" s="1">
        <v>9.6875000000000003E-2</v>
      </c>
      <c r="AL17" t="s">
        <v>7</v>
      </c>
      <c r="AM17" s="1">
        <v>0.5</v>
      </c>
      <c r="AN17" t="s">
        <v>8</v>
      </c>
      <c r="AO17" s="1">
        <v>0</v>
      </c>
      <c r="AP17" s="1">
        <v>0.20008078398370399</v>
      </c>
      <c r="AR17" t="s">
        <v>4</v>
      </c>
      <c r="AS17">
        <v>0</v>
      </c>
      <c r="AT17" t="s">
        <v>5</v>
      </c>
      <c r="AU17">
        <v>1</v>
      </c>
      <c r="AV17" t="s">
        <v>6</v>
      </c>
      <c r="AW17" s="1">
        <v>4.6875E-2</v>
      </c>
      <c r="AX17" t="s">
        <v>7</v>
      </c>
      <c r="AY17" s="1">
        <v>0.5</v>
      </c>
      <c r="AZ17" t="s">
        <v>8</v>
      </c>
      <c r="BA17" s="1">
        <v>0</v>
      </c>
      <c r="BB17" s="1">
        <v>0.19996715117472399</v>
      </c>
      <c r="BC17" s="1">
        <f t="shared" si="0"/>
        <v>-4.6875E-2</v>
      </c>
      <c r="BD17" s="1">
        <f t="shared" si="1"/>
        <v>0.19996715117472399</v>
      </c>
    </row>
    <row r="18" spans="1:56">
      <c r="AF18" t="s">
        <v>4</v>
      </c>
      <c r="AG18">
        <v>0</v>
      </c>
      <c r="AH18" t="s">
        <v>5</v>
      </c>
      <c r="AI18">
        <v>16</v>
      </c>
      <c r="AJ18" t="s">
        <v>6</v>
      </c>
      <c r="AK18" s="1">
        <v>0.10312499999999999</v>
      </c>
      <c r="AL18" t="s">
        <v>7</v>
      </c>
      <c r="AM18" s="1">
        <v>0.5</v>
      </c>
      <c r="AN18" t="s">
        <v>8</v>
      </c>
      <c r="AO18" s="1">
        <v>0</v>
      </c>
      <c r="AP18" s="1">
        <v>0.20014219409279699</v>
      </c>
      <c r="AR18" t="s">
        <v>4</v>
      </c>
      <c r="AS18">
        <v>0</v>
      </c>
      <c r="AT18" t="s">
        <v>5</v>
      </c>
      <c r="AU18">
        <v>0</v>
      </c>
      <c r="AV18" t="s">
        <v>6</v>
      </c>
      <c r="AW18" s="1">
        <v>1.5625E-2</v>
      </c>
      <c r="AX18" t="s">
        <v>7</v>
      </c>
      <c r="AY18" s="1">
        <v>0.5</v>
      </c>
      <c r="AZ18" t="s">
        <v>8</v>
      </c>
      <c r="BA18" s="1">
        <v>0</v>
      </c>
      <c r="BB18" s="1">
        <v>0.199878639631451</v>
      </c>
      <c r="BC18" s="1">
        <f t="shared" ref="BC18:BC33" si="2">AW18</f>
        <v>1.5625E-2</v>
      </c>
      <c r="BD18" s="1">
        <f t="shared" si="1"/>
        <v>0.199878639631451</v>
      </c>
    </row>
    <row r="19" spans="1:56">
      <c r="AF19" t="s">
        <v>4</v>
      </c>
      <c r="AG19">
        <v>0</v>
      </c>
      <c r="AH19" t="s">
        <v>5</v>
      </c>
      <c r="AI19">
        <v>17</v>
      </c>
      <c r="AJ19" t="s">
        <v>6</v>
      </c>
      <c r="AK19" s="1">
        <v>0.109375</v>
      </c>
      <c r="AL19" t="s">
        <v>7</v>
      </c>
      <c r="AM19" s="1">
        <v>0.5</v>
      </c>
      <c r="AN19" t="s">
        <v>8</v>
      </c>
      <c r="AO19" s="1">
        <v>0</v>
      </c>
      <c r="AP19" s="1">
        <v>0.20020444572036999</v>
      </c>
      <c r="AR19" t="s">
        <v>4</v>
      </c>
      <c r="AS19">
        <v>0</v>
      </c>
      <c r="AT19" t="s">
        <v>5</v>
      </c>
      <c r="AU19">
        <v>1</v>
      </c>
      <c r="AV19" t="s">
        <v>6</v>
      </c>
      <c r="AW19" s="1">
        <v>4.6875E-2</v>
      </c>
      <c r="AX19" t="s">
        <v>7</v>
      </c>
      <c r="AY19" s="1">
        <v>0.5</v>
      </c>
      <c r="AZ19" t="s">
        <v>8</v>
      </c>
      <c r="BA19" s="1">
        <v>0</v>
      </c>
      <c r="BB19" s="1">
        <v>0.19996715117472399</v>
      </c>
      <c r="BC19" s="1">
        <f t="shared" si="2"/>
        <v>4.6875E-2</v>
      </c>
      <c r="BD19" s="1">
        <f t="shared" si="1"/>
        <v>0.19996715117472399</v>
      </c>
    </row>
    <row r="20" spans="1:56">
      <c r="AF20" t="s">
        <v>4</v>
      </c>
      <c r="AG20">
        <v>0</v>
      </c>
      <c r="AH20" t="s">
        <v>5</v>
      </c>
      <c r="AI20">
        <v>18</v>
      </c>
      <c r="AJ20" t="s">
        <v>6</v>
      </c>
      <c r="AK20" s="1">
        <v>0.11562500000000001</v>
      </c>
      <c r="AL20" t="s">
        <v>7</v>
      </c>
      <c r="AM20" s="1">
        <v>0.5</v>
      </c>
      <c r="AN20" t="s">
        <v>8</v>
      </c>
      <c r="AO20" s="1">
        <v>0</v>
      </c>
      <c r="AP20" s="1">
        <v>0.20026750082486899</v>
      </c>
      <c r="AR20" t="s">
        <v>4</v>
      </c>
      <c r="AS20">
        <v>0</v>
      </c>
      <c r="AT20" t="s">
        <v>5</v>
      </c>
      <c r="AU20">
        <v>2</v>
      </c>
      <c r="AV20" t="s">
        <v>6</v>
      </c>
      <c r="AW20" s="1">
        <v>7.8125E-2</v>
      </c>
      <c r="AX20" t="s">
        <v>7</v>
      </c>
      <c r="AY20" s="1">
        <v>0.5</v>
      </c>
      <c r="AZ20" t="s">
        <v>8</v>
      </c>
      <c r="BA20" s="1">
        <v>0</v>
      </c>
      <c r="BB20" s="1">
        <v>0.20012428212191799</v>
      </c>
      <c r="BC20" s="1">
        <f t="shared" si="2"/>
        <v>7.8125E-2</v>
      </c>
      <c r="BD20" s="1">
        <f t="shared" si="1"/>
        <v>0.20012428212191799</v>
      </c>
    </row>
    <row r="21" spans="1:56">
      <c r="AF21" t="s">
        <v>4</v>
      </c>
      <c r="AG21">
        <v>0</v>
      </c>
      <c r="AH21" t="s">
        <v>5</v>
      </c>
      <c r="AI21">
        <v>19</v>
      </c>
      <c r="AJ21" t="s">
        <v>6</v>
      </c>
      <c r="AK21" s="1">
        <v>0.121875</v>
      </c>
      <c r="AL21" t="s">
        <v>7</v>
      </c>
      <c r="AM21" s="1">
        <v>0.5</v>
      </c>
      <c r="AN21" t="s">
        <v>8</v>
      </c>
      <c r="AO21" s="1">
        <v>0</v>
      </c>
      <c r="AP21" s="1">
        <v>0.20033132469208301</v>
      </c>
      <c r="AR21" t="s">
        <v>4</v>
      </c>
      <c r="AS21">
        <v>0</v>
      </c>
      <c r="AT21" t="s">
        <v>5</v>
      </c>
      <c r="AU21">
        <v>3</v>
      </c>
      <c r="AV21" t="s">
        <v>6</v>
      </c>
      <c r="AW21" s="1">
        <v>0.109375</v>
      </c>
      <c r="AX21" t="s">
        <v>7</v>
      </c>
      <c r="AY21" s="1">
        <v>0.5</v>
      </c>
      <c r="AZ21" t="s">
        <v>8</v>
      </c>
      <c r="BA21" s="1">
        <v>0</v>
      </c>
      <c r="BB21" s="1">
        <v>0.20043016580794201</v>
      </c>
      <c r="BC21" s="1">
        <f t="shared" si="2"/>
        <v>0.109375</v>
      </c>
      <c r="BD21" s="1">
        <f t="shared" si="1"/>
        <v>0.20043016580794201</v>
      </c>
    </row>
    <row r="22" spans="1:56">
      <c r="AF22" t="s">
        <v>4</v>
      </c>
      <c r="AG22">
        <v>0</v>
      </c>
      <c r="AH22" t="s">
        <v>5</v>
      </c>
      <c r="AI22">
        <v>20</v>
      </c>
      <c r="AJ22" t="s">
        <v>6</v>
      </c>
      <c r="AK22" s="1">
        <v>0.12812499999999999</v>
      </c>
      <c r="AL22" t="s">
        <v>7</v>
      </c>
      <c r="AM22" s="1">
        <v>0.5</v>
      </c>
      <c r="AN22" t="s">
        <v>8</v>
      </c>
      <c r="AO22" s="1">
        <v>0</v>
      </c>
      <c r="AP22" s="1">
        <v>0.20040621590088301</v>
      </c>
      <c r="AR22" t="s">
        <v>4</v>
      </c>
      <c r="AS22">
        <v>0</v>
      </c>
      <c r="AT22" t="s">
        <v>5</v>
      </c>
      <c r="AU22">
        <v>4</v>
      </c>
      <c r="AV22" t="s">
        <v>6</v>
      </c>
      <c r="AW22" s="1">
        <v>0.140625</v>
      </c>
      <c r="AX22" t="s">
        <v>7</v>
      </c>
      <c r="AY22" s="1">
        <v>0.5</v>
      </c>
      <c r="AZ22" t="s">
        <v>8</v>
      </c>
      <c r="BA22" s="1">
        <v>0</v>
      </c>
      <c r="BB22" s="1">
        <v>0.20073709624622901</v>
      </c>
      <c r="BC22" s="1">
        <f t="shared" si="2"/>
        <v>0.140625</v>
      </c>
      <c r="BD22" s="1">
        <f t="shared" si="1"/>
        <v>0.20073709624622901</v>
      </c>
    </row>
    <row r="23" spans="1:56">
      <c r="AF23" t="s">
        <v>4</v>
      </c>
      <c r="AG23">
        <v>0</v>
      </c>
      <c r="AH23" t="s">
        <v>5</v>
      </c>
      <c r="AI23">
        <v>21</v>
      </c>
      <c r="AJ23" t="s">
        <v>6</v>
      </c>
      <c r="AK23" s="1">
        <v>0.13437499999999999</v>
      </c>
      <c r="AL23" t="s">
        <v>7</v>
      </c>
      <c r="AM23" s="1">
        <v>0.5</v>
      </c>
      <c r="AN23" t="s">
        <v>8</v>
      </c>
      <c r="AO23" s="1">
        <v>0</v>
      </c>
      <c r="AP23" s="1">
        <v>0.200492405524588</v>
      </c>
      <c r="AR23" t="s">
        <v>4</v>
      </c>
      <c r="AS23">
        <v>0</v>
      </c>
      <c r="AT23" t="s">
        <v>5</v>
      </c>
      <c r="AU23">
        <v>5</v>
      </c>
      <c r="AV23" t="s">
        <v>6</v>
      </c>
      <c r="AW23" s="1">
        <v>0.171875</v>
      </c>
      <c r="AX23" t="s">
        <v>7</v>
      </c>
      <c r="AY23" s="1">
        <v>0.5</v>
      </c>
      <c r="AZ23" t="s">
        <v>8</v>
      </c>
      <c r="BA23" s="1">
        <v>0</v>
      </c>
      <c r="BB23" s="1">
        <v>0.20118723338237501</v>
      </c>
      <c r="BC23" s="1">
        <f t="shared" si="2"/>
        <v>0.171875</v>
      </c>
      <c r="BD23" s="1">
        <f t="shared" si="1"/>
        <v>0.20118723338237501</v>
      </c>
    </row>
    <row r="24" spans="1:56">
      <c r="AF24" t="s">
        <v>4</v>
      </c>
      <c r="AG24">
        <v>0</v>
      </c>
      <c r="AH24" t="s">
        <v>5</v>
      </c>
      <c r="AI24">
        <v>22</v>
      </c>
      <c r="AJ24" t="s">
        <v>6</v>
      </c>
      <c r="AK24" s="1">
        <v>0.140625</v>
      </c>
      <c r="AL24" t="s">
        <v>7</v>
      </c>
      <c r="AM24" s="1">
        <v>0.5</v>
      </c>
      <c r="AN24" t="s">
        <v>8</v>
      </c>
      <c r="AO24" s="1">
        <v>0</v>
      </c>
      <c r="AP24" s="1">
        <v>0.20057956892873899</v>
      </c>
      <c r="AR24" t="s">
        <v>4</v>
      </c>
      <c r="AS24">
        <v>0</v>
      </c>
      <c r="AT24" t="s">
        <v>5</v>
      </c>
      <c r="AU24">
        <v>6</v>
      </c>
      <c r="AV24" t="s">
        <v>6</v>
      </c>
      <c r="AW24" s="1">
        <v>0.203125</v>
      </c>
      <c r="AX24" t="s">
        <v>7</v>
      </c>
      <c r="AY24" s="1">
        <v>0.5</v>
      </c>
      <c r="AZ24" t="s">
        <v>8</v>
      </c>
      <c r="BA24" s="1">
        <v>0</v>
      </c>
      <c r="BB24" s="1">
        <v>0.201646576695443</v>
      </c>
      <c r="BC24" s="1">
        <f t="shared" si="2"/>
        <v>0.203125</v>
      </c>
      <c r="BD24" s="1">
        <f t="shared" si="1"/>
        <v>0.201646576695443</v>
      </c>
    </row>
    <row r="25" spans="1:56">
      <c r="AF25" t="s">
        <v>4</v>
      </c>
      <c r="AG25">
        <v>0</v>
      </c>
      <c r="AH25" t="s">
        <v>5</v>
      </c>
      <c r="AI25">
        <v>23</v>
      </c>
      <c r="AJ25" t="s">
        <v>6</v>
      </c>
      <c r="AK25" s="1">
        <v>0.14687500000000001</v>
      </c>
      <c r="AL25" t="s">
        <v>7</v>
      </c>
      <c r="AM25" s="1">
        <v>0.5</v>
      </c>
      <c r="AN25" t="s">
        <v>8</v>
      </c>
      <c r="AO25" s="1">
        <v>0</v>
      </c>
      <c r="AP25" s="1">
        <v>0.200667587871316</v>
      </c>
      <c r="AR25" t="s">
        <v>4</v>
      </c>
      <c r="AS25">
        <v>0</v>
      </c>
      <c r="AT25" t="s">
        <v>5</v>
      </c>
      <c r="AU25">
        <v>7</v>
      </c>
      <c r="AV25" t="s">
        <v>6</v>
      </c>
      <c r="AW25" s="1">
        <v>0.234375</v>
      </c>
      <c r="AX25" t="s">
        <v>7</v>
      </c>
      <c r="AY25" s="1">
        <v>0.5</v>
      </c>
      <c r="AZ25" t="s">
        <v>8</v>
      </c>
      <c r="BA25" s="1">
        <v>0</v>
      </c>
      <c r="BB25" s="1">
        <v>0.20232630473097099</v>
      </c>
      <c r="BC25" s="1">
        <f t="shared" si="2"/>
        <v>0.234375</v>
      </c>
      <c r="BD25" s="1">
        <f t="shared" si="1"/>
        <v>0.20232630473097099</v>
      </c>
    </row>
    <row r="26" spans="1:56">
      <c r="AF26" t="s">
        <v>4</v>
      </c>
      <c r="AG26">
        <v>0</v>
      </c>
      <c r="AH26" t="s">
        <v>5</v>
      </c>
      <c r="AI26">
        <v>24</v>
      </c>
      <c r="AJ26" t="s">
        <v>6</v>
      </c>
      <c r="AK26" s="1">
        <v>0.15312500000000001</v>
      </c>
      <c r="AL26" t="s">
        <v>7</v>
      </c>
      <c r="AM26" s="1">
        <v>0.5</v>
      </c>
      <c r="AN26" t="s">
        <v>8</v>
      </c>
      <c r="AO26" s="1">
        <v>0</v>
      </c>
      <c r="AP26" s="1">
        <v>0.20075634786765401</v>
      </c>
      <c r="AR26" t="s">
        <v>4</v>
      </c>
      <c r="AS26">
        <v>0</v>
      </c>
      <c r="AT26" t="s">
        <v>5</v>
      </c>
      <c r="AU26">
        <v>8</v>
      </c>
      <c r="AV26" t="s">
        <v>6</v>
      </c>
      <c r="AW26" s="1">
        <v>0.265625</v>
      </c>
      <c r="AX26" t="s">
        <v>7</v>
      </c>
      <c r="AY26" s="1">
        <v>0.5</v>
      </c>
      <c r="AZ26" t="s">
        <v>8</v>
      </c>
      <c r="BA26" s="1">
        <v>0</v>
      </c>
      <c r="BB26" s="1">
        <v>0.202857744787344</v>
      </c>
      <c r="BC26" s="1">
        <f t="shared" si="2"/>
        <v>0.265625</v>
      </c>
      <c r="BD26" s="1">
        <f t="shared" si="1"/>
        <v>0.202857744787344</v>
      </c>
    </row>
    <row r="27" spans="1:56">
      <c r="AF27" t="s">
        <v>4</v>
      </c>
      <c r="AG27">
        <v>0</v>
      </c>
      <c r="AH27" t="s">
        <v>5</v>
      </c>
      <c r="AI27">
        <v>25</v>
      </c>
      <c r="AJ27" t="s">
        <v>6</v>
      </c>
      <c r="AK27" s="1">
        <v>0.15937499999999999</v>
      </c>
      <c r="AL27" t="s">
        <v>7</v>
      </c>
      <c r="AM27" s="1">
        <v>0.5</v>
      </c>
      <c r="AN27" t="s">
        <v>8</v>
      </c>
      <c r="AO27" s="1">
        <v>0</v>
      </c>
      <c r="AP27" s="1">
        <v>0.20084573886612</v>
      </c>
      <c r="AR27" t="s">
        <v>4</v>
      </c>
      <c r="AS27">
        <v>0</v>
      </c>
      <c r="AT27" t="s">
        <v>5</v>
      </c>
      <c r="AU27">
        <v>9</v>
      </c>
      <c r="AV27" t="s">
        <v>6</v>
      </c>
      <c r="AW27" s="1">
        <v>0.296875</v>
      </c>
      <c r="AX27" t="s">
        <v>7</v>
      </c>
      <c r="AY27" s="1">
        <v>0.5</v>
      </c>
      <c r="AZ27" t="s">
        <v>8</v>
      </c>
      <c r="BA27" s="1">
        <v>0</v>
      </c>
      <c r="BB27" s="1">
        <v>0.20352154683951501</v>
      </c>
      <c r="BC27" s="1">
        <f t="shared" si="2"/>
        <v>0.296875</v>
      </c>
      <c r="BD27" s="1">
        <f t="shared" si="1"/>
        <v>0.20352154683951501</v>
      </c>
    </row>
    <row r="28" spans="1:56">
      <c r="AF28" t="s">
        <v>4</v>
      </c>
      <c r="AG28">
        <v>0</v>
      </c>
      <c r="AH28" t="s">
        <v>5</v>
      </c>
      <c r="AI28">
        <v>26</v>
      </c>
      <c r="AJ28" t="s">
        <v>6</v>
      </c>
      <c r="AK28" s="1">
        <v>0.16562499999999999</v>
      </c>
      <c r="AL28" t="s">
        <v>7</v>
      </c>
      <c r="AM28" s="1">
        <v>0.5</v>
      </c>
      <c r="AN28" t="s">
        <v>8</v>
      </c>
      <c r="AO28" s="1">
        <v>0</v>
      </c>
      <c r="AP28" s="1">
        <v>0.20093565592957499</v>
      </c>
      <c r="AR28" t="s">
        <v>4</v>
      </c>
      <c r="AS28">
        <v>0</v>
      </c>
      <c r="AT28" t="s">
        <v>5</v>
      </c>
      <c r="AU28">
        <v>10</v>
      </c>
      <c r="AV28" t="s">
        <v>6</v>
      </c>
      <c r="AW28" s="1">
        <v>0.328125</v>
      </c>
      <c r="AX28" t="s">
        <v>7</v>
      </c>
      <c r="AY28" s="1">
        <v>0.5</v>
      </c>
      <c r="AZ28" t="s">
        <v>8</v>
      </c>
      <c r="BA28" s="1">
        <v>0</v>
      </c>
      <c r="BB28" s="1">
        <v>0.204099756482125</v>
      </c>
      <c r="BC28" s="1">
        <f t="shared" si="2"/>
        <v>0.328125</v>
      </c>
      <c r="BD28" s="1">
        <f t="shared" si="1"/>
        <v>0.204099756482125</v>
      </c>
    </row>
    <row r="29" spans="1:56">
      <c r="AF29" t="s">
        <v>4</v>
      </c>
      <c r="AG29">
        <v>0</v>
      </c>
      <c r="AH29" t="s">
        <v>5</v>
      </c>
      <c r="AI29">
        <v>27</v>
      </c>
      <c r="AJ29" t="s">
        <v>6</v>
      </c>
      <c r="AK29" s="1">
        <v>0.171875</v>
      </c>
      <c r="AL29" t="s">
        <v>7</v>
      </c>
      <c r="AM29" s="1">
        <v>0.5</v>
      </c>
      <c r="AN29" t="s">
        <v>8</v>
      </c>
      <c r="AO29" s="1">
        <v>0</v>
      </c>
      <c r="AP29" s="1">
        <v>0.20102599992320599</v>
      </c>
      <c r="AR29" t="s">
        <v>4</v>
      </c>
      <c r="AS29">
        <v>0</v>
      </c>
      <c r="AT29" t="s">
        <v>5</v>
      </c>
      <c r="AU29">
        <v>11</v>
      </c>
      <c r="AV29" t="s">
        <v>6</v>
      </c>
      <c r="AW29" s="1">
        <v>0.359375</v>
      </c>
      <c r="AX29" t="s">
        <v>7</v>
      </c>
      <c r="AY29" s="1">
        <v>0.5</v>
      </c>
      <c r="AZ29" t="s">
        <v>8</v>
      </c>
      <c r="BA29" s="1">
        <v>0</v>
      </c>
      <c r="BB29" s="1">
        <v>0.204740023952829</v>
      </c>
      <c r="BC29" s="1">
        <f t="shared" si="2"/>
        <v>0.359375</v>
      </c>
      <c r="BD29" s="1">
        <f t="shared" si="1"/>
        <v>0.204740023952829</v>
      </c>
    </row>
    <row r="30" spans="1:56">
      <c r="AF30" t="s">
        <v>4</v>
      </c>
      <c r="AG30">
        <v>0</v>
      </c>
      <c r="AH30" t="s">
        <v>5</v>
      </c>
      <c r="AI30">
        <v>28</v>
      </c>
      <c r="AJ30" t="s">
        <v>6</v>
      </c>
      <c r="AK30" s="1">
        <v>0.17812500000000001</v>
      </c>
      <c r="AL30" t="s">
        <v>7</v>
      </c>
      <c r="AM30" s="1">
        <v>0.5</v>
      </c>
      <c r="AN30" t="s">
        <v>8</v>
      </c>
      <c r="AO30" s="1">
        <v>0</v>
      </c>
      <c r="AP30" s="1">
        <v>0.20111667820811299</v>
      </c>
      <c r="AR30" t="s">
        <v>4</v>
      </c>
      <c r="AS30">
        <v>0</v>
      </c>
      <c r="AT30" t="s">
        <v>5</v>
      </c>
      <c r="AU30">
        <v>12</v>
      </c>
      <c r="AV30" t="s">
        <v>6</v>
      </c>
      <c r="AW30" s="1">
        <v>0.390625</v>
      </c>
      <c r="AX30" t="s">
        <v>7</v>
      </c>
      <c r="AY30" s="1">
        <v>0.5</v>
      </c>
      <c r="AZ30" t="s">
        <v>8</v>
      </c>
      <c r="BA30" s="1">
        <v>0</v>
      </c>
      <c r="BB30" s="1">
        <v>0.20484434001568699</v>
      </c>
      <c r="BC30" s="1">
        <f t="shared" si="2"/>
        <v>0.390625</v>
      </c>
      <c r="BD30" s="1">
        <f t="shared" si="1"/>
        <v>0.20484434001568699</v>
      </c>
    </row>
    <row r="31" spans="1:56">
      <c r="AF31" t="s">
        <v>4</v>
      </c>
      <c r="AG31">
        <v>0</v>
      </c>
      <c r="AH31" t="s">
        <v>5</v>
      </c>
      <c r="AI31">
        <v>29</v>
      </c>
      <c r="AJ31" t="s">
        <v>6</v>
      </c>
      <c r="AK31" s="1">
        <v>0.18437500000000001</v>
      </c>
      <c r="AL31" t="s">
        <v>7</v>
      </c>
      <c r="AM31" s="1">
        <v>0.5</v>
      </c>
      <c r="AN31" t="s">
        <v>8</v>
      </c>
      <c r="AO31" s="1">
        <v>0</v>
      </c>
      <c r="AP31" s="1">
        <v>0.20120760534118001</v>
      </c>
      <c r="AR31" t="s">
        <v>4</v>
      </c>
      <c r="AS31">
        <v>0</v>
      </c>
      <c r="AT31" t="s">
        <v>5</v>
      </c>
      <c r="AU31">
        <v>13</v>
      </c>
      <c r="AV31" t="s">
        <v>6</v>
      </c>
      <c r="AW31" s="1">
        <v>0.421875</v>
      </c>
      <c r="AX31" t="s">
        <v>7</v>
      </c>
      <c r="AY31" s="1">
        <v>0.5</v>
      </c>
      <c r="AZ31" t="s">
        <v>8</v>
      </c>
      <c r="BA31" s="1">
        <v>0</v>
      </c>
      <c r="BB31" s="1">
        <v>0.20423082370818901</v>
      </c>
      <c r="BC31" s="1">
        <f t="shared" si="2"/>
        <v>0.421875</v>
      </c>
      <c r="BD31" s="1">
        <f t="shared" si="1"/>
        <v>0.20423082370818901</v>
      </c>
    </row>
    <row r="32" spans="1:56">
      <c r="AF32" t="s">
        <v>4</v>
      </c>
      <c r="AG32">
        <v>0</v>
      </c>
      <c r="AH32" t="s">
        <v>5</v>
      </c>
      <c r="AI32">
        <v>30</v>
      </c>
      <c r="AJ32" t="s">
        <v>6</v>
      </c>
      <c r="AK32" s="1">
        <v>0.19062499999999999</v>
      </c>
      <c r="AL32" t="s">
        <v>7</v>
      </c>
      <c r="AM32" s="1">
        <v>0.5</v>
      </c>
      <c r="AN32" t="s">
        <v>8</v>
      </c>
      <c r="AO32" s="1">
        <v>0</v>
      </c>
      <c r="AP32" s="1">
        <v>0.20132211487822699</v>
      </c>
      <c r="AR32" t="s">
        <v>4</v>
      </c>
      <c r="AS32">
        <v>0</v>
      </c>
      <c r="AT32" t="s">
        <v>5</v>
      </c>
      <c r="AU32">
        <v>14</v>
      </c>
      <c r="AV32" t="s">
        <v>6</v>
      </c>
      <c r="AW32" s="1">
        <v>0.453125</v>
      </c>
      <c r="AX32" t="s">
        <v>7</v>
      </c>
      <c r="AY32" s="1">
        <v>0.5</v>
      </c>
      <c r="AZ32" t="s">
        <v>8</v>
      </c>
      <c r="BA32" s="1">
        <v>0</v>
      </c>
      <c r="BB32" s="1">
        <v>0.20226773253215499</v>
      </c>
      <c r="BC32" s="1">
        <f t="shared" si="2"/>
        <v>0.453125</v>
      </c>
      <c r="BD32" s="1">
        <f t="shared" si="1"/>
        <v>0.20226773253215499</v>
      </c>
    </row>
    <row r="33" spans="32:56">
      <c r="AF33" t="s">
        <v>4</v>
      </c>
      <c r="AG33">
        <v>0</v>
      </c>
      <c r="AH33" t="s">
        <v>5</v>
      </c>
      <c r="AI33">
        <v>31</v>
      </c>
      <c r="AJ33" t="s">
        <v>6</v>
      </c>
      <c r="AK33" s="1">
        <v>0.19687499999999999</v>
      </c>
      <c r="AL33" t="s">
        <v>7</v>
      </c>
      <c r="AM33" s="1">
        <v>0.5</v>
      </c>
      <c r="AN33" t="s">
        <v>8</v>
      </c>
      <c r="AO33" s="1">
        <v>0</v>
      </c>
      <c r="AP33" s="1">
        <v>0.20145989156452401</v>
      </c>
      <c r="AR33" t="s">
        <v>4</v>
      </c>
      <c r="AS33">
        <v>0</v>
      </c>
      <c r="AT33" t="s">
        <v>5</v>
      </c>
      <c r="AU33">
        <v>15</v>
      </c>
      <c r="AV33" t="s">
        <v>6</v>
      </c>
      <c r="AW33" s="1">
        <v>0.484375</v>
      </c>
      <c r="AX33" t="s">
        <v>7</v>
      </c>
      <c r="AY33" s="1">
        <v>0.5</v>
      </c>
      <c r="AZ33" t="s">
        <v>8</v>
      </c>
      <c r="BA33" s="1">
        <v>0</v>
      </c>
      <c r="BB33" s="1">
        <v>0.19250670265921199</v>
      </c>
      <c r="BC33" s="1">
        <f t="shared" si="2"/>
        <v>0.484375</v>
      </c>
      <c r="BD33" s="1">
        <f t="shared" si="1"/>
        <v>0.19250670265921199</v>
      </c>
    </row>
    <row r="34" spans="32:56">
      <c r="AF34" t="s">
        <v>4</v>
      </c>
      <c r="AG34">
        <v>0</v>
      </c>
      <c r="AH34" t="s">
        <v>5</v>
      </c>
      <c r="AI34">
        <v>32</v>
      </c>
      <c r="AJ34" t="s">
        <v>6</v>
      </c>
      <c r="AK34" s="1">
        <v>0.203125</v>
      </c>
      <c r="AL34" t="s">
        <v>7</v>
      </c>
      <c r="AM34" s="1">
        <v>0.5</v>
      </c>
      <c r="AN34" t="s">
        <v>8</v>
      </c>
      <c r="AO34" s="1">
        <v>0</v>
      </c>
      <c r="AP34" s="1">
        <v>0.201597240245074</v>
      </c>
    </row>
    <row r="35" spans="32:56">
      <c r="AF35" t="s">
        <v>4</v>
      </c>
      <c r="AG35">
        <v>0</v>
      </c>
      <c r="AH35" t="s">
        <v>5</v>
      </c>
      <c r="AI35">
        <v>33</v>
      </c>
      <c r="AJ35" t="s">
        <v>6</v>
      </c>
      <c r="AK35" s="1">
        <v>0.20937500000000001</v>
      </c>
      <c r="AL35" t="s">
        <v>7</v>
      </c>
      <c r="AM35" s="1">
        <v>0.5</v>
      </c>
      <c r="AN35" t="s">
        <v>8</v>
      </c>
      <c r="AO35" s="1">
        <v>0</v>
      </c>
      <c r="AP35" s="1">
        <v>0.201733950241056</v>
      </c>
    </row>
    <row r="36" spans="32:56">
      <c r="AF36" t="s">
        <v>4</v>
      </c>
      <c r="AG36">
        <v>0</v>
      </c>
      <c r="AH36" t="s">
        <v>5</v>
      </c>
      <c r="AI36">
        <v>34</v>
      </c>
      <c r="AJ36" t="s">
        <v>6</v>
      </c>
      <c r="AK36" s="1">
        <v>0.21562500000000001</v>
      </c>
      <c r="AL36" t="s">
        <v>7</v>
      </c>
      <c r="AM36" s="1">
        <v>0.5</v>
      </c>
      <c r="AN36" t="s">
        <v>8</v>
      </c>
      <c r="AO36" s="1">
        <v>0</v>
      </c>
      <c r="AP36" s="1">
        <v>0.201869815231142</v>
      </c>
    </row>
    <row r="37" spans="32:56">
      <c r="AF37" t="s">
        <v>4</v>
      </c>
      <c r="AG37">
        <v>0</v>
      </c>
      <c r="AH37" t="s">
        <v>5</v>
      </c>
      <c r="AI37">
        <v>35</v>
      </c>
      <c r="AJ37" t="s">
        <v>6</v>
      </c>
      <c r="AK37" s="1">
        <v>0.22187499999999999</v>
      </c>
      <c r="AL37" t="s">
        <v>7</v>
      </c>
      <c r="AM37" s="1">
        <v>0.5</v>
      </c>
      <c r="AN37" t="s">
        <v>8</v>
      </c>
      <c r="AO37" s="1">
        <v>0</v>
      </c>
      <c r="AP37" s="1">
        <v>0.202004635100001</v>
      </c>
    </row>
    <row r="38" spans="32:56">
      <c r="AF38" t="s">
        <v>4</v>
      </c>
      <c r="AG38">
        <v>0</v>
      </c>
      <c r="AH38" t="s">
        <v>5</v>
      </c>
      <c r="AI38">
        <v>36</v>
      </c>
      <c r="AJ38" t="s">
        <v>6</v>
      </c>
      <c r="AK38" s="1">
        <v>0.22812499999999999</v>
      </c>
      <c r="AL38" t="s">
        <v>7</v>
      </c>
      <c r="AM38" s="1">
        <v>0.5</v>
      </c>
      <c r="AN38" t="s">
        <v>8</v>
      </c>
      <c r="AO38" s="1">
        <v>0</v>
      </c>
      <c r="AP38" s="1">
        <v>0.20213821780348801</v>
      </c>
    </row>
    <row r="39" spans="32:56">
      <c r="AF39" t="s">
        <v>4</v>
      </c>
      <c r="AG39">
        <v>0</v>
      </c>
      <c r="AH39" t="s">
        <v>5</v>
      </c>
      <c r="AI39">
        <v>37</v>
      </c>
      <c r="AJ39" t="s">
        <v>6</v>
      </c>
      <c r="AK39" s="1">
        <v>0.234375</v>
      </c>
      <c r="AL39" t="s">
        <v>7</v>
      </c>
      <c r="AM39" s="1">
        <v>0.5</v>
      </c>
      <c r="AN39" t="s">
        <v>8</v>
      </c>
      <c r="AO39" s="1">
        <v>0</v>
      </c>
      <c r="AP39" s="1">
        <v>0.20227038125083199</v>
      </c>
    </row>
    <row r="40" spans="32:56">
      <c r="AF40" t="s">
        <v>4</v>
      </c>
      <c r="AG40">
        <v>0</v>
      </c>
      <c r="AH40" t="s">
        <v>5</v>
      </c>
      <c r="AI40">
        <v>38</v>
      </c>
      <c r="AJ40" t="s">
        <v>6</v>
      </c>
      <c r="AK40" s="1">
        <v>0.24062500000000001</v>
      </c>
      <c r="AL40" t="s">
        <v>7</v>
      </c>
      <c r="AM40" s="1">
        <v>0.5</v>
      </c>
      <c r="AN40" t="s">
        <v>8</v>
      </c>
      <c r="AO40" s="1">
        <v>0</v>
      </c>
      <c r="AP40" s="1">
        <v>0.20240095520350301</v>
      </c>
    </row>
    <row r="41" spans="32:56">
      <c r="AF41" t="s">
        <v>4</v>
      </c>
      <c r="AG41">
        <v>0</v>
      </c>
      <c r="AH41" t="s">
        <v>5</v>
      </c>
      <c r="AI41">
        <v>39</v>
      </c>
      <c r="AJ41" t="s">
        <v>6</v>
      </c>
      <c r="AK41" s="1">
        <v>0.24687500000000001</v>
      </c>
      <c r="AL41" t="s">
        <v>7</v>
      </c>
      <c r="AM41" s="1">
        <v>0.5</v>
      </c>
      <c r="AN41" t="s">
        <v>8</v>
      </c>
      <c r="AO41" s="1">
        <v>0</v>
      </c>
      <c r="AP41" s="1">
        <v>0.202529783190987</v>
      </c>
    </row>
    <row r="42" spans="32:56">
      <c r="AF42" t="s">
        <v>4</v>
      </c>
      <c r="AG42">
        <v>0</v>
      </c>
      <c r="AH42" t="s">
        <v>5</v>
      </c>
      <c r="AI42">
        <v>40</v>
      </c>
      <c r="AJ42" t="s">
        <v>6</v>
      </c>
      <c r="AK42" s="1">
        <v>0.25312499999999999</v>
      </c>
      <c r="AL42" t="s">
        <v>7</v>
      </c>
      <c r="AM42" s="1">
        <v>0.5</v>
      </c>
      <c r="AN42" t="s">
        <v>8</v>
      </c>
      <c r="AO42" s="1">
        <v>0</v>
      </c>
      <c r="AP42" s="1">
        <v>0.20266085118402999</v>
      </c>
    </row>
    <row r="43" spans="32:56">
      <c r="AF43" t="s">
        <v>4</v>
      </c>
      <c r="AG43">
        <v>0</v>
      </c>
      <c r="AH43" t="s">
        <v>5</v>
      </c>
      <c r="AI43">
        <v>41</v>
      </c>
      <c r="AJ43" t="s">
        <v>6</v>
      </c>
      <c r="AK43" s="1">
        <v>0.25937500000000002</v>
      </c>
      <c r="AL43" t="s">
        <v>7</v>
      </c>
      <c r="AM43" s="1">
        <v>0.5</v>
      </c>
      <c r="AN43" t="s">
        <v>8</v>
      </c>
      <c r="AO43" s="1">
        <v>0</v>
      </c>
      <c r="AP43" s="1">
        <v>0.20279584980868001</v>
      </c>
    </row>
    <row r="44" spans="32:56">
      <c r="AF44" t="s">
        <v>4</v>
      </c>
      <c r="AG44">
        <v>0</v>
      </c>
      <c r="AH44" t="s">
        <v>5</v>
      </c>
      <c r="AI44">
        <v>42</v>
      </c>
      <c r="AJ44" t="s">
        <v>6</v>
      </c>
      <c r="AK44" s="1">
        <v>0.265625</v>
      </c>
      <c r="AL44" t="s">
        <v>7</v>
      </c>
      <c r="AM44" s="1">
        <v>0.5</v>
      </c>
      <c r="AN44" t="s">
        <v>8</v>
      </c>
      <c r="AO44" s="1">
        <v>0</v>
      </c>
      <c r="AP44" s="1">
        <v>0.202931000217832</v>
      </c>
    </row>
    <row r="45" spans="32:56">
      <c r="AF45" t="s">
        <v>4</v>
      </c>
      <c r="AG45">
        <v>0</v>
      </c>
      <c r="AH45" t="s">
        <v>5</v>
      </c>
      <c r="AI45">
        <v>43</v>
      </c>
      <c r="AJ45" t="s">
        <v>6</v>
      </c>
      <c r="AK45" s="1">
        <v>0.27187499999999998</v>
      </c>
      <c r="AL45" t="s">
        <v>7</v>
      </c>
      <c r="AM45" s="1">
        <v>0.5</v>
      </c>
      <c r="AN45" t="s">
        <v>8</v>
      </c>
      <c r="AO45" s="1">
        <v>0</v>
      </c>
      <c r="AP45" s="1">
        <v>0.20306583720580601</v>
      </c>
    </row>
    <row r="46" spans="32:56">
      <c r="AF46" t="s">
        <v>4</v>
      </c>
      <c r="AG46">
        <v>0</v>
      </c>
      <c r="AH46" t="s">
        <v>5</v>
      </c>
      <c r="AI46">
        <v>44</v>
      </c>
      <c r="AJ46" t="s">
        <v>6</v>
      </c>
      <c r="AK46" s="1">
        <v>0.27812500000000001</v>
      </c>
      <c r="AL46" t="s">
        <v>7</v>
      </c>
      <c r="AM46" s="1">
        <v>0.5</v>
      </c>
      <c r="AN46" t="s">
        <v>8</v>
      </c>
      <c r="AO46" s="1">
        <v>0</v>
      </c>
      <c r="AP46" s="1">
        <v>0.203199909981882</v>
      </c>
    </row>
    <row r="47" spans="32:56">
      <c r="AF47" t="s">
        <v>4</v>
      </c>
      <c r="AG47">
        <v>0</v>
      </c>
      <c r="AH47" t="s">
        <v>5</v>
      </c>
      <c r="AI47">
        <v>45</v>
      </c>
      <c r="AJ47" t="s">
        <v>6</v>
      </c>
      <c r="AK47" s="1">
        <v>0.28437499999999999</v>
      </c>
      <c r="AL47" t="s">
        <v>7</v>
      </c>
      <c r="AM47" s="1">
        <v>0.5</v>
      </c>
      <c r="AN47" t="s">
        <v>8</v>
      </c>
      <c r="AO47" s="1">
        <v>0</v>
      </c>
      <c r="AP47" s="1">
        <v>0.20333278911302399</v>
      </c>
    </row>
    <row r="48" spans="32:56">
      <c r="AF48" t="s">
        <v>4</v>
      </c>
      <c r="AG48">
        <v>0</v>
      </c>
      <c r="AH48" t="s">
        <v>5</v>
      </c>
      <c r="AI48">
        <v>46</v>
      </c>
      <c r="AJ48" t="s">
        <v>6</v>
      </c>
      <c r="AK48" s="1">
        <v>0.29062500000000002</v>
      </c>
      <c r="AL48" t="s">
        <v>7</v>
      </c>
      <c r="AM48" s="1">
        <v>0.5</v>
      </c>
      <c r="AN48" t="s">
        <v>8</v>
      </c>
      <c r="AO48" s="1">
        <v>0</v>
      </c>
      <c r="AP48" s="1">
        <v>0.20346407356260501</v>
      </c>
    </row>
    <row r="49" spans="32:42">
      <c r="AF49" t="s">
        <v>4</v>
      </c>
      <c r="AG49">
        <v>0</v>
      </c>
      <c r="AH49" t="s">
        <v>5</v>
      </c>
      <c r="AI49">
        <v>47</v>
      </c>
      <c r="AJ49" t="s">
        <v>6</v>
      </c>
      <c r="AK49" s="1">
        <v>0.296875</v>
      </c>
      <c r="AL49" t="s">
        <v>7</v>
      </c>
      <c r="AM49" s="1">
        <v>0.5</v>
      </c>
      <c r="AN49" t="s">
        <v>8</v>
      </c>
      <c r="AO49" s="1">
        <v>0</v>
      </c>
      <c r="AP49" s="1">
        <v>0.203593397825617</v>
      </c>
    </row>
    <row r="50" spans="32:42">
      <c r="AF50" t="s">
        <v>4</v>
      </c>
      <c r="AG50">
        <v>0</v>
      </c>
      <c r="AH50" t="s">
        <v>5</v>
      </c>
      <c r="AI50">
        <v>48</v>
      </c>
      <c r="AJ50" t="s">
        <v>6</v>
      </c>
      <c r="AK50" s="1">
        <v>0.30312499999999998</v>
      </c>
      <c r="AL50" t="s">
        <v>7</v>
      </c>
      <c r="AM50" s="1">
        <v>0.5</v>
      </c>
      <c r="AN50" t="s">
        <v>8</v>
      </c>
      <c r="AO50" s="1">
        <v>0</v>
      </c>
      <c r="AP50" s="1">
        <v>0.20372043915993501</v>
      </c>
    </row>
    <row r="51" spans="32:42">
      <c r="AF51" t="s">
        <v>4</v>
      </c>
      <c r="AG51">
        <v>0</v>
      </c>
      <c r="AH51" t="s">
        <v>5</v>
      </c>
      <c r="AI51">
        <v>49</v>
      </c>
      <c r="AJ51" t="s">
        <v>6</v>
      </c>
      <c r="AK51" s="1">
        <v>0.30937500000000001</v>
      </c>
      <c r="AL51" t="s">
        <v>7</v>
      </c>
      <c r="AM51" s="1">
        <v>0.5</v>
      </c>
      <c r="AN51" t="s">
        <v>8</v>
      </c>
      <c r="AO51" s="1">
        <v>0</v>
      </c>
      <c r="AP51" s="1">
        <v>0.20384492491391401</v>
      </c>
    </row>
    <row r="52" spans="32:42">
      <c r="AF52" t="s">
        <v>4</v>
      </c>
      <c r="AG52">
        <v>0</v>
      </c>
      <c r="AH52" t="s">
        <v>5</v>
      </c>
      <c r="AI52">
        <v>50</v>
      </c>
      <c r="AJ52" t="s">
        <v>6</v>
      </c>
      <c r="AK52" s="1">
        <v>0.31562499999999999</v>
      </c>
      <c r="AL52" t="s">
        <v>7</v>
      </c>
      <c r="AM52" s="1">
        <v>0.5</v>
      </c>
      <c r="AN52" t="s">
        <v>8</v>
      </c>
      <c r="AO52" s="1">
        <v>0</v>
      </c>
      <c r="AP52" s="1">
        <v>0.203999460943184</v>
      </c>
    </row>
    <row r="53" spans="32:42">
      <c r="AF53" t="s">
        <v>4</v>
      </c>
      <c r="AG53">
        <v>0</v>
      </c>
      <c r="AH53" t="s">
        <v>5</v>
      </c>
      <c r="AI53">
        <v>51</v>
      </c>
      <c r="AJ53" t="s">
        <v>6</v>
      </c>
      <c r="AK53" s="1">
        <v>0.32187500000000002</v>
      </c>
      <c r="AL53" t="s">
        <v>7</v>
      </c>
      <c r="AM53" s="1">
        <v>0.5</v>
      </c>
      <c r="AN53" t="s">
        <v>8</v>
      </c>
      <c r="AO53" s="1">
        <v>0</v>
      </c>
      <c r="AP53" s="1">
        <v>0.204178708715957</v>
      </c>
    </row>
    <row r="54" spans="32:42">
      <c r="AF54" t="s">
        <v>4</v>
      </c>
      <c r="AG54">
        <v>0</v>
      </c>
      <c r="AH54" t="s">
        <v>5</v>
      </c>
      <c r="AI54">
        <v>52</v>
      </c>
      <c r="AJ54" t="s">
        <v>6</v>
      </c>
      <c r="AK54" s="1">
        <v>0.328125</v>
      </c>
      <c r="AL54" t="s">
        <v>7</v>
      </c>
      <c r="AM54" s="1">
        <v>0.5</v>
      </c>
      <c r="AN54" t="s">
        <v>8</v>
      </c>
      <c r="AO54" s="1">
        <v>0</v>
      </c>
      <c r="AP54" s="1">
        <v>0.20434697004039101</v>
      </c>
    </row>
    <row r="55" spans="32:42">
      <c r="AF55" t="s">
        <v>4</v>
      </c>
      <c r="AG55">
        <v>0</v>
      </c>
      <c r="AH55" t="s">
        <v>5</v>
      </c>
      <c r="AI55">
        <v>53</v>
      </c>
      <c r="AJ55" t="s">
        <v>6</v>
      </c>
      <c r="AK55" s="1">
        <v>0.33437499999999998</v>
      </c>
      <c r="AL55" t="s">
        <v>7</v>
      </c>
      <c r="AM55" s="1">
        <v>0.5</v>
      </c>
      <c r="AN55" t="s">
        <v>8</v>
      </c>
      <c r="AO55" s="1">
        <v>0</v>
      </c>
      <c r="AP55" s="1">
        <v>0.20450332969093599</v>
      </c>
    </row>
    <row r="56" spans="32:42">
      <c r="AF56" t="s">
        <v>4</v>
      </c>
      <c r="AG56">
        <v>0</v>
      </c>
      <c r="AH56" t="s">
        <v>5</v>
      </c>
      <c r="AI56">
        <v>54</v>
      </c>
      <c r="AJ56" t="s">
        <v>6</v>
      </c>
      <c r="AK56" s="1">
        <v>0.34062500000000001</v>
      </c>
      <c r="AL56" t="s">
        <v>7</v>
      </c>
      <c r="AM56" s="1">
        <v>0.5</v>
      </c>
      <c r="AN56" t="s">
        <v>8</v>
      </c>
      <c r="AO56" s="1">
        <v>0</v>
      </c>
      <c r="AP56" s="1">
        <v>0.20464687430790299</v>
      </c>
    </row>
    <row r="57" spans="32:42">
      <c r="AF57" t="s">
        <v>4</v>
      </c>
      <c r="AG57">
        <v>0</v>
      </c>
      <c r="AH57" t="s">
        <v>5</v>
      </c>
      <c r="AI57">
        <v>55</v>
      </c>
      <c r="AJ57" t="s">
        <v>6</v>
      </c>
      <c r="AK57" s="1">
        <v>0.34687499999999999</v>
      </c>
      <c r="AL57" t="s">
        <v>7</v>
      </c>
      <c r="AM57" s="1">
        <v>0.5</v>
      </c>
      <c r="AN57" t="s">
        <v>8</v>
      </c>
      <c r="AO57" s="1">
        <v>0</v>
      </c>
      <c r="AP57" s="1">
        <v>0.20477671449830401</v>
      </c>
    </row>
    <row r="58" spans="32:42">
      <c r="AF58" t="s">
        <v>4</v>
      </c>
      <c r="AG58">
        <v>0</v>
      </c>
      <c r="AH58" t="s">
        <v>5</v>
      </c>
      <c r="AI58">
        <v>56</v>
      </c>
      <c r="AJ58" t="s">
        <v>6</v>
      </c>
      <c r="AK58" s="1">
        <v>0.35312500000000002</v>
      </c>
      <c r="AL58" t="s">
        <v>7</v>
      </c>
      <c r="AM58" s="1">
        <v>0.5</v>
      </c>
      <c r="AN58" t="s">
        <v>8</v>
      </c>
      <c r="AO58" s="1">
        <v>0</v>
      </c>
      <c r="AP58" s="1">
        <v>0.204892007157739</v>
      </c>
    </row>
    <row r="59" spans="32:42">
      <c r="AF59" t="s">
        <v>4</v>
      </c>
      <c r="AG59">
        <v>0</v>
      </c>
      <c r="AH59" t="s">
        <v>5</v>
      </c>
      <c r="AI59">
        <v>57</v>
      </c>
      <c r="AJ59" t="s">
        <v>6</v>
      </c>
      <c r="AK59" s="1">
        <v>0.359375</v>
      </c>
      <c r="AL59" t="s">
        <v>7</v>
      </c>
      <c r="AM59" s="1">
        <v>0.5</v>
      </c>
      <c r="AN59" t="s">
        <v>8</v>
      </c>
      <c r="AO59" s="1">
        <v>0</v>
      </c>
      <c r="AP59" s="1">
        <v>0.20499197801357999</v>
      </c>
    </row>
    <row r="60" spans="32:42">
      <c r="AF60" t="s">
        <v>4</v>
      </c>
      <c r="AG60">
        <v>0</v>
      </c>
      <c r="AH60" t="s">
        <v>5</v>
      </c>
      <c r="AI60">
        <v>58</v>
      </c>
      <c r="AJ60" t="s">
        <v>6</v>
      </c>
      <c r="AK60" s="1">
        <v>0.36562499999999998</v>
      </c>
      <c r="AL60" t="s">
        <v>7</v>
      </c>
      <c r="AM60" s="1">
        <v>0.5</v>
      </c>
      <c r="AN60" t="s">
        <v>8</v>
      </c>
      <c r="AO60" s="1">
        <v>0</v>
      </c>
      <c r="AP60" s="1">
        <v>0.20507594438930199</v>
      </c>
    </row>
    <row r="61" spans="32:42">
      <c r="AF61" t="s">
        <v>4</v>
      </c>
      <c r="AG61">
        <v>0</v>
      </c>
      <c r="AH61" t="s">
        <v>5</v>
      </c>
      <c r="AI61">
        <v>59</v>
      </c>
      <c r="AJ61" t="s">
        <v>6</v>
      </c>
      <c r="AK61" s="1">
        <v>0.37187500000000001</v>
      </c>
      <c r="AL61" t="s">
        <v>7</v>
      </c>
      <c r="AM61" s="1">
        <v>0.5</v>
      </c>
      <c r="AN61" t="s">
        <v>8</v>
      </c>
      <c r="AO61" s="1">
        <v>0</v>
      </c>
      <c r="AP61" s="1">
        <v>0.20514333819000899</v>
      </c>
    </row>
    <row r="62" spans="32:42">
      <c r="AF62" t="s">
        <v>4</v>
      </c>
      <c r="AG62">
        <v>0</v>
      </c>
      <c r="AH62" t="s">
        <v>5</v>
      </c>
      <c r="AI62">
        <v>60</v>
      </c>
      <c r="AJ62" t="s">
        <v>6</v>
      </c>
      <c r="AK62" s="1">
        <v>0.37812499999999999</v>
      </c>
      <c r="AL62" t="s">
        <v>7</v>
      </c>
      <c r="AM62" s="1">
        <v>0.5</v>
      </c>
      <c r="AN62" t="s">
        <v>8</v>
      </c>
      <c r="AO62" s="1">
        <v>0</v>
      </c>
      <c r="AP62" s="1">
        <v>0.205169434244798</v>
      </c>
    </row>
    <row r="63" spans="32:42">
      <c r="AF63" t="s">
        <v>4</v>
      </c>
      <c r="AG63">
        <v>0</v>
      </c>
      <c r="AH63" t="s">
        <v>5</v>
      </c>
      <c r="AI63">
        <v>61</v>
      </c>
      <c r="AJ63" t="s">
        <v>6</v>
      </c>
      <c r="AK63" s="1">
        <v>0.38437500000000002</v>
      </c>
      <c r="AL63" t="s">
        <v>7</v>
      </c>
      <c r="AM63" s="1">
        <v>0.5</v>
      </c>
      <c r="AN63" t="s">
        <v>8</v>
      </c>
      <c r="AO63" s="1">
        <v>0</v>
      </c>
      <c r="AP63" s="1">
        <v>0.20515346571226101</v>
      </c>
    </row>
    <row r="64" spans="32:42">
      <c r="AF64" t="s">
        <v>4</v>
      </c>
      <c r="AG64">
        <v>0</v>
      </c>
      <c r="AH64" t="s">
        <v>5</v>
      </c>
      <c r="AI64">
        <v>62</v>
      </c>
      <c r="AJ64" t="s">
        <v>6</v>
      </c>
      <c r="AK64" s="1">
        <v>0.390625</v>
      </c>
      <c r="AL64" t="s">
        <v>7</v>
      </c>
      <c r="AM64" s="1">
        <v>0.5</v>
      </c>
      <c r="AN64" t="s">
        <v>8</v>
      </c>
      <c r="AO64" s="1">
        <v>0</v>
      </c>
      <c r="AP64" s="1">
        <v>0.20511716270312799</v>
      </c>
    </row>
    <row r="65" spans="32:42">
      <c r="AF65" t="s">
        <v>4</v>
      </c>
      <c r="AG65">
        <v>0</v>
      </c>
      <c r="AH65" t="s">
        <v>5</v>
      </c>
      <c r="AI65">
        <v>63</v>
      </c>
      <c r="AJ65" t="s">
        <v>6</v>
      </c>
      <c r="AK65" s="1">
        <v>0.39687499999999998</v>
      </c>
      <c r="AL65" t="s">
        <v>7</v>
      </c>
      <c r="AM65" s="1">
        <v>0.5</v>
      </c>
      <c r="AN65" t="s">
        <v>8</v>
      </c>
      <c r="AO65" s="1">
        <v>0</v>
      </c>
      <c r="AP65" s="1">
        <v>0.20505774992292999</v>
      </c>
    </row>
    <row r="66" spans="32:42">
      <c r="AF66" t="s">
        <v>4</v>
      </c>
      <c r="AG66">
        <v>0</v>
      </c>
      <c r="AH66" t="s">
        <v>5</v>
      </c>
      <c r="AI66">
        <v>64</v>
      </c>
      <c r="AJ66" t="s">
        <v>6</v>
      </c>
      <c r="AK66" s="1">
        <v>0.40312500000000001</v>
      </c>
      <c r="AL66" t="s">
        <v>7</v>
      </c>
      <c r="AM66" s="1">
        <v>0.5</v>
      </c>
      <c r="AN66" t="s">
        <v>8</v>
      </c>
      <c r="AO66" s="1">
        <v>0</v>
      </c>
      <c r="AP66" s="1">
        <v>0.20497284767576901</v>
      </c>
    </row>
    <row r="67" spans="32:42">
      <c r="AF67" t="s">
        <v>4</v>
      </c>
      <c r="AG67">
        <v>0</v>
      </c>
      <c r="AH67" t="s">
        <v>5</v>
      </c>
      <c r="AI67">
        <v>65</v>
      </c>
      <c r="AJ67" t="s">
        <v>6</v>
      </c>
      <c r="AK67" s="1">
        <v>0.40937499999999999</v>
      </c>
      <c r="AL67" t="s">
        <v>7</v>
      </c>
      <c r="AM67" s="1">
        <v>0.5</v>
      </c>
      <c r="AN67" t="s">
        <v>8</v>
      </c>
      <c r="AO67" s="1">
        <v>0</v>
      </c>
      <c r="AP67" s="1">
        <v>0.20486073373060201</v>
      </c>
    </row>
    <row r="68" spans="32:42">
      <c r="AF68" t="s">
        <v>4</v>
      </c>
      <c r="AG68">
        <v>0</v>
      </c>
      <c r="AH68" t="s">
        <v>5</v>
      </c>
      <c r="AI68">
        <v>66</v>
      </c>
      <c r="AJ68" t="s">
        <v>6</v>
      </c>
      <c r="AK68" s="1">
        <v>0.41562500000000002</v>
      </c>
      <c r="AL68" t="s">
        <v>7</v>
      </c>
      <c r="AM68" s="1">
        <v>0.5</v>
      </c>
      <c r="AN68" t="s">
        <v>8</v>
      </c>
      <c r="AO68" s="1">
        <v>0</v>
      </c>
      <c r="AP68" s="1">
        <v>0.20472060927809799</v>
      </c>
    </row>
    <row r="69" spans="32:42">
      <c r="AF69" t="s">
        <v>4</v>
      </c>
      <c r="AG69">
        <v>0</v>
      </c>
      <c r="AH69" t="s">
        <v>5</v>
      </c>
      <c r="AI69">
        <v>67</v>
      </c>
      <c r="AJ69" t="s">
        <v>6</v>
      </c>
      <c r="AK69" s="1">
        <v>0.421875</v>
      </c>
      <c r="AL69" t="s">
        <v>7</v>
      </c>
      <c r="AM69" s="1">
        <v>0.5</v>
      </c>
      <c r="AN69" t="s">
        <v>8</v>
      </c>
      <c r="AO69" s="1">
        <v>0</v>
      </c>
      <c r="AP69" s="1">
        <v>0.204552868978571</v>
      </c>
    </row>
    <row r="70" spans="32:42">
      <c r="AF70" t="s">
        <v>4</v>
      </c>
      <c r="AG70">
        <v>0</v>
      </c>
      <c r="AH70" t="s">
        <v>5</v>
      </c>
      <c r="AI70">
        <v>68</v>
      </c>
      <c r="AJ70" t="s">
        <v>6</v>
      </c>
      <c r="AK70" s="1">
        <v>0.42812499999999998</v>
      </c>
      <c r="AL70" t="s">
        <v>7</v>
      </c>
      <c r="AM70" s="1">
        <v>0.5</v>
      </c>
      <c r="AN70" t="s">
        <v>8</v>
      </c>
      <c r="AO70" s="1">
        <v>0</v>
      </c>
      <c r="AP70" s="1">
        <v>0.20435937510049501</v>
      </c>
    </row>
    <row r="71" spans="32:42">
      <c r="AF71" t="s">
        <v>4</v>
      </c>
      <c r="AG71">
        <v>0</v>
      </c>
      <c r="AH71" t="s">
        <v>5</v>
      </c>
      <c r="AI71">
        <v>69</v>
      </c>
      <c r="AJ71" t="s">
        <v>6</v>
      </c>
      <c r="AK71" s="1">
        <v>0.43437500000000001</v>
      </c>
      <c r="AL71" t="s">
        <v>7</v>
      </c>
      <c r="AM71" s="1">
        <v>0.5</v>
      </c>
      <c r="AN71" t="s">
        <v>8</v>
      </c>
      <c r="AO71" s="1">
        <v>0</v>
      </c>
      <c r="AP71" s="1">
        <v>0.20414373574997599</v>
      </c>
    </row>
    <row r="72" spans="32:42">
      <c r="AF72" t="s">
        <v>4</v>
      </c>
      <c r="AG72">
        <v>0</v>
      </c>
      <c r="AH72" t="s">
        <v>5</v>
      </c>
      <c r="AI72">
        <v>70</v>
      </c>
      <c r="AJ72" t="s">
        <v>6</v>
      </c>
      <c r="AK72" s="1">
        <v>0.44062499999999999</v>
      </c>
      <c r="AL72" t="s">
        <v>7</v>
      </c>
      <c r="AM72" s="1">
        <v>0.5</v>
      </c>
      <c r="AN72" t="s">
        <v>8</v>
      </c>
      <c r="AO72" s="1">
        <v>0</v>
      </c>
      <c r="AP72" s="1">
        <v>0.20369910174782199</v>
      </c>
    </row>
    <row r="73" spans="32:42">
      <c r="AF73" t="s">
        <v>4</v>
      </c>
      <c r="AG73">
        <v>0</v>
      </c>
      <c r="AH73" t="s">
        <v>5</v>
      </c>
      <c r="AI73">
        <v>71</v>
      </c>
      <c r="AJ73" t="s">
        <v>6</v>
      </c>
      <c r="AK73" s="1">
        <v>0.44687500000000002</v>
      </c>
      <c r="AL73" t="s">
        <v>7</v>
      </c>
      <c r="AM73" s="1">
        <v>0.5</v>
      </c>
      <c r="AN73" t="s">
        <v>8</v>
      </c>
      <c r="AO73" s="1">
        <v>0</v>
      </c>
      <c r="AP73" s="1">
        <v>0.20289640603092801</v>
      </c>
    </row>
    <row r="74" spans="32:42">
      <c r="AF74" t="s">
        <v>4</v>
      </c>
      <c r="AG74">
        <v>0</v>
      </c>
      <c r="AH74" t="s">
        <v>5</v>
      </c>
      <c r="AI74">
        <v>72</v>
      </c>
      <c r="AJ74" t="s">
        <v>6</v>
      </c>
      <c r="AK74" s="1">
        <v>0.453125</v>
      </c>
      <c r="AL74" t="s">
        <v>7</v>
      </c>
      <c r="AM74" s="1">
        <v>0.5</v>
      </c>
      <c r="AN74" t="s">
        <v>8</v>
      </c>
      <c r="AO74" s="1">
        <v>0</v>
      </c>
      <c r="AP74" s="1">
        <v>0.20187008712705801</v>
      </c>
    </row>
    <row r="75" spans="32:42">
      <c r="AF75" t="s">
        <v>4</v>
      </c>
      <c r="AG75">
        <v>0</v>
      </c>
      <c r="AH75" t="s">
        <v>5</v>
      </c>
      <c r="AI75">
        <v>73</v>
      </c>
      <c r="AJ75" t="s">
        <v>6</v>
      </c>
      <c r="AK75" s="1">
        <v>0.45937499999999998</v>
      </c>
      <c r="AL75" t="s">
        <v>7</v>
      </c>
      <c r="AM75" s="1">
        <v>0.5</v>
      </c>
      <c r="AN75" t="s">
        <v>8</v>
      </c>
      <c r="AO75" s="1">
        <v>0</v>
      </c>
      <c r="AP75" s="1">
        <v>0.200590296680866</v>
      </c>
    </row>
    <row r="76" spans="32:42">
      <c r="AF76" t="s">
        <v>4</v>
      </c>
      <c r="AG76">
        <v>0</v>
      </c>
      <c r="AH76" t="s">
        <v>5</v>
      </c>
      <c r="AI76">
        <v>74</v>
      </c>
      <c r="AJ76" t="s">
        <v>6</v>
      </c>
      <c r="AK76" s="1">
        <v>0.46562500000000001</v>
      </c>
      <c r="AL76" t="s">
        <v>7</v>
      </c>
      <c r="AM76" s="1">
        <v>0.5</v>
      </c>
      <c r="AN76" t="s">
        <v>8</v>
      </c>
      <c r="AO76" s="1">
        <v>0</v>
      </c>
      <c r="AP76" s="1">
        <v>0.19902984129076601</v>
      </c>
    </row>
    <row r="77" spans="32:42">
      <c r="AF77" t="s">
        <v>4</v>
      </c>
      <c r="AG77">
        <v>0</v>
      </c>
      <c r="AH77" t="s">
        <v>5</v>
      </c>
      <c r="AI77">
        <v>75</v>
      </c>
      <c r="AJ77" t="s">
        <v>6</v>
      </c>
      <c r="AK77" s="1">
        <v>0.47187499999999999</v>
      </c>
      <c r="AL77" t="s">
        <v>7</v>
      </c>
      <c r="AM77" s="1">
        <v>0.5</v>
      </c>
      <c r="AN77" t="s">
        <v>8</v>
      </c>
      <c r="AO77" s="1">
        <v>0</v>
      </c>
      <c r="AP77" s="1">
        <v>0.197167741012474</v>
      </c>
    </row>
    <row r="78" spans="32:42">
      <c r="AF78" t="s">
        <v>4</v>
      </c>
      <c r="AG78">
        <v>0</v>
      </c>
      <c r="AH78" t="s">
        <v>5</v>
      </c>
      <c r="AI78">
        <v>76</v>
      </c>
      <c r="AJ78" t="s">
        <v>6</v>
      </c>
      <c r="AK78" s="1">
        <v>0.47812500000000002</v>
      </c>
      <c r="AL78" t="s">
        <v>7</v>
      </c>
      <c r="AM78" s="1">
        <v>0.5</v>
      </c>
      <c r="AN78" t="s">
        <v>8</v>
      </c>
      <c r="AO78" s="1">
        <v>0</v>
      </c>
      <c r="AP78" s="1">
        <v>0.19499288329575301</v>
      </c>
    </row>
    <row r="79" spans="32:42">
      <c r="AF79" t="s">
        <v>4</v>
      </c>
      <c r="AG79">
        <v>0</v>
      </c>
      <c r="AH79" t="s">
        <v>5</v>
      </c>
      <c r="AI79">
        <v>77</v>
      </c>
      <c r="AJ79" t="s">
        <v>6</v>
      </c>
      <c r="AK79" s="1">
        <v>0.484375</v>
      </c>
      <c r="AL79" t="s">
        <v>7</v>
      </c>
      <c r="AM79" s="1">
        <v>0.5</v>
      </c>
      <c r="AN79" t="s">
        <v>8</v>
      </c>
      <c r="AO79" s="1">
        <v>0</v>
      </c>
      <c r="AP79" s="1">
        <v>0.19250777235438299</v>
      </c>
    </row>
    <row r="80" spans="32:42">
      <c r="AF80" t="s">
        <v>4</v>
      </c>
      <c r="AG80">
        <v>0</v>
      </c>
      <c r="AH80" t="s">
        <v>5</v>
      </c>
      <c r="AI80">
        <v>78</v>
      </c>
      <c r="AJ80" t="s">
        <v>6</v>
      </c>
      <c r="AK80" s="1">
        <v>0.49062499999999998</v>
      </c>
      <c r="AL80" t="s">
        <v>7</v>
      </c>
      <c r="AM80" s="1">
        <v>0.5</v>
      </c>
      <c r="AN80" t="s">
        <v>8</v>
      </c>
      <c r="AO80" s="1">
        <v>0</v>
      </c>
      <c r="AP80" s="1">
        <v>0.18973237396920101</v>
      </c>
    </row>
    <row r="81" spans="32:42">
      <c r="AF81" t="s">
        <v>4</v>
      </c>
      <c r="AG81">
        <v>0</v>
      </c>
      <c r="AH81" t="s">
        <v>5</v>
      </c>
      <c r="AI81">
        <v>79</v>
      </c>
      <c r="AJ81" t="s">
        <v>6</v>
      </c>
      <c r="AK81" s="1">
        <v>0.49687500000000001</v>
      </c>
      <c r="AL81" t="s">
        <v>7</v>
      </c>
      <c r="AM81" s="1">
        <v>0.5</v>
      </c>
      <c r="AN81" t="s">
        <v>8</v>
      </c>
      <c r="AO81" s="1">
        <v>0</v>
      </c>
      <c r="AP81" s="1">
        <v>0.18670805572452001</v>
      </c>
    </row>
  </sheetData>
  <autoFilter ref="AR2:BD33" xr:uid="{3B5CAF6B-6D31-453E-8741-404C43A901EB}">
    <sortState xmlns:xlrd2="http://schemas.microsoft.com/office/spreadsheetml/2017/richdata2" ref="AR3:BD33">
      <sortCondition ref="BC2:BC33"/>
    </sortState>
  </autoFilter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D43E-B7A5-4258-A524-210218F2D1AC}">
  <dimension ref="A1:AG51"/>
  <sheetViews>
    <sheetView topLeftCell="A13" zoomScale="102" zoomScaleNormal="102" workbookViewId="0">
      <selection activeCell="A19" sqref="A19"/>
    </sheetView>
  </sheetViews>
  <sheetFormatPr defaultRowHeight="18"/>
  <cols>
    <col min="6" max="6" width="9" bestFit="1" customWidth="1"/>
    <col min="8" max="8" width="9" bestFit="1" customWidth="1"/>
    <col min="10" max="11" width="9.5" bestFit="1" customWidth="1"/>
    <col min="12" max="12" width="9" bestFit="1" customWidth="1"/>
    <col min="13" max="13" width="9.5" bestFit="1" customWidth="1"/>
    <col min="29" max="29" width="9" bestFit="1" customWidth="1"/>
    <col min="30" max="33" width="10.19921875" bestFit="1" customWidth="1"/>
  </cols>
  <sheetData>
    <row r="1" spans="1:33">
      <c r="A1" t="s">
        <v>16</v>
      </c>
      <c r="AB1" s="3" t="s">
        <v>19</v>
      </c>
      <c r="AC1" t="s">
        <v>20</v>
      </c>
    </row>
    <row r="2" spans="1:33">
      <c r="A2" t="s">
        <v>4</v>
      </c>
      <c r="B2">
        <v>0</v>
      </c>
      <c r="C2" t="s">
        <v>5</v>
      </c>
      <c r="D2">
        <v>0</v>
      </c>
      <c r="E2" t="s">
        <v>6</v>
      </c>
      <c r="F2" s="1">
        <v>1.5625E-2</v>
      </c>
      <c r="G2" t="s">
        <v>7</v>
      </c>
      <c r="H2" s="1">
        <v>0.5</v>
      </c>
      <c r="I2" t="s">
        <v>8</v>
      </c>
      <c r="J2" s="1">
        <v>0</v>
      </c>
      <c r="K2" s="1">
        <v>27.500894741615198</v>
      </c>
      <c r="L2" s="1">
        <f>2*F2</f>
        <v>3.125E-2</v>
      </c>
      <c r="M2" s="1">
        <f>K2/2</f>
        <v>13.750447370807599</v>
      </c>
      <c r="AB2" s="3" t="s">
        <v>21</v>
      </c>
    </row>
    <row r="3" spans="1:33">
      <c r="A3" t="s">
        <v>4</v>
      </c>
      <c r="B3">
        <v>0</v>
      </c>
      <c r="C3" t="s">
        <v>5</v>
      </c>
      <c r="D3">
        <v>1</v>
      </c>
      <c r="E3" t="s">
        <v>6</v>
      </c>
      <c r="F3" s="1">
        <v>4.6875E-2</v>
      </c>
      <c r="G3" t="s">
        <v>7</v>
      </c>
      <c r="H3" s="1">
        <v>0.5</v>
      </c>
      <c r="I3" t="s">
        <v>8</v>
      </c>
      <c r="J3" s="1">
        <v>0</v>
      </c>
      <c r="K3" s="1">
        <v>27.4190256278075</v>
      </c>
      <c r="L3" s="1">
        <f t="shared" ref="L3:L51" si="0">2*F3</f>
        <v>9.375E-2</v>
      </c>
      <c r="M3" s="1">
        <f t="shared" ref="M3:M17" si="1">K3/2</f>
        <v>13.70951281390375</v>
      </c>
      <c r="AB3" s="3" t="s">
        <v>22</v>
      </c>
      <c r="AC3" t="s">
        <v>23</v>
      </c>
      <c r="AD3">
        <v>89</v>
      </c>
    </row>
    <row r="4" spans="1:33">
      <c r="A4" t="s">
        <v>4</v>
      </c>
      <c r="B4">
        <v>0</v>
      </c>
      <c r="C4" t="s">
        <v>5</v>
      </c>
      <c r="D4">
        <v>2</v>
      </c>
      <c r="E4" t="s">
        <v>6</v>
      </c>
      <c r="F4" s="1">
        <v>7.8125E-2</v>
      </c>
      <c r="G4" t="s">
        <v>7</v>
      </c>
      <c r="H4" s="1">
        <v>0.5</v>
      </c>
      <c r="I4" t="s">
        <v>8</v>
      </c>
      <c r="J4" s="1">
        <v>0</v>
      </c>
      <c r="K4" s="1">
        <v>27.223640979455102</v>
      </c>
      <c r="L4" s="1">
        <f t="shared" si="0"/>
        <v>0.15625</v>
      </c>
      <c r="M4" s="1">
        <f t="shared" si="1"/>
        <v>13.611820489727551</v>
      </c>
      <c r="AB4" s="3" t="s">
        <v>24</v>
      </c>
      <c r="AC4" t="s">
        <v>23</v>
      </c>
      <c r="AD4" s="1">
        <v>1</v>
      </c>
    </row>
    <row r="5" spans="1:33">
      <c r="A5" t="s">
        <v>4</v>
      </c>
      <c r="B5">
        <v>0</v>
      </c>
      <c r="C5" t="s">
        <v>5</v>
      </c>
      <c r="D5">
        <v>3</v>
      </c>
      <c r="E5" t="s">
        <v>6</v>
      </c>
      <c r="F5" s="1">
        <v>0.109375</v>
      </c>
      <c r="G5" t="s">
        <v>7</v>
      </c>
      <c r="H5" s="1">
        <v>0.5</v>
      </c>
      <c r="I5" t="s">
        <v>8</v>
      </c>
      <c r="J5" s="1">
        <v>0</v>
      </c>
      <c r="K5" s="1">
        <v>26.941766714131798</v>
      </c>
      <c r="L5" s="1">
        <f t="shared" si="0"/>
        <v>0.21875</v>
      </c>
      <c r="M5" s="1">
        <f t="shared" si="1"/>
        <v>13.470883357065899</v>
      </c>
      <c r="AB5" s="3" t="s">
        <v>25</v>
      </c>
      <c r="AC5" t="s">
        <v>23</v>
      </c>
      <c r="AD5" s="1">
        <v>0</v>
      </c>
    </row>
    <row r="6" spans="1:33">
      <c r="A6" t="s">
        <v>4</v>
      </c>
      <c r="B6">
        <v>0</v>
      </c>
      <c r="C6" t="s">
        <v>5</v>
      </c>
      <c r="D6">
        <v>4</v>
      </c>
      <c r="E6" t="s">
        <v>6</v>
      </c>
      <c r="F6" s="1">
        <v>0.140625</v>
      </c>
      <c r="G6" t="s">
        <v>7</v>
      </c>
      <c r="H6" s="1">
        <v>0.5</v>
      </c>
      <c r="I6" t="s">
        <v>8</v>
      </c>
      <c r="J6" s="1">
        <v>0</v>
      </c>
      <c r="K6" s="1">
        <v>26.601314343423802</v>
      </c>
      <c r="L6" s="1">
        <f t="shared" si="0"/>
        <v>0.28125</v>
      </c>
      <c r="M6" s="1">
        <f t="shared" si="1"/>
        <v>13.300657171711901</v>
      </c>
      <c r="AB6" s="2"/>
    </row>
    <row r="7" spans="1:33">
      <c r="A7" t="s">
        <v>4</v>
      </c>
      <c r="B7">
        <v>0</v>
      </c>
      <c r="C7" t="s">
        <v>5</v>
      </c>
      <c r="D7">
        <v>5</v>
      </c>
      <c r="E7" t="s">
        <v>6</v>
      </c>
      <c r="F7" s="1">
        <v>0.171875</v>
      </c>
      <c r="G7" t="s">
        <v>7</v>
      </c>
      <c r="H7" s="1">
        <v>0.5</v>
      </c>
      <c r="I7" t="s">
        <v>8</v>
      </c>
      <c r="J7" s="1">
        <v>0</v>
      </c>
      <c r="K7" s="1">
        <v>26.132062383209</v>
      </c>
      <c r="L7" s="1">
        <f t="shared" si="0"/>
        <v>0.34375</v>
      </c>
      <c r="M7" s="1">
        <f t="shared" si="1"/>
        <v>13.0660311916045</v>
      </c>
      <c r="AB7" s="3" t="s">
        <v>26</v>
      </c>
      <c r="AC7">
        <v>1</v>
      </c>
    </row>
    <row r="8" spans="1:33">
      <c r="A8" t="s">
        <v>4</v>
      </c>
      <c r="B8">
        <v>0</v>
      </c>
      <c r="C8" t="s">
        <v>5</v>
      </c>
      <c r="D8">
        <v>6</v>
      </c>
      <c r="E8" t="s">
        <v>6</v>
      </c>
      <c r="F8" s="1">
        <v>0.203125</v>
      </c>
      <c r="G8" t="s">
        <v>7</v>
      </c>
      <c r="H8" s="1">
        <v>0.5</v>
      </c>
      <c r="I8" t="s">
        <v>8</v>
      </c>
      <c r="J8" s="1">
        <v>0</v>
      </c>
      <c r="K8" s="1">
        <v>25.567387395770901</v>
      </c>
      <c r="L8" s="1">
        <f t="shared" si="0"/>
        <v>0.40625</v>
      </c>
      <c r="M8" s="1">
        <f t="shared" si="1"/>
        <v>12.78369369788545</v>
      </c>
      <c r="AB8" s="3" t="s">
        <v>27</v>
      </c>
      <c r="AC8" t="s">
        <v>23</v>
      </c>
      <c r="AD8" t="s">
        <v>28</v>
      </c>
      <c r="AE8" t="s">
        <v>29</v>
      </c>
    </row>
    <row r="9" spans="1:33">
      <c r="A9" t="s">
        <v>4</v>
      </c>
      <c r="B9">
        <v>0</v>
      </c>
      <c r="C9" t="s">
        <v>5</v>
      </c>
      <c r="D9">
        <v>7</v>
      </c>
      <c r="E9" t="s">
        <v>6</v>
      </c>
      <c r="F9" s="1">
        <v>0.234375</v>
      </c>
      <c r="G9" t="s">
        <v>7</v>
      </c>
      <c r="H9" s="1">
        <v>0.5</v>
      </c>
      <c r="I9" t="s">
        <v>8</v>
      </c>
      <c r="J9" s="1">
        <v>0</v>
      </c>
      <c r="K9" s="1">
        <v>24.964708843172101</v>
      </c>
      <c r="L9" s="1">
        <f t="shared" si="0"/>
        <v>0.46875</v>
      </c>
      <c r="M9" s="1">
        <f t="shared" si="1"/>
        <v>12.48235442158605</v>
      </c>
      <c r="AB9" s="3" t="s">
        <v>30</v>
      </c>
      <c r="AC9" t="s">
        <v>23</v>
      </c>
      <c r="AD9" t="s">
        <v>31</v>
      </c>
    </row>
    <row r="10" spans="1:33">
      <c r="A10" t="s">
        <v>4</v>
      </c>
      <c r="B10">
        <v>0</v>
      </c>
      <c r="C10" t="s">
        <v>5</v>
      </c>
      <c r="D10">
        <v>8</v>
      </c>
      <c r="E10" t="s">
        <v>6</v>
      </c>
      <c r="F10" s="1">
        <v>0.265625</v>
      </c>
      <c r="G10" t="s">
        <v>7</v>
      </c>
      <c r="H10" s="1">
        <v>0.5</v>
      </c>
      <c r="I10" t="s">
        <v>8</v>
      </c>
      <c r="J10" s="1">
        <v>0</v>
      </c>
      <c r="K10" s="1">
        <v>24.210343031190099</v>
      </c>
      <c r="L10" s="1">
        <f t="shared" si="0"/>
        <v>0.53125</v>
      </c>
      <c r="M10" s="1">
        <f t="shared" si="1"/>
        <v>12.10517151559505</v>
      </c>
      <c r="AB10" s="2"/>
    </row>
    <row r="11" spans="1:33">
      <c r="A11" t="s">
        <v>4</v>
      </c>
      <c r="B11">
        <v>0</v>
      </c>
      <c r="C11" t="s">
        <v>5</v>
      </c>
      <c r="D11">
        <v>9</v>
      </c>
      <c r="E11" t="s">
        <v>6</v>
      </c>
      <c r="F11" s="1">
        <v>0.296875</v>
      </c>
      <c r="G11" t="s">
        <v>7</v>
      </c>
      <c r="H11" s="1">
        <v>0.5</v>
      </c>
      <c r="I11" t="s">
        <v>8</v>
      </c>
      <c r="J11" s="1">
        <v>0</v>
      </c>
      <c r="K11" s="1">
        <v>23.229418901751998</v>
      </c>
      <c r="L11" s="1">
        <f t="shared" si="0"/>
        <v>0.59375</v>
      </c>
      <c r="M11" s="1">
        <f t="shared" si="1"/>
        <v>11.614709450875999</v>
      </c>
      <c r="AB11" s="3"/>
      <c r="AC11" t="s">
        <v>32</v>
      </c>
      <c r="AD11" t="s">
        <v>27</v>
      </c>
      <c r="AE11" t="s">
        <v>30</v>
      </c>
    </row>
    <row r="12" spans="1:33">
      <c r="A12" t="s">
        <v>4</v>
      </c>
      <c r="B12">
        <v>0</v>
      </c>
      <c r="C12" t="s">
        <v>5</v>
      </c>
      <c r="D12">
        <v>10</v>
      </c>
      <c r="E12" t="s">
        <v>6</v>
      </c>
      <c r="F12" s="1">
        <v>0.328125</v>
      </c>
      <c r="G12" t="s">
        <v>7</v>
      </c>
      <c r="H12" s="1">
        <v>0.5</v>
      </c>
      <c r="I12" t="s">
        <v>8</v>
      </c>
      <c r="J12" s="1">
        <v>0</v>
      </c>
      <c r="K12" s="1">
        <v>22.5456527936689</v>
      </c>
      <c r="L12" s="1">
        <f t="shared" si="0"/>
        <v>0.65625</v>
      </c>
      <c r="M12" s="1">
        <f t="shared" si="1"/>
        <v>11.27282639683445</v>
      </c>
      <c r="AB12" s="3" t="s">
        <v>33</v>
      </c>
    </row>
    <row r="13" spans="1:33">
      <c r="A13" t="s">
        <v>4</v>
      </c>
      <c r="B13">
        <v>0</v>
      </c>
      <c r="C13" t="s">
        <v>5</v>
      </c>
      <c r="D13">
        <v>11</v>
      </c>
      <c r="E13" t="s">
        <v>6</v>
      </c>
      <c r="F13" s="1">
        <v>0.359375</v>
      </c>
      <c r="G13" t="s">
        <v>7</v>
      </c>
      <c r="H13" s="1">
        <v>0.5</v>
      </c>
      <c r="I13" t="s">
        <v>8</v>
      </c>
      <c r="J13" s="1">
        <v>0</v>
      </c>
      <c r="K13" s="1">
        <v>21.5473743871712</v>
      </c>
      <c r="L13" s="1">
        <f t="shared" si="0"/>
        <v>0.71875</v>
      </c>
      <c r="M13" s="1">
        <f t="shared" si="1"/>
        <v>10.7736871935856</v>
      </c>
      <c r="AB13" s="3"/>
      <c r="AC13">
        <v>1394</v>
      </c>
      <c r="AD13" s="1">
        <v>0</v>
      </c>
      <c r="AE13" s="1">
        <v>13.5907</v>
      </c>
      <c r="AF13" s="1">
        <f>AD13*2</f>
        <v>0</v>
      </c>
      <c r="AG13" s="1">
        <f>AE13</f>
        <v>13.5907</v>
      </c>
    </row>
    <row r="14" spans="1:33">
      <c r="A14" t="s">
        <v>4</v>
      </c>
      <c r="B14">
        <v>0</v>
      </c>
      <c r="C14" t="s">
        <v>5</v>
      </c>
      <c r="D14">
        <v>12</v>
      </c>
      <c r="E14" t="s">
        <v>6</v>
      </c>
      <c r="F14" s="1">
        <v>0.390625</v>
      </c>
      <c r="G14" t="s">
        <v>7</v>
      </c>
      <c r="H14" s="1">
        <v>0.5</v>
      </c>
      <c r="I14" t="s">
        <v>8</v>
      </c>
      <c r="J14" s="1">
        <v>0</v>
      </c>
      <c r="K14" s="1">
        <v>19.290411571295699</v>
      </c>
      <c r="L14" s="1">
        <f t="shared" si="0"/>
        <v>0.78125</v>
      </c>
      <c r="M14" s="1">
        <f t="shared" si="1"/>
        <v>9.6452057856478497</v>
      </c>
      <c r="AB14" s="3"/>
      <c r="AC14">
        <v>53685</v>
      </c>
      <c r="AD14" s="1">
        <v>1.5625E-2</v>
      </c>
      <c r="AE14" s="1">
        <v>13.579800000000001</v>
      </c>
      <c r="AF14" s="1">
        <f t="shared" ref="AF14:AF45" si="2">AD14*2</f>
        <v>3.125E-2</v>
      </c>
      <c r="AG14" s="1">
        <f t="shared" ref="AG14:AG45" si="3">AE14</f>
        <v>13.579800000000001</v>
      </c>
    </row>
    <row r="15" spans="1:33">
      <c r="A15" t="s">
        <v>4</v>
      </c>
      <c r="B15">
        <v>0</v>
      </c>
      <c r="C15" t="s">
        <v>5</v>
      </c>
      <c r="D15">
        <v>13</v>
      </c>
      <c r="E15" t="s">
        <v>6</v>
      </c>
      <c r="F15" s="1">
        <v>0.421875</v>
      </c>
      <c r="G15" t="s">
        <v>7</v>
      </c>
      <c r="H15" s="1">
        <v>0.5</v>
      </c>
      <c r="I15" t="s">
        <v>8</v>
      </c>
      <c r="J15" s="1">
        <v>0</v>
      </c>
      <c r="K15" s="1">
        <v>19.027750786605601</v>
      </c>
      <c r="L15" s="1">
        <f t="shared" si="0"/>
        <v>0.84375</v>
      </c>
      <c r="M15" s="1">
        <f t="shared" si="1"/>
        <v>9.5138753933028006</v>
      </c>
      <c r="AB15" s="3"/>
      <c r="AC15">
        <v>25202</v>
      </c>
      <c r="AD15" s="1">
        <v>3.125E-2</v>
      </c>
      <c r="AE15" s="1">
        <v>13.5688</v>
      </c>
      <c r="AF15" s="1">
        <f t="shared" si="2"/>
        <v>6.25E-2</v>
      </c>
      <c r="AG15" s="1">
        <f t="shared" si="3"/>
        <v>13.5688</v>
      </c>
    </row>
    <row r="16" spans="1:33">
      <c r="A16" t="s">
        <v>4</v>
      </c>
      <c r="B16">
        <v>0</v>
      </c>
      <c r="C16" t="s">
        <v>5</v>
      </c>
      <c r="D16">
        <v>14</v>
      </c>
      <c r="E16" t="s">
        <v>6</v>
      </c>
      <c r="F16" s="1">
        <v>0.453125</v>
      </c>
      <c r="G16" t="s">
        <v>7</v>
      </c>
      <c r="H16" s="1">
        <v>0.5</v>
      </c>
      <c r="I16" t="s">
        <v>8</v>
      </c>
      <c r="J16" s="1">
        <v>0</v>
      </c>
      <c r="K16" s="1">
        <v>21.622178046924802</v>
      </c>
      <c r="L16" s="1">
        <f t="shared" si="0"/>
        <v>0.90625</v>
      </c>
      <c r="M16" s="1">
        <f t="shared" si="1"/>
        <v>10.811089023462401</v>
      </c>
      <c r="AB16" s="3"/>
      <c r="AC16">
        <v>123346</v>
      </c>
      <c r="AD16" s="1">
        <v>4.6875E-2</v>
      </c>
      <c r="AE16" s="1">
        <v>13.5359</v>
      </c>
      <c r="AF16" s="1">
        <f t="shared" si="2"/>
        <v>9.375E-2</v>
      </c>
      <c r="AG16" s="1">
        <f t="shared" si="3"/>
        <v>13.5359</v>
      </c>
    </row>
    <row r="17" spans="1:33">
      <c r="A17" t="s">
        <v>4</v>
      </c>
      <c r="B17">
        <v>0</v>
      </c>
      <c r="C17" t="s">
        <v>5</v>
      </c>
      <c r="D17">
        <v>15</v>
      </c>
      <c r="E17" t="s">
        <v>6</v>
      </c>
      <c r="F17" s="1">
        <v>0.484375</v>
      </c>
      <c r="G17" t="s">
        <v>7</v>
      </c>
      <c r="H17" s="1">
        <v>0.5</v>
      </c>
      <c r="I17" t="s">
        <v>8</v>
      </c>
      <c r="J17" s="1">
        <v>0</v>
      </c>
      <c r="K17" s="1">
        <v>17.6233463860519</v>
      </c>
      <c r="L17" s="1">
        <f t="shared" si="0"/>
        <v>0.96875</v>
      </c>
      <c r="M17" s="1">
        <f t="shared" si="1"/>
        <v>8.8116731930259498</v>
      </c>
      <c r="AB17" s="3"/>
      <c r="AC17">
        <v>25203</v>
      </c>
      <c r="AD17" s="1">
        <v>6.25E-2</v>
      </c>
      <c r="AE17" s="1">
        <v>13.5031</v>
      </c>
      <c r="AF17" s="1">
        <f t="shared" si="2"/>
        <v>0.125</v>
      </c>
      <c r="AG17" s="1">
        <f t="shared" si="3"/>
        <v>13.5031</v>
      </c>
    </row>
    <row r="18" spans="1:33">
      <c r="A18" t="s">
        <v>17</v>
      </c>
      <c r="L18" s="1"/>
      <c r="M18" s="1"/>
      <c r="AB18" s="3"/>
      <c r="AC18">
        <v>123349</v>
      </c>
      <c r="AD18" s="1">
        <v>7.8125E-2</v>
      </c>
      <c r="AE18" s="1">
        <v>13.4482</v>
      </c>
      <c r="AF18" s="1">
        <f t="shared" si="2"/>
        <v>0.15625</v>
      </c>
      <c r="AG18" s="1">
        <f t="shared" si="3"/>
        <v>13.4482</v>
      </c>
    </row>
    <row r="19" spans="1:33">
      <c r="A19" t="s">
        <v>4</v>
      </c>
      <c r="B19">
        <v>0</v>
      </c>
      <c r="C19" t="s">
        <v>5</v>
      </c>
      <c r="D19">
        <v>0</v>
      </c>
      <c r="E19" t="s">
        <v>6</v>
      </c>
      <c r="F19" s="1">
        <v>1.5625E-2</v>
      </c>
      <c r="G19" t="s">
        <v>7</v>
      </c>
      <c r="H19" s="1">
        <v>0.5</v>
      </c>
      <c r="I19" t="s">
        <v>8</v>
      </c>
      <c r="J19" s="1">
        <v>0</v>
      </c>
      <c r="K19" s="1">
        <v>27.3456344983558</v>
      </c>
      <c r="L19" s="1">
        <f t="shared" si="0"/>
        <v>3.125E-2</v>
      </c>
      <c r="M19" s="1">
        <f>K19/2</f>
        <v>13.6728172491779</v>
      </c>
      <c r="AB19" s="3"/>
      <c r="AC19">
        <v>25204</v>
      </c>
      <c r="AD19" s="1">
        <v>9.375E-2</v>
      </c>
      <c r="AE19" s="1">
        <v>13.3934</v>
      </c>
      <c r="AF19" s="1">
        <f t="shared" si="2"/>
        <v>0.1875</v>
      </c>
      <c r="AG19" s="1">
        <f t="shared" si="3"/>
        <v>13.3934</v>
      </c>
    </row>
    <row r="20" spans="1:33">
      <c r="A20" t="s">
        <v>4</v>
      </c>
      <c r="B20">
        <v>0</v>
      </c>
      <c r="C20" t="s">
        <v>5</v>
      </c>
      <c r="D20">
        <v>1</v>
      </c>
      <c r="E20" t="s">
        <v>6</v>
      </c>
      <c r="F20" s="1">
        <v>4.6875E-2</v>
      </c>
      <c r="G20" t="s">
        <v>7</v>
      </c>
      <c r="H20" s="1">
        <v>0.5</v>
      </c>
      <c r="I20" t="s">
        <v>8</v>
      </c>
      <c r="J20" s="1">
        <v>0</v>
      </c>
      <c r="K20" s="1">
        <v>27.252486446677601</v>
      </c>
      <c r="L20" s="1">
        <f t="shared" si="0"/>
        <v>9.375E-2</v>
      </c>
      <c r="M20" s="1">
        <f t="shared" ref="M20:M34" si="4">K20/2</f>
        <v>13.6262432233388</v>
      </c>
      <c r="AB20" s="3"/>
      <c r="AC20">
        <v>123352</v>
      </c>
      <c r="AD20" s="1">
        <v>0.109375</v>
      </c>
      <c r="AE20" s="1">
        <v>13.316599999999999</v>
      </c>
      <c r="AF20" s="1">
        <f t="shared" si="2"/>
        <v>0.21875</v>
      </c>
      <c r="AG20" s="1">
        <f t="shared" si="3"/>
        <v>13.316599999999999</v>
      </c>
    </row>
    <row r="21" spans="1:33">
      <c r="A21" t="s">
        <v>4</v>
      </c>
      <c r="B21">
        <v>0</v>
      </c>
      <c r="C21" t="s">
        <v>5</v>
      </c>
      <c r="D21">
        <v>2</v>
      </c>
      <c r="E21" t="s">
        <v>6</v>
      </c>
      <c r="F21" s="1">
        <v>7.8125E-2</v>
      </c>
      <c r="G21" t="s">
        <v>7</v>
      </c>
      <c r="H21" s="1">
        <v>0.5</v>
      </c>
      <c r="I21" t="s">
        <v>8</v>
      </c>
      <c r="J21" s="1">
        <v>0</v>
      </c>
      <c r="K21" s="1">
        <v>27.046555981138301</v>
      </c>
      <c r="L21" s="1">
        <f t="shared" si="0"/>
        <v>0.15625</v>
      </c>
      <c r="M21" s="1">
        <f t="shared" si="4"/>
        <v>13.52327799056915</v>
      </c>
      <c r="AB21" s="3"/>
      <c r="AC21">
        <v>25205</v>
      </c>
      <c r="AD21" s="1">
        <v>0.125</v>
      </c>
      <c r="AE21" s="1">
        <v>13.239699999999999</v>
      </c>
      <c r="AF21" s="1">
        <f t="shared" si="2"/>
        <v>0.25</v>
      </c>
      <c r="AG21" s="1">
        <f t="shared" si="3"/>
        <v>13.239699999999999</v>
      </c>
    </row>
    <row r="22" spans="1:33">
      <c r="A22" t="s">
        <v>4</v>
      </c>
      <c r="B22">
        <v>0</v>
      </c>
      <c r="C22" t="s">
        <v>5</v>
      </c>
      <c r="D22">
        <v>3</v>
      </c>
      <c r="E22" t="s">
        <v>6</v>
      </c>
      <c r="F22" s="1">
        <v>0.109375</v>
      </c>
      <c r="G22" t="s">
        <v>7</v>
      </c>
      <c r="H22" s="1">
        <v>0.5</v>
      </c>
      <c r="I22" t="s">
        <v>8</v>
      </c>
      <c r="J22" s="1">
        <v>0</v>
      </c>
      <c r="K22" s="1">
        <v>26.9095450093449</v>
      </c>
      <c r="L22" s="1">
        <f t="shared" si="0"/>
        <v>0.21875</v>
      </c>
      <c r="M22" s="1">
        <f t="shared" si="4"/>
        <v>13.45477250467245</v>
      </c>
      <c r="AB22" s="3"/>
      <c r="AC22">
        <v>123355</v>
      </c>
      <c r="AD22" s="1">
        <v>0.140625</v>
      </c>
      <c r="AE22" s="1">
        <v>13.140700000000001</v>
      </c>
      <c r="AF22" s="1">
        <f t="shared" si="2"/>
        <v>0.28125</v>
      </c>
      <c r="AG22" s="1">
        <f t="shared" si="3"/>
        <v>13.140700000000001</v>
      </c>
    </row>
    <row r="23" spans="1:33">
      <c r="A23" t="s">
        <v>4</v>
      </c>
      <c r="B23">
        <v>0</v>
      </c>
      <c r="C23" t="s">
        <v>5</v>
      </c>
      <c r="D23">
        <v>4</v>
      </c>
      <c r="E23" t="s">
        <v>6</v>
      </c>
      <c r="F23" s="1">
        <v>0.140625</v>
      </c>
      <c r="G23" t="s">
        <v>7</v>
      </c>
      <c r="H23" s="1">
        <v>0.5</v>
      </c>
      <c r="I23" t="s">
        <v>8</v>
      </c>
      <c r="J23" s="1">
        <v>0</v>
      </c>
      <c r="K23" s="1">
        <v>26.3820306440773</v>
      </c>
      <c r="L23" s="1">
        <f t="shared" si="0"/>
        <v>0.28125</v>
      </c>
      <c r="M23" s="1">
        <f t="shared" si="4"/>
        <v>13.19101532203865</v>
      </c>
      <c r="AB23" s="3"/>
      <c r="AC23">
        <v>25206</v>
      </c>
      <c r="AD23" s="1">
        <v>0.15625</v>
      </c>
      <c r="AE23" s="1">
        <v>13.041700000000001</v>
      </c>
      <c r="AF23" s="1">
        <f t="shared" si="2"/>
        <v>0.3125</v>
      </c>
      <c r="AG23" s="1">
        <f t="shared" si="3"/>
        <v>13.041700000000001</v>
      </c>
    </row>
    <row r="24" spans="1:33">
      <c r="A24" t="s">
        <v>4</v>
      </c>
      <c r="B24">
        <v>0</v>
      </c>
      <c r="C24" t="s">
        <v>5</v>
      </c>
      <c r="D24">
        <v>5</v>
      </c>
      <c r="E24" t="s">
        <v>6</v>
      </c>
      <c r="F24" s="1">
        <v>0.171875</v>
      </c>
      <c r="G24" t="s">
        <v>7</v>
      </c>
      <c r="H24" s="1">
        <v>0.5</v>
      </c>
      <c r="I24" t="s">
        <v>8</v>
      </c>
      <c r="J24" s="1">
        <v>0</v>
      </c>
      <c r="K24" s="1">
        <v>25.9747904127649</v>
      </c>
      <c r="L24" s="1">
        <f t="shared" si="0"/>
        <v>0.34375</v>
      </c>
      <c r="M24" s="1">
        <f t="shared" si="4"/>
        <v>12.98739520638245</v>
      </c>
      <c r="AB24" s="3"/>
      <c r="AC24">
        <v>123358</v>
      </c>
      <c r="AD24" s="1">
        <v>0.171875</v>
      </c>
      <c r="AE24" s="1">
        <v>12.920199999999999</v>
      </c>
      <c r="AF24" s="1">
        <f t="shared" si="2"/>
        <v>0.34375</v>
      </c>
      <c r="AG24" s="1">
        <f t="shared" si="3"/>
        <v>12.920199999999999</v>
      </c>
    </row>
    <row r="25" spans="1:33">
      <c r="A25" t="s">
        <v>4</v>
      </c>
      <c r="B25">
        <v>0</v>
      </c>
      <c r="C25" t="s">
        <v>5</v>
      </c>
      <c r="D25">
        <v>6</v>
      </c>
      <c r="E25" t="s">
        <v>6</v>
      </c>
      <c r="F25" s="1">
        <v>0.203125</v>
      </c>
      <c r="G25" t="s">
        <v>7</v>
      </c>
      <c r="H25" s="1">
        <v>0.5</v>
      </c>
      <c r="I25" t="s">
        <v>8</v>
      </c>
      <c r="J25" s="1">
        <v>0</v>
      </c>
      <c r="K25" s="1">
        <v>25.661801973102701</v>
      </c>
      <c r="L25" s="1">
        <f t="shared" si="0"/>
        <v>0.40625</v>
      </c>
      <c r="M25" s="1">
        <f t="shared" si="4"/>
        <v>12.830900986551351</v>
      </c>
      <c r="AB25" s="3"/>
      <c r="AC25">
        <v>25207</v>
      </c>
      <c r="AD25" s="1">
        <v>0.1875</v>
      </c>
      <c r="AE25" s="1">
        <v>12.7987</v>
      </c>
      <c r="AF25" s="1">
        <f t="shared" si="2"/>
        <v>0.375</v>
      </c>
      <c r="AG25" s="1">
        <f t="shared" si="3"/>
        <v>12.7987</v>
      </c>
    </row>
    <row r="26" spans="1:33">
      <c r="A26" t="s">
        <v>4</v>
      </c>
      <c r="B26">
        <v>0</v>
      </c>
      <c r="C26" t="s">
        <v>5</v>
      </c>
      <c r="D26">
        <v>7</v>
      </c>
      <c r="E26" t="s">
        <v>6</v>
      </c>
      <c r="F26" s="1">
        <v>0.234375</v>
      </c>
      <c r="G26" t="s">
        <v>7</v>
      </c>
      <c r="H26" s="1">
        <v>0.5</v>
      </c>
      <c r="I26" t="s">
        <v>8</v>
      </c>
      <c r="J26" s="1">
        <v>0</v>
      </c>
      <c r="K26" s="1">
        <v>24.742941401821099</v>
      </c>
      <c r="L26" s="1">
        <f t="shared" si="0"/>
        <v>0.46875</v>
      </c>
      <c r="M26" s="1">
        <f t="shared" si="4"/>
        <v>12.37147070091055</v>
      </c>
      <c r="AB26" s="3"/>
      <c r="AC26">
        <v>123361</v>
      </c>
      <c r="AD26" s="1">
        <v>0.203125</v>
      </c>
      <c r="AE26" s="1">
        <v>12.6541</v>
      </c>
      <c r="AF26" s="1">
        <f t="shared" si="2"/>
        <v>0.40625</v>
      </c>
      <c r="AG26" s="1">
        <f t="shared" si="3"/>
        <v>12.6541</v>
      </c>
    </row>
    <row r="27" spans="1:33">
      <c r="A27" t="s">
        <v>4</v>
      </c>
      <c r="B27">
        <v>0</v>
      </c>
      <c r="C27" t="s">
        <v>5</v>
      </c>
      <c r="D27">
        <v>8</v>
      </c>
      <c r="E27" t="s">
        <v>6</v>
      </c>
      <c r="F27" s="1">
        <v>0.265625</v>
      </c>
      <c r="G27" t="s">
        <v>7</v>
      </c>
      <c r="H27" s="1">
        <v>0.5</v>
      </c>
      <c r="I27" t="s">
        <v>8</v>
      </c>
      <c r="J27" s="1">
        <v>0</v>
      </c>
      <c r="K27" s="1">
        <v>23.920555162227199</v>
      </c>
      <c r="L27" s="1">
        <f t="shared" si="0"/>
        <v>0.53125</v>
      </c>
      <c r="M27" s="1">
        <f t="shared" si="4"/>
        <v>11.9602775811136</v>
      </c>
      <c r="AB27" s="3"/>
      <c r="AC27">
        <v>25208</v>
      </c>
      <c r="AD27" s="1">
        <v>0.21875</v>
      </c>
      <c r="AE27" s="1">
        <v>12.509499999999999</v>
      </c>
      <c r="AF27" s="1">
        <f t="shared" si="2"/>
        <v>0.4375</v>
      </c>
      <c r="AG27" s="1">
        <f t="shared" si="3"/>
        <v>12.509499999999999</v>
      </c>
    </row>
    <row r="28" spans="1:33">
      <c r="A28" t="s">
        <v>4</v>
      </c>
      <c r="B28">
        <v>0</v>
      </c>
      <c r="C28" t="s">
        <v>5</v>
      </c>
      <c r="D28">
        <v>9</v>
      </c>
      <c r="E28" t="s">
        <v>6</v>
      </c>
      <c r="F28" s="1">
        <v>0.296875</v>
      </c>
      <c r="G28" t="s">
        <v>7</v>
      </c>
      <c r="H28" s="1">
        <v>0.5</v>
      </c>
      <c r="I28" t="s">
        <v>8</v>
      </c>
      <c r="J28" s="1">
        <v>0</v>
      </c>
      <c r="K28" s="1">
        <v>23.144643672232998</v>
      </c>
      <c r="L28" s="1">
        <f t="shared" si="0"/>
        <v>0.59375</v>
      </c>
      <c r="M28" s="1">
        <f t="shared" si="4"/>
        <v>11.572321836116499</v>
      </c>
      <c r="AB28" s="3"/>
      <c r="AC28">
        <v>123364</v>
      </c>
      <c r="AD28" s="1">
        <v>0.234375</v>
      </c>
      <c r="AE28" s="1">
        <v>12.3408</v>
      </c>
      <c r="AF28" s="1">
        <f t="shared" si="2"/>
        <v>0.46875</v>
      </c>
      <c r="AG28" s="1">
        <f t="shared" si="3"/>
        <v>12.3408</v>
      </c>
    </row>
    <row r="29" spans="1:33">
      <c r="A29" t="s">
        <v>4</v>
      </c>
      <c r="B29">
        <v>0</v>
      </c>
      <c r="C29" t="s">
        <v>5</v>
      </c>
      <c r="D29">
        <v>10</v>
      </c>
      <c r="E29" t="s">
        <v>6</v>
      </c>
      <c r="F29" s="1">
        <v>0.328125</v>
      </c>
      <c r="G29" t="s">
        <v>7</v>
      </c>
      <c r="H29" s="1">
        <v>0.5</v>
      </c>
      <c r="I29" t="s">
        <v>8</v>
      </c>
      <c r="J29" s="1">
        <v>0</v>
      </c>
      <c r="K29" s="1">
        <v>22.652326760073102</v>
      </c>
      <c r="L29" s="1">
        <f t="shared" si="0"/>
        <v>0.65625</v>
      </c>
      <c r="M29" s="1">
        <f t="shared" si="4"/>
        <v>11.326163380036551</v>
      </c>
      <c r="AB29" s="3"/>
      <c r="AC29">
        <v>25209</v>
      </c>
      <c r="AD29" s="1">
        <v>0.25</v>
      </c>
      <c r="AE29" s="1">
        <v>12.1722</v>
      </c>
      <c r="AF29" s="1">
        <f t="shared" si="2"/>
        <v>0.5</v>
      </c>
      <c r="AG29" s="1">
        <f t="shared" si="3"/>
        <v>12.1722</v>
      </c>
    </row>
    <row r="30" spans="1:33">
      <c r="A30" t="s">
        <v>4</v>
      </c>
      <c r="B30">
        <v>0</v>
      </c>
      <c r="C30" t="s">
        <v>5</v>
      </c>
      <c r="D30">
        <v>11</v>
      </c>
      <c r="E30" t="s">
        <v>6</v>
      </c>
      <c r="F30" s="1">
        <v>0.359375</v>
      </c>
      <c r="G30" t="s">
        <v>7</v>
      </c>
      <c r="H30" s="1">
        <v>0.5</v>
      </c>
      <c r="I30" t="s">
        <v>8</v>
      </c>
      <c r="J30" s="1">
        <v>0</v>
      </c>
      <c r="K30" s="1">
        <v>21.086927596911099</v>
      </c>
      <c r="L30" s="1">
        <f t="shared" si="0"/>
        <v>0.71875</v>
      </c>
      <c r="M30" s="1">
        <f t="shared" si="4"/>
        <v>10.54346379845555</v>
      </c>
      <c r="AB30" s="3"/>
      <c r="AC30">
        <v>123367</v>
      </c>
      <c r="AD30" s="1">
        <v>0.265625</v>
      </c>
      <c r="AE30" s="1">
        <v>11.978400000000001</v>
      </c>
      <c r="AF30" s="1">
        <f t="shared" si="2"/>
        <v>0.53125</v>
      </c>
      <c r="AG30" s="1">
        <f t="shared" si="3"/>
        <v>11.978400000000001</v>
      </c>
    </row>
    <row r="31" spans="1:33">
      <c r="A31" t="s">
        <v>4</v>
      </c>
      <c r="B31">
        <v>0</v>
      </c>
      <c r="C31" t="s">
        <v>5</v>
      </c>
      <c r="D31">
        <v>12</v>
      </c>
      <c r="E31" t="s">
        <v>6</v>
      </c>
      <c r="F31" s="1">
        <v>0.390625</v>
      </c>
      <c r="G31" t="s">
        <v>7</v>
      </c>
      <c r="H31" s="1">
        <v>0.5</v>
      </c>
      <c r="I31" t="s">
        <v>8</v>
      </c>
      <c r="J31" s="1">
        <v>0</v>
      </c>
      <c r="K31" s="1">
        <v>19.633210041058</v>
      </c>
      <c r="L31" s="1">
        <f t="shared" si="0"/>
        <v>0.78125</v>
      </c>
      <c r="M31" s="1">
        <f t="shared" si="4"/>
        <v>9.8166050205289999</v>
      </c>
      <c r="AB31" s="3"/>
      <c r="AC31">
        <v>25210</v>
      </c>
      <c r="AD31" s="1">
        <v>0.28125</v>
      </c>
      <c r="AE31" s="1">
        <v>11.784599999999999</v>
      </c>
      <c r="AF31" s="1">
        <f t="shared" si="2"/>
        <v>0.5625</v>
      </c>
      <c r="AG31" s="1">
        <f t="shared" si="3"/>
        <v>11.784599999999999</v>
      </c>
    </row>
    <row r="32" spans="1:33">
      <c r="A32" t="s">
        <v>4</v>
      </c>
      <c r="B32">
        <v>0</v>
      </c>
      <c r="C32" t="s">
        <v>5</v>
      </c>
      <c r="D32">
        <v>13</v>
      </c>
      <c r="E32" t="s">
        <v>6</v>
      </c>
      <c r="F32" s="1">
        <v>0.421875</v>
      </c>
      <c r="G32" t="s">
        <v>7</v>
      </c>
      <c r="H32" s="1">
        <v>0.5</v>
      </c>
      <c r="I32" t="s">
        <v>8</v>
      </c>
      <c r="J32" s="1">
        <v>0</v>
      </c>
      <c r="K32" s="1">
        <v>19.5081509507989</v>
      </c>
      <c r="L32" s="1">
        <f t="shared" si="0"/>
        <v>0.84375</v>
      </c>
      <c r="M32" s="1">
        <f t="shared" si="4"/>
        <v>9.7540754753994499</v>
      </c>
      <c r="AB32" s="3"/>
      <c r="AC32">
        <v>123370</v>
      </c>
      <c r="AD32" s="1">
        <v>0.296875</v>
      </c>
      <c r="AE32" s="1">
        <v>11.5633</v>
      </c>
      <c r="AF32" s="1">
        <f t="shared" si="2"/>
        <v>0.59375</v>
      </c>
      <c r="AG32" s="1">
        <f t="shared" si="3"/>
        <v>11.5633</v>
      </c>
    </row>
    <row r="33" spans="1:33">
      <c r="A33" t="s">
        <v>4</v>
      </c>
      <c r="B33">
        <v>0</v>
      </c>
      <c r="C33" t="s">
        <v>5</v>
      </c>
      <c r="D33">
        <v>14</v>
      </c>
      <c r="E33" t="s">
        <v>6</v>
      </c>
      <c r="F33" s="1">
        <v>0.453125</v>
      </c>
      <c r="G33" t="s">
        <v>7</v>
      </c>
      <c r="H33" s="1">
        <v>0.5</v>
      </c>
      <c r="I33" t="s">
        <v>8</v>
      </c>
      <c r="J33" s="1">
        <v>0</v>
      </c>
      <c r="K33" s="1">
        <v>23.176497112364</v>
      </c>
      <c r="L33" s="1">
        <f t="shared" si="0"/>
        <v>0.90625</v>
      </c>
      <c r="M33" s="1">
        <f t="shared" si="4"/>
        <v>11.588248556182</v>
      </c>
      <c r="AB33" s="3"/>
      <c r="AC33">
        <v>25211</v>
      </c>
      <c r="AD33" s="1">
        <v>0.3125</v>
      </c>
      <c r="AE33" s="1">
        <v>11.342000000000001</v>
      </c>
      <c r="AF33" s="1">
        <f t="shared" si="2"/>
        <v>0.625</v>
      </c>
      <c r="AG33" s="1">
        <f t="shared" si="3"/>
        <v>11.342000000000001</v>
      </c>
    </row>
    <row r="34" spans="1:33">
      <c r="A34" t="s">
        <v>4</v>
      </c>
      <c r="B34">
        <v>0</v>
      </c>
      <c r="C34" t="s">
        <v>5</v>
      </c>
      <c r="D34">
        <v>15</v>
      </c>
      <c r="E34" t="s">
        <v>6</v>
      </c>
      <c r="F34" s="1">
        <v>0.484375</v>
      </c>
      <c r="G34" t="s">
        <v>7</v>
      </c>
      <c r="H34" s="1">
        <v>0.5</v>
      </c>
      <c r="I34" t="s">
        <v>8</v>
      </c>
      <c r="J34" s="1">
        <v>0</v>
      </c>
      <c r="K34" s="1">
        <v>19.433458012699099</v>
      </c>
      <c r="L34" s="1">
        <f t="shared" si="0"/>
        <v>0.96875</v>
      </c>
      <c r="M34" s="1">
        <f t="shared" si="4"/>
        <v>9.7167290063495493</v>
      </c>
      <c r="AB34" s="3"/>
      <c r="AC34">
        <v>123373</v>
      </c>
      <c r="AD34" s="1">
        <v>0.328125</v>
      </c>
      <c r="AE34" s="1">
        <v>11.0878</v>
      </c>
      <c r="AF34" s="1">
        <f t="shared" si="2"/>
        <v>0.65625</v>
      </c>
      <c r="AG34" s="1">
        <f t="shared" si="3"/>
        <v>11.0878</v>
      </c>
    </row>
    <row r="35" spans="1:33">
      <c r="A35" t="s">
        <v>18</v>
      </c>
      <c r="L35" s="1"/>
      <c r="M35" s="1"/>
      <c r="AB35" s="3"/>
      <c r="AC35">
        <v>25212</v>
      </c>
      <c r="AD35" s="1">
        <v>0.34375</v>
      </c>
      <c r="AE35" s="1">
        <v>10.833600000000001</v>
      </c>
      <c r="AF35" s="1">
        <f t="shared" si="2"/>
        <v>0.6875</v>
      </c>
      <c r="AG35" s="1">
        <f t="shared" si="3"/>
        <v>10.833600000000001</v>
      </c>
    </row>
    <row r="36" spans="1:33">
      <c r="A36" t="s">
        <v>4</v>
      </c>
      <c r="B36">
        <v>0</v>
      </c>
      <c r="C36" t="s">
        <v>5</v>
      </c>
      <c r="D36">
        <v>0</v>
      </c>
      <c r="E36" t="s">
        <v>6</v>
      </c>
      <c r="F36" s="1">
        <v>1.5625E-2</v>
      </c>
      <c r="G36" t="s">
        <v>7</v>
      </c>
      <c r="H36" s="1">
        <v>0.5</v>
      </c>
      <c r="I36" t="s">
        <v>8</v>
      </c>
      <c r="J36" s="1">
        <v>0</v>
      </c>
      <c r="K36" s="1">
        <v>27.233542557968502</v>
      </c>
      <c r="L36" s="1">
        <f t="shared" si="0"/>
        <v>3.125E-2</v>
      </c>
      <c r="M36" s="1">
        <f>K36/2</f>
        <v>13.616771278984251</v>
      </c>
      <c r="AB36" s="3"/>
      <c r="AC36">
        <v>123376</v>
      </c>
      <c r="AD36" s="1">
        <v>0.359375</v>
      </c>
      <c r="AE36" s="1">
        <v>10.535399999999999</v>
      </c>
      <c r="AF36" s="1">
        <f t="shared" si="2"/>
        <v>0.71875</v>
      </c>
      <c r="AG36" s="1">
        <f t="shared" si="3"/>
        <v>10.535399999999999</v>
      </c>
    </row>
    <row r="37" spans="1:33">
      <c r="A37" t="s">
        <v>4</v>
      </c>
      <c r="B37">
        <v>0</v>
      </c>
      <c r="C37" t="s">
        <v>5</v>
      </c>
      <c r="D37">
        <v>1</v>
      </c>
      <c r="E37" t="s">
        <v>6</v>
      </c>
      <c r="F37" s="1">
        <v>4.6875E-2</v>
      </c>
      <c r="G37" t="s">
        <v>7</v>
      </c>
      <c r="H37" s="1">
        <v>0.5</v>
      </c>
      <c r="I37" t="s">
        <v>8</v>
      </c>
      <c r="J37" s="1">
        <v>0</v>
      </c>
      <c r="K37" s="1">
        <v>27.1530111497554</v>
      </c>
      <c r="L37" s="1">
        <f t="shared" si="0"/>
        <v>9.375E-2</v>
      </c>
      <c r="M37" s="1">
        <f t="shared" ref="M37:M51" si="5">K37/2</f>
        <v>13.5765055748777</v>
      </c>
      <c r="AB37" s="3"/>
      <c r="AC37">
        <v>25213</v>
      </c>
      <c r="AD37" s="1">
        <v>0.375</v>
      </c>
      <c r="AE37" s="1">
        <v>10.2372</v>
      </c>
      <c r="AF37" s="1">
        <f t="shared" si="2"/>
        <v>0.75</v>
      </c>
      <c r="AG37" s="1">
        <f t="shared" si="3"/>
        <v>10.2372</v>
      </c>
    </row>
    <row r="38" spans="1:33">
      <c r="A38" t="s">
        <v>4</v>
      </c>
      <c r="B38">
        <v>0</v>
      </c>
      <c r="C38" t="s">
        <v>5</v>
      </c>
      <c r="D38">
        <v>2</v>
      </c>
      <c r="E38" t="s">
        <v>6</v>
      </c>
      <c r="F38" s="1">
        <v>7.8125E-2</v>
      </c>
      <c r="G38" t="s">
        <v>7</v>
      </c>
      <c r="H38" s="1">
        <v>0.5</v>
      </c>
      <c r="I38" t="s">
        <v>8</v>
      </c>
      <c r="J38" s="1">
        <v>0</v>
      </c>
      <c r="K38" s="1">
        <v>26.965531759032501</v>
      </c>
      <c r="L38" s="1">
        <f t="shared" si="0"/>
        <v>0.15625</v>
      </c>
      <c r="M38" s="1">
        <f t="shared" si="5"/>
        <v>13.482765879516251</v>
      </c>
      <c r="AB38" s="3"/>
      <c r="AC38">
        <v>123379</v>
      </c>
      <c r="AD38" s="1">
        <v>0.390625</v>
      </c>
      <c r="AE38" s="1">
        <v>9.8813800000000001</v>
      </c>
      <c r="AF38" s="1">
        <f t="shared" si="2"/>
        <v>0.78125</v>
      </c>
      <c r="AG38" s="1">
        <f t="shared" si="3"/>
        <v>9.8813800000000001</v>
      </c>
    </row>
    <row r="39" spans="1:33">
      <c r="A39" t="s">
        <v>4</v>
      </c>
      <c r="B39">
        <v>0</v>
      </c>
      <c r="C39" t="s">
        <v>5</v>
      </c>
      <c r="D39">
        <v>3</v>
      </c>
      <c r="E39" t="s">
        <v>6</v>
      </c>
      <c r="F39" s="1">
        <v>0.109375</v>
      </c>
      <c r="G39" t="s">
        <v>7</v>
      </c>
      <c r="H39" s="1">
        <v>0.5</v>
      </c>
      <c r="I39" t="s">
        <v>8</v>
      </c>
      <c r="J39" s="1">
        <v>0</v>
      </c>
      <c r="K39" s="1">
        <v>27.133075219317</v>
      </c>
      <c r="L39" s="1">
        <f t="shared" si="0"/>
        <v>0.21875</v>
      </c>
      <c r="M39" s="1">
        <f t="shared" si="5"/>
        <v>13.5665376096585</v>
      </c>
      <c r="AB39" s="3"/>
      <c r="AC39">
        <v>25214</v>
      </c>
      <c r="AD39" s="1">
        <v>0.40625</v>
      </c>
      <c r="AE39" s="1">
        <v>9.5255299999999998</v>
      </c>
      <c r="AF39" s="1">
        <f t="shared" si="2"/>
        <v>0.8125</v>
      </c>
      <c r="AG39" s="1">
        <f t="shared" si="3"/>
        <v>9.5255299999999998</v>
      </c>
    </row>
    <row r="40" spans="1:33">
      <c r="A40" t="s">
        <v>4</v>
      </c>
      <c r="B40">
        <v>0</v>
      </c>
      <c r="C40" t="s">
        <v>5</v>
      </c>
      <c r="D40">
        <v>4</v>
      </c>
      <c r="E40" t="s">
        <v>6</v>
      </c>
      <c r="F40" s="1">
        <v>0.140625</v>
      </c>
      <c r="G40" t="s">
        <v>7</v>
      </c>
      <c r="H40" s="1">
        <v>0.5</v>
      </c>
      <c r="I40" t="s">
        <v>8</v>
      </c>
      <c r="J40" s="1">
        <v>0</v>
      </c>
      <c r="K40" s="1">
        <v>26.350310651948199</v>
      </c>
      <c r="L40" s="1">
        <f t="shared" si="0"/>
        <v>0.28125</v>
      </c>
      <c r="M40" s="1">
        <f t="shared" si="5"/>
        <v>13.175155325974099</v>
      </c>
      <c r="AB40" s="3"/>
      <c r="AC40">
        <v>123382</v>
      </c>
      <c r="AD40" s="1">
        <v>0.421875</v>
      </c>
      <c r="AE40" s="1">
        <v>9.1795799999999996</v>
      </c>
      <c r="AF40" s="1">
        <f t="shared" si="2"/>
        <v>0.84375</v>
      </c>
      <c r="AG40" s="1">
        <f t="shared" si="3"/>
        <v>9.1795799999999996</v>
      </c>
    </row>
    <row r="41" spans="1:33">
      <c r="A41" t="s">
        <v>4</v>
      </c>
      <c r="B41">
        <v>0</v>
      </c>
      <c r="C41" t="s">
        <v>5</v>
      </c>
      <c r="D41">
        <v>5</v>
      </c>
      <c r="E41" t="s">
        <v>6</v>
      </c>
      <c r="F41" s="1">
        <v>0.171875</v>
      </c>
      <c r="G41" t="s">
        <v>7</v>
      </c>
      <c r="H41" s="1">
        <v>0.5</v>
      </c>
      <c r="I41" t="s">
        <v>8</v>
      </c>
      <c r="J41" s="1">
        <v>0</v>
      </c>
      <c r="K41" s="1">
        <v>25.920861964013401</v>
      </c>
      <c r="L41" s="1">
        <f t="shared" si="0"/>
        <v>0.34375</v>
      </c>
      <c r="M41" s="1">
        <f t="shared" si="5"/>
        <v>12.960430982006701</v>
      </c>
      <c r="AB41" s="3"/>
      <c r="AC41">
        <v>25215</v>
      </c>
      <c r="AD41" s="1">
        <v>0.4375</v>
      </c>
      <c r="AE41" s="1">
        <v>8.8336199999999998</v>
      </c>
      <c r="AF41" s="1">
        <f t="shared" si="2"/>
        <v>0.875</v>
      </c>
      <c r="AG41" s="1">
        <f t="shared" si="3"/>
        <v>8.8336199999999998</v>
      </c>
    </row>
    <row r="42" spans="1:33">
      <c r="A42" t="s">
        <v>4</v>
      </c>
      <c r="B42">
        <v>0</v>
      </c>
      <c r="C42" t="s">
        <v>5</v>
      </c>
      <c r="D42">
        <v>6</v>
      </c>
      <c r="E42" t="s">
        <v>6</v>
      </c>
      <c r="F42" s="1">
        <v>0.203125</v>
      </c>
      <c r="G42" t="s">
        <v>7</v>
      </c>
      <c r="H42" s="1">
        <v>0.5</v>
      </c>
      <c r="I42" t="s">
        <v>8</v>
      </c>
      <c r="J42" s="1">
        <v>0</v>
      </c>
      <c r="K42" s="1">
        <v>25.8735361106976</v>
      </c>
      <c r="L42" s="1">
        <f t="shared" si="0"/>
        <v>0.40625</v>
      </c>
      <c r="M42" s="1">
        <f t="shared" si="5"/>
        <v>12.9367680553488</v>
      </c>
      <c r="AB42" s="3"/>
      <c r="AC42">
        <v>123385</v>
      </c>
      <c r="AD42" s="1">
        <v>0.453125</v>
      </c>
      <c r="AE42" s="1">
        <v>7.9292999999999996</v>
      </c>
      <c r="AF42" s="1">
        <f t="shared" si="2"/>
        <v>0.90625</v>
      </c>
      <c r="AG42" s="1">
        <f t="shared" si="3"/>
        <v>7.9292999999999996</v>
      </c>
    </row>
    <row r="43" spans="1:33">
      <c r="A43" t="s">
        <v>4</v>
      </c>
      <c r="B43">
        <v>0</v>
      </c>
      <c r="C43" t="s">
        <v>5</v>
      </c>
      <c r="D43">
        <v>7</v>
      </c>
      <c r="E43" t="s">
        <v>6</v>
      </c>
      <c r="F43" s="1">
        <v>0.234375</v>
      </c>
      <c r="G43" t="s">
        <v>7</v>
      </c>
      <c r="H43" s="1">
        <v>0.5</v>
      </c>
      <c r="I43" t="s">
        <v>8</v>
      </c>
      <c r="J43" s="1">
        <v>0</v>
      </c>
      <c r="K43" s="1">
        <v>24.7889032959202</v>
      </c>
      <c r="L43" s="1">
        <f t="shared" si="0"/>
        <v>0.46875</v>
      </c>
      <c r="M43" s="1">
        <f t="shared" si="5"/>
        <v>12.3944516479601</v>
      </c>
      <c r="AB43" s="3"/>
      <c r="AC43">
        <v>25216</v>
      </c>
      <c r="AD43" s="1">
        <v>0.46875</v>
      </c>
      <c r="AE43" s="1">
        <v>7.0249800000000002</v>
      </c>
      <c r="AF43" s="1">
        <f t="shared" si="2"/>
        <v>0.9375</v>
      </c>
      <c r="AG43" s="1">
        <f t="shared" si="3"/>
        <v>7.0249800000000002</v>
      </c>
    </row>
    <row r="44" spans="1:33">
      <c r="A44" t="s">
        <v>4</v>
      </c>
      <c r="B44">
        <v>0</v>
      </c>
      <c r="C44" t="s">
        <v>5</v>
      </c>
      <c r="D44">
        <v>8</v>
      </c>
      <c r="E44" t="s">
        <v>6</v>
      </c>
      <c r="F44" s="1">
        <v>0.265625</v>
      </c>
      <c r="G44" t="s">
        <v>7</v>
      </c>
      <c r="H44" s="1">
        <v>0.5</v>
      </c>
      <c r="I44" t="s">
        <v>8</v>
      </c>
      <c r="J44" s="1">
        <v>0</v>
      </c>
      <c r="K44" s="1">
        <v>23.900081807265401</v>
      </c>
      <c r="L44" s="1">
        <f t="shared" si="0"/>
        <v>0.53125</v>
      </c>
      <c r="M44" s="1">
        <f t="shared" si="5"/>
        <v>11.950040903632701</v>
      </c>
      <c r="AB44" s="3"/>
      <c r="AC44">
        <v>123388</v>
      </c>
      <c r="AD44" s="1">
        <v>0.484375</v>
      </c>
      <c r="AE44" s="1">
        <v>6.2415000000000003</v>
      </c>
      <c r="AF44" s="1">
        <f t="shared" si="2"/>
        <v>0.96875</v>
      </c>
      <c r="AG44" s="1">
        <f t="shared" si="3"/>
        <v>6.2415000000000003</v>
      </c>
    </row>
    <row r="45" spans="1:33">
      <c r="A45" t="s">
        <v>4</v>
      </c>
      <c r="B45">
        <v>0</v>
      </c>
      <c r="C45" t="s">
        <v>5</v>
      </c>
      <c r="D45">
        <v>9</v>
      </c>
      <c r="E45" t="s">
        <v>6</v>
      </c>
      <c r="F45" s="1">
        <v>0.296875</v>
      </c>
      <c r="G45" t="s">
        <v>7</v>
      </c>
      <c r="H45" s="1">
        <v>0.5</v>
      </c>
      <c r="I45" t="s">
        <v>8</v>
      </c>
      <c r="J45" s="1">
        <v>0</v>
      </c>
      <c r="K45" s="1">
        <v>23.395750825623701</v>
      </c>
      <c r="L45" s="1">
        <f t="shared" si="0"/>
        <v>0.59375</v>
      </c>
      <c r="M45" s="1">
        <f t="shared" si="5"/>
        <v>11.69787541281185</v>
      </c>
      <c r="AB45" s="4"/>
      <c r="AC45">
        <v>25217</v>
      </c>
      <c r="AD45" s="1">
        <v>0.5</v>
      </c>
      <c r="AE45" s="1">
        <v>5.4580200000000003</v>
      </c>
      <c r="AF45" s="1">
        <f t="shared" si="2"/>
        <v>1</v>
      </c>
      <c r="AG45" s="1">
        <f t="shared" si="3"/>
        <v>5.4580200000000003</v>
      </c>
    </row>
    <row r="46" spans="1:33">
      <c r="A46" t="s">
        <v>4</v>
      </c>
      <c r="B46">
        <v>0</v>
      </c>
      <c r="C46" t="s">
        <v>5</v>
      </c>
      <c r="D46">
        <v>10</v>
      </c>
      <c r="E46" t="s">
        <v>6</v>
      </c>
      <c r="F46" s="1">
        <v>0.328125</v>
      </c>
      <c r="G46" t="s">
        <v>7</v>
      </c>
      <c r="H46" s="1">
        <v>0.5</v>
      </c>
      <c r="I46" t="s">
        <v>8</v>
      </c>
      <c r="J46" s="1">
        <v>0</v>
      </c>
      <c r="K46" s="1">
        <v>22.6528487008115</v>
      </c>
      <c r="L46" s="1">
        <f t="shared" si="0"/>
        <v>0.65625</v>
      </c>
      <c r="M46" s="1">
        <f t="shared" si="5"/>
        <v>11.32642435040575</v>
      </c>
    </row>
    <row r="47" spans="1:33">
      <c r="A47" t="s">
        <v>4</v>
      </c>
      <c r="B47">
        <v>0</v>
      </c>
      <c r="C47" t="s">
        <v>5</v>
      </c>
      <c r="D47">
        <v>11</v>
      </c>
      <c r="E47" t="s">
        <v>6</v>
      </c>
      <c r="F47" s="1">
        <v>0.359375</v>
      </c>
      <c r="G47" t="s">
        <v>7</v>
      </c>
      <c r="H47" s="1">
        <v>0.5</v>
      </c>
      <c r="I47" t="s">
        <v>8</v>
      </c>
      <c r="J47" s="1">
        <v>0</v>
      </c>
      <c r="K47" s="1">
        <v>21.299302368004401</v>
      </c>
      <c r="L47" s="1">
        <f t="shared" si="0"/>
        <v>0.71875</v>
      </c>
      <c r="M47" s="1">
        <f t="shared" si="5"/>
        <v>10.649651184002201</v>
      </c>
    </row>
    <row r="48" spans="1:33">
      <c r="A48" t="s">
        <v>4</v>
      </c>
      <c r="B48">
        <v>0</v>
      </c>
      <c r="C48" t="s">
        <v>5</v>
      </c>
      <c r="D48">
        <v>12</v>
      </c>
      <c r="E48" t="s">
        <v>6</v>
      </c>
      <c r="F48" s="1">
        <v>0.390625</v>
      </c>
      <c r="G48" t="s">
        <v>7</v>
      </c>
      <c r="H48" s="1">
        <v>0.5</v>
      </c>
      <c r="I48" t="s">
        <v>8</v>
      </c>
      <c r="J48" s="1">
        <v>0</v>
      </c>
      <c r="K48" s="1">
        <v>19.898870252936302</v>
      </c>
      <c r="L48" s="1">
        <f t="shared" si="0"/>
        <v>0.78125</v>
      </c>
      <c r="M48" s="1">
        <f t="shared" si="5"/>
        <v>9.9494351264681509</v>
      </c>
    </row>
    <row r="49" spans="1:13">
      <c r="A49" t="s">
        <v>4</v>
      </c>
      <c r="B49">
        <v>0</v>
      </c>
      <c r="C49" t="s">
        <v>5</v>
      </c>
      <c r="D49">
        <v>13</v>
      </c>
      <c r="E49" t="s">
        <v>6</v>
      </c>
      <c r="F49" s="1">
        <v>0.421875</v>
      </c>
      <c r="G49" t="s">
        <v>7</v>
      </c>
      <c r="H49" s="1">
        <v>0.5</v>
      </c>
      <c r="I49" t="s">
        <v>8</v>
      </c>
      <c r="J49" s="1">
        <v>0</v>
      </c>
      <c r="K49" s="1">
        <v>18.773765483322599</v>
      </c>
      <c r="L49" s="1">
        <f t="shared" si="0"/>
        <v>0.84375</v>
      </c>
      <c r="M49" s="1">
        <f t="shared" si="5"/>
        <v>9.3868827416612994</v>
      </c>
    </row>
    <row r="50" spans="1:13">
      <c r="A50" t="s">
        <v>4</v>
      </c>
      <c r="B50">
        <v>0</v>
      </c>
      <c r="C50" t="s">
        <v>5</v>
      </c>
      <c r="D50">
        <v>14</v>
      </c>
      <c r="E50" t="s">
        <v>6</v>
      </c>
      <c r="F50" s="1">
        <v>0.453125</v>
      </c>
      <c r="G50" t="s">
        <v>7</v>
      </c>
      <c r="H50" s="1">
        <v>0.5</v>
      </c>
      <c r="I50" t="s">
        <v>8</v>
      </c>
      <c r="J50" s="1">
        <v>0</v>
      </c>
      <c r="K50" s="1">
        <v>23.222808356738401</v>
      </c>
      <c r="L50" s="1">
        <f t="shared" si="0"/>
        <v>0.90625</v>
      </c>
      <c r="M50" s="1">
        <f t="shared" si="5"/>
        <v>11.611404178369201</v>
      </c>
    </row>
    <row r="51" spans="1:13">
      <c r="A51" t="s">
        <v>4</v>
      </c>
      <c r="B51">
        <v>0</v>
      </c>
      <c r="C51" t="s">
        <v>5</v>
      </c>
      <c r="D51">
        <v>15</v>
      </c>
      <c r="E51" t="s">
        <v>6</v>
      </c>
      <c r="F51" s="1">
        <v>0.484375</v>
      </c>
      <c r="G51" t="s">
        <v>7</v>
      </c>
      <c r="H51" s="1">
        <v>0.5</v>
      </c>
      <c r="I51" t="s">
        <v>8</v>
      </c>
      <c r="J51" s="1">
        <v>0</v>
      </c>
      <c r="K51" s="1">
        <v>17.530790626394499</v>
      </c>
      <c r="L51" s="1">
        <f t="shared" si="0"/>
        <v>0.96875</v>
      </c>
      <c r="M51" s="1">
        <f t="shared" si="5"/>
        <v>8.7653953131972493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F7804-BF54-4E88-9C29-B9AFBAD22168}">
  <dimension ref="A1:K51"/>
  <sheetViews>
    <sheetView topLeftCell="V1" zoomScale="69" workbookViewId="0">
      <selection activeCell="AE32" sqref="AE32"/>
    </sheetView>
  </sheetViews>
  <sheetFormatPr defaultRowHeight="18"/>
  <sheetData>
    <row r="1" spans="1:11">
      <c r="A1" t="s">
        <v>16</v>
      </c>
    </row>
    <row r="2" spans="1:11">
      <c r="A2" t="s">
        <v>4</v>
      </c>
      <c r="B2">
        <v>0</v>
      </c>
      <c r="C2" t="s">
        <v>5</v>
      </c>
      <c r="D2">
        <v>0</v>
      </c>
      <c r="E2" t="s">
        <v>6</v>
      </c>
      <c r="F2" s="1">
        <v>1.5625E-2</v>
      </c>
      <c r="G2" t="s">
        <v>7</v>
      </c>
      <c r="H2" s="1">
        <v>0.5</v>
      </c>
      <c r="I2" t="s">
        <v>8</v>
      </c>
      <c r="J2" s="1">
        <v>0</v>
      </c>
      <c r="K2" s="1">
        <v>8.2889931607694702</v>
      </c>
    </row>
    <row r="3" spans="1:11">
      <c r="A3" t="s">
        <v>4</v>
      </c>
      <c r="B3">
        <v>0</v>
      </c>
      <c r="C3" t="s">
        <v>5</v>
      </c>
      <c r="D3">
        <v>1</v>
      </c>
      <c r="E3" t="s">
        <v>6</v>
      </c>
      <c r="F3" s="1">
        <v>4.6875E-2</v>
      </c>
      <c r="G3" t="s">
        <v>7</v>
      </c>
      <c r="H3" s="1">
        <v>0.5</v>
      </c>
      <c r="I3" t="s">
        <v>8</v>
      </c>
      <c r="J3" s="1">
        <v>0</v>
      </c>
      <c r="K3" s="1">
        <v>8.2449649606433297</v>
      </c>
    </row>
    <row r="4" spans="1:11">
      <c r="A4" t="s">
        <v>4</v>
      </c>
      <c r="B4">
        <v>0</v>
      </c>
      <c r="C4" t="s">
        <v>5</v>
      </c>
      <c r="D4">
        <v>2</v>
      </c>
      <c r="E4" t="s">
        <v>6</v>
      </c>
      <c r="F4" s="1">
        <v>7.8125E-2</v>
      </c>
      <c r="G4" t="s">
        <v>7</v>
      </c>
      <c r="H4" s="1">
        <v>0.5</v>
      </c>
      <c r="I4" t="s">
        <v>8</v>
      </c>
      <c r="J4" s="1">
        <v>0</v>
      </c>
      <c r="K4" s="1">
        <v>8.1571409135628095</v>
      </c>
    </row>
    <row r="5" spans="1:11">
      <c r="A5" t="s">
        <v>4</v>
      </c>
      <c r="B5">
        <v>0</v>
      </c>
      <c r="C5" t="s">
        <v>5</v>
      </c>
      <c r="D5">
        <v>3</v>
      </c>
      <c r="E5" t="s">
        <v>6</v>
      </c>
      <c r="F5" s="1">
        <v>0.109375</v>
      </c>
      <c r="G5" t="s">
        <v>7</v>
      </c>
      <c r="H5" s="1">
        <v>0.5</v>
      </c>
      <c r="I5" t="s">
        <v>8</v>
      </c>
      <c r="J5" s="1">
        <v>0</v>
      </c>
      <c r="K5" s="1">
        <v>8.0270197920102593</v>
      </c>
    </row>
    <row r="6" spans="1:11">
      <c r="A6" t="s">
        <v>4</v>
      </c>
      <c r="B6">
        <v>0</v>
      </c>
      <c r="C6" t="s">
        <v>5</v>
      </c>
      <c r="D6">
        <v>4</v>
      </c>
      <c r="E6" t="s">
        <v>6</v>
      </c>
      <c r="F6" s="1">
        <v>0.140625</v>
      </c>
      <c r="G6" t="s">
        <v>7</v>
      </c>
      <c r="H6" s="1">
        <v>0.5</v>
      </c>
      <c r="I6" t="s">
        <v>8</v>
      </c>
      <c r="J6" s="1">
        <v>0</v>
      </c>
      <c r="K6" s="1">
        <v>7.8536881756951802</v>
      </c>
    </row>
    <row r="7" spans="1:11">
      <c r="A7" t="s">
        <v>4</v>
      </c>
      <c r="B7">
        <v>0</v>
      </c>
      <c r="C7" t="s">
        <v>5</v>
      </c>
      <c r="D7">
        <v>5</v>
      </c>
      <c r="E7" t="s">
        <v>6</v>
      </c>
      <c r="F7" s="1">
        <v>0.171875</v>
      </c>
      <c r="G7" t="s">
        <v>7</v>
      </c>
      <c r="H7" s="1">
        <v>0.5</v>
      </c>
      <c r="I7" t="s">
        <v>8</v>
      </c>
      <c r="J7" s="1">
        <v>0</v>
      </c>
      <c r="K7" s="1">
        <v>7.6337749042345902</v>
      </c>
    </row>
    <row r="8" spans="1:11">
      <c r="A8" t="s">
        <v>4</v>
      </c>
      <c r="B8">
        <v>0</v>
      </c>
      <c r="C8" t="s">
        <v>5</v>
      </c>
      <c r="D8">
        <v>6</v>
      </c>
      <c r="E8" t="s">
        <v>6</v>
      </c>
      <c r="F8" s="1">
        <v>0.203125</v>
      </c>
      <c r="G8" t="s">
        <v>7</v>
      </c>
      <c r="H8" s="1">
        <v>0.5</v>
      </c>
      <c r="I8" t="s">
        <v>8</v>
      </c>
      <c r="J8" s="1">
        <v>0</v>
      </c>
      <c r="K8" s="1">
        <v>7.3714212069882903</v>
      </c>
    </row>
    <row r="9" spans="1:11">
      <c r="A9" t="s">
        <v>4</v>
      </c>
      <c r="B9">
        <v>0</v>
      </c>
      <c r="C9" t="s">
        <v>5</v>
      </c>
      <c r="D9">
        <v>7</v>
      </c>
      <c r="E9" t="s">
        <v>6</v>
      </c>
      <c r="F9" s="1">
        <v>0.234375</v>
      </c>
      <c r="G9" t="s">
        <v>7</v>
      </c>
      <c r="H9" s="1">
        <v>0.5</v>
      </c>
      <c r="I9" t="s">
        <v>8</v>
      </c>
      <c r="J9" s="1">
        <v>0</v>
      </c>
      <c r="K9" s="1">
        <v>7.08463707127496</v>
      </c>
    </row>
    <row r="10" spans="1:11">
      <c r="A10" t="s">
        <v>4</v>
      </c>
      <c r="B10">
        <v>0</v>
      </c>
      <c r="C10" t="s">
        <v>5</v>
      </c>
      <c r="D10">
        <v>8</v>
      </c>
      <c r="E10" t="s">
        <v>6</v>
      </c>
      <c r="F10" s="1">
        <v>0.265625</v>
      </c>
      <c r="G10" t="s">
        <v>7</v>
      </c>
      <c r="H10" s="1">
        <v>0.5</v>
      </c>
      <c r="I10" t="s">
        <v>8</v>
      </c>
      <c r="J10" s="1">
        <v>0</v>
      </c>
      <c r="K10" s="1">
        <v>6.7117578494032299</v>
      </c>
    </row>
    <row r="11" spans="1:11">
      <c r="A11" t="s">
        <v>4</v>
      </c>
      <c r="B11">
        <v>0</v>
      </c>
      <c r="C11" t="s">
        <v>5</v>
      </c>
      <c r="D11">
        <v>9</v>
      </c>
      <c r="E11" t="s">
        <v>6</v>
      </c>
      <c r="F11" s="1">
        <v>0.296875</v>
      </c>
      <c r="G11" t="s">
        <v>7</v>
      </c>
      <c r="H11" s="1">
        <v>0.5</v>
      </c>
      <c r="I11" t="s">
        <v>8</v>
      </c>
      <c r="J11" s="1">
        <v>0</v>
      </c>
      <c r="K11" s="1">
        <v>6.2468548092860896</v>
      </c>
    </row>
    <row r="12" spans="1:11">
      <c r="A12" t="s">
        <v>4</v>
      </c>
      <c r="B12">
        <v>0</v>
      </c>
      <c r="C12" t="s">
        <v>5</v>
      </c>
      <c r="D12">
        <v>10</v>
      </c>
      <c r="E12" t="s">
        <v>6</v>
      </c>
      <c r="F12" s="1">
        <v>0.328125</v>
      </c>
      <c r="G12" t="s">
        <v>7</v>
      </c>
      <c r="H12" s="1">
        <v>0.5</v>
      </c>
      <c r="I12" t="s">
        <v>8</v>
      </c>
      <c r="J12" s="1">
        <v>0</v>
      </c>
      <c r="K12" s="1">
        <v>5.9407807792369898</v>
      </c>
    </row>
    <row r="13" spans="1:11">
      <c r="A13" t="s">
        <v>4</v>
      </c>
      <c r="B13">
        <v>0</v>
      </c>
      <c r="C13" t="s">
        <v>5</v>
      </c>
      <c r="D13">
        <v>11</v>
      </c>
      <c r="E13" t="s">
        <v>6</v>
      </c>
      <c r="F13" s="1">
        <v>0.359375</v>
      </c>
      <c r="G13" t="s">
        <v>7</v>
      </c>
      <c r="H13" s="1">
        <v>0.5</v>
      </c>
      <c r="I13" t="s">
        <v>8</v>
      </c>
      <c r="J13" s="1">
        <v>0</v>
      </c>
      <c r="K13" s="1">
        <v>5.4926352555214102</v>
      </c>
    </row>
    <row r="14" spans="1:11">
      <c r="A14" t="s">
        <v>4</v>
      </c>
      <c r="B14">
        <v>0</v>
      </c>
      <c r="C14" t="s">
        <v>5</v>
      </c>
      <c r="D14">
        <v>12</v>
      </c>
      <c r="E14" t="s">
        <v>6</v>
      </c>
      <c r="F14" s="1">
        <v>0.390625</v>
      </c>
      <c r="G14" t="s">
        <v>7</v>
      </c>
      <c r="H14" s="1">
        <v>0.5</v>
      </c>
      <c r="I14" t="s">
        <v>8</v>
      </c>
      <c r="J14" s="1">
        <v>0</v>
      </c>
      <c r="K14" s="1">
        <v>4.1968985035265201</v>
      </c>
    </row>
    <row r="15" spans="1:11">
      <c r="A15" t="s">
        <v>4</v>
      </c>
      <c r="B15">
        <v>0</v>
      </c>
      <c r="C15" t="s">
        <v>5</v>
      </c>
      <c r="D15">
        <v>13</v>
      </c>
      <c r="E15" t="s">
        <v>6</v>
      </c>
      <c r="F15" s="1">
        <v>0.421875</v>
      </c>
      <c r="G15" t="s">
        <v>7</v>
      </c>
      <c r="H15" s="1">
        <v>0.5</v>
      </c>
      <c r="I15" t="s">
        <v>8</v>
      </c>
      <c r="J15" s="1">
        <v>0</v>
      </c>
      <c r="K15" s="1">
        <v>4.2743494778681299</v>
      </c>
    </row>
    <row r="16" spans="1:11">
      <c r="A16" t="s">
        <v>4</v>
      </c>
      <c r="B16">
        <v>0</v>
      </c>
      <c r="C16" t="s">
        <v>5</v>
      </c>
      <c r="D16">
        <v>14</v>
      </c>
      <c r="E16" t="s">
        <v>6</v>
      </c>
      <c r="F16" s="1">
        <v>0.453125</v>
      </c>
      <c r="G16" t="s">
        <v>7</v>
      </c>
      <c r="H16" s="1">
        <v>0.5</v>
      </c>
      <c r="I16" t="s">
        <v>8</v>
      </c>
      <c r="J16" s="1">
        <v>0</v>
      </c>
      <c r="K16" s="1">
        <v>6.7790763626452897</v>
      </c>
    </row>
    <row r="17" spans="1:11">
      <c r="A17" t="s">
        <v>4</v>
      </c>
      <c r="B17">
        <v>0</v>
      </c>
      <c r="C17" t="s">
        <v>5</v>
      </c>
      <c r="D17">
        <v>15</v>
      </c>
      <c r="E17" t="s">
        <v>6</v>
      </c>
      <c r="F17" s="1">
        <v>0.484375</v>
      </c>
      <c r="G17" t="s">
        <v>7</v>
      </c>
      <c r="H17" s="1">
        <v>0.5</v>
      </c>
      <c r="I17" t="s">
        <v>8</v>
      </c>
      <c r="J17" s="1">
        <v>0</v>
      </c>
      <c r="K17" s="1">
        <v>4.5420412204529601</v>
      </c>
    </row>
    <row r="18" spans="1:11">
      <c r="A18" t="s">
        <v>17</v>
      </c>
    </row>
    <row r="19" spans="1:11">
      <c r="A19" t="s">
        <v>4</v>
      </c>
      <c r="B19">
        <v>0</v>
      </c>
      <c r="C19" t="s">
        <v>5</v>
      </c>
      <c r="D19">
        <v>0</v>
      </c>
      <c r="E19" t="s">
        <v>6</v>
      </c>
      <c r="F19" s="1">
        <v>1.5625E-2</v>
      </c>
      <c r="G19" t="s">
        <v>7</v>
      </c>
      <c r="H19" s="1">
        <v>0.5</v>
      </c>
      <c r="I19" t="s">
        <v>8</v>
      </c>
      <c r="J19" s="1">
        <v>0</v>
      </c>
      <c r="K19" s="1">
        <v>8.1707175705758903</v>
      </c>
    </row>
    <row r="20" spans="1:11">
      <c r="A20" t="s">
        <v>4</v>
      </c>
      <c r="B20">
        <v>0</v>
      </c>
      <c r="C20" t="s">
        <v>5</v>
      </c>
      <c r="D20">
        <v>1</v>
      </c>
      <c r="E20" t="s">
        <v>6</v>
      </c>
      <c r="F20" s="1">
        <v>4.6875E-2</v>
      </c>
      <c r="G20" t="s">
        <v>7</v>
      </c>
      <c r="H20" s="1">
        <v>0.5</v>
      </c>
      <c r="I20" t="s">
        <v>8</v>
      </c>
      <c r="J20" s="1">
        <v>0</v>
      </c>
      <c r="K20" s="1">
        <v>8.1315104219857499</v>
      </c>
    </row>
    <row r="21" spans="1:11">
      <c r="A21" t="s">
        <v>4</v>
      </c>
      <c r="B21">
        <v>0</v>
      </c>
      <c r="C21" t="s">
        <v>5</v>
      </c>
      <c r="D21">
        <v>2</v>
      </c>
      <c r="E21" t="s">
        <v>6</v>
      </c>
      <c r="F21" s="1">
        <v>7.8125E-2</v>
      </c>
      <c r="G21" t="s">
        <v>7</v>
      </c>
      <c r="H21" s="1">
        <v>0.5</v>
      </c>
      <c r="I21" t="s">
        <v>8</v>
      </c>
      <c r="J21" s="1">
        <v>0</v>
      </c>
      <c r="K21" s="1">
        <v>8.0795675433656502</v>
      </c>
    </row>
    <row r="22" spans="1:11">
      <c r="A22" t="s">
        <v>4</v>
      </c>
      <c r="B22">
        <v>0</v>
      </c>
      <c r="C22" t="s">
        <v>5</v>
      </c>
      <c r="D22">
        <v>3</v>
      </c>
      <c r="E22" t="s">
        <v>6</v>
      </c>
      <c r="F22" s="1">
        <v>0.109375</v>
      </c>
      <c r="G22" t="s">
        <v>7</v>
      </c>
      <c r="H22" s="1">
        <v>0.5</v>
      </c>
      <c r="I22" t="s">
        <v>8</v>
      </c>
      <c r="J22" s="1">
        <v>0</v>
      </c>
      <c r="K22" s="1">
        <v>7.7443133876888997</v>
      </c>
    </row>
    <row r="23" spans="1:11">
      <c r="A23" t="s">
        <v>4</v>
      </c>
      <c r="B23">
        <v>0</v>
      </c>
      <c r="C23" t="s">
        <v>5</v>
      </c>
      <c r="D23">
        <v>4</v>
      </c>
      <c r="E23" t="s">
        <v>6</v>
      </c>
      <c r="F23" s="1">
        <v>0.140625</v>
      </c>
      <c r="G23" t="s">
        <v>7</v>
      </c>
      <c r="H23" s="1">
        <v>0.5</v>
      </c>
      <c r="I23" t="s">
        <v>8</v>
      </c>
      <c r="J23" s="1">
        <v>0</v>
      </c>
      <c r="K23" s="1">
        <v>7.7024285234593304</v>
      </c>
    </row>
    <row r="24" spans="1:11">
      <c r="A24" t="s">
        <v>4</v>
      </c>
      <c r="B24">
        <v>0</v>
      </c>
      <c r="C24" t="s">
        <v>5</v>
      </c>
      <c r="D24">
        <v>5</v>
      </c>
      <c r="E24" t="s">
        <v>6</v>
      </c>
      <c r="F24" s="1">
        <v>0.171875</v>
      </c>
      <c r="G24" t="s">
        <v>7</v>
      </c>
      <c r="H24" s="1">
        <v>0.5</v>
      </c>
      <c r="I24" t="s">
        <v>8</v>
      </c>
      <c r="J24" s="1">
        <v>0</v>
      </c>
      <c r="K24" s="1">
        <v>7.4889546239515097</v>
      </c>
    </row>
    <row r="25" spans="1:11">
      <c r="A25" t="s">
        <v>4</v>
      </c>
      <c r="B25">
        <v>0</v>
      </c>
      <c r="C25" t="s">
        <v>5</v>
      </c>
      <c r="D25">
        <v>6</v>
      </c>
      <c r="E25" t="s">
        <v>6</v>
      </c>
      <c r="F25" s="1">
        <v>0.203125</v>
      </c>
      <c r="G25" t="s">
        <v>7</v>
      </c>
      <c r="H25" s="1">
        <v>0.5</v>
      </c>
      <c r="I25" t="s">
        <v>8</v>
      </c>
      <c r="J25" s="1">
        <v>0</v>
      </c>
      <c r="K25" s="1">
        <v>7.7040721658117404</v>
      </c>
    </row>
    <row r="26" spans="1:11">
      <c r="A26" t="s">
        <v>4</v>
      </c>
      <c r="B26">
        <v>0</v>
      </c>
      <c r="C26" t="s">
        <v>5</v>
      </c>
      <c r="D26">
        <v>7</v>
      </c>
      <c r="E26" t="s">
        <v>6</v>
      </c>
      <c r="F26" s="1">
        <v>0.234375</v>
      </c>
      <c r="G26" t="s">
        <v>7</v>
      </c>
      <c r="H26" s="1">
        <v>0.5</v>
      </c>
      <c r="I26" t="s">
        <v>8</v>
      </c>
      <c r="J26" s="1">
        <v>0</v>
      </c>
      <c r="K26" s="1">
        <v>6.8871622305609597</v>
      </c>
    </row>
    <row r="27" spans="1:11">
      <c r="A27" t="s">
        <v>4</v>
      </c>
      <c r="B27">
        <v>0</v>
      </c>
      <c r="C27" t="s">
        <v>5</v>
      </c>
      <c r="D27">
        <v>8</v>
      </c>
      <c r="E27" t="s">
        <v>6</v>
      </c>
      <c r="F27" s="1">
        <v>0.265625</v>
      </c>
      <c r="G27" t="s">
        <v>7</v>
      </c>
      <c r="H27" s="1">
        <v>0.5</v>
      </c>
      <c r="I27" t="s">
        <v>8</v>
      </c>
      <c r="J27" s="1">
        <v>0</v>
      </c>
      <c r="K27" s="1">
        <v>6.4761796826909404</v>
      </c>
    </row>
    <row r="28" spans="1:11">
      <c r="A28" t="s">
        <v>4</v>
      </c>
      <c r="B28">
        <v>0</v>
      </c>
      <c r="C28" t="s">
        <v>5</v>
      </c>
      <c r="D28">
        <v>9</v>
      </c>
      <c r="E28" t="s">
        <v>6</v>
      </c>
      <c r="F28" s="1">
        <v>0.296875</v>
      </c>
      <c r="G28" t="s">
        <v>7</v>
      </c>
      <c r="H28" s="1">
        <v>0.5</v>
      </c>
      <c r="I28" t="s">
        <v>8</v>
      </c>
      <c r="J28" s="1">
        <v>0</v>
      </c>
      <c r="K28" s="1">
        <v>5.63817775292625</v>
      </c>
    </row>
    <row r="29" spans="1:11">
      <c r="A29" t="s">
        <v>4</v>
      </c>
      <c r="B29">
        <v>0</v>
      </c>
      <c r="C29" t="s">
        <v>5</v>
      </c>
      <c r="D29">
        <v>10</v>
      </c>
      <c r="E29" t="s">
        <v>6</v>
      </c>
      <c r="F29" s="1">
        <v>0.328125</v>
      </c>
      <c r="G29" t="s">
        <v>7</v>
      </c>
      <c r="H29" s="1">
        <v>0.5</v>
      </c>
      <c r="I29" t="s">
        <v>8</v>
      </c>
      <c r="J29" s="1">
        <v>0</v>
      </c>
      <c r="K29" s="1">
        <v>6.0360820551398904</v>
      </c>
    </row>
    <row r="30" spans="1:11">
      <c r="A30" t="s">
        <v>4</v>
      </c>
      <c r="B30">
        <v>0</v>
      </c>
      <c r="C30" t="s">
        <v>5</v>
      </c>
      <c r="D30">
        <v>11</v>
      </c>
      <c r="E30" t="s">
        <v>6</v>
      </c>
      <c r="F30" s="1">
        <v>0.359375</v>
      </c>
      <c r="G30" t="s">
        <v>7</v>
      </c>
      <c r="H30" s="1">
        <v>0.5</v>
      </c>
      <c r="I30" t="s">
        <v>8</v>
      </c>
      <c r="J30" s="1">
        <v>0</v>
      </c>
      <c r="K30" s="1">
        <v>5.4088933059601398</v>
      </c>
    </row>
    <row r="31" spans="1:11">
      <c r="A31" t="s">
        <v>4</v>
      </c>
      <c r="B31">
        <v>0</v>
      </c>
      <c r="C31" t="s">
        <v>5</v>
      </c>
      <c r="D31">
        <v>12</v>
      </c>
      <c r="E31" t="s">
        <v>6</v>
      </c>
      <c r="F31" s="1">
        <v>0.390625</v>
      </c>
      <c r="G31" t="s">
        <v>7</v>
      </c>
      <c r="H31" s="1">
        <v>0.5</v>
      </c>
      <c r="I31" t="s">
        <v>8</v>
      </c>
      <c r="J31" s="1">
        <v>0</v>
      </c>
      <c r="K31" s="1">
        <v>4.4220836941258597</v>
      </c>
    </row>
    <row r="32" spans="1:11">
      <c r="A32" t="s">
        <v>4</v>
      </c>
      <c r="B32">
        <v>0</v>
      </c>
      <c r="C32" t="s">
        <v>5</v>
      </c>
      <c r="D32">
        <v>13</v>
      </c>
      <c r="E32" t="s">
        <v>6</v>
      </c>
      <c r="F32" s="1">
        <v>0.421875</v>
      </c>
      <c r="G32" t="s">
        <v>7</v>
      </c>
      <c r="H32" s="1">
        <v>0.5</v>
      </c>
      <c r="I32" t="s">
        <v>8</v>
      </c>
      <c r="J32" s="1">
        <v>0</v>
      </c>
      <c r="K32" s="1">
        <v>3.77279632606432</v>
      </c>
    </row>
    <row r="33" spans="1:11">
      <c r="A33" t="s">
        <v>4</v>
      </c>
      <c r="B33">
        <v>0</v>
      </c>
      <c r="C33" t="s">
        <v>5</v>
      </c>
      <c r="D33">
        <v>14</v>
      </c>
      <c r="E33" t="s">
        <v>6</v>
      </c>
      <c r="F33" s="1">
        <v>0.453125</v>
      </c>
      <c r="G33" t="s">
        <v>7</v>
      </c>
      <c r="H33" s="1">
        <v>0.5</v>
      </c>
      <c r="I33" t="s">
        <v>8</v>
      </c>
      <c r="J33" s="1">
        <v>0</v>
      </c>
      <c r="K33" s="1">
        <v>6.6069564028361398</v>
      </c>
    </row>
    <row r="34" spans="1:11">
      <c r="A34" t="s">
        <v>4</v>
      </c>
      <c r="B34">
        <v>0</v>
      </c>
      <c r="C34" t="s">
        <v>5</v>
      </c>
      <c r="D34">
        <v>15</v>
      </c>
      <c r="E34" t="s">
        <v>6</v>
      </c>
      <c r="F34" s="1">
        <v>0.484375</v>
      </c>
      <c r="G34" t="s">
        <v>7</v>
      </c>
      <c r="H34" s="1">
        <v>0.5</v>
      </c>
      <c r="I34" t="s">
        <v>8</v>
      </c>
      <c r="J34" s="1">
        <v>0</v>
      </c>
      <c r="K34" s="1">
        <v>4.6512015009969296</v>
      </c>
    </row>
    <row r="35" spans="1:11">
      <c r="A35" t="s">
        <v>18</v>
      </c>
    </row>
    <row r="36" spans="1:11">
      <c r="A36" t="s">
        <v>4</v>
      </c>
      <c r="B36">
        <v>0</v>
      </c>
      <c r="C36" t="s">
        <v>5</v>
      </c>
      <c r="D36">
        <v>0</v>
      </c>
      <c r="E36" t="s">
        <v>6</v>
      </c>
      <c r="F36" s="1">
        <v>1.5625E-2</v>
      </c>
      <c r="G36" t="s">
        <v>7</v>
      </c>
      <c r="H36" s="1">
        <v>0.5</v>
      </c>
      <c r="I36" t="s">
        <v>8</v>
      </c>
      <c r="J36" s="1">
        <v>0</v>
      </c>
      <c r="K36" s="1">
        <v>8.2791288079124605</v>
      </c>
    </row>
    <row r="37" spans="1:11">
      <c r="A37" t="s">
        <v>4</v>
      </c>
      <c r="B37">
        <v>0</v>
      </c>
      <c r="C37" t="s">
        <v>5</v>
      </c>
      <c r="D37">
        <v>1</v>
      </c>
      <c r="E37" t="s">
        <v>6</v>
      </c>
      <c r="F37" s="1">
        <v>4.6875E-2</v>
      </c>
      <c r="G37" t="s">
        <v>7</v>
      </c>
      <c r="H37" s="1">
        <v>0.5</v>
      </c>
      <c r="I37" t="s">
        <v>8</v>
      </c>
      <c r="J37" s="1">
        <v>0</v>
      </c>
      <c r="K37" s="1">
        <v>8.2415367299934399</v>
      </c>
    </row>
    <row r="38" spans="1:11">
      <c r="A38" t="s">
        <v>4</v>
      </c>
      <c r="B38">
        <v>0</v>
      </c>
      <c r="C38" t="s">
        <v>5</v>
      </c>
      <c r="D38">
        <v>2</v>
      </c>
      <c r="E38" t="s">
        <v>6</v>
      </c>
      <c r="F38" s="1">
        <v>7.8125E-2</v>
      </c>
      <c r="G38" t="s">
        <v>7</v>
      </c>
      <c r="H38" s="1">
        <v>0.5</v>
      </c>
      <c r="I38" t="s">
        <v>8</v>
      </c>
      <c r="J38" s="1">
        <v>0</v>
      </c>
      <c r="K38" s="1">
        <v>8.1900528526622303</v>
      </c>
    </row>
    <row r="39" spans="1:11">
      <c r="A39" t="s">
        <v>4</v>
      </c>
      <c r="B39">
        <v>0</v>
      </c>
      <c r="C39" t="s">
        <v>5</v>
      </c>
      <c r="D39">
        <v>3</v>
      </c>
      <c r="E39" t="s">
        <v>6</v>
      </c>
      <c r="F39" s="1">
        <v>0.109375</v>
      </c>
      <c r="G39" t="s">
        <v>7</v>
      </c>
      <c r="H39" s="1">
        <v>0.5</v>
      </c>
      <c r="I39" t="s">
        <v>8</v>
      </c>
      <c r="J39" s="1">
        <v>0</v>
      </c>
      <c r="K39" s="1">
        <v>7.8689691121033896</v>
      </c>
    </row>
    <row r="40" spans="1:11">
      <c r="A40" t="s">
        <v>4</v>
      </c>
      <c r="B40">
        <v>0</v>
      </c>
      <c r="C40" t="s">
        <v>5</v>
      </c>
      <c r="D40">
        <v>4</v>
      </c>
      <c r="E40" t="s">
        <v>6</v>
      </c>
      <c r="F40" s="1">
        <v>0.140625</v>
      </c>
      <c r="G40" t="s">
        <v>7</v>
      </c>
      <c r="H40" s="1">
        <v>0.5</v>
      </c>
      <c r="I40" t="s">
        <v>8</v>
      </c>
      <c r="J40" s="1">
        <v>0</v>
      </c>
      <c r="K40" s="1">
        <v>7.8243103192975996</v>
      </c>
    </row>
    <row r="41" spans="1:11">
      <c r="A41" t="s">
        <v>4</v>
      </c>
      <c r="B41">
        <v>0</v>
      </c>
      <c r="C41" t="s">
        <v>5</v>
      </c>
      <c r="D41">
        <v>5</v>
      </c>
      <c r="E41" t="s">
        <v>6</v>
      </c>
      <c r="F41" s="1">
        <v>0.171875</v>
      </c>
      <c r="G41" t="s">
        <v>7</v>
      </c>
      <c r="H41" s="1">
        <v>0.5</v>
      </c>
      <c r="I41" t="s">
        <v>8</v>
      </c>
      <c r="J41" s="1">
        <v>0</v>
      </c>
      <c r="K41" s="1">
        <v>7.6120038021886396</v>
      </c>
    </row>
    <row r="42" spans="1:11">
      <c r="A42" t="s">
        <v>4</v>
      </c>
      <c r="B42">
        <v>0</v>
      </c>
      <c r="C42" t="s">
        <v>5</v>
      </c>
      <c r="D42">
        <v>6</v>
      </c>
      <c r="E42" t="s">
        <v>6</v>
      </c>
      <c r="F42" s="1">
        <v>0.203125</v>
      </c>
      <c r="G42" t="s">
        <v>7</v>
      </c>
      <c r="H42" s="1">
        <v>0.5</v>
      </c>
      <c r="I42" t="s">
        <v>8</v>
      </c>
      <c r="J42" s="1">
        <v>0</v>
      </c>
      <c r="K42" s="1">
        <v>7.8740287504899298</v>
      </c>
    </row>
    <row r="43" spans="1:11">
      <c r="A43" t="s">
        <v>4</v>
      </c>
      <c r="B43">
        <v>0</v>
      </c>
      <c r="C43" t="s">
        <v>5</v>
      </c>
      <c r="D43">
        <v>7</v>
      </c>
      <c r="E43" t="s">
        <v>6</v>
      </c>
      <c r="F43" s="1">
        <v>0.234375</v>
      </c>
      <c r="G43" t="s">
        <v>7</v>
      </c>
      <c r="H43" s="1">
        <v>0.5</v>
      </c>
      <c r="I43" t="s">
        <v>8</v>
      </c>
      <c r="J43" s="1">
        <v>0</v>
      </c>
      <c r="K43" s="1">
        <v>7.0142377575167503</v>
      </c>
    </row>
    <row r="44" spans="1:11">
      <c r="A44" t="s">
        <v>4</v>
      </c>
      <c r="B44">
        <v>0</v>
      </c>
      <c r="C44" t="s">
        <v>5</v>
      </c>
      <c r="D44">
        <v>8</v>
      </c>
      <c r="E44" t="s">
        <v>6</v>
      </c>
      <c r="F44" s="1">
        <v>0.265625</v>
      </c>
      <c r="G44" t="s">
        <v>7</v>
      </c>
      <c r="H44" s="1">
        <v>0.5</v>
      </c>
      <c r="I44" t="s">
        <v>8</v>
      </c>
      <c r="J44" s="1">
        <v>0</v>
      </c>
      <c r="K44" s="1">
        <v>6.6117408630210903</v>
      </c>
    </row>
    <row r="45" spans="1:11">
      <c r="A45" t="s">
        <v>4</v>
      </c>
      <c r="B45">
        <v>0</v>
      </c>
      <c r="C45" t="s">
        <v>5</v>
      </c>
      <c r="D45">
        <v>9</v>
      </c>
      <c r="E45" t="s">
        <v>6</v>
      </c>
      <c r="F45" s="1">
        <v>0.296875</v>
      </c>
      <c r="G45" t="s">
        <v>7</v>
      </c>
      <c r="H45" s="1">
        <v>0.5</v>
      </c>
      <c r="I45" t="s">
        <v>8</v>
      </c>
      <c r="J45" s="1">
        <v>0</v>
      </c>
      <c r="K45" s="1">
        <v>5.8884770485370996</v>
      </c>
    </row>
    <row r="46" spans="1:11">
      <c r="A46" t="s">
        <v>4</v>
      </c>
      <c r="B46">
        <v>0</v>
      </c>
      <c r="C46" t="s">
        <v>5</v>
      </c>
      <c r="D46">
        <v>10</v>
      </c>
      <c r="E46" t="s">
        <v>6</v>
      </c>
      <c r="F46" s="1">
        <v>0.328125</v>
      </c>
      <c r="G46" t="s">
        <v>7</v>
      </c>
      <c r="H46" s="1">
        <v>0.5</v>
      </c>
      <c r="I46" t="s">
        <v>8</v>
      </c>
      <c r="J46" s="1">
        <v>0</v>
      </c>
      <c r="K46" s="1">
        <v>6.1467962871018598</v>
      </c>
    </row>
    <row r="47" spans="1:11">
      <c r="A47" t="s">
        <v>4</v>
      </c>
      <c r="B47">
        <v>0</v>
      </c>
      <c r="C47" t="s">
        <v>5</v>
      </c>
      <c r="D47">
        <v>11</v>
      </c>
      <c r="E47" t="s">
        <v>6</v>
      </c>
      <c r="F47" s="1">
        <v>0.359375</v>
      </c>
      <c r="G47" t="s">
        <v>7</v>
      </c>
      <c r="H47" s="1">
        <v>0.5</v>
      </c>
      <c r="I47" t="s">
        <v>8</v>
      </c>
      <c r="J47" s="1">
        <v>0</v>
      </c>
      <c r="K47" s="1">
        <v>5.5574670851055696</v>
      </c>
    </row>
    <row r="48" spans="1:11">
      <c r="A48" t="s">
        <v>4</v>
      </c>
      <c r="B48">
        <v>0</v>
      </c>
      <c r="C48" t="s">
        <v>5</v>
      </c>
      <c r="D48">
        <v>12</v>
      </c>
      <c r="E48" t="s">
        <v>6</v>
      </c>
      <c r="F48" s="1">
        <v>0.390625</v>
      </c>
      <c r="G48" t="s">
        <v>7</v>
      </c>
      <c r="H48" s="1">
        <v>0.5</v>
      </c>
      <c r="I48" t="s">
        <v>8</v>
      </c>
      <c r="J48" s="1">
        <v>0</v>
      </c>
      <c r="K48" s="1">
        <v>4.6528751827260901</v>
      </c>
    </row>
    <row r="49" spans="1:11">
      <c r="A49" t="s">
        <v>4</v>
      </c>
      <c r="B49">
        <v>0</v>
      </c>
      <c r="C49" t="s">
        <v>5</v>
      </c>
      <c r="D49">
        <v>13</v>
      </c>
      <c r="E49" t="s">
        <v>6</v>
      </c>
      <c r="F49" s="1">
        <v>0.421875</v>
      </c>
      <c r="G49" t="s">
        <v>7</v>
      </c>
      <c r="H49" s="1">
        <v>0.5</v>
      </c>
      <c r="I49" t="s">
        <v>8</v>
      </c>
      <c r="J49" s="1">
        <v>0</v>
      </c>
      <c r="K49" s="1">
        <v>3.8604430159103602</v>
      </c>
    </row>
    <row r="50" spans="1:11">
      <c r="A50" t="s">
        <v>4</v>
      </c>
      <c r="B50">
        <v>0</v>
      </c>
      <c r="C50" t="s">
        <v>5</v>
      </c>
      <c r="D50">
        <v>14</v>
      </c>
      <c r="E50" t="s">
        <v>6</v>
      </c>
      <c r="F50" s="1">
        <v>0.453125</v>
      </c>
      <c r="G50" t="s">
        <v>7</v>
      </c>
      <c r="H50" s="1">
        <v>0.5</v>
      </c>
      <c r="I50" t="s">
        <v>8</v>
      </c>
      <c r="J50" s="1">
        <v>0</v>
      </c>
      <c r="K50" s="1">
        <v>6.7909710672370798</v>
      </c>
    </row>
    <row r="51" spans="1:11">
      <c r="A51" t="s">
        <v>4</v>
      </c>
      <c r="B51">
        <v>0</v>
      </c>
      <c r="C51" t="s">
        <v>5</v>
      </c>
      <c r="D51">
        <v>15</v>
      </c>
      <c r="E51" t="s">
        <v>6</v>
      </c>
      <c r="F51" s="1">
        <v>0.484375</v>
      </c>
      <c r="G51" t="s">
        <v>7</v>
      </c>
      <c r="H51" s="1">
        <v>0.5</v>
      </c>
      <c r="I51" t="s">
        <v>8</v>
      </c>
      <c r="J51" s="1">
        <v>0</v>
      </c>
      <c r="K51" s="1">
        <v>4.7611172003524898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AD257-1CB1-46C7-9524-95F408F566E4}">
  <dimension ref="A1:AG51"/>
  <sheetViews>
    <sheetView zoomScale="55" zoomScaleNormal="55" workbookViewId="0">
      <selection activeCell="A2" sqref="A2"/>
    </sheetView>
  </sheetViews>
  <sheetFormatPr defaultRowHeight="18"/>
  <cols>
    <col min="6" max="6" width="9" bestFit="1" customWidth="1"/>
    <col min="8" max="8" width="9" bestFit="1" customWidth="1"/>
    <col min="10" max="11" width="9.5" bestFit="1" customWidth="1"/>
    <col min="12" max="12" width="9" bestFit="1" customWidth="1"/>
    <col min="13" max="13" width="9.5" bestFit="1" customWidth="1"/>
    <col min="29" max="29" width="9" bestFit="1" customWidth="1"/>
    <col min="30" max="33" width="10.19921875" bestFit="1" customWidth="1"/>
  </cols>
  <sheetData>
    <row r="1" spans="1:33">
      <c r="A1" t="s">
        <v>16</v>
      </c>
      <c r="AB1" s="3" t="s">
        <v>19</v>
      </c>
      <c r="AC1" t="s">
        <v>20</v>
      </c>
    </row>
    <row r="2" spans="1:33">
      <c r="A2" t="s">
        <v>4</v>
      </c>
      <c r="B2">
        <v>0</v>
      </c>
      <c r="C2" t="s">
        <v>5</v>
      </c>
      <c r="D2">
        <v>0</v>
      </c>
      <c r="E2" t="s">
        <v>6</v>
      </c>
      <c r="F2" s="1">
        <v>1.5625E-2</v>
      </c>
      <c r="G2" t="s">
        <v>7</v>
      </c>
      <c r="H2" s="1">
        <v>0.5</v>
      </c>
      <c r="I2" t="s">
        <v>8</v>
      </c>
      <c r="J2" s="1">
        <v>0</v>
      </c>
      <c r="K2" s="1">
        <v>8.3043187750052407</v>
      </c>
      <c r="L2" s="1">
        <f>2*F2</f>
        <v>3.125E-2</v>
      </c>
      <c r="M2" s="1">
        <f>K2*2</f>
        <v>16.608637550010481</v>
      </c>
      <c r="AB2" s="3" t="s">
        <v>21</v>
      </c>
    </row>
    <row r="3" spans="1:33">
      <c r="A3" t="s">
        <v>4</v>
      </c>
      <c r="B3">
        <v>0</v>
      </c>
      <c r="C3" t="s">
        <v>5</v>
      </c>
      <c r="D3">
        <v>1</v>
      </c>
      <c r="E3" t="s">
        <v>6</v>
      </c>
      <c r="F3" s="1">
        <v>4.6875E-2</v>
      </c>
      <c r="G3" t="s">
        <v>7</v>
      </c>
      <c r="H3" s="1">
        <v>0.5</v>
      </c>
      <c r="I3" t="s">
        <v>8</v>
      </c>
      <c r="J3" s="1">
        <v>0</v>
      </c>
      <c r="K3" s="1">
        <v>8.2584226546718593</v>
      </c>
      <c r="L3" s="1">
        <f t="shared" ref="L3:L51" si="0">2*F3</f>
        <v>9.375E-2</v>
      </c>
      <c r="M3" s="1">
        <f t="shared" ref="M3:M51" si="1">K3*2</f>
        <v>16.516845309343719</v>
      </c>
      <c r="AB3" s="3" t="s">
        <v>22</v>
      </c>
      <c r="AC3" t="s">
        <v>23</v>
      </c>
      <c r="AD3">
        <v>89</v>
      </c>
    </row>
    <row r="4" spans="1:33">
      <c r="A4" t="s">
        <v>4</v>
      </c>
      <c r="B4">
        <v>0</v>
      </c>
      <c r="C4" t="s">
        <v>5</v>
      </c>
      <c r="D4">
        <v>2</v>
      </c>
      <c r="E4" t="s">
        <v>6</v>
      </c>
      <c r="F4" s="1">
        <v>7.8125E-2</v>
      </c>
      <c r="G4" t="s">
        <v>7</v>
      </c>
      <c r="H4" s="1">
        <v>0.5</v>
      </c>
      <c r="I4" t="s">
        <v>8</v>
      </c>
      <c r="J4" s="1">
        <v>0</v>
      </c>
      <c r="K4" s="1">
        <v>8.1709965003810598</v>
      </c>
      <c r="L4" s="1">
        <f t="shared" si="0"/>
        <v>0.15625</v>
      </c>
      <c r="M4" s="1">
        <f t="shared" si="1"/>
        <v>16.34199300076212</v>
      </c>
      <c r="AB4" s="3" t="s">
        <v>24</v>
      </c>
      <c r="AC4" t="s">
        <v>23</v>
      </c>
      <c r="AD4" s="1">
        <v>1</v>
      </c>
    </row>
    <row r="5" spans="1:33">
      <c r="A5" t="s">
        <v>4</v>
      </c>
      <c r="B5">
        <v>0</v>
      </c>
      <c r="C5" t="s">
        <v>5</v>
      </c>
      <c r="D5">
        <v>3</v>
      </c>
      <c r="E5" t="s">
        <v>6</v>
      </c>
      <c r="F5" s="1">
        <v>0.109375</v>
      </c>
      <c r="G5" t="s">
        <v>7</v>
      </c>
      <c r="H5" s="1">
        <v>0.5</v>
      </c>
      <c r="I5" t="s">
        <v>8</v>
      </c>
      <c r="J5" s="1">
        <v>0</v>
      </c>
      <c r="K5" s="1">
        <v>8.0423166730588296</v>
      </c>
      <c r="L5" s="1">
        <f t="shared" si="0"/>
        <v>0.21875</v>
      </c>
      <c r="M5" s="1">
        <f t="shared" si="1"/>
        <v>16.084633346117659</v>
      </c>
      <c r="AB5" s="3" t="s">
        <v>25</v>
      </c>
      <c r="AC5" t="s">
        <v>23</v>
      </c>
      <c r="AD5" s="1">
        <v>0</v>
      </c>
    </row>
    <row r="6" spans="1:33">
      <c r="A6" t="s">
        <v>4</v>
      </c>
      <c r="B6">
        <v>0</v>
      </c>
      <c r="C6" t="s">
        <v>5</v>
      </c>
      <c r="D6">
        <v>4</v>
      </c>
      <c r="E6" t="s">
        <v>6</v>
      </c>
      <c r="F6" s="1">
        <v>0.140625</v>
      </c>
      <c r="G6" t="s">
        <v>7</v>
      </c>
      <c r="H6" s="1">
        <v>0.5</v>
      </c>
      <c r="I6" t="s">
        <v>8</v>
      </c>
      <c r="J6" s="1">
        <v>0</v>
      </c>
      <c r="K6" s="1">
        <v>7.8706604069189003</v>
      </c>
      <c r="L6" s="1">
        <f t="shared" si="0"/>
        <v>0.28125</v>
      </c>
      <c r="M6" s="1">
        <f t="shared" si="1"/>
        <v>15.741320813837801</v>
      </c>
      <c r="AB6" s="2"/>
    </row>
    <row r="7" spans="1:33">
      <c r="A7" t="s">
        <v>4</v>
      </c>
      <c r="B7">
        <v>0</v>
      </c>
      <c r="C7" t="s">
        <v>5</v>
      </c>
      <c r="D7">
        <v>5</v>
      </c>
      <c r="E7" t="s">
        <v>6</v>
      </c>
      <c r="F7" s="1">
        <v>0.171875</v>
      </c>
      <c r="G7" t="s">
        <v>7</v>
      </c>
      <c r="H7" s="1">
        <v>0.5</v>
      </c>
      <c r="I7" t="s">
        <v>8</v>
      </c>
      <c r="J7" s="1">
        <v>0</v>
      </c>
      <c r="K7" s="1">
        <v>7.6510962191751197</v>
      </c>
      <c r="L7" s="1">
        <f t="shared" si="0"/>
        <v>0.34375</v>
      </c>
      <c r="M7" s="1">
        <f t="shared" si="1"/>
        <v>15.302192438350239</v>
      </c>
      <c r="AB7" s="3" t="s">
        <v>26</v>
      </c>
      <c r="AC7">
        <v>1</v>
      </c>
    </row>
    <row r="8" spans="1:33">
      <c r="A8" t="s">
        <v>4</v>
      </c>
      <c r="B8">
        <v>0</v>
      </c>
      <c r="C8" t="s">
        <v>5</v>
      </c>
      <c r="D8">
        <v>6</v>
      </c>
      <c r="E8" t="s">
        <v>6</v>
      </c>
      <c r="F8" s="1">
        <v>0.203125</v>
      </c>
      <c r="G8" t="s">
        <v>7</v>
      </c>
      <c r="H8" s="1">
        <v>0.5</v>
      </c>
      <c r="I8" t="s">
        <v>8</v>
      </c>
      <c r="J8" s="1">
        <v>0</v>
      </c>
      <c r="K8" s="1">
        <v>7.3857824082991597</v>
      </c>
      <c r="L8" s="1">
        <f t="shared" si="0"/>
        <v>0.40625</v>
      </c>
      <c r="M8" s="1">
        <f t="shared" si="1"/>
        <v>14.771564816598319</v>
      </c>
      <c r="AB8" s="3" t="s">
        <v>27</v>
      </c>
      <c r="AC8" t="s">
        <v>23</v>
      </c>
      <c r="AD8" t="s">
        <v>28</v>
      </c>
      <c r="AE8" t="s">
        <v>29</v>
      </c>
    </row>
    <row r="9" spans="1:33">
      <c r="A9" t="s">
        <v>4</v>
      </c>
      <c r="B9">
        <v>0</v>
      </c>
      <c r="C9" t="s">
        <v>5</v>
      </c>
      <c r="D9">
        <v>7</v>
      </c>
      <c r="E9" t="s">
        <v>6</v>
      </c>
      <c r="F9" s="1">
        <v>0.234375</v>
      </c>
      <c r="G9" t="s">
        <v>7</v>
      </c>
      <c r="H9" s="1">
        <v>0.5</v>
      </c>
      <c r="I9" t="s">
        <v>8</v>
      </c>
      <c r="J9" s="1">
        <v>0</v>
      </c>
      <c r="K9" s="1">
        <v>7.1020020207673298</v>
      </c>
      <c r="L9" s="1">
        <f t="shared" si="0"/>
        <v>0.46875</v>
      </c>
      <c r="M9" s="1">
        <f t="shared" si="1"/>
        <v>14.20400404153466</v>
      </c>
      <c r="AB9" s="3" t="s">
        <v>30</v>
      </c>
      <c r="AC9" t="s">
        <v>23</v>
      </c>
      <c r="AD9" t="s">
        <v>31</v>
      </c>
    </row>
    <row r="10" spans="1:33">
      <c r="A10" t="s">
        <v>4</v>
      </c>
      <c r="B10">
        <v>0</v>
      </c>
      <c r="C10" t="s">
        <v>5</v>
      </c>
      <c r="D10">
        <v>8</v>
      </c>
      <c r="E10" t="s">
        <v>6</v>
      </c>
      <c r="F10" s="1">
        <v>0.265625</v>
      </c>
      <c r="G10" t="s">
        <v>7</v>
      </c>
      <c r="H10" s="1">
        <v>0.5</v>
      </c>
      <c r="I10" t="s">
        <v>8</v>
      </c>
      <c r="J10" s="1">
        <v>0</v>
      </c>
      <c r="K10" s="1">
        <v>6.7338110187589404</v>
      </c>
      <c r="L10" s="1">
        <f t="shared" si="0"/>
        <v>0.53125</v>
      </c>
      <c r="M10" s="1">
        <f t="shared" si="1"/>
        <v>13.467622037517881</v>
      </c>
      <c r="AB10" s="2"/>
    </row>
    <row r="11" spans="1:33">
      <c r="A11" t="s">
        <v>4</v>
      </c>
      <c r="B11">
        <v>0</v>
      </c>
      <c r="C11" t="s">
        <v>5</v>
      </c>
      <c r="D11">
        <v>9</v>
      </c>
      <c r="E11" t="s">
        <v>6</v>
      </c>
      <c r="F11" s="1">
        <v>0.296875</v>
      </c>
      <c r="G11" t="s">
        <v>7</v>
      </c>
      <c r="H11" s="1">
        <v>0.5</v>
      </c>
      <c r="I11" t="s">
        <v>8</v>
      </c>
      <c r="J11" s="1">
        <v>0</v>
      </c>
      <c r="K11" s="1">
        <v>6.2485386969274304</v>
      </c>
      <c r="L11" s="1">
        <f t="shared" si="0"/>
        <v>0.59375</v>
      </c>
      <c r="M11" s="1">
        <f t="shared" si="1"/>
        <v>12.497077393854861</v>
      </c>
      <c r="AB11" s="3"/>
      <c r="AC11" t="s">
        <v>32</v>
      </c>
      <c r="AD11" t="s">
        <v>27</v>
      </c>
      <c r="AE11" t="s">
        <v>30</v>
      </c>
    </row>
    <row r="12" spans="1:33">
      <c r="A12" t="s">
        <v>4</v>
      </c>
      <c r="B12">
        <v>0</v>
      </c>
      <c r="C12" t="s">
        <v>5</v>
      </c>
      <c r="D12">
        <v>10</v>
      </c>
      <c r="E12" t="s">
        <v>6</v>
      </c>
      <c r="F12" s="1">
        <v>0.328125</v>
      </c>
      <c r="G12" t="s">
        <v>7</v>
      </c>
      <c r="H12" s="1">
        <v>0.5</v>
      </c>
      <c r="I12" t="s">
        <v>8</v>
      </c>
      <c r="J12" s="1">
        <v>0</v>
      </c>
      <c r="K12" s="1">
        <v>5.9431196182542099</v>
      </c>
      <c r="L12" s="1">
        <f t="shared" si="0"/>
        <v>0.65625</v>
      </c>
      <c r="M12" s="1">
        <f t="shared" si="1"/>
        <v>11.88623923650842</v>
      </c>
      <c r="AB12" s="3" t="s">
        <v>33</v>
      </c>
    </row>
    <row r="13" spans="1:33">
      <c r="A13" t="s">
        <v>4</v>
      </c>
      <c r="B13">
        <v>0</v>
      </c>
      <c r="C13" t="s">
        <v>5</v>
      </c>
      <c r="D13">
        <v>11</v>
      </c>
      <c r="E13" t="s">
        <v>6</v>
      </c>
      <c r="F13" s="1">
        <v>0.359375</v>
      </c>
      <c r="G13" t="s">
        <v>7</v>
      </c>
      <c r="H13" s="1">
        <v>0.5</v>
      </c>
      <c r="I13" t="s">
        <v>8</v>
      </c>
      <c r="J13" s="1">
        <v>0</v>
      </c>
      <c r="K13" s="1">
        <v>5.5280789909006502</v>
      </c>
      <c r="L13" s="1">
        <f t="shared" si="0"/>
        <v>0.71875</v>
      </c>
      <c r="M13" s="1">
        <f t="shared" si="1"/>
        <v>11.0561579818013</v>
      </c>
      <c r="AB13" s="3"/>
      <c r="AC13">
        <v>1394</v>
      </c>
      <c r="AD13" s="1">
        <v>0</v>
      </c>
      <c r="AE13" s="1">
        <v>13.5907</v>
      </c>
      <c r="AF13" s="1">
        <f>AD13*2</f>
        <v>0</v>
      </c>
      <c r="AG13" s="1">
        <f>AE13</f>
        <v>13.5907</v>
      </c>
    </row>
    <row r="14" spans="1:33">
      <c r="A14" t="s">
        <v>4</v>
      </c>
      <c r="B14">
        <v>0</v>
      </c>
      <c r="C14" t="s">
        <v>5</v>
      </c>
      <c r="D14">
        <v>12</v>
      </c>
      <c r="E14" t="s">
        <v>6</v>
      </c>
      <c r="F14" s="1">
        <v>0.390625</v>
      </c>
      <c r="G14" t="s">
        <v>7</v>
      </c>
      <c r="H14" s="1">
        <v>0.5</v>
      </c>
      <c r="I14" t="s">
        <v>8</v>
      </c>
      <c r="J14" s="1">
        <v>0</v>
      </c>
      <c r="K14" s="1">
        <v>4.1946596610184201</v>
      </c>
      <c r="L14" s="1">
        <f t="shared" si="0"/>
        <v>0.78125</v>
      </c>
      <c r="M14" s="1">
        <f t="shared" si="1"/>
        <v>8.3893193220368403</v>
      </c>
      <c r="AB14" s="3"/>
      <c r="AC14">
        <v>53685</v>
      </c>
      <c r="AD14" s="1">
        <v>1.5625E-2</v>
      </c>
      <c r="AE14" s="1">
        <v>13.579800000000001</v>
      </c>
      <c r="AF14" s="1">
        <f t="shared" ref="AF14:AF45" si="2">AD14*2</f>
        <v>3.125E-2</v>
      </c>
      <c r="AG14" s="1">
        <f t="shared" ref="AG14:AG45" si="3">AE14</f>
        <v>13.579800000000001</v>
      </c>
    </row>
    <row r="15" spans="1:33">
      <c r="A15" t="s">
        <v>4</v>
      </c>
      <c r="B15">
        <v>0</v>
      </c>
      <c r="C15" t="s">
        <v>5</v>
      </c>
      <c r="D15">
        <v>13</v>
      </c>
      <c r="E15" t="s">
        <v>6</v>
      </c>
      <c r="F15" s="1">
        <v>0.421875</v>
      </c>
      <c r="G15" t="s">
        <v>7</v>
      </c>
      <c r="H15" s="1">
        <v>0.5</v>
      </c>
      <c r="I15" t="s">
        <v>8</v>
      </c>
      <c r="J15" s="1">
        <v>0</v>
      </c>
      <c r="K15" s="1">
        <v>4.1889883838578799</v>
      </c>
      <c r="L15" s="1">
        <f t="shared" si="0"/>
        <v>0.84375</v>
      </c>
      <c r="M15" s="1">
        <f t="shared" si="1"/>
        <v>8.3779767677157597</v>
      </c>
      <c r="AB15" s="3"/>
      <c r="AC15">
        <v>25202</v>
      </c>
      <c r="AD15" s="1">
        <v>3.125E-2</v>
      </c>
      <c r="AE15" s="1">
        <v>13.5688</v>
      </c>
      <c r="AF15" s="1">
        <f t="shared" si="2"/>
        <v>6.25E-2</v>
      </c>
      <c r="AG15" s="1">
        <f t="shared" si="3"/>
        <v>13.5688</v>
      </c>
    </row>
    <row r="16" spans="1:33">
      <c r="A16" t="s">
        <v>4</v>
      </c>
      <c r="B16">
        <v>0</v>
      </c>
      <c r="C16" t="s">
        <v>5</v>
      </c>
      <c r="D16">
        <v>14</v>
      </c>
      <c r="E16" t="s">
        <v>6</v>
      </c>
      <c r="F16" s="1">
        <v>0.453125</v>
      </c>
      <c r="G16" t="s">
        <v>7</v>
      </c>
      <c r="H16" s="1">
        <v>0.5</v>
      </c>
      <c r="I16" t="s">
        <v>8</v>
      </c>
      <c r="J16" s="1">
        <v>0</v>
      </c>
      <c r="K16" s="1">
        <v>6.8159360328618703</v>
      </c>
      <c r="L16" s="1">
        <f t="shared" si="0"/>
        <v>0.90625</v>
      </c>
      <c r="M16" s="1">
        <f t="shared" si="1"/>
        <v>13.631872065723741</v>
      </c>
      <c r="AB16" s="3"/>
      <c r="AC16">
        <v>123346</v>
      </c>
      <c r="AD16" s="1">
        <v>4.6875E-2</v>
      </c>
      <c r="AE16" s="1">
        <v>13.5359</v>
      </c>
      <c r="AF16" s="1">
        <f t="shared" si="2"/>
        <v>9.375E-2</v>
      </c>
      <c r="AG16" s="1">
        <f t="shared" si="3"/>
        <v>13.5359</v>
      </c>
    </row>
    <row r="17" spans="1:33">
      <c r="A17" t="s">
        <v>4</v>
      </c>
      <c r="B17">
        <v>0</v>
      </c>
      <c r="C17" t="s">
        <v>5</v>
      </c>
      <c r="D17">
        <v>15</v>
      </c>
      <c r="E17" t="s">
        <v>6</v>
      </c>
      <c r="F17" s="1">
        <v>0.484375</v>
      </c>
      <c r="G17" t="s">
        <v>7</v>
      </c>
      <c r="H17" s="1">
        <v>0.5</v>
      </c>
      <c r="I17" t="s">
        <v>8</v>
      </c>
      <c r="J17" s="1">
        <v>0</v>
      </c>
      <c r="K17" s="1">
        <v>4.5880892605944501</v>
      </c>
      <c r="L17" s="1">
        <f t="shared" si="0"/>
        <v>0.96875</v>
      </c>
      <c r="M17" s="1">
        <f t="shared" si="1"/>
        <v>9.1761785211889002</v>
      </c>
      <c r="AB17" s="3"/>
      <c r="AC17">
        <v>25203</v>
      </c>
      <c r="AD17" s="1">
        <v>6.25E-2</v>
      </c>
      <c r="AE17" s="1">
        <v>13.5031</v>
      </c>
      <c r="AF17" s="1">
        <f t="shared" si="2"/>
        <v>0.125</v>
      </c>
      <c r="AG17" s="1">
        <f t="shared" si="3"/>
        <v>13.5031</v>
      </c>
    </row>
    <row r="18" spans="1:33">
      <c r="A18" t="s">
        <v>17</v>
      </c>
      <c r="L18" s="1"/>
      <c r="M18" s="1"/>
      <c r="AB18" s="3"/>
      <c r="AC18">
        <v>123349</v>
      </c>
      <c r="AD18" s="1">
        <v>7.8125E-2</v>
      </c>
      <c r="AE18" s="1">
        <v>13.4482</v>
      </c>
      <c r="AF18" s="1">
        <f t="shared" si="2"/>
        <v>0.15625</v>
      </c>
      <c r="AG18" s="1">
        <f t="shared" si="3"/>
        <v>13.4482</v>
      </c>
    </row>
    <row r="19" spans="1:33">
      <c r="A19" t="s">
        <v>4</v>
      </c>
      <c r="B19">
        <v>0</v>
      </c>
      <c r="C19" t="s">
        <v>5</v>
      </c>
      <c r="D19">
        <v>0</v>
      </c>
      <c r="E19" t="s">
        <v>6</v>
      </c>
      <c r="F19" s="1">
        <v>1.5625E-2</v>
      </c>
      <c r="G19" t="s">
        <v>7</v>
      </c>
      <c r="H19" s="1">
        <v>0.5</v>
      </c>
      <c r="I19" t="s">
        <v>8</v>
      </c>
      <c r="J19" s="1">
        <v>0</v>
      </c>
      <c r="K19" s="1">
        <v>8.4068562309831396</v>
      </c>
      <c r="L19" s="1">
        <f t="shared" si="0"/>
        <v>3.125E-2</v>
      </c>
      <c r="M19" s="1">
        <f t="shared" si="1"/>
        <v>16.813712461966279</v>
      </c>
      <c r="AB19" s="3"/>
      <c r="AC19">
        <v>25204</v>
      </c>
      <c r="AD19" s="1">
        <v>9.375E-2</v>
      </c>
      <c r="AE19" s="1">
        <v>13.3934</v>
      </c>
      <c r="AF19" s="1">
        <f t="shared" si="2"/>
        <v>0.1875</v>
      </c>
      <c r="AG19" s="1">
        <f t="shared" si="3"/>
        <v>13.3934</v>
      </c>
    </row>
    <row r="20" spans="1:33">
      <c r="A20" t="s">
        <v>4</v>
      </c>
      <c r="B20">
        <v>0</v>
      </c>
      <c r="C20" t="s">
        <v>5</v>
      </c>
      <c r="D20">
        <v>1</v>
      </c>
      <c r="E20" t="s">
        <v>6</v>
      </c>
      <c r="F20" s="1">
        <v>4.6875E-2</v>
      </c>
      <c r="G20" t="s">
        <v>7</v>
      </c>
      <c r="H20" s="1">
        <v>0.5</v>
      </c>
      <c r="I20" t="s">
        <v>8</v>
      </c>
      <c r="J20" s="1">
        <v>0</v>
      </c>
      <c r="K20" s="1">
        <v>8.3650140201998209</v>
      </c>
      <c r="L20" s="1">
        <f t="shared" si="0"/>
        <v>9.375E-2</v>
      </c>
      <c r="M20" s="1">
        <f t="shared" si="1"/>
        <v>16.730028040399642</v>
      </c>
      <c r="AB20" s="3"/>
      <c r="AC20">
        <v>123352</v>
      </c>
      <c r="AD20" s="1">
        <v>0.109375</v>
      </c>
      <c r="AE20" s="1">
        <v>13.316599999999999</v>
      </c>
      <c r="AF20" s="1">
        <f t="shared" si="2"/>
        <v>0.21875</v>
      </c>
      <c r="AG20" s="1">
        <f t="shared" si="3"/>
        <v>13.316599999999999</v>
      </c>
    </row>
    <row r="21" spans="1:33">
      <c r="A21" t="s">
        <v>4</v>
      </c>
      <c r="B21">
        <v>0</v>
      </c>
      <c r="C21" t="s">
        <v>5</v>
      </c>
      <c r="D21">
        <v>2</v>
      </c>
      <c r="E21" t="s">
        <v>6</v>
      </c>
      <c r="F21" s="1">
        <v>7.8125E-2</v>
      </c>
      <c r="G21" t="s">
        <v>7</v>
      </c>
      <c r="H21" s="1">
        <v>0.5</v>
      </c>
      <c r="I21" t="s">
        <v>8</v>
      </c>
      <c r="J21" s="1">
        <v>0</v>
      </c>
      <c r="K21" s="1">
        <v>8.2684767588809507</v>
      </c>
      <c r="L21" s="1">
        <f t="shared" si="0"/>
        <v>0.15625</v>
      </c>
      <c r="M21" s="1">
        <f t="shared" si="1"/>
        <v>16.536953517761901</v>
      </c>
      <c r="AB21" s="3"/>
      <c r="AC21">
        <v>25205</v>
      </c>
      <c r="AD21" s="1">
        <v>0.125</v>
      </c>
      <c r="AE21" s="1">
        <v>13.239699999999999</v>
      </c>
      <c r="AF21" s="1">
        <f t="shared" si="2"/>
        <v>0.25</v>
      </c>
      <c r="AG21" s="1">
        <f t="shared" si="3"/>
        <v>13.239699999999999</v>
      </c>
    </row>
    <row r="22" spans="1:33">
      <c r="A22" t="s">
        <v>4</v>
      </c>
      <c r="B22">
        <v>0</v>
      </c>
      <c r="C22" t="s">
        <v>5</v>
      </c>
      <c r="D22">
        <v>3</v>
      </c>
      <c r="E22" t="s">
        <v>6</v>
      </c>
      <c r="F22" s="1">
        <v>0.109375</v>
      </c>
      <c r="G22" t="s">
        <v>7</v>
      </c>
      <c r="H22" s="1">
        <v>0.5</v>
      </c>
      <c r="I22" t="s">
        <v>8</v>
      </c>
      <c r="J22" s="1">
        <v>0</v>
      </c>
      <c r="K22" s="1">
        <v>8.2144540815585607</v>
      </c>
      <c r="L22" s="1">
        <f t="shared" si="0"/>
        <v>0.21875</v>
      </c>
      <c r="M22" s="1">
        <f t="shared" si="1"/>
        <v>16.428908163117121</v>
      </c>
      <c r="AB22" s="3"/>
      <c r="AC22">
        <v>123355</v>
      </c>
      <c r="AD22" s="1">
        <v>0.140625</v>
      </c>
      <c r="AE22" s="1">
        <v>13.140700000000001</v>
      </c>
      <c r="AF22" s="1">
        <f t="shared" si="2"/>
        <v>0.28125</v>
      </c>
      <c r="AG22" s="1">
        <f t="shared" si="3"/>
        <v>13.140700000000001</v>
      </c>
    </row>
    <row r="23" spans="1:33">
      <c r="A23" t="s">
        <v>4</v>
      </c>
      <c r="B23">
        <v>0</v>
      </c>
      <c r="C23" t="s">
        <v>5</v>
      </c>
      <c r="D23">
        <v>4</v>
      </c>
      <c r="E23" t="s">
        <v>6</v>
      </c>
      <c r="F23" s="1">
        <v>0.140625</v>
      </c>
      <c r="G23" t="s">
        <v>7</v>
      </c>
      <c r="H23" s="1">
        <v>0.5</v>
      </c>
      <c r="I23" t="s">
        <v>8</v>
      </c>
      <c r="J23" s="1">
        <v>0</v>
      </c>
      <c r="K23" s="1">
        <v>7.96631462953086</v>
      </c>
      <c r="L23" s="1">
        <f t="shared" si="0"/>
        <v>0.28125</v>
      </c>
      <c r="M23" s="1">
        <f t="shared" si="1"/>
        <v>15.93262925906172</v>
      </c>
      <c r="AB23" s="3"/>
      <c r="AC23">
        <v>25206</v>
      </c>
      <c r="AD23" s="1">
        <v>0.15625</v>
      </c>
      <c r="AE23" s="1">
        <v>13.041700000000001</v>
      </c>
      <c r="AF23" s="1">
        <f t="shared" si="2"/>
        <v>0.3125</v>
      </c>
      <c r="AG23" s="1">
        <f t="shared" si="3"/>
        <v>13.041700000000001</v>
      </c>
    </row>
    <row r="24" spans="1:33">
      <c r="A24" t="s">
        <v>4</v>
      </c>
      <c r="B24">
        <v>0</v>
      </c>
      <c r="C24" t="s">
        <v>5</v>
      </c>
      <c r="D24">
        <v>5</v>
      </c>
      <c r="E24" t="s">
        <v>6</v>
      </c>
      <c r="F24" s="1">
        <v>0.171875</v>
      </c>
      <c r="G24" t="s">
        <v>7</v>
      </c>
      <c r="H24" s="1">
        <v>0.5</v>
      </c>
      <c r="I24" t="s">
        <v>8</v>
      </c>
      <c r="J24" s="1">
        <v>0</v>
      </c>
      <c r="K24" s="1">
        <v>7.7798666108211298</v>
      </c>
      <c r="L24" s="1">
        <f t="shared" si="0"/>
        <v>0.34375</v>
      </c>
      <c r="M24" s="1">
        <f t="shared" si="1"/>
        <v>15.55973322164226</v>
      </c>
      <c r="AB24" s="3"/>
      <c r="AC24">
        <v>123358</v>
      </c>
      <c r="AD24" s="1">
        <v>0.171875</v>
      </c>
      <c r="AE24" s="1">
        <v>12.920199999999999</v>
      </c>
      <c r="AF24" s="1">
        <f t="shared" si="2"/>
        <v>0.34375</v>
      </c>
      <c r="AG24" s="1">
        <f t="shared" si="3"/>
        <v>12.920199999999999</v>
      </c>
    </row>
    <row r="25" spans="1:33">
      <c r="A25" t="s">
        <v>4</v>
      </c>
      <c r="B25">
        <v>0</v>
      </c>
      <c r="C25" t="s">
        <v>5</v>
      </c>
      <c r="D25">
        <v>6</v>
      </c>
      <c r="E25" t="s">
        <v>6</v>
      </c>
      <c r="F25" s="1">
        <v>0.203125</v>
      </c>
      <c r="G25" t="s">
        <v>7</v>
      </c>
      <c r="H25" s="1">
        <v>0.5</v>
      </c>
      <c r="I25" t="s">
        <v>8</v>
      </c>
      <c r="J25" s="1">
        <v>0</v>
      </c>
      <c r="K25" s="1">
        <v>7.6533665008541201</v>
      </c>
      <c r="L25" s="1">
        <f t="shared" si="0"/>
        <v>0.40625</v>
      </c>
      <c r="M25" s="1">
        <f t="shared" si="1"/>
        <v>15.30673300170824</v>
      </c>
      <c r="AB25" s="3"/>
      <c r="AC25">
        <v>25207</v>
      </c>
      <c r="AD25" s="1">
        <v>0.1875</v>
      </c>
      <c r="AE25" s="1">
        <v>12.7987</v>
      </c>
      <c r="AF25" s="1">
        <f t="shared" si="2"/>
        <v>0.375</v>
      </c>
      <c r="AG25" s="1">
        <f t="shared" si="3"/>
        <v>12.7987</v>
      </c>
    </row>
    <row r="26" spans="1:33">
      <c r="A26" t="s">
        <v>4</v>
      </c>
      <c r="B26">
        <v>0</v>
      </c>
      <c r="C26" t="s">
        <v>5</v>
      </c>
      <c r="D26">
        <v>7</v>
      </c>
      <c r="E26" t="s">
        <v>6</v>
      </c>
      <c r="F26" s="1">
        <v>0.234375</v>
      </c>
      <c r="G26" t="s">
        <v>7</v>
      </c>
      <c r="H26" s="1">
        <v>0.5</v>
      </c>
      <c r="I26" t="s">
        <v>8</v>
      </c>
      <c r="J26" s="1">
        <v>0</v>
      </c>
      <c r="K26" s="1">
        <v>7.21921934797665</v>
      </c>
      <c r="L26" s="1">
        <f t="shared" si="0"/>
        <v>0.46875</v>
      </c>
      <c r="M26" s="1">
        <f t="shared" si="1"/>
        <v>14.4384386959533</v>
      </c>
      <c r="AB26" s="3"/>
      <c r="AC26">
        <v>123361</v>
      </c>
      <c r="AD26" s="1">
        <v>0.203125</v>
      </c>
      <c r="AE26" s="1">
        <v>12.6541</v>
      </c>
      <c r="AF26" s="1">
        <f t="shared" si="2"/>
        <v>0.40625</v>
      </c>
      <c r="AG26" s="1">
        <f t="shared" si="3"/>
        <v>12.6541</v>
      </c>
    </row>
    <row r="27" spans="1:33">
      <c r="A27" t="s">
        <v>4</v>
      </c>
      <c r="B27">
        <v>0</v>
      </c>
      <c r="C27" t="s">
        <v>5</v>
      </c>
      <c r="D27">
        <v>8</v>
      </c>
      <c r="E27" t="s">
        <v>6</v>
      </c>
      <c r="F27" s="1">
        <v>0.265625</v>
      </c>
      <c r="G27" t="s">
        <v>7</v>
      </c>
      <c r="H27" s="1">
        <v>0.5</v>
      </c>
      <c r="I27" t="s">
        <v>8</v>
      </c>
      <c r="J27" s="1">
        <v>0</v>
      </c>
      <c r="K27" s="1">
        <v>6.8425684634784698</v>
      </c>
      <c r="L27" s="1">
        <f t="shared" si="0"/>
        <v>0.53125</v>
      </c>
      <c r="M27" s="1">
        <f t="shared" si="1"/>
        <v>13.68513692695694</v>
      </c>
      <c r="AB27" s="3"/>
      <c r="AC27">
        <v>25208</v>
      </c>
      <c r="AD27" s="1">
        <v>0.21875</v>
      </c>
      <c r="AE27" s="1">
        <v>12.509499999999999</v>
      </c>
      <c r="AF27" s="1">
        <f t="shared" si="2"/>
        <v>0.4375</v>
      </c>
      <c r="AG27" s="1">
        <f t="shared" si="3"/>
        <v>12.509499999999999</v>
      </c>
    </row>
    <row r="28" spans="1:33">
      <c r="A28" t="s">
        <v>4</v>
      </c>
      <c r="B28">
        <v>0</v>
      </c>
      <c r="C28" t="s">
        <v>5</v>
      </c>
      <c r="D28">
        <v>9</v>
      </c>
      <c r="E28" t="s">
        <v>6</v>
      </c>
      <c r="F28" s="1">
        <v>0.296875</v>
      </c>
      <c r="G28" t="s">
        <v>7</v>
      </c>
      <c r="H28" s="1">
        <v>0.5</v>
      </c>
      <c r="I28" t="s">
        <v>8</v>
      </c>
      <c r="J28" s="1">
        <v>0</v>
      </c>
      <c r="K28" s="1">
        <v>6.4966264831970397</v>
      </c>
      <c r="L28" s="1">
        <f t="shared" si="0"/>
        <v>0.59375</v>
      </c>
      <c r="M28" s="1">
        <f t="shared" si="1"/>
        <v>12.993252966394079</v>
      </c>
      <c r="AB28" s="3"/>
      <c r="AC28">
        <v>123364</v>
      </c>
      <c r="AD28" s="1">
        <v>0.234375</v>
      </c>
      <c r="AE28" s="1">
        <v>12.3408</v>
      </c>
      <c r="AF28" s="1">
        <f t="shared" si="2"/>
        <v>0.46875</v>
      </c>
      <c r="AG28" s="1">
        <f t="shared" si="3"/>
        <v>12.3408</v>
      </c>
    </row>
    <row r="29" spans="1:33">
      <c r="A29" t="s">
        <v>4</v>
      </c>
      <c r="B29">
        <v>0</v>
      </c>
      <c r="C29" t="s">
        <v>5</v>
      </c>
      <c r="D29">
        <v>10</v>
      </c>
      <c r="E29" t="s">
        <v>6</v>
      </c>
      <c r="F29" s="1">
        <v>0.328125</v>
      </c>
      <c r="G29" t="s">
        <v>7</v>
      </c>
      <c r="H29" s="1">
        <v>0.5</v>
      </c>
      <c r="I29" t="s">
        <v>8</v>
      </c>
      <c r="J29" s="1">
        <v>0</v>
      </c>
      <c r="K29" s="1">
        <v>6.2797155918728498</v>
      </c>
      <c r="L29" s="1">
        <f t="shared" si="0"/>
        <v>0.65625</v>
      </c>
      <c r="M29" s="1">
        <f t="shared" si="1"/>
        <v>12.5594311837457</v>
      </c>
      <c r="AB29" s="3"/>
      <c r="AC29">
        <v>25209</v>
      </c>
      <c r="AD29" s="1">
        <v>0.25</v>
      </c>
      <c r="AE29" s="1">
        <v>12.1722</v>
      </c>
      <c r="AF29" s="1">
        <f t="shared" si="2"/>
        <v>0.5</v>
      </c>
      <c r="AG29" s="1">
        <f t="shared" si="3"/>
        <v>12.1722</v>
      </c>
    </row>
    <row r="30" spans="1:33">
      <c r="A30" t="s">
        <v>4</v>
      </c>
      <c r="B30">
        <v>0</v>
      </c>
      <c r="C30" t="s">
        <v>5</v>
      </c>
      <c r="D30">
        <v>11</v>
      </c>
      <c r="E30" t="s">
        <v>6</v>
      </c>
      <c r="F30" s="1">
        <v>0.359375</v>
      </c>
      <c r="G30" t="s">
        <v>7</v>
      </c>
      <c r="H30" s="1">
        <v>0.5</v>
      </c>
      <c r="I30" t="s">
        <v>8</v>
      </c>
      <c r="J30" s="1">
        <v>0</v>
      </c>
      <c r="K30" s="1">
        <v>5.5586303471372398</v>
      </c>
      <c r="L30" s="1">
        <f t="shared" si="0"/>
        <v>0.71875</v>
      </c>
      <c r="M30" s="1">
        <f t="shared" si="1"/>
        <v>11.11726069427448</v>
      </c>
      <c r="AB30" s="3"/>
      <c r="AC30">
        <v>123367</v>
      </c>
      <c r="AD30" s="1">
        <v>0.265625</v>
      </c>
      <c r="AE30" s="1">
        <v>11.978400000000001</v>
      </c>
      <c r="AF30" s="1">
        <f t="shared" si="2"/>
        <v>0.53125</v>
      </c>
      <c r="AG30" s="1">
        <f t="shared" si="3"/>
        <v>11.978400000000001</v>
      </c>
    </row>
    <row r="31" spans="1:33">
      <c r="A31" t="s">
        <v>4</v>
      </c>
      <c r="B31">
        <v>0</v>
      </c>
      <c r="C31" t="s">
        <v>5</v>
      </c>
      <c r="D31">
        <v>12</v>
      </c>
      <c r="E31" t="s">
        <v>6</v>
      </c>
      <c r="F31" s="1">
        <v>0.390625</v>
      </c>
      <c r="G31" t="s">
        <v>7</v>
      </c>
      <c r="H31" s="1">
        <v>0.5</v>
      </c>
      <c r="I31" t="s">
        <v>8</v>
      </c>
      <c r="J31" s="1">
        <v>0</v>
      </c>
      <c r="K31" s="1">
        <v>4.8456847706888304</v>
      </c>
      <c r="L31" s="1">
        <f t="shared" si="0"/>
        <v>0.78125</v>
      </c>
      <c r="M31" s="1">
        <f t="shared" si="1"/>
        <v>9.6913695413776608</v>
      </c>
      <c r="AB31" s="3"/>
      <c r="AC31">
        <v>25210</v>
      </c>
      <c r="AD31" s="1">
        <v>0.28125</v>
      </c>
      <c r="AE31" s="1">
        <v>11.784599999999999</v>
      </c>
      <c r="AF31" s="1">
        <f t="shared" si="2"/>
        <v>0.5625</v>
      </c>
      <c r="AG31" s="1">
        <f t="shared" si="3"/>
        <v>11.784599999999999</v>
      </c>
    </row>
    <row r="32" spans="1:33">
      <c r="A32" t="s">
        <v>4</v>
      </c>
      <c r="B32">
        <v>0</v>
      </c>
      <c r="C32" t="s">
        <v>5</v>
      </c>
      <c r="D32">
        <v>13</v>
      </c>
      <c r="E32" t="s">
        <v>6</v>
      </c>
      <c r="F32" s="1">
        <v>0.421875</v>
      </c>
      <c r="G32" t="s">
        <v>7</v>
      </c>
      <c r="H32" s="1">
        <v>0.5</v>
      </c>
      <c r="I32" t="s">
        <v>8</v>
      </c>
      <c r="J32" s="1">
        <v>0</v>
      </c>
      <c r="K32" s="1">
        <v>4.7564913374347704</v>
      </c>
      <c r="L32" s="1">
        <f t="shared" si="0"/>
        <v>0.84375</v>
      </c>
      <c r="M32" s="1">
        <f t="shared" si="1"/>
        <v>9.5129826748695407</v>
      </c>
      <c r="AB32" s="3"/>
      <c r="AC32">
        <v>123370</v>
      </c>
      <c r="AD32" s="1">
        <v>0.296875</v>
      </c>
      <c r="AE32" s="1">
        <v>11.5633</v>
      </c>
      <c r="AF32" s="1">
        <f t="shared" si="2"/>
        <v>0.59375</v>
      </c>
      <c r="AG32" s="1">
        <f t="shared" si="3"/>
        <v>11.5633</v>
      </c>
    </row>
    <row r="33" spans="1:33">
      <c r="A33" t="s">
        <v>4</v>
      </c>
      <c r="B33">
        <v>0</v>
      </c>
      <c r="C33" t="s">
        <v>5</v>
      </c>
      <c r="D33">
        <v>14</v>
      </c>
      <c r="E33" t="s">
        <v>6</v>
      </c>
      <c r="F33" s="1">
        <v>0.453125</v>
      </c>
      <c r="G33" t="s">
        <v>7</v>
      </c>
      <c r="H33" s="1">
        <v>0.5</v>
      </c>
      <c r="I33" t="s">
        <v>8</v>
      </c>
      <c r="J33" s="1">
        <v>0</v>
      </c>
      <c r="K33" s="1">
        <v>6.77978583693515</v>
      </c>
      <c r="L33" s="1">
        <f t="shared" si="0"/>
        <v>0.90625</v>
      </c>
      <c r="M33" s="1">
        <f t="shared" si="1"/>
        <v>13.5595716738703</v>
      </c>
      <c r="AB33" s="3"/>
      <c r="AC33">
        <v>25211</v>
      </c>
      <c r="AD33" s="1">
        <v>0.3125</v>
      </c>
      <c r="AE33" s="1">
        <v>11.342000000000001</v>
      </c>
      <c r="AF33" s="1">
        <f t="shared" si="2"/>
        <v>0.625</v>
      </c>
      <c r="AG33" s="1">
        <f t="shared" si="3"/>
        <v>11.342000000000001</v>
      </c>
    </row>
    <row r="34" spans="1:33">
      <c r="A34" t="s">
        <v>4</v>
      </c>
      <c r="B34">
        <v>0</v>
      </c>
      <c r="C34" t="s">
        <v>5</v>
      </c>
      <c r="D34">
        <v>15</v>
      </c>
      <c r="E34" t="s">
        <v>6</v>
      </c>
      <c r="F34" s="1">
        <v>0.484375</v>
      </c>
      <c r="G34" t="s">
        <v>7</v>
      </c>
      <c r="H34" s="1">
        <v>0.5</v>
      </c>
      <c r="I34" t="s">
        <v>8</v>
      </c>
      <c r="J34" s="1">
        <v>0</v>
      </c>
      <c r="K34" s="1">
        <v>4.9542558144771798</v>
      </c>
      <c r="L34" s="1">
        <f t="shared" si="0"/>
        <v>0.96875</v>
      </c>
      <c r="M34" s="1">
        <f t="shared" si="1"/>
        <v>9.9085116289543596</v>
      </c>
      <c r="AB34" s="3"/>
      <c r="AC34">
        <v>123373</v>
      </c>
      <c r="AD34" s="1">
        <v>0.328125</v>
      </c>
      <c r="AE34" s="1">
        <v>11.0878</v>
      </c>
      <c r="AF34" s="1">
        <f t="shared" si="2"/>
        <v>0.65625</v>
      </c>
      <c r="AG34" s="1">
        <f t="shared" si="3"/>
        <v>11.0878</v>
      </c>
    </row>
    <row r="35" spans="1:33">
      <c r="A35" t="s">
        <v>18</v>
      </c>
      <c r="L35" s="1"/>
      <c r="M35" s="1"/>
      <c r="AB35" s="3"/>
      <c r="AC35">
        <v>25212</v>
      </c>
      <c r="AD35" s="1">
        <v>0.34375</v>
      </c>
      <c r="AE35" s="1">
        <v>10.833600000000001</v>
      </c>
      <c r="AF35" s="1">
        <f t="shared" si="2"/>
        <v>0.6875</v>
      </c>
      <c r="AG35" s="1">
        <f t="shared" si="3"/>
        <v>10.833600000000001</v>
      </c>
    </row>
    <row r="36" spans="1:33">
      <c r="A36" t="s">
        <v>4</v>
      </c>
      <c r="B36">
        <v>0</v>
      </c>
      <c r="C36" t="s">
        <v>5</v>
      </c>
      <c r="D36">
        <v>0</v>
      </c>
      <c r="E36" t="s">
        <v>6</v>
      </c>
      <c r="F36" s="1">
        <v>1.5625E-2</v>
      </c>
      <c r="G36" t="s">
        <v>7</v>
      </c>
      <c r="H36" s="1">
        <v>0.5</v>
      </c>
      <c r="I36" t="s">
        <v>8</v>
      </c>
      <c r="J36" s="1">
        <v>0</v>
      </c>
      <c r="K36" s="1">
        <v>8.2688674911035491</v>
      </c>
      <c r="L36" s="1">
        <f t="shared" si="0"/>
        <v>3.125E-2</v>
      </c>
      <c r="M36" s="1">
        <f t="shared" si="1"/>
        <v>16.537734982207098</v>
      </c>
      <c r="AB36" s="3"/>
      <c r="AC36">
        <v>123376</v>
      </c>
      <c r="AD36" s="1">
        <v>0.359375</v>
      </c>
      <c r="AE36" s="1">
        <v>10.535399999999999</v>
      </c>
      <c r="AF36" s="1">
        <f t="shared" si="2"/>
        <v>0.71875</v>
      </c>
      <c r="AG36" s="1">
        <f t="shared" si="3"/>
        <v>10.535399999999999</v>
      </c>
    </row>
    <row r="37" spans="1:33">
      <c r="A37" t="s">
        <v>4</v>
      </c>
      <c r="B37">
        <v>0</v>
      </c>
      <c r="C37" t="s">
        <v>5</v>
      </c>
      <c r="D37">
        <v>1</v>
      </c>
      <c r="E37" t="s">
        <v>6</v>
      </c>
      <c r="F37" s="1">
        <v>4.6875E-2</v>
      </c>
      <c r="G37" t="s">
        <v>7</v>
      </c>
      <c r="H37" s="1">
        <v>0.5</v>
      </c>
      <c r="I37" t="s">
        <v>8</v>
      </c>
      <c r="J37" s="1">
        <v>0</v>
      </c>
      <c r="K37" s="1">
        <v>8.2266154468189594</v>
      </c>
      <c r="L37" s="1">
        <f t="shared" si="0"/>
        <v>9.375E-2</v>
      </c>
      <c r="M37" s="1">
        <f t="shared" si="1"/>
        <v>16.453230893637919</v>
      </c>
      <c r="AB37" s="3"/>
      <c r="AC37">
        <v>25213</v>
      </c>
      <c r="AD37" s="1">
        <v>0.375</v>
      </c>
      <c r="AE37" s="1">
        <v>10.2372</v>
      </c>
      <c r="AF37" s="1">
        <f t="shared" si="2"/>
        <v>0.75</v>
      </c>
      <c r="AG37" s="1">
        <f t="shared" si="3"/>
        <v>10.2372</v>
      </c>
    </row>
    <row r="38" spans="1:33">
      <c r="A38" t="s">
        <v>4</v>
      </c>
      <c r="B38">
        <v>0</v>
      </c>
      <c r="C38" t="s">
        <v>5</v>
      </c>
      <c r="D38">
        <v>2</v>
      </c>
      <c r="E38" t="s">
        <v>6</v>
      </c>
      <c r="F38" s="1">
        <v>7.8125E-2</v>
      </c>
      <c r="G38" t="s">
        <v>7</v>
      </c>
      <c r="H38" s="1">
        <v>0.5</v>
      </c>
      <c r="I38" t="s">
        <v>8</v>
      </c>
      <c r="J38" s="1">
        <v>0</v>
      </c>
      <c r="K38" s="1">
        <v>8.1281977381388195</v>
      </c>
      <c r="L38" s="1">
        <f t="shared" si="0"/>
        <v>0.15625</v>
      </c>
      <c r="M38" s="1">
        <f t="shared" si="1"/>
        <v>16.256395476277639</v>
      </c>
      <c r="AB38" s="3"/>
      <c r="AC38">
        <v>123379</v>
      </c>
      <c r="AD38" s="1">
        <v>0.390625</v>
      </c>
      <c r="AE38" s="1">
        <v>9.8813800000000001</v>
      </c>
      <c r="AF38" s="1">
        <f t="shared" si="2"/>
        <v>0.78125</v>
      </c>
      <c r="AG38" s="1">
        <f t="shared" si="3"/>
        <v>9.8813800000000001</v>
      </c>
    </row>
    <row r="39" spans="1:33">
      <c r="A39" t="s">
        <v>4</v>
      </c>
      <c r="B39">
        <v>0</v>
      </c>
      <c r="C39" t="s">
        <v>5</v>
      </c>
      <c r="D39">
        <v>3</v>
      </c>
      <c r="E39" t="s">
        <v>6</v>
      </c>
      <c r="F39" s="1">
        <v>0.109375</v>
      </c>
      <c r="G39" t="s">
        <v>7</v>
      </c>
      <c r="H39" s="1">
        <v>0.5</v>
      </c>
      <c r="I39" t="s">
        <v>8</v>
      </c>
      <c r="J39" s="1">
        <v>0</v>
      </c>
      <c r="K39" s="1">
        <v>8.0777703963593304</v>
      </c>
      <c r="L39" s="1">
        <f t="shared" si="0"/>
        <v>0.21875</v>
      </c>
      <c r="M39" s="1">
        <f t="shared" si="1"/>
        <v>16.155540792718661</v>
      </c>
      <c r="AB39" s="3"/>
      <c r="AC39">
        <v>25214</v>
      </c>
      <c r="AD39" s="1">
        <v>0.40625</v>
      </c>
      <c r="AE39" s="1">
        <v>9.5255299999999998</v>
      </c>
      <c r="AF39" s="1">
        <f t="shared" si="2"/>
        <v>0.8125</v>
      </c>
      <c r="AG39" s="1">
        <f t="shared" si="3"/>
        <v>9.5255299999999998</v>
      </c>
    </row>
    <row r="40" spans="1:33">
      <c r="A40" t="s">
        <v>4</v>
      </c>
      <c r="B40">
        <v>0</v>
      </c>
      <c r="C40" t="s">
        <v>5</v>
      </c>
      <c r="D40">
        <v>4</v>
      </c>
      <c r="E40" t="s">
        <v>6</v>
      </c>
      <c r="F40" s="1">
        <v>0.140625</v>
      </c>
      <c r="G40" t="s">
        <v>7</v>
      </c>
      <c r="H40" s="1">
        <v>0.5</v>
      </c>
      <c r="I40" t="s">
        <v>8</v>
      </c>
      <c r="J40" s="1">
        <v>0</v>
      </c>
      <c r="K40" s="1">
        <v>7.8260677685178903</v>
      </c>
      <c r="L40" s="1">
        <f t="shared" si="0"/>
        <v>0.28125</v>
      </c>
      <c r="M40" s="1">
        <f t="shared" si="1"/>
        <v>15.652135537035781</v>
      </c>
      <c r="AB40" s="3"/>
      <c r="AC40">
        <v>123382</v>
      </c>
      <c r="AD40" s="1">
        <v>0.421875</v>
      </c>
      <c r="AE40" s="1">
        <v>9.1795799999999996</v>
      </c>
      <c r="AF40" s="1">
        <f t="shared" si="2"/>
        <v>0.84375</v>
      </c>
      <c r="AG40" s="1">
        <f t="shared" si="3"/>
        <v>9.1795799999999996</v>
      </c>
    </row>
    <row r="41" spans="1:33">
      <c r="A41" t="s">
        <v>4</v>
      </c>
      <c r="B41">
        <v>0</v>
      </c>
      <c r="C41" t="s">
        <v>5</v>
      </c>
      <c r="D41">
        <v>5</v>
      </c>
      <c r="E41" t="s">
        <v>6</v>
      </c>
      <c r="F41" s="1">
        <v>0.171875</v>
      </c>
      <c r="G41" t="s">
        <v>7</v>
      </c>
      <c r="H41" s="1">
        <v>0.5</v>
      </c>
      <c r="I41" t="s">
        <v>8</v>
      </c>
      <c r="J41" s="1">
        <v>0</v>
      </c>
      <c r="K41" s="1">
        <v>7.6330097870390698</v>
      </c>
      <c r="L41" s="1">
        <f t="shared" si="0"/>
        <v>0.34375</v>
      </c>
      <c r="M41" s="1">
        <f t="shared" si="1"/>
        <v>15.26601957407814</v>
      </c>
      <c r="AB41" s="3"/>
      <c r="AC41">
        <v>25215</v>
      </c>
      <c r="AD41" s="1">
        <v>0.4375</v>
      </c>
      <c r="AE41" s="1">
        <v>8.8336199999999998</v>
      </c>
      <c r="AF41" s="1">
        <f t="shared" si="2"/>
        <v>0.875</v>
      </c>
      <c r="AG41" s="1">
        <f t="shared" si="3"/>
        <v>8.8336199999999998</v>
      </c>
    </row>
    <row r="42" spans="1:33">
      <c r="A42" t="s">
        <v>4</v>
      </c>
      <c r="B42">
        <v>0</v>
      </c>
      <c r="C42" t="s">
        <v>5</v>
      </c>
      <c r="D42">
        <v>6</v>
      </c>
      <c r="E42" t="s">
        <v>6</v>
      </c>
      <c r="F42" s="1">
        <v>0.203125</v>
      </c>
      <c r="G42" t="s">
        <v>7</v>
      </c>
      <c r="H42" s="1">
        <v>0.5</v>
      </c>
      <c r="I42" t="s">
        <v>8</v>
      </c>
      <c r="J42" s="1">
        <v>0</v>
      </c>
      <c r="K42" s="1">
        <v>7.5278458873499803</v>
      </c>
      <c r="L42" s="1">
        <f t="shared" si="0"/>
        <v>0.40625</v>
      </c>
      <c r="M42" s="1">
        <f t="shared" si="1"/>
        <v>15.055691774699961</v>
      </c>
      <c r="AB42" s="3"/>
      <c r="AC42">
        <v>123385</v>
      </c>
      <c r="AD42" s="1">
        <v>0.453125</v>
      </c>
      <c r="AE42" s="1">
        <v>7.9292999999999996</v>
      </c>
      <c r="AF42" s="1">
        <f t="shared" si="2"/>
        <v>0.90625</v>
      </c>
      <c r="AG42" s="1">
        <f t="shared" si="3"/>
        <v>7.9292999999999996</v>
      </c>
    </row>
    <row r="43" spans="1:33">
      <c r="A43" t="s">
        <v>4</v>
      </c>
      <c r="B43">
        <v>0</v>
      </c>
      <c r="C43" t="s">
        <v>5</v>
      </c>
      <c r="D43">
        <v>7</v>
      </c>
      <c r="E43" t="s">
        <v>6</v>
      </c>
      <c r="F43" s="1">
        <v>0.234375</v>
      </c>
      <c r="G43" t="s">
        <v>7</v>
      </c>
      <c r="H43" s="1">
        <v>0.5</v>
      </c>
      <c r="I43" t="s">
        <v>8</v>
      </c>
      <c r="J43" s="1">
        <v>0</v>
      </c>
      <c r="K43" s="1">
        <v>7.0666530554026901</v>
      </c>
      <c r="L43" s="1">
        <f t="shared" si="0"/>
        <v>0.46875</v>
      </c>
      <c r="M43" s="1">
        <f t="shared" si="1"/>
        <v>14.13330611080538</v>
      </c>
      <c r="AB43" s="3"/>
      <c r="AC43">
        <v>25216</v>
      </c>
      <c r="AD43" s="1">
        <v>0.46875</v>
      </c>
      <c r="AE43" s="1">
        <v>7.0249800000000002</v>
      </c>
      <c r="AF43" s="1">
        <f t="shared" si="2"/>
        <v>0.9375</v>
      </c>
      <c r="AG43" s="1">
        <f t="shared" si="3"/>
        <v>7.0249800000000002</v>
      </c>
    </row>
    <row r="44" spans="1:33">
      <c r="A44" t="s">
        <v>4</v>
      </c>
      <c r="B44">
        <v>0</v>
      </c>
      <c r="C44" t="s">
        <v>5</v>
      </c>
      <c r="D44">
        <v>8</v>
      </c>
      <c r="E44" t="s">
        <v>6</v>
      </c>
      <c r="F44" s="1">
        <v>0.265625</v>
      </c>
      <c r="G44" t="s">
        <v>7</v>
      </c>
      <c r="H44" s="1">
        <v>0.5</v>
      </c>
      <c r="I44" t="s">
        <v>8</v>
      </c>
      <c r="J44" s="1">
        <v>0</v>
      </c>
      <c r="K44" s="1">
        <v>6.70599351550573</v>
      </c>
      <c r="L44" s="1">
        <f t="shared" si="0"/>
        <v>0.53125</v>
      </c>
      <c r="M44" s="1">
        <f t="shared" si="1"/>
        <v>13.41198703101146</v>
      </c>
      <c r="AB44" s="3"/>
      <c r="AC44">
        <v>123388</v>
      </c>
      <c r="AD44" s="1">
        <v>0.484375</v>
      </c>
      <c r="AE44" s="1">
        <v>6.2415000000000003</v>
      </c>
      <c r="AF44" s="1">
        <f t="shared" si="2"/>
        <v>0.96875</v>
      </c>
      <c r="AG44" s="1">
        <f t="shared" si="3"/>
        <v>6.2415000000000003</v>
      </c>
    </row>
    <row r="45" spans="1:33">
      <c r="A45" t="s">
        <v>4</v>
      </c>
      <c r="B45">
        <v>0</v>
      </c>
      <c r="C45" t="s">
        <v>5</v>
      </c>
      <c r="D45">
        <v>9</v>
      </c>
      <c r="E45" t="s">
        <v>6</v>
      </c>
      <c r="F45" s="1">
        <v>0.296875</v>
      </c>
      <c r="G45" t="s">
        <v>7</v>
      </c>
      <c r="H45" s="1">
        <v>0.5</v>
      </c>
      <c r="I45" t="s">
        <v>8</v>
      </c>
      <c r="J45" s="1">
        <v>0</v>
      </c>
      <c r="K45" s="1">
        <v>6.3895958609229</v>
      </c>
      <c r="L45" s="1">
        <f t="shared" si="0"/>
        <v>0.59375</v>
      </c>
      <c r="M45" s="1">
        <f t="shared" si="1"/>
        <v>12.7791917218458</v>
      </c>
      <c r="AB45" s="4"/>
      <c r="AC45">
        <v>25217</v>
      </c>
      <c r="AD45" s="1">
        <v>0.5</v>
      </c>
      <c r="AE45" s="1">
        <v>5.4580200000000003</v>
      </c>
      <c r="AF45" s="1">
        <f t="shared" si="2"/>
        <v>1</v>
      </c>
      <c r="AG45" s="1">
        <f t="shared" si="3"/>
        <v>5.4580200000000003</v>
      </c>
    </row>
    <row r="46" spans="1:33">
      <c r="A46" t="s">
        <v>4</v>
      </c>
      <c r="B46">
        <v>0</v>
      </c>
      <c r="C46" t="s">
        <v>5</v>
      </c>
      <c r="D46">
        <v>10</v>
      </c>
      <c r="E46" t="s">
        <v>6</v>
      </c>
      <c r="F46" s="1">
        <v>0.328125</v>
      </c>
      <c r="G46" t="s">
        <v>7</v>
      </c>
      <c r="H46" s="1">
        <v>0.5</v>
      </c>
      <c r="I46" t="s">
        <v>8</v>
      </c>
      <c r="J46" s="1">
        <v>0</v>
      </c>
      <c r="K46" s="1">
        <v>6.1019627461760297</v>
      </c>
      <c r="L46" s="1">
        <f t="shared" si="0"/>
        <v>0.65625</v>
      </c>
      <c r="M46" s="1">
        <f t="shared" si="1"/>
        <v>12.203925492352059</v>
      </c>
    </row>
    <row r="47" spans="1:33">
      <c r="A47" t="s">
        <v>4</v>
      </c>
      <c r="B47">
        <v>0</v>
      </c>
      <c r="C47" t="s">
        <v>5</v>
      </c>
      <c r="D47">
        <v>11</v>
      </c>
      <c r="E47" t="s">
        <v>6</v>
      </c>
      <c r="F47" s="1">
        <v>0.359375</v>
      </c>
      <c r="G47" t="s">
        <v>7</v>
      </c>
      <c r="H47" s="1">
        <v>0.5</v>
      </c>
      <c r="I47" t="s">
        <v>8</v>
      </c>
      <c r="J47" s="1">
        <v>0</v>
      </c>
      <c r="K47" s="1">
        <v>5.4551939077291003</v>
      </c>
      <c r="L47" s="1">
        <f t="shared" si="0"/>
        <v>0.71875</v>
      </c>
      <c r="M47" s="1">
        <f t="shared" si="1"/>
        <v>10.910387815458201</v>
      </c>
    </row>
    <row r="48" spans="1:33">
      <c r="A48" t="s">
        <v>4</v>
      </c>
      <c r="B48">
        <v>0</v>
      </c>
      <c r="C48" t="s">
        <v>5</v>
      </c>
      <c r="D48">
        <v>12</v>
      </c>
      <c r="E48" t="s">
        <v>6</v>
      </c>
      <c r="F48" s="1">
        <v>0.390625</v>
      </c>
      <c r="G48" t="s">
        <v>7</v>
      </c>
      <c r="H48" s="1">
        <v>0.5</v>
      </c>
      <c r="I48" t="s">
        <v>8</v>
      </c>
      <c r="J48" s="1">
        <v>0</v>
      </c>
      <c r="K48" s="1">
        <v>4.7393162199289396</v>
      </c>
      <c r="L48" s="1">
        <f t="shared" si="0"/>
        <v>0.78125</v>
      </c>
      <c r="M48" s="1">
        <f t="shared" si="1"/>
        <v>9.4786324398578792</v>
      </c>
    </row>
    <row r="49" spans="1:13">
      <c r="A49" t="s">
        <v>4</v>
      </c>
      <c r="B49">
        <v>0</v>
      </c>
      <c r="C49" t="s">
        <v>5</v>
      </c>
      <c r="D49">
        <v>13</v>
      </c>
      <c r="E49" t="s">
        <v>6</v>
      </c>
      <c r="F49" s="1">
        <v>0.421875</v>
      </c>
      <c r="G49" t="s">
        <v>7</v>
      </c>
      <c r="H49" s="1">
        <v>0.5</v>
      </c>
      <c r="I49" t="s">
        <v>8</v>
      </c>
      <c r="J49" s="1">
        <v>0</v>
      </c>
      <c r="K49" s="1">
        <v>4.5810807133725504</v>
      </c>
      <c r="L49" s="1">
        <f t="shared" si="0"/>
        <v>0.84375</v>
      </c>
      <c r="M49" s="1">
        <f t="shared" si="1"/>
        <v>9.1621614267451008</v>
      </c>
    </row>
    <row r="50" spans="1:13">
      <c r="A50" t="s">
        <v>4</v>
      </c>
      <c r="B50">
        <v>0</v>
      </c>
      <c r="C50" t="s">
        <v>5</v>
      </c>
      <c r="D50">
        <v>14</v>
      </c>
      <c r="E50" t="s">
        <v>6</v>
      </c>
      <c r="F50" s="1">
        <v>0.453125</v>
      </c>
      <c r="G50" t="s">
        <v>7</v>
      </c>
      <c r="H50" s="1">
        <v>0.5</v>
      </c>
      <c r="I50" t="s">
        <v>8</v>
      </c>
      <c r="J50" s="1">
        <v>0</v>
      </c>
      <c r="K50" s="1">
        <v>6.6731386768201997</v>
      </c>
      <c r="L50" s="1">
        <f t="shared" si="0"/>
        <v>0.90625</v>
      </c>
      <c r="M50" s="1">
        <f t="shared" si="1"/>
        <v>13.346277353640399</v>
      </c>
    </row>
    <row r="51" spans="1:13">
      <c r="A51" t="s">
        <v>4</v>
      </c>
      <c r="B51">
        <v>0</v>
      </c>
      <c r="C51" t="s">
        <v>5</v>
      </c>
      <c r="D51">
        <v>15</v>
      </c>
      <c r="E51" t="s">
        <v>6</v>
      </c>
      <c r="F51" s="1">
        <v>0.484375</v>
      </c>
      <c r="G51" t="s">
        <v>7</v>
      </c>
      <c r="H51" s="1">
        <v>0.5</v>
      </c>
      <c r="I51" t="s">
        <v>8</v>
      </c>
      <c r="J51" s="1">
        <v>0</v>
      </c>
      <c r="K51" s="1">
        <v>4.8365156244876797</v>
      </c>
      <c r="L51" s="1">
        <f t="shared" si="0"/>
        <v>0.96875</v>
      </c>
      <c r="M51" s="1">
        <f t="shared" si="1"/>
        <v>9.6730312489753594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5E498-8CDB-4525-8C97-727CD356767F}">
  <dimension ref="A1:AN61"/>
  <sheetViews>
    <sheetView topLeftCell="I14" zoomScale="80" zoomScaleNormal="80" workbookViewId="0">
      <selection activeCell="A36" sqref="A36"/>
    </sheetView>
  </sheetViews>
  <sheetFormatPr defaultRowHeight="18"/>
  <cols>
    <col min="6" max="6" width="9" bestFit="1" customWidth="1"/>
    <col min="8" max="8" width="9" bestFit="1" customWidth="1"/>
    <col min="10" max="11" width="9.5" bestFit="1" customWidth="1"/>
    <col min="12" max="12" width="9" bestFit="1" customWidth="1"/>
    <col min="13" max="13" width="9.5" bestFit="1" customWidth="1"/>
    <col min="29" max="29" width="9" bestFit="1" customWidth="1"/>
    <col min="30" max="33" width="10.19921875" bestFit="1" customWidth="1"/>
    <col min="39" max="40" width="9.5" bestFit="1" customWidth="1"/>
  </cols>
  <sheetData>
    <row r="1" spans="1:40">
      <c r="A1" t="s">
        <v>16</v>
      </c>
      <c r="AB1" s="3" t="s">
        <v>19</v>
      </c>
      <c r="AC1" t="s">
        <v>20</v>
      </c>
      <c r="AI1" s="3" t="s">
        <v>19</v>
      </c>
      <c r="AJ1" t="s">
        <v>20</v>
      </c>
    </row>
    <row r="2" spans="1:40">
      <c r="A2" t="s">
        <v>4</v>
      </c>
      <c r="B2">
        <v>0</v>
      </c>
      <c r="C2" t="s">
        <v>5</v>
      </c>
      <c r="D2">
        <v>0</v>
      </c>
      <c r="E2" t="s">
        <v>6</v>
      </c>
      <c r="F2" s="1">
        <v>1.5625E-2</v>
      </c>
      <c r="G2" t="s">
        <v>7</v>
      </c>
      <c r="H2" s="1">
        <v>0.5</v>
      </c>
      <c r="I2" t="s">
        <v>8</v>
      </c>
      <c r="J2" s="1">
        <v>0</v>
      </c>
      <c r="K2" s="1">
        <v>28.540453037514101</v>
      </c>
      <c r="L2" s="1">
        <f>2*F2</f>
        <v>3.125E-2</v>
      </c>
      <c r="M2" s="1">
        <f>K2/2</f>
        <v>14.270226518757051</v>
      </c>
      <c r="AB2" s="3" t="s">
        <v>21</v>
      </c>
      <c r="AI2" s="3" t="s">
        <v>21</v>
      </c>
    </row>
    <row r="3" spans="1:40">
      <c r="A3" t="s">
        <v>4</v>
      </c>
      <c r="B3">
        <v>0</v>
      </c>
      <c r="C3" t="s">
        <v>5</v>
      </c>
      <c r="D3">
        <v>1</v>
      </c>
      <c r="E3" t="s">
        <v>6</v>
      </c>
      <c r="F3" s="1">
        <v>4.6875E-2</v>
      </c>
      <c r="G3" t="s">
        <v>7</v>
      </c>
      <c r="H3" s="1">
        <v>0.5</v>
      </c>
      <c r="I3" t="s">
        <v>8</v>
      </c>
      <c r="J3" s="1">
        <v>0</v>
      </c>
      <c r="K3" s="1">
        <v>28.508444737590601</v>
      </c>
      <c r="L3" s="1">
        <f t="shared" ref="L3:L51" si="0">2*F3</f>
        <v>9.375E-2</v>
      </c>
      <c r="M3" s="1">
        <f t="shared" ref="M3:M17" si="1">K3/2</f>
        <v>14.2542223687953</v>
      </c>
      <c r="AB3" s="3" t="s">
        <v>22</v>
      </c>
      <c r="AC3" t="s">
        <v>23</v>
      </c>
      <c r="AD3">
        <v>89</v>
      </c>
      <c r="AI3" s="3" t="s">
        <v>22</v>
      </c>
      <c r="AJ3" t="s">
        <v>23</v>
      </c>
      <c r="AK3">
        <v>88</v>
      </c>
    </row>
    <row r="4" spans="1:40">
      <c r="A4" t="s">
        <v>4</v>
      </c>
      <c r="B4">
        <v>0</v>
      </c>
      <c r="C4" t="s">
        <v>5</v>
      </c>
      <c r="D4">
        <v>2</v>
      </c>
      <c r="E4" t="s">
        <v>6</v>
      </c>
      <c r="F4" s="1">
        <v>7.8125E-2</v>
      </c>
      <c r="G4" t="s">
        <v>7</v>
      </c>
      <c r="H4" s="1">
        <v>0.5</v>
      </c>
      <c r="I4" t="s">
        <v>8</v>
      </c>
      <c r="J4" s="1">
        <v>0</v>
      </c>
      <c r="K4" s="1">
        <v>28.271998617775399</v>
      </c>
      <c r="L4" s="1">
        <f t="shared" si="0"/>
        <v>0.15625</v>
      </c>
      <c r="M4" s="1">
        <f t="shared" si="1"/>
        <v>14.135999308887699</v>
      </c>
      <c r="AB4" s="3" t="s">
        <v>24</v>
      </c>
      <c r="AC4" t="s">
        <v>23</v>
      </c>
      <c r="AD4" s="1">
        <v>1</v>
      </c>
      <c r="AI4" s="3" t="s">
        <v>24</v>
      </c>
      <c r="AJ4" t="s">
        <v>23</v>
      </c>
      <c r="AK4" s="1">
        <v>1</v>
      </c>
    </row>
    <row r="5" spans="1:40">
      <c r="A5" t="s">
        <v>4</v>
      </c>
      <c r="B5">
        <v>0</v>
      </c>
      <c r="C5" t="s">
        <v>5</v>
      </c>
      <c r="D5">
        <v>3</v>
      </c>
      <c r="E5" t="s">
        <v>6</v>
      </c>
      <c r="F5" s="1">
        <v>0.109375</v>
      </c>
      <c r="G5" t="s">
        <v>7</v>
      </c>
      <c r="H5" s="1">
        <v>0.5</v>
      </c>
      <c r="I5" t="s">
        <v>8</v>
      </c>
      <c r="J5" s="1">
        <v>0</v>
      </c>
      <c r="K5" s="1">
        <v>27.946817762842201</v>
      </c>
      <c r="L5" s="1">
        <f t="shared" si="0"/>
        <v>0.21875</v>
      </c>
      <c r="M5" s="1">
        <f t="shared" si="1"/>
        <v>13.973408881421101</v>
      </c>
      <c r="AB5" s="3" t="s">
        <v>25</v>
      </c>
      <c r="AC5" t="s">
        <v>23</v>
      </c>
      <c r="AD5" s="1">
        <v>0</v>
      </c>
      <c r="AI5" s="3" t="s">
        <v>25</v>
      </c>
      <c r="AJ5" t="s">
        <v>23</v>
      </c>
      <c r="AK5" s="1">
        <v>0</v>
      </c>
    </row>
    <row r="6" spans="1:40">
      <c r="A6" t="s">
        <v>4</v>
      </c>
      <c r="B6">
        <v>0</v>
      </c>
      <c r="C6" t="s">
        <v>5</v>
      </c>
      <c r="D6">
        <v>4</v>
      </c>
      <c r="E6" t="s">
        <v>6</v>
      </c>
      <c r="F6" s="1">
        <v>0.140625</v>
      </c>
      <c r="G6" t="s">
        <v>7</v>
      </c>
      <c r="H6" s="1">
        <v>0.5</v>
      </c>
      <c r="I6" t="s">
        <v>8</v>
      </c>
      <c r="J6" s="1">
        <v>0</v>
      </c>
      <c r="K6" s="1">
        <v>27.609124170932699</v>
      </c>
      <c r="L6" s="1">
        <f t="shared" si="0"/>
        <v>0.28125</v>
      </c>
      <c r="M6" s="1">
        <f t="shared" si="1"/>
        <v>13.804562085466349</v>
      </c>
      <c r="AB6" s="2"/>
      <c r="AI6" s="2"/>
    </row>
    <row r="7" spans="1:40">
      <c r="A7" t="s">
        <v>4</v>
      </c>
      <c r="B7">
        <v>0</v>
      </c>
      <c r="C7" t="s">
        <v>5</v>
      </c>
      <c r="D7">
        <v>5</v>
      </c>
      <c r="E7" t="s">
        <v>6</v>
      </c>
      <c r="F7" s="1">
        <v>0.171875</v>
      </c>
      <c r="G7" t="s">
        <v>7</v>
      </c>
      <c r="H7" s="1">
        <v>0.5</v>
      </c>
      <c r="I7" t="s">
        <v>8</v>
      </c>
      <c r="J7" s="1">
        <v>0</v>
      </c>
      <c r="K7" s="1">
        <v>27.109601787545301</v>
      </c>
      <c r="L7" s="1">
        <f t="shared" si="0"/>
        <v>0.34375</v>
      </c>
      <c r="M7" s="1">
        <f t="shared" si="1"/>
        <v>13.554800893772651</v>
      </c>
      <c r="AB7" s="3" t="s">
        <v>26</v>
      </c>
      <c r="AC7">
        <v>1</v>
      </c>
      <c r="AI7" s="3" t="s">
        <v>26</v>
      </c>
      <c r="AJ7">
        <v>1</v>
      </c>
    </row>
    <row r="8" spans="1:40">
      <c r="A8" t="s">
        <v>4</v>
      </c>
      <c r="B8">
        <v>0</v>
      </c>
      <c r="C8" t="s">
        <v>5</v>
      </c>
      <c r="D8">
        <v>6</v>
      </c>
      <c r="E8" t="s">
        <v>6</v>
      </c>
      <c r="F8" s="1">
        <v>0.203125</v>
      </c>
      <c r="G8" t="s">
        <v>7</v>
      </c>
      <c r="H8" s="1">
        <v>0.5</v>
      </c>
      <c r="I8" t="s">
        <v>8</v>
      </c>
      <c r="J8" s="1">
        <v>0</v>
      </c>
      <c r="K8" s="1">
        <v>26.476860792216701</v>
      </c>
      <c r="L8" s="1">
        <f t="shared" si="0"/>
        <v>0.40625</v>
      </c>
      <c r="M8" s="1">
        <f t="shared" si="1"/>
        <v>13.238430396108351</v>
      </c>
      <c r="AB8" s="3" t="s">
        <v>27</v>
      </c>
      <c r="AC8" t="s">
        <v>23</v>
      </c>
      <c r="AD8" t="s">
        <v>28</v>
      </c>
      <c r="AE8" t="s">
        <v>29</v>
      </c>
      <c r="AI8" s="3" t="s">
        <v>27</v>
      </c>
      <c r="AJ8" t="s">
        <v>23</v>
      </c>
      <c r="AK8" t="s">
        <v>28</v>
      </c>
      <c r="AL8" t="s">
        <v>29</v>
      </c>
    </row>
    <row r="9" spans="1:40">
      <c r="A9" t="s">
        <v>4</v>
      </c>
      <c r="B9">
        <v>0</v>
      </c>
      <c r="C9" t="s">
        <v>5</v>
      </c>
      <c r="D9">
        <v>7</v>
      </c>
      <c r="E9" t="s">
        <v>6</v>
      </c>
      <c r="F9" s="1">
        <v>0.234375</v>
      </c>
      <c r="G9" t="s">
        <v>7</v>
      </c>
      <c r="H9" s="1">
        <v>0.5</v>
      </c>
      <c r="I9" t="s">
        <v>8</v>
      </c>
      <c r="J9" s="1">
        <v>0</v>
      </c>
      <c r="K9" s="1">
        <v>25.909283937402002</v>
      </c>
      <c r="L9" s="1">
        <f t="shared" si="0"/>
        <v>0.46875</v>
      </c>
      <c r="M9" s="1">
        <f t="shared" si="1"/>
        <v>12.954641968701001</v>
      </c>
      <c r="AB9" s="3" t="s">
        <v>30</v>
      </c>
      <c r="AC9" t="s">
        <v>23</v>
      </c>
      <c r="AD9" t="s">
        <v>31</v>
      </c>
      <c r="AI9" s="3" t="s">
        <v>30</v>
      </c>
      <c r="AJ9" t="s">
        <v>23</v>
      </c>
      <c r="AK9" t="s">
        <v>31</v>
      </c>
    </row>
    <row r="10" spans="1:40">
      <c r="A10" t="s">
        <v>4</v>
      </c>
      <c r="B10">
        <v>0</v>
      </c>
      <c r="C10" t="s">
        <v>5</v>
      </c>
      <c r="D10">
        <v>8</v>
      </c>
      <c r="E10" t="s">
        <v>6</v>
      </c>
      <c r="F10" s="1">
        <v>0.265625</v>
      </c>
      <c r="G10" t="s">
        <v>7</v>
      </c>
      <c r="H10" s="1">
        <v>0.5</v>
      </c>
      <c r="I10" t="s">
        <v>8</v>
      </c>
      <c r="J10" s="1">
        <v>0</v>
      </c>
      <c r="K10" s="1">
        <v>25.151596121178201</v>
      </c>
      <c r="L10" s="1">
        <f t="shared" si="0"/>
        <v>0.53125</v>
      </c>
      <c r="M10" s="1">
        <f t="shared" si="1"/>
        <v>12.575798060589101</v>
      </c>
      <c r="AB10" s="2"/>
      <c r="AI10" s="2"/>
    </row>
    <row r="11" spans="1:40">
      <c r="A11" t="s">
        <v>4</v>
      </c>
      <c r="B11">
        <v>0</v>
      </c>
      <c r="C11" t="s">
        <v>5</v>
      </c>
      <c r="D11">
        <v>9</v>
      </c>
      <c r="E11" t="s">
        <v>6</v>
      </c>
      <c r="F11" s="1">
        <v>0.296875</v>
      </c>
      <c r="G11" t="s">
        <v>7</v>
      </c>
      <c r="H11" s="1">
        <v>0.5</v>
      </c>
      <c r="I11" t="s">
        <v>8</v>
      </c>
      <c r="J11" s="1">
        <v>0</v>
      </c>
      <c r="K11" s="1">
        <v>24.030235293896801</v>
      </c>
      <c r="L11" s="1">
        <f t="shared" si="0"/>
        <v>0.59375</v>
      </c>
      <c r="M11" s="1">
        <f t="shared" si="1"/>
        <v>12.015117646948401</v>
      </c>
      <c r="AB11" s="3"/>
      <c r="AC11" t="s">
        <v>32</v>
      </c>
      <c r="AD11" t="s">
        <v>27</v>
      </c>
      <c r="AE11" t="s">
        <v>30</v>
      </c>
      <c r="AI11" s="3"/>
      <c r="AJ11" t="s">
        <v>32</v>
      </c>
      <c r="AK11" t="s">
        <v>27</v>
      </c>
      <c r="AL11" t="s">
        <v>30</v>
      </c>
    </row>
    <row r="12" spans="1:40">
      <c r="A12" t="s">
        <v>4</v>
      </c>
      <c r="B12">
        <v>0</v>
      </c>
      <c r="C12" t="s">
        <v>5</v>
      </c>
      <c r="D12">
        <v>10</v>
      </c>
      <c r="E12" t="s">
        <v>6</v>
      </c>
      <c r="F12" s="1">
        <v>0.328125</v>
      </c>
      <c r="G12" t="s">
        <v>7</v>
      </c>
      <c r="H12" s="1">
        <v>0.5</v>
      </c>
      <c r="I12" t="s">
        <v>8</v>
      </c>
      <c r="J12" s="1">
        <v>0</v>
      </c>
      <c r="K12" s="1">
        <v>23.305487386433601</v>
      </c>
      <c r="L12" s="1">
        <f t="shared" si="0"/>
        <v>0.65625</v>
      </c>
      <c r="M12" s="1">
        <f t="shared" si="1"/>
        <v>11.6527436932168</v>
      </c>
      <c r="AB12" s="3" t="s">
        <v>33</v>
      </c>
      <c r="AI12" s="3" t="s">
        <v>33</v>
      </c>
    </row>
    <row r="13" spans="1:40">
      <c r="A13" t="s">
        <v>4</v>
      </c>
      <c r="B13">
        <v>0</v>
      </c>
      <c r="C13" t="s">
        <v>5</v>
      </c>
      <c r="D13">
        <v>11</v>
      </c>
      <c r="E13" t="s">
        <v>6</v>
      </c>
      <c r="F13" s="1">
        <v>0.359375</v>
      </c>
      <c r="G13" t="s">
        <v>7</v>
      </c>
      <c r="H13" s="1">
        <v>0.5</v>
      </c>
      <c r="I13" t="s">
        <v>8</v>
      </c>
      <c r="J13" s="1">
        <v>0</v>
      </c>
      <c r="K13" s="1">
        <v>22.265785519163899</v>
      </c>
      <c r="L13" s="1">
        <f t="shared" si="0"/>
        <v>0.71875</v>
      </c>
      <c r="M13" s="1">
        <f t="shared" si="1"/>
        <v>11.132892759581949</v>
      </c>
      <c r="AB13" s="3"/>
      <c r="AC13">
        <v>1394</v>
      </c>
      <c r="AD13" s="1">
        <v>0</v>
      </c>
      <c r="AE13" s="1">
        <v>13.5907</v>
      </c>
      <c r="AF13" s="1">
        <f>AD13*2</f>
        <v>0</v>
      </c>
      <c r="AG13" s="1">
        <f>AE13</f>
        <v>13.5907</v>
      </c>
      <c r="AI13" s="3"/>
      <c r="AJ13">
        <v>6</v>
      </c>
      <c r="AK13" s="1">
        <v>0</v>
      </c>
      <c r="AL13" s="1">
        <v>13.433400000000001</v>
      </c>
      <c r="AM13" s="1">
        <f>AK13*2</f>
        <v>0</v>
      </c>
      <c r="AN13" s="1">
        <f>AL13</f>
        <v>13.433400000000001</v>
      </c>
    </row>
    <row r="14" spans="1:40">
      <c r="A14" t="s">
        <v>4</v>
      </c>
      <c r="B14">
        <v>0</v>
      </c>
      <c r="C14" t="s">
        <v>5</v>
      </c>
      <c r="D14">
        <v>12</v>
      </c>
      <c r="E14" t="s">
        <v>6</v>
      </c>
      <c r="F14" s="1">
        <v>0.390625</v>
      </c>
      <c r="G14" t="s">
        <v>7</v>
      </c>
      <c r="H14" s="1">
        <v>0.5</v>
      </c>
      <c r="I14" t="s">
        <v>8</v>
      </c>
      <c r="J14" s="1">
        <v>0</v>
      </c>
      <c r="K14" s="1">
        <v>20.328137981168702</v>
      </c>
      <c r="L14" s="1">
        <f t="shared" si="0"/>
        <v>0.78125</v>
      </c>
      <c r="M14" s="1">
        <f t="shared" si="1"/>
        <v>10.164068990584351</v>
      </c>
      <c r="AB14" s="3"/>
      <c r="AC14">
        <v>53685</v>
      </c>
      <c r="AD14" s="1">
        <v>1.5625E-2</v>
      </c>
      <c r="AE14" s="1">
        <v>13.579800000000001</v>
      </c>
      <c r="AF14" s="1">
        <f t="shared" ref="AF14:AF45" si="2">AD14*2</f>
        <v>3.125E-2</v>
      </c>
      <c r="AG14" s="1">
        <f t="shared" ref="AG14:AG45" si="3">AE14</f>
        <v>13.579800000000001</v>
      </c>
      <c r="AI14" s="3"/>
      <c r="AJ14">
        <v>41448</v>
      </c>
      <c r="AK14" s="1">
        <v>1.0416699999999999E-2</v>
      </c>
      <c r="AL14" s="1">
        <v>13.428599999999999</v>
      </c>
      <c r="AM14" s="1">
        <f t="shared" ref="AM14:AM61" si="4">AK14*2</f>
        <v>2.0833399999999998E-2</v>
      </c>
      <c r="AN14" s="1">
        <f t="shared" ref="AN14:AN61" si="5">AL14</f>
        <v>13.428599999999999</v>
      </c>
    </row>
    <row r="15" spans="1:40">
      <c r="A15" t="s">
        <v>4</v>
      </c>
      <c r="B15">
        <v>0</v>
      </c>
      <c r="C15" t="s">
        <v>5</v>
      </c>
      <c r="D15">
        <v>13</v>
      </c>
      <c r="E15" t="s">
        <v>6</v>
      </c>
      <c r="F15" s="1">
        <v>0.421875</v>
      </c>
      <c r="G15" t="s">
        <v>7</v>
      </c>
      <c r="H15" s="1">
        <v>0.5</v>
      </c>
      <c r="I15" t="s">
        <v>8</v>
      </c>
      <c r="J15" s="1">
        <v>0</v>
      </c>
      <c r="K15" s="1">
        <v>19.0660499295943</v>
      </c>
      <c r="L15" s="1">
        <f t="shared" si="0"/>
        <v>0.84375</v>
      </c>
      <c r="M15" s="1">
        <f t="shared" si="1"/>
        <v>9.5330249647971499</v>
      </c>
      <c r="AB15" s="3"/>
      <c r="AC15">
        <v>25202</v>
      </c>
      <c r="AD15" s="1">
        <v>3.125E-2</v>
      </c>
      <c r="AE15" s="1">
        <v>13.5688</v>
      </c>
      <c r="AF15" s="1">
        <f t="shared" si="2"/>
        <v>6.25E-2</v>
      </c>
      <c r="AG15" s="1">
        <f t="shared" si="3"/>
        <v>13.5688</v>
      </c>
      <c r="AI15" s="3"/>
      <c r="AJ15">
        <v>5714</v>
      </c>
      <c r="AK15" s="1">
        <v>2.0833299999999999E-2</v>
      </c>
      <c r="AL15" s="1">
        <v>13.4238</v>
      </c>
      <c r="AM15" s="1">
        <f t="shared" si="4"/>
        <v>4.1666599999999998E-2</v>
      </c>
      <c r="AN15" s="1">
        <f t="shared" si="5"/>
        <v>13.4238</v>
      </c>
    </row>
    <row r="16" spans="1:40">
      <c r="A16" t="s">
        <v>4</v>
      </c>
      <c r="B16">
        <v>0</v>
      </c>
      <c r="C16" t="s">
        <v>5</v>
      </c>
      <c r="D16">
        <v>14</v>
      </c>
      <c r="E16" t="s">
        <v>6</v>
      </c>
      <c r="F16" s="1">
        <v>0.453125</v>
      </c>
      <c r="G16" t="s">
        <v>7</v>
      </c>
      <c r="H16" s="1">
        <v>0.5</v>
      </c>
      <c r="I16" t="s">
        <v>8</v>
      </c>
      <c r="J16" s="1">
        <v>0</v>
      </c>
      <c r="K16" s="1">
        <v>17.5366665415551</v>
      </c>
      <c r="L16" s="1">
        <f t="shared" si="0"/>
        <v>0.90625</v>
      </c>
      <c r="M16" s="1">
        <f t="shared" si="1"/>
        <v>8.7683332707775499</v>
      </c>
      <c r="AB16" s="3"/>
      <c r="AC16">
        <v>123346</v>
      </c>
      <c r="AD16" s="1">
        <v>4.6875E-2</v>
      </c>
      <c r="AE16" s="1">
        <v>13.5359</v>
      </c>
      <c r="AF16" s="1">
        <f t="shared" si="2"/>
        <v>9.375E-2</v>
      </c>
      <c r="AG16" s="1">
        <f t="shared" si="3"/>
        <v>13.5359</v>
      </c>
      <c r="AI16" s="3"/>
      <c r="AJ16">
        <v>58322</v>
      </c>
      <c r="AK16" s="1">
        <v>3.125E-2</v>
      </c>
      <c r="AL16" s="1">
        <v>13.4094</v>
      </c>
      <c r="AM16" s="1">
        <f t="shared" si="4"/>
        <v>6.25E-2</v>
      </c>
      <c r="AN16" s="1">
        <f t="shared" si="5"/>
        <v>13.4094</v>
      </c>
    </row>
    <row r="17" spans="1:40">
      <c r="A17" t="s">
        <v>4</v>
      </c>
      <c r="B17">
        <v>0</v>
      </c>
      <c r="C17" t="s">
        <v>5</v>
      </c>
      <c r="D17">
        <v>15</v>
      </c>
      <c r="E17" t="s">
        <v>6</v>
      </c>
      <c r="F17" s="1">
        <v>0.484375</v>
      </c>
      <c r="G17" t="s">
        <v>7</v>
      </c>
      <c r="H17" s="1">
        <v>0.5</v>
      </c>
      <c r="I17" t="s">
        <v>8</v>
      </c>
      <c r="J17" s="1">
        <v>0</v>
      </c>
      <c r="K17" s="1">
        <v>12.0207936115662</v>
      </c>
      <c r="L17" s="1">
        <f t="shared" si="0"/>
        <v>0.96875</v>
      </c>
      <c r="M17" s="1">
        <f t="shared" si="1"/>
        <v>6.0103968057830999</v>
      </c>
      <c r="AB17" s="3"/>
      <c r="AC17">
        <v>25203</v>
      </c>
      <c r="AD17" s="1">
        <v>6.25E-2</v>
      </c>
      <c r="AE17" s="1">
        <v>13.5031</v>
      </c>
      <c r="AF17" s="1">
        <f t="shared" si="2"/>
        <v>0.125</v>
      </c>
      <c r="AG17" s="1">
        <f t="shared" si="3"/>
        <v>13.5031</v>
      </c>
      <c r="AI17" s="3"/>
      <c r="AJ17">
        <v>5715</v>
      </c>
      <c r="AK17" s="1">
        <v>4.1666700000000001E-2</v>
      </c>
      <c r="AL17" s="1">
        <v>13.3949</v>
      </c>
      <c r="AM17" s="1">
        <f t="shared" si="4"/>
        <v>8.3333400000000002E-2</v>
      </c>
      <c r="AN17" s="1">
        <f t="shared" si="5"/>
        <v>13.3949</v>
      </c>
    </row>
    <row r="18" spans="1:40">
      <c r="A18" t="s">
        <v>17</v>
      </c>
      <c r="L18" s="1"/>
      <c r="M18" s="1"/>
      <c r="AB18" s="3"/>
      <c r="AC18">
        <v>123349</v>
      </c>
      <c r="AD18" s="1">
        <v>7.8125E-2</v>
      </c>
      <c r="AE18" s="1">
        <v>13.4482</v>
      </c>
      <c r="AF18" s="1">
        <f t="shared" si="2"/>
        <v>0.15625</v>
      </c>
      <c r="AG18" s="1">
        <f t="shared" si="3"/>
        <v>13.4482</v>
      </c>
      <c r="AI18" s="3"/>
      <c r="AJ18">
        <v>58326</v>
      </c>
      <c r="AK18" s="1">
        <v>5.2083299999999999E-2</v>
      </c>
      <c r="AL18" s="1">
        <v>13.370900000000001</v>
      </c>
      <c r="AM18" s="1">
        <f t="shared" si="4"/>
        <v>0.1041666</v>
      </c>
      <c r="AN18" s="1">
        <f t="shared" si="5"/>
        <v>13.370900000000001</v>
      </c>
    </row>
    <row r="19" spans="1:40">
      <c r="A19" t="s">
        <v>4</v>
      </c>
      <c r="B19">
        <v>0</v>
      </c>
      <c r="C19" t="s">
        <v>5</v>
      </c>
      <c r="D19">
        <v>0</v>
      </c>
      <c r="E19" t="s">
        <v>6</v>
      </c>
      <c r="F19" s="1">
        <v>1.5625E-2</v>
      </c>
      <c r="G19" t="s">
        <v>7</v>
      </c>
      <c r="H19" s="1">
        <v>0.5</v>
      </c>
      <c r="I19" t="s">
        <v>8</v>
      </c>
      <c r="J19" s="1">
        <v>0</v>
      </c>
      <c r="K19" s="1">
        <v>28.603486166113299</v>
      </c>
      <c r="L19" s="1">
        <f t="shared" si="0"/>
        <v>3.125E-2</v>
      </c>
      <c r="M19" s="1">
        <f>K19/2</f>
        <v>14.30174308305665</v>
      </c>
      <c r="AB19" s="3"/>
      <c r="AC19">
        <v>25204</v>
      </c>
      <c r="AD19" s="1">
        <v>9.375E-2</v>
      </c>
      <c r="AE19" s="1">
        <v>13.3934</v>
      </c>
      <c r="AF19" s="1">
        <f t="shared" si="2"/>
        <v>0.1875</v>
      </c>
      <c r="AG19" s="1">
        <f t="shared" si="3"/>
        <v>13.3934</v>
      </c>
      <c r="AI19" s="3"/>
      <c r="AJ19">
        <v>5716</v>
      </c>
      <c r="AK19" s="1">
        <v>6.25E-2</v>
      </c>
      <c r="AL19" s="1">
        <v>13.3468</v>
      </c>
      <c r="AM19" s="1">
        <f t="shared" si="4"/>
        <v>0.125</v>
      </c>
      <c r="AN19" s="1">
        <f t="shared" si="5"/>
        <v>13.3468</v>
      </c>
    </row>
    <row r="20" spans="1:40">
      <c r="A20" t="s">
        <v>4</v>
      </c>
      <c r="B20">
        <v>0</v>
      </c>
      <c r="C20" t="s">
        <v>5</v>
      </c>
      <c r="D20">
        <v>1</v>
      </c>
      <c r="E20" t="s">
        <v>6</v>
      </c>
      <c r="F20" s="1">
        <v>4.6875E-2</v>
      </c>
      <c r="G20" t="s">
        <v>7</v>
      </c>
      <c r="H20" s="1">
        <v>0.5</v>
      </c>
      <c r="I20" t="s">
        <v>8</v>
      </c>
      <c r="J20" s="1">
        <v>0</v>
      </c>
      <c r="K20" s="1">
        <v>28.521617598000802</v>
      </c>
      <c r="L20" s="1">
        <f t="shared" si="0"/>
        <v>9.375E-2</v>
      </c>
      <c r="M20" s="1">
        <f t="shared" ref="M20:M34" si="6">K20/2</f>
        <v>14.260808799000401</v>
      </c>
      <c r="AB20" s="3"/>
      <c r="AC20">
        <v>123352</v>
      </c>
      <c r="AD20" s="1">
        <v>0.109375</v>
      </c>
      <c r="AE20" s="1">
        <v>13.316599999999999</v>
      </c>
      <c r="AF20" s="1">
        <f t="shared" si="2"/>
        <v>0.21875</v>
      </c>
      <c r="AG20" s="1">
        <f t="shared" si="3"/>
        <v>13.316599999999999</v>
      </c>
      <c r="AI20" s="3"/>
      <c r="AJ20">
        <v>58330</v>
      </c>
      <c r="AK20" s="1">
        <v>7.2916700000000001E-2</v>
      </c>
      <c r="AL20" s="1">
        <v>13.3131</v>
      </c>
      <c r="AM20" s="1">
        <f t="shared" si="4"/>
        <v>0.1458334</v>
      </c>
      <c r="AN20" s="1">
        <f t="shared" si="5"/>
        <v>13.3131</v>
      </c>
    </row>
    <row r="21" spans="1:40">
      <c r="A21" t="s">
        <v>4</v>
      </c>
      <c r="B21">
        <v>0</v>
      </c>
      <c r="C21" t="s">
        <v>5</v>
      </c>
      <c r="D21">
        <v>2</v>
      </c>
      <c r="E21" t="s">
        <v>6</v>
      </c>
      <c r="F21" s="1">
        <v>7.8125E-2</v>
      </c>
      <c r="G21" t="s">
        <v>7</v>
      </c>
      <c r="H21" s="1">
        <v>0.5</v>
      </c>
      <c r="I21" t="s">
        <v>8</v>
      </c>
      <c r="J21" s="1">
        <v>0</v>
      </c>
      <c r="K21" s="1">
        <v>28.3098657283096</v>
      </c>
      <c r="L21" s="1">
        <f t="shared" si="0"/>
        <v>0.15625</v>
      </c>
      <c r="M21" s="1">
        <f t="shared" si="6"/>
        <v>14.1549328641548</v>
      </c>
      <c r="AB21" s="3"/>
      <c r="AC21">
        <v>25205</v>
      </c>
      <c r="AD21" s="1">
        <v>0.125</v>
      </c>
      <c r="AE21" s="1">
        <v>13.239699999999999</v>
      </c>
      <c r="AF21" s="1">
        <f t="shared" si="2"/>
        <v>0.25</v>
      </c>
      <c r="AG21" s="1">
        <f t="shared" si="3"/>
        <v>13.239699999999999</v>
      </c>
      <c r="AI21" s="3"/>
      <c r="AJ21">
        <v>5717</v>
      </c>
      <c r="AK21" s="1">
        <v>8.3333299999999999E-2</v>
      </c>
      <c r="AL21" s="1">
        <v>13.279500000000001</v>
      </c>
      <c r="AM21" s="1">
        <f t="shared" si="4"/>
        <v>0.1666666</v>
      </c>
      <c r="AN21" s="1">
        <f t="shared" si="5"/>
        <v>13.279500000000001</v>
      </c>
    </row>
    <row r="22" spans="1:40">
      <c r="A22" t="s">
        <v>4</v>
      </c>
      <c r="B22">
        <v>0</v>
      </c>
      <c r="C22" t="s">
        <v>5</v>
      </c>
      <c r="D22">
        <v>3</v>
      </c>
      <c r="E22" t="s">
        <v>6</v>
      </c>
      <c r="F22" s="1">
        <v>0.109375</v>
      </c>
      <c r="G22" t="s">
        <v>7</v>
      </c>
      <c r="H22" s="1">
        <v>0.5</v>
      </c>
      <c r="I22" t="s">
        <v>8</v>
      </c>
      <c r="J22" s="1">
        <v>0</v>
      </c>
      <c r="K22" s="1">
        <v>28.443956782164399</v>
      </c>
      <c r="L22" s="1">
        <f t="shared" si="0"/>
        <v>0.21875</v>
      </c>
      <c r="M22" s="1">
        <f t="shared" si="6"/>
        <v>14.2219783910822</v>
      </c>
      <c r="AB22" s="3"/>
      <c r="AC22">
        <v>123355</v>
      </c>
      <c r="AD22" s="1">
        <v>0.140625</v>
      </c>
      <c r="AE22" s="1">
        <v>13.140700000000001</v>
      </c>
      <c r="AF22" s="1">
        <f t="shared" si="2"/>
        <v>0.28125</v>
      </c>
      <c r="AG22" s="1">
        <f t="shared" si="3"/>
        <v>13.140700000000001</v>
      </c>
      <c r="AI22" s="3"/>
      <c r="AJ22">
        <v>58334</v>
      </c>
      <c r="AK22" s="1">
        <v>9.375E-2</v>
      </c>
      <c r="AL22" s="1">
        <v>13.2361</v>
      </c>
      <c r="AM22" s="1">
        <f t="shared" si="4"/>
        <v>0.1875</v>
      </c>
      <c r="AN22" s="1">
        <f t="shared" si="5"/>
        <v>13.2361</v>
      </c>
    </row>
    <row r="23" spans="1:40">
      <c r="A23" t="s">
        <v>4</v>
      </c>
      <c r="B23">
        <v>0</v>
      </c>
      <c r="C23" t="s">
        <v>5</v>
      </c>
      <c r="D23">
        <v>4</v>
      </c>
      <c r="E23" t="s">
        <v>6</v>
      </c>
      <c r="F23" s="1">
        <v>0.140625</v>
      </c>
      <c r="G23" t="s">
        <v>7</v>
      </c>
      <c r="H23" s="1">
        <v>0.5</v>
      </c>
      <c r="I23" t="s">
        <v>8</v>
      </c>
      <c r="J23" s="1">
        <v>0</v>
      </c>
      <c r="K23" s="1">
        <v>27.655869884670601</v>
      </c>
      <c r="L23" s="1">
        <f t="shared" si="0"/>
        <v>0.28125</v>
      </c>
      <c r="M23" s="1">
        <f t="shared" si="6"/>
        <v>13.8279349423353</v>
      </c>
      <c r="AB23" s="3"/>
      <c r="AC23">
        <v>25206</v>
      </c>
      <c r="AD23" s="1">
        <v>0.15625</v>
      </c>
      <c r="AE23" s="1">
        <v>13.041700000000001</v>
      </c>
      <c r="AF23" s="1">
        <f t="shared" si="2"/>
        <v>0.3125</v>
      </c>
      <c r="AG23" s="1">
        <f t="shared" si="3"/>
        <v>13.041700000000001</v>
      </c>
      <c r="AI23" s="3"/>
      <c r="AJ23">
        <v>5718</v>
      </c>
      <c r="AK23" s="1">
        <v>0.104167</v>
      </c>
      <c r="AL23" s="1">
        <v>13.1928</v>
      </c>
      <c r="AM23" s="1">
        <f t="shared" si="4"/>
        <v>0.20833399999999999</v>
      </c>
      <c r="AN23" s="1">
        <f t="shared" si="5"/>
        <v>13.1928</v>
      </c>
    </row>
    <row r="24" spans="1:40">
      <c r="A24" t="s">
        <v>4</v>
      </c>
      <c r="B24">
        <v>0</v>
      </c>
      <c r="C24" t="s">
        <v>5</v>
      </c>
      <c r="D24">
        <v>5</v>
      </c>
      <c r="E24" t="s">
        <v>6</v>
      </c>
      <c r="F24" s="1">
        <v>0.171875</v>
      </c>
      <c r="G24" t="s">
        <v>7</v>
      </c>
      <c r="H24" s="1">
        <v>0.5</v>
      </c>
      <c r="I24" t="s">
        <v>8</v>
      </c>
      <c r="J24" s="1">
        <v>0</v>
      </c>
      <c r="K24" s="1">
        <v>27.1413942923921</v>
      </c>
      <c r="L24" s="1">
        <f t="shared" si="0"/>
        <v>0.34375</v>
      </c>
      <c r="M24" s="1">
        <f t="shared" si="6"/>
        <v>13.57069714619605</v>
      </c>
      <c r="AB24" s="3"/>
      <c r="AC24">
        <v>123358</v>
      </c>
      <c r="AD24" s="1">
        <v>0.171875</v>
      </c>
      <c r="AE24" s="1">
        <v>12.920199999999999</v>
      </c>
      <c r="AF24" s="1">
        <f t="shared" si="2"/>
        <v>0.34375</v>
      </c>
      <c r="AG24" s="1">
        <f t="shared" si="3"/>
        <v>12.920199999999999</v>
      </c>
      <c r="AI24" s="3"/>
      <c r="AJ24">
        <v>58338</v>
      </c>
      <c r="AK24" s="1">
        <v>0.114583</v>
      </c>
      <c r="AL24" s="1">
        <v>13.139799999999999</v>
      </c>
      <c r="AM24" s="1">
        <f t="shared" si="4"/>
        <v>0.22916600000000001</v>
      </c>
      <c r="AN24" s="1">
        <f t="shared" si="5"/>
        <v>13.139799999999999</v>
      </c>
    </row>
    <row r="25" spans="1:40">
      <c r="A25" t="s">
        <v>4</v>
      </c>
      <c r="B25">
        <v>0</v>
      </c>
      <c r="C25" t="s">
        <v>5</v>
      </c>
      <c r="D25">
        <v>6</v>
      </c>
      <c r="E25" t="s">
        <v>6</v>
      </c>
      <c r="F25" s="1">
        <v>0.203125</v>
      </c>
      <c r="G25" t="s">
        <v>7</v>
      </c>
      <c r="H25" s="1">
        <v>0.5</v>
      </c>
      <c r="I25" t="s">
        <v>8</v>
      </c>
      <c r="J25" s="1">
        <v>0</v>
      </c>
      <c r="K25" s="1">
        <v>27.1075780060672</v>
      </c>
      <c r="L25" s="1">
        <f t="shared" si="0"/>
        <v>0.40625</v>
      </c>
      <c r="M25" s="1">
        <f t="shared" si="6"/>
        <v>13.5537890030336</v>
      </c>
      <c r="AB25" s="3"/>
      <c r="AC25">
        <v>25207</v>
      </c>
      <c r="AD25" s="1">
        <v>0.1875</v>
      </c>
      <c r="AE25" s="1">
        <v>12.7987</v>
      </c>
      <c r="AF25" s="1">
        <f t="shared" si="2"/>
        <v>0.375</v>
      </c>
      <c r="AG25" s="1">
        <f t="shared" si="3"/>
        <v>12.7987</v>
      </c>
      <c r="AI25" s="3"/>
      <c r="AJ25">
        <v>5719</v>
      </c>
      <c r="AK25" s="1">
        <v>0.125</v>
      </c>
      <c r="AL25" s="1">
        <v>13.0869</v>
      </c>
      <c r="AM25" s="1">
        <f t="shared" si="4"/>
        <v>0.25</v>
      </c>
      <c r="AN25" s="1">
        <f t="shared" si="5"/>
        <v>13.0869</v>
      </c>
    </row>
    <row r="26" spans="1:40">
      <c r="A26" t="s">
        <v>4</v>
      </c>
      <c r="B26">
        <v>0</v>
      </c>
      <c r="C26" t="s">
        <v>5</v>
      </c>
      <c r="D26">
        <v>7</v>
      </c>
      <c r="E26" t="s">
        <v>6</v>
      </c>
      <c r="F26" s="1">
        <v>0.234375</v>
      </c>
      <c r="G26" t="s">
        <v>7</v>
      </c>
      <c r="H26" s="1">
        <v>0.5</v>
      </c>
      <c r="I26" t="s">
        <v>8</v>
      </c>
      <c r="J26" s="1">
        <v>0</v>
      </c>
      <c r="K26" s="1">
        <v>25.930462069289501</v>
      </c>
      <c r="L26" s="1">
        <f t="shared" si="0"/>
        <v>0.46875</v>
      </c>
      <c r="M26" s="1">
        <f t="shared" si="6"/>
        <v>12.96523103464475</v>
      </c>
      <c r="AB26" s="3"/>
      <c r="AC26">
        <v>123361</v>
      </c>
      <c r="AD26" s="1">
        <v>0.203125</v>
      </c>
      <c r="AE26" s="1">
        <v>12.6541</v>
      </c>
      <c r="AF26" s="1">
        <f t="shared" si="2"/>
        <v>0.40625</v>
      </c>
      <c r="AG26" s="1">
        <f t="shared" si="3"/>
        <v>12.6541</v>
      </c>
      <c r="AI26" s="3"/>
      <c r="AJ26">
        <v>58342</v>
      </c>
      <c r="AK26" s="1">
        <v>0.13541700000000001</v>
      </c>
      <c r="AL26" s="1">
        <v>13.0242</v>
      </c>
      <c r="AM26" s="1">
        <f t="shared" si="4"/>
        <v>0.27083400000000002</v>
      </c>
      <c r="AN26" s="1">
        <f t="shared" si="5"/>
        <v>13.0242</v>
      </c>
    </row>
    <row r="27" spans="1:40">
      <c r="A27" t="s">
        <v>4</v>
      </c>
      <c r="B27">
        <v>0</v>
      </c>
      <c r="C27" t="s">
        <v>5</v>
      </c>
      <c r="D27">
        <v>8</v>
      </c>
      <c r="E27" t="s">
        <v>6</v>
      </c>
      <c r="F27" s="1">
        <v>0.265625</v>
      </c>
      <c r="G27" t="s">
        <v>7</v>
      </c>
      <c r="H27" s="1">
        <v>0.5</v>
      </c>
      <c r="I27" t="s">
        <v>8</v>
      </c>
      <c r="J27" s="1">
        <v>0</v>
      </c>
      <c r="K27" s="1">
        <v>25.0970483128824</v>
      </c>
      <c r="L27" s="1">
        <f t="shared" si="0"/>
        <v>0.53125</v>
      </c>
      <c r="M27" s="1">
        <f t="shared" si="6"/>
        <v>12.5485241564412</v>
      </c>
      <c r="AB27" s="3"/>
      <c r="AC27">
        <v>25208</v>
      </c>
      <c r="AD27" s="1">
        <v>0.21875</v>
      </c>
      <c r="AE27" s="1">
        <v>12.509499999999999</v>
      </c>
      <c r="AF27" s="1">
        <f t="shared" si="2"/>
        <v>0.4375</v>
      </c>
      <c r="AG27" s="1">
        <f t="shared" si="3"/>
        <v>12.509499999999999</v>
      </c>
      <c r="AI27" s="3"/>
      <c r="AJ27">
        <v>5720</v>
      </c>
      <c r="AK27" s="1">
        <v>0.14583299999999999</v>
      </c>
      <c r="AL27" s="1">
        <v>12.961499999999999</v>
      </c>
      <c r="AM27" s="1">
        <f t="shared" si="4"/>
        <v>0.29166599999999998</v>
      </c>
      <c r="AN27" s="1">
        <f t="shared" si="5"/>
        <v>12.961499999999999</v>
      </c>
    </row>
    <row r="28" spans="1:40">
      <c r="A28" t="s">
        <v>4</v>
      </c>
      <c r="B28">
        <v>0</v>
      </c>
      <c r="C28" t="s">
        <v>5</v>
      </c>
      <c r="D28">
        <v>9</v>
      </c>
      <c r="E28" t="s">
        <v>6</v>
      </c>
      <c r="F28" s="1">
        <v>0.296875</v>
      </c>
      <c r="G28" t="s">
        <v>7</v>
      </c>
      <c r="H28" s="1">
        <v>0.5</v>
      </c>
      <c r="I28" t="s">
        <v>8</v>
      </c>
      <c r="J28" s="1">
        <v>0</v>
      </c>
      <c r="K28" s="1">
        <v>24.510545385360199</v>
      </c>
      <c r="L28" s="1">
        <f t="shared" si="0"/>
        <v>0.59375</v>
      </c>
      <c r="M28" s="1">
        <f t="shared" si="6"/>
        <v>12.2552726926801</v>
      </c>
      <c r="AB28" s="3"/>
      <c r="AC28">
        <v>123364</v>
      </c>
      <c r="AD28" s="1">
        <v>0.234375</v>
      </c>
      <c r="AE28" s="1">
        <v>12.3408</v>
      </c>
      <c r="AF28" s="1">
        <f t="shared" si="2"/>
        <v>0.46875</v>
      </c>
      <c r="AG28" s="1">
        <f t="shared" si="3"/>
        <v>12.3408</v>
      </c>
      <c r="AI28" s="3"/>
      <c r="AJ28">
        <v>58346</v>
      </c>
      <c r="AK28" s="1">
        <v>0.15625</v>
      </c>
      <c r="AL28" s="1">
        <v>12.889099999999999</v>
      </c>
      <c r="AM28" s="1">
        <f t="shared" si="4"/>
        <v>0.3125</v>
      </c>
      <c r="AN28" s="1">
        <f t="shared" si="5"/>
        <v>12.889099999999999</v>
      </c>
    </row>
    <row r="29" spans="1:40">
      <c r="A29" t="s">
        <v>4</v>
      </c>
      <c r="B29">
        <v>0</v>
      </c>
      <c r="C29" t="s">
        <v>5</v>
      </c>
      <c r="D29">
        <v>10</v>
      </c>
      <c r="E29" t="s">
        <v>6</v>
      </c>
      <c r="F29" s="1">
        <v>0.328125</v>
      </c>
      <c r="G29" t="s">
        <v>7</v>
      </c>
      <c r="H29" s="1">
        <v>0.5</v>
      </c>
      <c r="I29" t="s">
        <v>8</v>
      </c>
      <c r="J29" s="1">
        <v>0</v>
      </c>
      <c r="K29" s="1">
        <v>23.529190844173201</v>
      </c>
      <c r="L29" s="1">
        <f t="shared" si="0"/>
        <v>0.65625</v>
      </c>
      <c r="M29" s="1">
        <f t="shared" si="6"/>
        <v>11.7645954220866</v>
      </c>
      <c r="AB29" s="3"/>
      <c r="AC29">
        <v>25209</v>
      </c>
      <c r="AD29" s="1">
        <v>0.25</v>
      </c>
      <c r="AE29" s="1">
        <v>12.1722</v>
      </c>
      <c r="AF29" s="1">
        <f t="shared" si="2"/>
        <v>0.5</v>
      </c>
      <c r="AG29" s="1">
        <f t="shared" si="3"/>
        <v>12.1722</v>
      </c>
      <c r="AI29" s="3"/>
      <c r="AJ29">
        <v>5721</v>
      </c>
      <c r="AK29" s="1">
        <v>0.16666700000000001</v>
      </c>
      <c r="AL29" s="1">
        <v>12.816800000000001</v>
      </c>
      <c r="AM29" s="1">
        <f t="shared" si="4"/>
        <v>0.33333400000000002</v>
      </c>
      <c r="AN29" s="1">
        <f t="shared" si="5"/>
        <v>12.816800000000001</v>
      </c>
    </row>
    <row r="30" spans="1:40">
      <c r="A30" t="s">
        <v>4</v>
      </c>
      <c r="B30">
        <v>0</v>
      </c>
      <c r="C30" t="s">
        <v>5</v>
      </c>
      <c r="D30">
        <v>11</v>
      </c>
      <c r="E30" t="s">
        <v>6</v>
      </c>
      <c r="F30" s="1">
        <v>0.359375</v>
      </c>
      <c r="G30" t="s">
        <v>7</v>
      </c>
      <c r="H30" s="1">
        <v>0.5</v>
      </c>
      <c r="I30" t="s">
        <v>8</v>
      </c>
      <c r="J30" s="1">
        <v>0</v>
      </c>
      <c r="K30" s="1">
        <v>22.192514809691001</v>
      </c>
      <c r="L30" s="1">
        <f t="shared" si="0"/>
        <v>0.71875</v>
      </c>
      <c r="M30" s="1">
        <f t="shared" si="6"/>
        <v>11.096257404845501</v>
      </c>
      <c r="AB30" s="3"/>
      <c r="AC30">
        <v>123367</v>
      </c>
      <c r="AD30" s="1">
        <v>0.265625</v>
      </c>
      <c r="AE30" s="1">
        <v>11.978400000000001</v>
      </c>
      <c r="AF30" s="1">
        <f t="shared" si="2"/>
        <v>0.53125</v>
      </c>
      <c r="AG30" s="1">
        <f t="shared" si="3"/>
        <v>11.978400000000001</v>
      </c>
      <c r="AI30" s="3"/>
      <c r="AJ30">
        <v>58350</v>
      </c>
      <c r="AK30" s="1">
        <v>0.17708299999999999</v>
      </c>
      <c r="AL30" s="1">
        <v>12.7346</v>
      </c>
      <c r="AM30" s="1">
        <f t="shared" si="4"/>
        <v>0.35416599999999998</v>
      </c>
      <c r="AN30" s="1">
        <f t="shared" si="5"/>
        <v>12.7346</v>
      </c>
    </row>
    <row r="31" spans="1:40">
      <c r="A31" t="s">
        <v>4</v>
      </c>
      <c r="B31">
        <v>0</v>
      </c>
      <c r="C31" t="s">
        <v>5</v>
      </c>
      <c r="D31">
        <v>12</v>
      </c>
      <c r="E31" t="s">
        <v>6</v>
      </c>
      <c r="F31" s="1">
        <v>0.390625</v>
      </c>
      <c r="G31" t="s">
        <v>7</v>
      </c>
      <c r="H31" s="1">
        <v>0.5</v>
      </c>
      <c r="I31" t="s">
        <v>8</v>
      </c>
      <c r="J31" s="1">
        <v>0</v>
      </c>
      <c r="K31" s="1">
        <v>21.0826885920515</v>
      </c>
      <c r="L31" s="1">
        <f t="shared" si="0"/>
        <v>0.78125</v>
      </c>
      <c r="M31" s="1">
        <f t="shared" si="6"/>
        <v>10.54134429602575</v>
      </c>
      <c r="AB31" s="3"/>
      <c r="AC31">
        <v>25210</v>
      </c>
      <c r="AD31" s="1">
        <v>0.28125</v>
      </c>
      <c r="AE31" s="1">
        <v>11.784599999999999</v>
      </c>
      <c r="AF31" s="1">
        <f t="shared" si="2"/>
        <v>0.5625</v>
      </c>
      <c r="AG31" s="1">
        <f t="shared" si="3"/>
        <v>11.784599999999999</v>
      </c>
      <c r="AI31" s="3"/>
      <c r="AJ31">
        <v>5722</v>
      </c>
      <c r="AK31" s="1">
        <v>0.1875</v>
      </c>
      <c r="AL31" s="1">
        <v>12.6524</v>
      </c>
      <c r="AM31" s="1">
        <f t="shared" si="4"/>
        <v>0.375</v>
      </c>
      <c r="AN31" s="1">
        <f t="shared" si="5"/>
        <v>12.6524</v>
      </c>
    </row>
    <row r="32" spans="1:40">
      <c r="A32" t="s">
        <v>4</v>
      </c>
      <c r="B32">
        <v>0</v>
      </c>
      <c r="C32" t="s">
        <v>5</v>
      </c>
      <c r="D32">
        <v>13</v>
      </c>
      <c r="E32" t="s">
        <v>6</v>
      </c>
      <c r="F32" s="1">
        <v>0.421875</v>
      </c>
      <c r="G32" t="s">
        <v>7</v>
      </c>
      <c r="H32" s="1">
        <v>0.5</v>
      </c>
      <c r="I32" t="s">
        <v>8</v>
      </c>
      <c r="J32" s="1">
        <v>0</v>
      </c>
      <c r="K32" s="1">
        <v>17.984943326833999</v>
      </c>
      <c r="L32" s="1">
        <f t="shared" si="0"/>
        <v>0.84375</v>
      </c>
      <c r="M32" s="1">
        <f t="shared" si="6"/>
        <v>8.9924716634169997</v>
      </c>
      <c r="AB32" s="3"/>
      <c r="AC32">
        <v>123370</v>
      </c>
      <c r="AD32" s="1">
        <v>0.296875</v>
      </c>
      <c r="AE32" s="1">
        <v>11.5633</v>
      </c>
      <c r="AF32" s="1">
        <f t="shared" si="2"/>
        <v>0.59375</v>
      </c>
      <c r="AG32" s="1">
        <f t="shared" si="3"/>
        <v>11.5633</v>
      </c>
      <c r="AI32" s="3"/>
      <c r="AJ32">
        <v>58354</v>
      </c>
      <c r="AK32" s="1">
        <v>0.19791700000000001</v>
      </c>
      <c r="AL32" s="1">
        <v>12.5604</v>
      </c>
      <c r="AM32" s="1">
        <f t="shared" si="4"/>
        <v>0.39583400000000002</v>
      </c>
      <c r="AN32" s="1">
        <f t="shared" si="5"/>
        <v>12.5604</v>
      </c>
    </row>
    <row r="33" spans="1:40">
      <c r="A33" t="s">
        <v>4</v>
      </c>
      <c r="B33">
        <v>0</v>
      </c>
      <c r="C33" t="s">
        <v>5</v>
      </c>
      <c r="D33">
        <v>14</v>
      </c>
      <c r="E33" t="s">
        <v>6</v>
      </c>
      <c r="F33" s="1">
        <v>0.453125</v>
      </c>
      <c r="G33" t="s">
        <v>7</v>
      </c>
      <c r="H33" s="1">
        <v>0.5</v>
      </c>
      <c r="I33" t="s">
        <v>8</v>
      </c>
      <c r="J33" s="1">
        <v>0</v>
      </c>
      <c r="K33" s="1">
        <v>20.382294082429201</v>
      </c>
      <c r="L33" s="1">
        <f t="shared" si="0"/>
        <v>0.90625</v>
      </c>
      <c r="M33" s="1">
        <f t="shared" si="6"/>
        <v>10.191147041214601</v>
      </c>
      <c r="AB33" s="3"/>
      <c r="AC33">
        <v>25211</v>
      </c>
      <c r="AD33" s="1">
        <v>0.3125</v>
      </c>
      <c r="AE33" s="1">
        <v>11.342000000000001</v>
      </c>
      <c r="AF33" s="1">
        <f t="shared" si="2"/>
        <v>0.625</v>
      </c>
      <c r="AG33" s="1">
        <f t="shared" si="3"/>
        <v>11.342000000000001</v>
      </c>
      <c r="AI33" s="3"/>
      <c r="AJ33">
        <v>5723</v>
      </c>
      <c r="AK33" s="1">
        <v>0.20833299999999999</v>
      </c>
      <c r="AL33" s="1">
        <v>12.468299999999999</v>
      </c>
      <c r="AM33" s="1">
        <f t="shared" si="4"/>
        <v>0.41666599999999998</v>
      </c>
      <c r="AN33" s="1">
        <f t="shared" si="5"/>
        <v>12.468299999999999</v>
      </c>
    </row>
    <row r="34" spans="1:40">
      <c r="A34" t="s">
        <v>4</v>
      </c>
      <c r="B34">
        <v>0</v>
      </c>
      <c r="C34" t="s">
        <v>5</v>
      </c>
      <c r="D34">
        <v>15</v>
      </c>
      <c r="E34" t="s">
        <v>6</v>
      </c>
      <c r="F34" s="1">
        <v>0.484375</v>
      </c>
      <c r="G34" t="s">
        <v>7</v>
      </c>
      <c r="H34" s="1">
        <v>0.5</v>
      </c>
      <c r="I34" t="s">
        <v>8</v>
      </c>
      <c r="J34" s="1">
        <v>0</v>
      </c>
      <c r="K34" s="1">
        <v>10.382953285412601</v>
      </c>
      <c r="L34" s="1">
        <f t="shared" si="0"/>
        <v>0.96875</v>
      </c>
      <c r="M34" s="1">
        <f t="shared" si="6"/>
        <v>5.1914766427063004</v>
      </c>
      <c r="AB34" s="3"/>
      <c r="AC34">
        <v>123373</v>
      </c>
      <c r="AD34" s="1">
        <v>0.328125</v>
      </c>
      <c r="AE34" s="1">
        <v>11.0878</v>
      </c>
      <c r="AF34" s="1">
        <f t="shared" si="2"/>
        <v>0.65625</v>
      </c>
      <c r="AG34" s="1">
        <f t="shared" si="3"/>
        <v>11.0878</v>
      </c>
      <c r="AI34" s="3"/>
      <c r="AJ34">
        <v>58358</v>
      </c>
      <c r="AK34" s="1">
        <v>0.21875</v>
      </c>
      <c r="AL34" s="1">
        <v>12.366099999999999</v>
      </c>
      <c r="AM34" s="1">
        <f t="shared" si="4"/>
        <v>0.4375</v>
      </c>
      <c r="AN34" s="1">
        <f t="shared" si="5"/>
        <v>12.366099999999999</v>
      </c>
    </row>
    <row r="35" spans="1:40">
      <c r="A35" t="s">
        <v>18</v>
      </c>
      <c r="L35" s="1"/>
      <c r="M35" s="1"/>
      <c r="AB35" s="3"/>
      <c r="AC35">
        <v>25212</v>
      </c>
      <c r="AD35" s="1">
        <v>0.34375</v>
      </c>
      <c r="AE35" s="1">
        <v>10.833600000000001</v>
      </c>
      <c r="AF35" s="1">
        <f t="shared" si="2"/>
        <v>0.6875</v>
      </c>
      <c r="AG35" s="1">
        <f t="shared" si="3"/>
        <v>10.833600000000001</v>
      </c>
      <c r="AI35" s="3"/>
      <c r="AJ35">
        <v>5724</v>
      </c>
      <c r="AK35" s="1">
        <v>0.22916700000000001</v>
      </c>
      <c r="AL35" s="1">
        <v>12.2639</v>
      </c>
      <c r="AM35" s="1">
        <f t="shared" si="4"/>
        <v>0.45833400000000002</v>
      </c>
      <c r="AN35" s="1">
        <f t="shared" si="5"/>
        <v>12.2639</v>
      </c>
    </row>
    <row r="36" spans="1:40">
      <c r="A36" t="s">
        <v>4</v>
      </c>
      <c r="B36">
        <v>0</v>
      </c>
      <c r="C36" t="s">
        <v>5</v>
      </c>
      <c r="D36">
        <v>0</v>
      </c>
      <c r="E36" t="s">
        <v>6</v>
      </c>
      <c r="F36" s="1">
        <v>1.5625E-2</v>
      </c>
      <c r="G36" t="s">
        <v>7</v>
      </c>
      <c r="H36" s="1">
        <v>0.5</v>
      </c>
      <c r="I36" t="s">
        <v>8</v>
      </c>
      <c r="J36" s="1">
        <v>0</v>
      </c>
      <c r="K36" s="1">
        <v>28.335203669091701</v>
      </c>
      <c r="L36" s="1">
        <f t="shared" si="0"/>
        <v>3.125E-2</v>
      </c>
      <c r="M36" s="1">
        <f>K36/2</f>
        <v>14.167601834545851</v>
      </c>
      <c r="AB36" s="3"/>
      <c r="AC36">
        <v>123376</v>
      </c>
      <c r="AD36" s="1">
        <v>0.359375</v>
      </c>
      <c r="AE36" s="1">
        <v>10.535399999999999</v>
      </c>
      <c r="AF36" s="1">
        <f t="shared" si="2"/>
        <v>0.71875</v>
      </c>
      <c r="AG36" s="1">
        <f t="shared" si="3"/>
        <v>10.535399999999999</v>
      </c>
      <c r="AI36" s="3"/>
      <c r="AJ36">
        <v>58362</v>
      </c>
      <c r="AK36" s="1">
        <v>0.23958299999999999</v>
      </c>
      <c r="AL36" s="1">
        <v>12.151300000000001</v>
      </c>
      <c r="AM36" s="1">
        <f t="shared" si="4"/>
        <v>0.47916599999999998</v>
      </c>
      <c r="AN36" s="1">
        <f t="shared" si="5"/>
        <v>12.151300000000001</v>
      </c>
    </row>
    <row r="37" spans="1:40">
      <c r="A37" t="s">
        <v>4</v>
      </c>
      <c r="B37">
        <v>0</v>
      </c>
      <c r="C37" t="s">
        <v>5</v>
      </c>
      <c r="D37">
        <v>1</v>
      </c>
      <c r="E37" t="s">
        <v>6</v>
      </c>
      <c r="F37" s="1">
        <v>4.6875E-2</v>
      </c>
      <c r="G37" t="s">
        <v>7</v>
      </c>
      <c r="H37" s="1">
        <v>0.5</v>
      </c>
      <c r="I37" t="s">
        <v>8</v>
      </c>
      <c r="J37" s="1">
        <v>0</v>
      </c>
      <c r="K37" s="1">
        <v>28.2642804184798</v>
      </c>
      <c r="L37" s="1">
        <f t="shared" si="0"/>
        <v>9.375E-2</v>
      </c>
      <c r="M37" s="1">
        <f t="shared" ref="M37:M51" si="7">K37/2</f>
        <v>14.1321402092399</v>
      </c>
      <c r="AB37" s="3"/>
      <c r="AC37">
        <v>25213</v>
      </c>
      <c r="AD37" s="1">
        <v>0.375</v>
      </c>
      <c r="AE37" s="1">
        <v>10.2372</v>
      </c>
      <c r="AF37" s="1">
        <f t="shared" si="2"/>
        <v>0.75</v>
      </c>
      <c r="AG37" s="1">
        <f t="shared" si="3"/>
        <v>10.2372</v>
      </c>
      <c r="AI37" s="3"/>
      <c r="AJ37">
        <v>5725</v>
      </c>
      <c r="AK37" s="1">
        <v>0.25</v>
      </c>
      <c r="AL37" s="1">
        <v>12.0387</v>
      </c>
      <c r="AM37" s="1">
        <f t="shared" si="4"/>
        <v>0.5</v>
      </c>
      <c r="AN37" s="1">
        <f t="shared" si="5"/>
        <v>12.0387</v>
      </c>
    </row>
    <row r="38" spans="1:40">
      <c r="A38" t="s">
        <v>4</v>
      </c>
      <c r="B38">
        <v>0</v>
      </c>
      <c r="C38" t="s">
        <v>5</v>
      </c>
      <c r="D38">
        <v>2</v>
      </c>
      <c r="E38" t="s">
        <v>6</v>
      </c>
      <c r="F38" s="1">
        <v>7.8125E-2</v>
      </c>
      <c r="G38" t="s">
        <v>7</v>
      </c>
      <c r="H38" s="1">
        <v>0.5</v>
      </c>
      <c r="I38" t="s">
        <v>8</v>
      </c>
      <c r="J38" s="1">
        <v>0</v>
      </c>
      <c r="K38" s="1">
        <v>28.540507291194199</v>
      </c>
      <c r="L38" s="1">
        <f t="shared" si="0"/>
        <v>0.15625</v>
      </c>
      <c r="M38" s="1">
        <f t="shared" si="7"/>
        <v>14.2702536455971</v>
      </c>
      <c r="AB38" s="3"/>
      <c r="AC38">
        <v>123379</v>
      </c>
      <c r="AD38" s="1">
        <v>0.390625</v>
      </c>
      <c r="AE38" s="1">
        <v>9.8813800000000001</v>
      </c>
      <c r="AF38" s="1">
        <f t="shared" si="2"/>
        <v>0.78125</v>
      </c>
      <c r="AG38" s="1">
        <f t="shared" si="3"/>
        <v>9.8813800000000001</v>
      </c>
      <c r="AI38" s="3"/>
      <c r="AJ38">
        <v>58366</v>
      </c>
      <c r="AK38" s="1">
        <v>0.26041700000000001</v>
      </c>
      <c r="AL38" s="1">
        <v>11.915100000000001</v>
      </c>
      <c r="AM38" s="1">
        <f t="shared" si="4"/>
        <v>0.52083400000000002</v>
      </c>
      <c r="AN38" s="1">
        <f t="shared" si="5"/>
        <v>11.915100000000001</v>
      </c>
    </row>
    <row r="39" spans="1:40">
      <c r="A39" t="s">
        <v>4</v>
      </c>
      <c r="B39">
        <v>0</v>
      </c>
      <c r="C39" t="s">
        <v>5</v>
      </c>
      <c r="D39">
        <v>3</v>
      </c>
      <c r="E39" t="s">
        <v>6</v>
      </c>
      <c r="F39" s="1">
        <v>0.109375</v>
      </c>
      <c r="G39" t="s">
        <v>7</v>
      </c>
      <c r="H39" s="1">
        <v>0.5</v>
      </c>
      <c r="I39" t="s">
        <v>8</v>
      </c>
      <c r="J39" s="1">
        <v>0</v>
      </c>
      <c r="K39" s="1">
        <v>28.375165788930499</v>
      </c>
      <c r="L39" s="1">
        <f t="shared" si="0"/>
        <v>0.21875</v>
      </c>
      <c r="M39" s="1">
        <f t="shared" si="7"/>
        <v>14.187582894465249</v>
      </c>
      <c r="AB39" s="3"/>
      <c r="AC39">
        <v>25214</v>
      </c>
      <c r="AD39" s="1">
        <v>0.40625</v>
      </c>
      <c r="AE39" s="1">
        <v>9.5255299999999998</v>
      </c>
      <c r="AF39" s="1">
        <f t="shared" si="2"/>
        <v>0.8125</v>
      </c>
      <c r="AG39" s="1">
        <f t="shared" si="3"/>
        <v>9.5255299999999998</v>
      </c>
      <c r="AI39" s="3"/>
      <c r="AJ39">
        <v>5726</v>
      </c>
      <c r="AK39" s="1">
        <v>0.27083299999999999</v>
      </c>
      <c r="AL39" s="1">
        <v>11.791499999999999</v>
      </c>
      <c r="AM39" s="1">
        <f t="shared" si="4"/>
        <v>0.54166599999999998</v>
      </c>
      <c r="AN39" s="1">
        <f t="shared" si="5"/>
        <v>11.791499999999999</v>
      </c>
    </row>
    <row r="40" spans="1:40">
      <c r="A40" t="s">
        <v>4</v>
      </c>
      <c r="B40">
        <v>0</v>
      </c>
      <c r="C40" t="s">
        <v>5</v>
      </c>
      <c r="D40">
        <v>4</v>
      </c>
      <c r="E40" t="s">
        <v>6</v>
      </c>
      <c r="F40" s="1">
        <v>0.140625</v>
      </c>
      <c r="G40" t="s">
        <v>7</v>
      </c>
      <c r="H40" s="1">
        <v>0.5</v>
      </c>
      <c r="I40" t="s">
        <v>8</v>
      </c>
      <c r="J40" s="1">
        <v>0</v>
      </c>
      <c r="K40" s="1">
        <v>26.7157389522507</v>
      </c>
      <c r="L40" s="1">
        <f t="shared" si="0"/>
        <v>0.28125</v>
      </c>
      <c r="M40" s="1">
        <f t="shared" si="7"/>
        <v>13.35786947612535</v>
      </c>
      <c r="AB40" s="3"/>
      <c r="AC40">
        <v>123382</v>
      </c>
      <c r="AD40" s="1">
        <v>0.421875</v>
      </c>
      <c r="AE40" s="1">
        <v>9.1795799999999996</v>
      </c>
      <c r="AF40" s="1">
        <f t="shared" si="2"/>
        <v>0.84375</v>
      </c>
      <c r="AG40" s="1">
        <f t="shared" si="3"/>
        <v>9.1795799999999996</v>
      </c>
      <c r="AI40" s="3"/>
      <c r="AJ40">
        <v>58370</v>
      </c>
      <c r="AK40" s="1">
        <v>0.28125</v>
      </c>
      <c r="AL40" s="1">
        <v>11.656000000000001</v>
      </c>
      <c r="AM40" s="1">
        <f t="shared" si="4"/>
        <v>0.5625</v>
      </c>
      <c r="AN40" s="1">
        <f t="shared" si="5"/>
        <v>11.656000000000001</v>
      </c>
    </row>
    <row r="41" spans="1:40">
      <c r="A41" t="s">
        <v>4</v>
      </c>
      <c r="B41">
        <v>0</v>
      </c>
      <c r="C41" t="s">
        <v>5</v>
      </c>
      <c r="D41">
        <v>5</v>
      </c>
      <c r="E41" t="s">
        <v>6</v>
      </c>
      <c r="F41" s="1">
        <v>0.171875</v>
      </c>
      <c r="G41" t="s">
        <v>7</v>
      </c>
      <c r="H41" s="1">
        <v>0.5</v>
      </c>
      <c r="I41" t="s">
        <v>8</v>
      </c>
      <c r="J41" s="1">
        <v>0</v>
      </c>
      <c r="K41" s="1">
        <v>27.811461333534801</v>
      </c>
      <c r="L41" s="1">
        <f t="shared" si="0"/>
        <v>0.34375</v>
      </c>
      <c r="M41" s="1">
        <f t="shared" si="7"/>
        <v>13.905730666767401</v>
      </c>
      <c r="AB41" s="3"/>
      <c r="AC41">
        <v>25215</v>
      </c>
      <c r="AD41" s="1">
        <v>0.4375</v>
      </c>
      <c r="AE41" s="1">
        <v>8.8336199999999998</v>
      </c>
      <c r="AF41" s="1">
        <f t="shared" si="2"/>
        <v>0.875</v>
      </c>
      <c r="AG41" s="1">
        <f t="shared" si="3"/>
        <v>8.8336199999999998</v>
      </c>
      <c r="AI41" s="3"/>
      <c r="AJ41">
        <v>5727</v>
      </c>
      <c r="AK41" s="1">
        <v>0.29166700000000001</v>
      </c>
      <c r="AL41" s="1">
        <v>11.5205</v>
      </c>
      <c r="AM41" s="1">
        <f t="shared" si="4"/>
        <v>0.58333400000000002</v>
      </c>
      <c r="AN41" s="1">
        <f t="shared" si="5"/>
        <v>11.5205</v>
      </c>
    </row>
    <row r="42" spans="1:40">
      <c r="A42" t="s">
        <v>4</v>
      </c>
      <c r="B42">
        <v>0</v>
      </c>
      <c r="C42" t="s">
        <v>5</v>
      </c>
      <c r="D42">
        <v>6</v>
      </c>
      <c r="E42" t="s">
        <v>6</v>
      </c>
      <c r="F42" s="1">
        <v>0.203125</v>
      </c>
      <c r="G42" t="s">
        <v>7</v>
      </c>
      <c r="H42" s="1">
        <v>0.5</v>
      </c>
      <c r="I42" t="s">
        <v>8</v>
      </c>
      <c r="J42" s="1">
        <v>0</v>
      </c>
      <c r="K42" s="1">
        <v>27.004277633375199</v>
      </c>
      <c r="L42" s="1">
        <f t="shared" si="0"/>
        <v>0.40625</v>
      </c>
      <c r="M42" s="1">
        <f t="shared" si="7"/>
        <v>13.5021388166876</v>
      </c>
      <c r="AB42" s="3"/>
      <c r="AC42">
        <v>123385</v>
      </c>
      <c r="AD42" s="1">
        <v>0.453125</v>
      </c>
      <c r="AE42" s="1">
        <v>7.9292999999999996</v>
      </c>
      <c r="AF42" s="1">
        <f t="shared" si="2"/>
        <v>0.90625</v>
      </c>
      <c r="AG42" s="1">
        <f t="shared" si="3"/>
        <v>7.9292999999999996</v>
      </c>
      <c r="AI42" s="3"/>
      <c r="AJ42">
        <v>58374</v>
      </c>
      <c r="AK42" s="1">
        <v>0.30208299999999999</v>
      </c>
      <c r="AL42" s="1">
        <v>11.3714</v>
      </c>
      <c r="AM42" s="1">
        <f t="shared" si="4"/>
        <v>0.60416599999999998</v>
      </c>
      <c r="AN42" s="1">
        <f t="shared" si="5"/>
        <v>11.3714</v>
      </c>
    </row>
    <row r="43" spans="1:40">
      <c r="A43" t="s">
        <v>4</v>
      </c>
      <c r="B43">
        <v>0</v>
      </c>
      <c r="C43" t="s">
        <v>5</v>
      </c>
      <c r="D43">
        <v>7</v>
      </c>
      <c r="E43" t="s">
        <v>6</v>
      </c>
      <c r="F43" s="1">
        <v>0.234375</v>
      </c>
      <c r="G43" t="s">
        <v>7</v>
      </c>
      <c r="H43" s="1">
        <v>0.5</v>
      </c>
      <c r="I43" t="s">
        <v>8</v>
      </c>
      <c r="J43" s="1">
        <v>0</v>
      </c>
      <c r="K43" s="1">
        <v>24.363095969292001</v>
      </c>
      <c r="L43" s="1">
        <f t="shared" si="0"/>
        <v>0.46875</v>
      </c>
      <c r="M43" s="1">
        <f t="shared" si="7"/>
        <v>12.181547984646</v>
      </c>
      <c r="AB43" s="3"/>
      <c r="AC43">
        <v>25216</v>
      </c>
      <c r="AD43" s="1">
        <v>0.46875</v>
      </c>
      <c r="AE43" s="1">
        <v>7.0249800000000002</v>
      </c>
      <c r="AF43" s="1">
        <f t="shared" si="2"/>
        <v>0.9375</v>
      </c>
      <c r="AG43" s="1">
        <f t="shared" si="3"/>
        <v>7.0249800000000002</v>
      </c>
      <c r="AI43" s="3"/>
      <c r="AJ43">
        <v>5728</v>
      </c>
      <c r="AK43" s="1">
        <v>0.3125</v>
      </c>
      <c r="AL43" s="1">
        <v>11.222300000000001</v>
      </c>
      <c r="AM43" s="1">
        <f t="shared" si="4"/>
        <v>0.625</v>
      </c>
      <c r="AN43" s="1">
        <f t="shared" si="5"/>
        <v>11.222300000000001</v>
      </c>
    </row>
    <row r="44" spans="1:40">
      <c r="A44" t="s">
        <v>4</v>
      </c>
      <c r="B44">
        <v>0</v>
      </c>
      <c r="C44" t="s">
        <v>5</v>
      </c>
      <c r="D44">
        <v>8</v>
      </c>
      <c r="E44" t="s">
        <v>6</v>
      </c>
      <c r="F44" s="1">
        <v>0.265625</v>
      </c>
      <c r="G44" t="s">
        <v>7</v>
      </c>
      <c r="H44" s="1">
        <v>0.5</v>
      </c>
      <c r="I44" t="s">
        <v>8</v>
      </c>
      <c r="J44" s="1">
        <v>0</v>
      </c>
      <c r="K44" s="1">
        <v>26.1177604606602</v>
      </c>
      <c r="L44" s="1">
        <f t="shared" si="0"/>
        <v>0.53125</v>
      </c>
      <c r="M44" s="1">
        <f t="shared" si="7"/>
        <v>13.0588802303301</v>
      </c>
      <c r="AB44" s="3"/>
      <c r="AC44">
        <v>123388</v>
      </c>
      <c r="AD44" s="1">
        <v>0.484375</v>
      </c>
      <c r="AE44" s="1">
        <v>6.2415000000000003</v>
      </c>
      <c r="AF44" s="1">
        <f t="shared" si="2"/>
        <v>0.96875</v>
      </c>
      <c r="AG44" s="1">
        <f t="shared" si="3"/>
        <v>6.2415000000000003</v>
      </c>
      <c r="AI44" s="3"/>
      <c r="AJ44">
        <v>58378</v>
      </c>
      <c r="AK44" s="1">
        <v>0.32291700000000001</v>
      </c>
      <c r="AL44" s="1">
        <v>11.0572</v>
      </c>
      <c r="AM44" s="1">
        <f t="shared" si="4"/>
        <v>0.64583400000000002</v>
      </c>
      <c r="AN44" s="1">
        <f t="shared" si="5"/>
        <v>11.0572</v>
      </c>
    </row>
    <row r="45" spans="1:40">
      <c r="A45" t="s">
        <v>4</v>
      </c>
      <c r="B45">
        <v>0</v>
      </c>
      <c r="C45" t="s">
        <v>5</v>
      </c>
      <c r="D45">
        <v>9</v>
      </c>
      <c r="E45" t="s">
        <v>6</v>
      </c>
      <c r="F45" s="1">
        <v>0.296875</v>
      </c>
      <c r="G45" t="s">
        <v>7</v>
      </c>
      <c r="H45" s="1">
        <v>0.5</v>
      </c>
      <c r="I45" t="s">
        <v>8</v>
      </c>
      <c r="J45" s="1">
        <v>0</v>
      </c>
      <c r="K45" s="1">
        <v>24.194646548416099</v>
      </c>
      <c r="L45" s="1">
        <f t="shared" si="0"/>
        <v>0.59375</v>
      </c>
      <c r="M45" s="1">
        <f t="shared" si="7"/>
        <v>12.097323274208049</v>
      </c>
      <c r="AB45" s="4"/>
      <c r="AC45">
        <v>25217</v>
      </c>
      <c r="AD45" s="1">
        <v>0.5</v>
      </c>
      <c r="AE45" s="1">
        <v>5.4580200000000003</v>
      </c>
      <c r="AF45" s="1">
        <f t="shared" si="2"/>
        <v>1</v>
      </c>
      <c r="AG45" s="1">
        <f t="shared" si="3"/>
        <v>5.4580200000000003</v>
      </c>
      <c r="AI45" s="3"/>
      <c r="AJ45">
        <v>5729</v>
      </c>
      <c r="AK45" s="1">
        <v>0.33333299999999999</v>
      </c>
      <c r="AL45" s="1">
        <v>10.891999999999999</v>
      </c>
      <c r="AM45" s="1">
        <f t="shared" si="4"/>
        <v>0.66666599999999998</v>
      </c>
      <c r="AN45" s="1">
        <f t="shared" si="5"/>
        <v>10.891999999999999</v>
      </c>
    </row>
    <row r="46" spans="1:40">
      <c r="A46" t="s">
        <v>4</v>
      </c>
      <c r="B46">
        <v>0</v>
      </c>
      <c r="C46" t="s">
        <v>5</v>
      </c>
      <c r="D46">
        <v>10</v>
      </c>
      <c r="E46" t="s">
        <v>6</v>
      </c>
      <c r="F46" s="1">
        <v>0.328125</v>
      </c>
      <c r="G46" t="s">
        <v>7</v>
      </c>
      <c r="H46" s="1">
        <v>0.5</v>
      </c>
      <c r="I46" t="s">
        <v>8</v>
      </c>
      <c r="J46" s="1">
        <v>0</v>
      </c>
      <c r="K46" s="1">
        <v>21.4700684795821</v>
      </c>
      <c r="L46" s="1">
        <f t="shared" si="0"/>
        <v>0.65625</v>
      </c>
      <c r="M46" s="1">
        <f t="shared" si="7"/>
        <v>10.73503423979105</v>
      </c>
      <c r="AI46" s="3"/>
      <c r="AJ46">
        <v>58382</v>
      </c>
      <c r="AK46" s="1">
        <v>0.34375</v>
      </c>
      <c r="AL46" s="1">
        <v>10.707599999999999</v>
      </c>
      <c r="AM46" s="1">
        <f t="shared" si="4"/>
        <v>0.6875</v>
      </c>
      <c r="AN46" s="1">
        <f t="shared" si="5"/>
        <v>10.707599999999999</v>
      </c>
    </row>
    <row r="47" spans="1:40">
      <c r="A47" t="s">
        <v>4</v>
      </c>
      <c r="B47">
        <v>0</v>
      </c>
      <c r="C47" t="s">
        <v>5</v>
      </c>
      <c r="D47">
        <v>11</v>
      </c>
      <c r="E47" t="s">
        <v>6</v>
      </c>
      <c r="F47" s="1">
        <v>0.359375</v>
      </c>
      <c r="G47" t="s">
        <v>7</v>
      </c>
      <c r="H47" s="1">
        <v>0.5</v>
      </c>
      <c r="I47" t="s">
        <v>8</v>
      </c>
      <c r="J47" s="1">
        <v>0</v>
      </c>
      <c r="K47" s="1">
        <v>23.295561126362699</v>
      </c>
      <c r="L47" s="1">
        <f t="shared" si="0"/>
        <v>0.71875</v>
      </c>
      <c r="M47" s="1">
        <f t="shared" si="7"/>
        <v>11.64778056318135</v>
      </c>
      <c r="AI47" s="3"/>
      <c r="AJ47">
        <v>5730</v>
      </c>
      <c r="AK47" s="1">
        <v>0.35416700000000001</v>
      </c>
      <c r="AL47" s="1">
        <v>10.523099999999999</v>
      </c>
      <c r="AM47" s="1">
        <f t="shared" si="4"/>
        <v>0.70833400000000002</v>
      </c>
      <c r="AN47" s="1">
        <f t="shared" si="5"/>
        <v>10.523099999999999</v>
      </c>
    </row>
    <row r="48" spans="1:40">
      <c r="A48" t="s">
        <v>4</v>
      </c>
      <c r="B48">
        <v>0</v>
      </c>
      <c r="C48" t="s">
        <v>5</v>
      </c>
      <c r="D48">
        <v>12</v>
      </c>
      <c r="E48" t="s">
        <v>6</v>
      </c>
      <c r="F48" s="1">
        <v>0.390625</v>
      </c>
      <c r="G48" t="s">
        <v>7</v>
      </c>
      <c r="H48" s="1">
        <v>0.5</v>
      </c>
      <c r="I48" t="s">
        <v>8</v>
      </c>
      <c r="J48" s="1">
        <v>0</v>
      </c>
      <c r="K48" s="1">
        <v>20.955815880394599</v>
      </c>
      <c r="L48" s="1">
        <f t="shared" si="0"/>
        <v>0.78125</v>
      </c>
      <c r="M48" s="1">
        <f t="shared" si="7"/>
        <v>10.4779079401973</v>
      </c>
      <c r="AI48" s="3"/>
      <c r="AJ48">
        <v>58386</v>
      </c>
      <c r="AK48" s="1">
        <v>0.36458299999999999</v>
      </c>
      <c r="AL48" s="1">
        <v>10.3154</v>
      </c>
      <c r="AM48" s="1">
        <f t="shared" si="4"/>
        <v>0.72916599999999998</v>
      </c>
      <c r="AN48" s="1">
        <f t="shared" si="5"/>
        <v>10.3154</v>
      </c>
    </row>
    <row r="49" spans="1:40">
      <c r="A49" t="s">
        <v>4</v>
      </c>
      <c r="B49">
        <v>0</v>
      </c>
      <c r="C49" t="s">
        <v>5</v>
      </c>
      <c r="D49">
        <v>13</v>
      </c>
      <c r="E49" t="s">
        <v>6</v>
      </c>
      <c r="F49" s="1">
        <v>0.421875</v>
      </c>
      <c r="G49" t="s">
        <v>7</v>
      </c>
      <c r="H49" s="1">
        <v>0.5</v>
      </c>
      <c r="I49" t="s">
        <v>8</v>
      </c>
      <c r="J49" s="1">
        <v>0</v>
      </c>
      <c r="K49" s="1">
        <v>15.175039354000701</v>
      </c>
      <c r="L49" s="1">
        <f t="shared" si="0"/>
        <v>0.84375</v>
      </c>
      <c r="M49" s="1">
        <f t="shared" si="7"/>
        <v>7.5875196770003503</v>
      </c>
      <c r="AI49" s="3"/>
      <c r="AJ49">
        <v>5731</v>
      </c>
      <c r="AK49" s="1">
        <v>0.375</v>
      </c>
      <c r="AL49" s="1">
        <v>10.1076</v>
      </c>
      <c r="AM49" s="1">
        <f t="shared" si="4"/>
        <v>0.75</v>
      </c>
      <c r="AN49" s="1">
        <f t="shared" si="5"/>
        <v>10.1076</v>
      </c>
    </row>
    <row r="50" spans="1:40">
      <c r="A50" t="s">
        <v>4</v>
      </c>
      <c r="B50">
        <v>0</v>
      </c>
      <c r="C50" t="s">
        <v>5</v>
      </c>
      <c r="D50">
        <v>14</v>
      </c>
      <c r="E50" t="s">
        <v>6</v>
      </c>
      <c r="F50" s="1">
        <v>0.453125</v>
      </c>
      <c r="G50" t="s">
        <v>7</v>
      </c>
      <c r="H50" s="1">
        <v>0.5</v>
      </c>
      <c r="I50" t="s">
        <v>8</v>
      </c>
      <c r="J50" s="1">
        <v>0</v>
      </c>
      <c r="K50" s="1">
        <v>17.9866888413688</v>
      </c>
      <c r="L50" s="1">
        <f t="shared" si="0"/>
        <v>0.90625</v>
      </c>
      <c r="M50" s="1">
        <f t="shared" si="7"/>
        <v>8.9933444206843998</v>
      </c>
      <c r="AI50" s="3"/>
      <c r="AJ50">
        <v>58390</v>
      </c>
      <c r="AK50" s="1">
        <v>0.38541700000000001</v>
      </c>
      <c r="AL50" s="1">
        <v>9.8723100000000006</v>
      </c>
      <c r="AM50" s="1">
        <f t="shared" si="4"/>
        <v>0.77083400000000002</v>
      </c>
      <c r="AN50" s="1">
        <f t="shared" si="5"/>
        <v>9.8723100000000006</v>
      </c>
    </row>
    <row r="51" spans="1:40">
      <c r="A51" t="s">
        <v>4</v>
      </c>
      <c r="B51">
        <v>0</v>
      </c>
      <c r="C51" t="s">
        <v>5</v>
      </c>
      <c r="D51">
        <v>15</v>
      </c>
      <c r="E51" t="s">
        <v>6</v>
      </c>
      <c r="F51" s="1">
        <v>0.484375</v>
      </c>
      <c r="G51" t="s">
        <v>7</v>
      </c>
      <c r="H51" s="1">
        <v>0.5</v>
      </c>
      <c r="I51" t="s">
        <v>8</v>
      </c>
      <c r="J51" s="1">
        <v>0</v>
      </c>
      <c r="K51" s="1">
        <v>8.3103953039904503</v>
      </c>
      <c r="L51" s="1">
        <f t="shared" si="0"/>
        <v>0.96875</v>
      </c>
      <c r="M51" s="1">
        <f t="shared" si="7"/>
        <v>4.1551976519952252</v>
      </c>
      <c r="AI51" s="3"/>
      <c r="AJ51">
        <v>5732</v>
      </c>
      <c r="AK51" s="1">
        <v>0.39583299999999999</v>
      </c>
      <c r="AL51" s="1">
        <v>9.6369900000000008</v>
      </c>
      <c r="AM51" s="1">
        <f t="shared" si="4"/>
        <v>0.79166599999999998</v>
      </c>
      <c r="AN51" s="1">
        <f t="shared" si="5"/>
        <v>9.6369900000000008</v>
      </c>
    </row>
    <row r="52" spans="1:40">
      <c r="AI52" s="3"/>
      <c r="AJ52">
        <v>58394</v>
      </c>
      <c r="AK52" s="1">
        <v>0.40625</v>
      </c>
      <c r="AL52" s="1">
        <v>9.3722799999999999</v>
      </c>
      <c r="AM52" s="1">
        <f t="shared" si="4"/>
        <v>0.8125</v>
      </c>
      <c r="AN52" s="1">
        <f t="shared" si="5"/>
        <v>9.3722799999999999</v>
      </c>
    </row>
    <row r="53" spans="1:40">
      <c r="AI53" s="3"/>
      <c r="AJ53">
        <v>5733</v>
      </c>
      <c r="AK53" s="1">
        <v>0.41666700000000001</v>
      </c>
      <c r="AL53" s="1">
        <v>9.1075700000000008</v>
      </c>
      <c r="AM53" s="1">
        <f t="shared" si="4"/>
        <v>0.83333400000000002</v>
      </c>
      <c r="AN53" s="1">
        <f t="shared" si="5"/>
        <v>9.1075700000000008</v>
      </c>
    </row>
    <row r="54" spans="1:40">
      <c r="AI54" s="3"/>
      <c r="AJ54">
        <v>58398</v>
      </c>
      <c r="AK54" s="1">
        <v>0.42708299999999999</v>
      </c>
      <c r="AL54" s="1">
        <v>8.8015799999999995</v>
      </c>
      <c r="AM54" s="1">
        <f t="shared" si="4"/>
        <v>0.85416599999999998</v>
      </c>
      <c r="AN54" s="1">
        <f t="shared" si="5"/>
        <v>8.8015799999999995</v>
      </c>
    </row>
    <row r="55" spans="1:40">
      <c r="AI55" s="3"/>
      <c r="AJ55">
        <v>5734</v>
      </c>
      <c r="AK55" s="1">
        <v>0.4375</v>
      </c>
      <c r="AL55" s="1">
        <v>8.4955999999999996</v>
      </c>
      <c r="AM55" s="1">
        <f t="shared" si="4"/>
        <v>0.875</v>
      </c>
      <c r="AN55" s="1">
        <f t="shared" si="5"/>
        <v>8.4955999999999996</v>
      </c>
    </row>
    <row r="56" spans="1:40">
      <c r="AI56" s="3"/>
      <c r="AJ56">
        <v>58402</v>
      </c>
      <c r="AK56" s="1">
        <v>0.44791700000000001</v>
      </c>
      <c r="AL56" s="1">
        <v>8.2087299999999992</v>
      </c>
      <c r="AM56" s="1">
        <f t="shared" si="4"/>
        <v>0.89583400000000002</v>
      </c>
      <c r="AN56" s="1">
        <f t="shared" si="5"/>
        <v>8.2087299999999992</v>
      </c>
    </row>
    <row r="57" spans="1:40">
      <c r="AI57" s="3"/>
      <c r="AJ57">
        <v>5735</v>
      </c>
      <c r="AK57" s="1">
        <v>0.45833299999999999</v>
      </c>
      <c r="AL57" s="1">
        <v>7.9218599999999997</v>
      </c>
      <c r="AM57" s="1">
        <f t="shared" si="4"/>
        <v>0.91666599999999998</v>
      </c>
      <c r="AN57" s="1">
        <f t="shared" si="5"/>
        <v>7.9218599999999997</v>
      </c>
    </row>
    <row r="58" spans="1:40">
      <c r="AI58" s="3"/>
      <c r="AJ58">
        <v>58406</v>
      </c>
      <c r="AK58" s="1">
        <v>0.46875</v>
      </c>
      <c r="AL58" s="1">
        <v>6.7829300000000003</v>
      </c>
      <c r="AM58" s="1">
        <f t="shared" si="4"/>
        <v>0.9375</v>
      </c>
      <c r="AN58" s="1">
        <f t="shared" si="5"/>
        <v>6.7829300000000003</v>
      </c>
    </row>
    <row r="59" spans="1:40">
      <c r="AI59" s="3"/>
      <c r="AJ59">
        <v>5736</v>
      </c>
      <c r="AK59" s="1">
        <v>0.47916700000000001</v>
      </c>
      <c r="AL59" s="1">
        <v>5.6440000000000001</v>
      </c>
      <c r="AM59" s="1">
        <f t="shared" si="4"/>
        <v>0.95833400000000002</v>
      </c>
      <c r="AN59" s="1">
        <f t="shared" si="5"/>
        <v>5.6440000000000001</v>
      </c>
    </row>
    <row r="60" spans="1:40">
      <c r="AI60" s="3"/>
      <c r="AJ60">
        <v>58410</v>
      </c>
      <c r="AK60" s="1">
        <v>0.48958299999999999</v>
      </c>
      <c r="AL60" s="1">
        <v>5.7351599999999996</v>
      </c>
      <c r="AM60" s="1">
        <f t="shared" si="4"/>
        <v>0.97916599999999998</v>
      </c>
      <c r="AN60" s="1">
        <f t="shared" si="5"/>
        <v>5.7351599999999996</v>
      </c>
    </row>
    <row r="61" spans="1:40">
      <c r="AI61" s="4"/>
      <c r="AJ61">
        <v>5737</v>
      </c>
      <c r="AK61" s="1">
        <v>0.5</v>
      </c>
      <c r="AL61" s="1">
        <v>5.8263100000000003</v>
      </c>
      <c r="AM61" s="1">
        <f t="shared" si="4"/>
        <v>1</v>
      </c>
      <c r="AN61" s="1">
        <f t="shared" si="5"/>
        <v>5.8263100000000003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86CF2-422E-46E7-B0F1-59F1EA8894BB}">
  <dimension ref="A1:AN61"/>
  <sheetViews>
    <sheetView topLeftCell="E16" zoomScale="103" zoomScaleNormal="89" workbookViewId="0">
      <selection activeCell="U27" sqref="U27"/>
    </sheetView>
  </sheetViews>
  <sheetFormatPr defaultRowHeight="18"/>
  <cols>
    <col min="6" max="6" width="9" bestFit="1" customWidth="1"/>
    <col min="8" max="8" width="9" bestFit="1" customWidth="1"/>
    <col min="10" max="11" width="9.5" bestFit="1" customWidth="1"/>
    <col min="12" max="12" width="9" bestFit="1" customWidth="1"/>
    <col min="13" max="13" width="9.5" bestFit="1" customWidth="1"/>
    <col min="29" max="29" width="9" bestFit="1" customWidth="1"/>
    <col min="30" max="33" width="10.19921875" bestFit="1" customWidth="1"/>
    <col min="39" max="40" width="9.5" bestFit="1" customWidth="1"/>
  </cols>
  <sheetData>
    <row r="1" spans="1:40">
      <c r="A1" t="s">
        <v>16</v>
      </c>
      <c r="AB1" s="3" t="s">
        <v>19</v>
      </c>
      <c r="AC1" t="s">
        <v>20</v>
      </c>
      <c r="AI1" s="3" t="s">
        <v>19</v>
      </c>
      <c r="AJ1" t="s">
        <v>20</v>
      </c>
    </row>
    <row r="2" spans="1:40">
      <c r="A2" t="s">
        <v>4</v>
      </c>
      <c r="B2">
        <v>0</v>
      </c>
      <c r="C2" t="s">
        <v>5</v>
      </c>
      <c r="D2">
        <v>0</v>
      </c>
      <c r="E2" t="s">
        <v>6</v>
      </c>
      <c r="F2" s="1">
        <v>1.5625E-2</v>
      </c>
      <c r="G2" t="s">
        <v>7</v>
      </c>
      <c r="H2" s="1">
        <v>0.5</v>
      </c>
      <c r="I2" t="s">
        <v>8</v>
      </c>
      <c r="J2" s="1">
        <v>0</v>
      </c>
      <c r="K2" s="1">
        <v>28.540453037514101</v>
      </c>
      <c r="L2" s="1">
        <f>2*F2</f>
        <v>3.125E-2</v>
      </c>
      <c r="M2" s="1">
        <f>K2/2</f>
        <v>14.270226518757051</v>
      </c>
      <c r="AB2" s="3" t="s">
        <v>21</v>
      </c>
      <c r="AI2" s="3" t="s">
        <v>21</v>
      </c>
    </row>
    <row r="3" spans="1:40">
      <c r="A3" t="s">
        <v>4</v>
      </c>
      <c r="B3">
        <v>0</v>
      </c>
      <c r="C3" t="s">
        <v>5</v>
      </c>
      <c r="D3">
        <v>1</v>
      </c>
      <c r="E3" t="s">
        <v>6</v>
      </c>
      <c r="F3" s="1">
        <v>4.6875E-2</v>
      </c>
      <c r="G3" t="s">
        <v>7</v>
      </c>
      <c r="H3" s="1">
        <v>0.5</v>
      </c>
      <c r="I3" t="s">
        <v>8</v>
      </c>
      <c r="J3" s="1">
        <v>0</v>
      </c>
      <c r="K3" s="1">
        <v>28.508444737590601</v>
      </c>
      <c r="L3" s="1">
        <f t="shared" ref="L3:L51" si="0">2*F3</f>
        <v>9.375E-2</v>
      </c>
      <c r="M3" s="1">
        <f t="shared" ref="M3:M17" si="1">K3/2</f>
        <v>14.2542223687953</v>
      </c>
      <c r="AB3" s="3" t="s">
        <v>22</v>
      </c>
      <c r="AC3" t="s">
        <v>23</v>
      </c>
      <c r="AD3">
        <v>89</v>
      </c>
      <c r="AI3" s="3" t="s">
        <v>22</v>
      </c>
      <c r="AJ3" t="s">
        <v>23</v>
      </c>
      <c r="AK3">
        <v>88</v>
      </c>
    </row>
    <row r="4" spans="1:40">
      <c r="A4" t="s">
        <v>4</v>
      </c>
      <c r="B4">
        <v>0</v>
      </c>
      <c r="C4" t="s">
        <v>5</v>
      </c>
      <c r="D4">
        <v>2</v>
      </c>
      <c r="E4" t="s">
        <v>6</v>
      </c>
      <c r="F4" s="1">
        <v>7.8125E-2</v>
      </c>
      <c r="G4" t="s">
        <v>7</v>
      </c>
      <c r="H4" s="1">
        <v>0.5</v>
      </c>
      <c r="I4" t="s">
        <v>8</v>
      </c>
      <c r="J4" s="1">
        <v>0</v>
      </c>
      <c r="K4" s="1">
        <v>28.271998617775399</v>
      </c>
      <c r="L4" s="1">
        <f t="shared" si="0"/>
        <v>0.15625</v>
      </c>
      <c r="M4" s="1">
        <f t="shared" si="1"/>
        <v>14.135999308887699</v>
      </c>
      <c r="AB4" s="3" t="s">
        <v>24</v>
      </c>
      <c r="AC4" t="s">
        <v>23</v>
      </c>
      <c r="AD4" s="1">
        <v>1</v>
      </c>
      <c r="AI4" s="3" t="s">
        <v>24</v>
      </c>
      <c r="AJ4" t="s">
        <v>23</v>
      </c>
      <c r="AK4" s="1">
        <v>1</v>
      </c>
    </row>
    <row r="5" spans="1:40">
      <c r="A5" t="s">
        <v>4</v>
      </c>
      <c r="B5">
        <v>0</v>
      </c>
      <c r="C5" t="s">
        <v>5</v>
      </c>
      <c r="D5">
        <v>3</v>
      </c>
      <c r="E5" t="s">
        <v>6</v>
      </c>
      <c r="F5" s="1">
        <v>0.109375</v>
      </c>
      <c r="G5" t="s">
        <v>7</v>
      </c>
      <c r="H5" s="1">
        <v>0.5</v>
      </c>
      <c r="I5" t="s">
        <v>8</v>
      </c>
      <c r="J5" s="1">
        <v>0</v>
      </c>
      <c r="K5" s="1">
        <v>27.946817762842201</v>
      </c>
      <c r="L5" s="1">
        <f t="shared" si="0"/>
        <v>0.21875</v>
      </c>
      <c r="M5" s="1">
        <f t="shared" si="1"/>
        <v>13.973408881421101</v>
      </c>
      <c r="AB5" s="3" t="s">
        <v>25</v>
      </c>
      <c r="AC5" t="s">
        <v>23</v>
      </c>
      <c r="AD5" s="1">
        <v>0</v>
      </c>
      <c r="AI5" s="3" t="s">
        <v>25</v>
      </c>
      <c r="AJ5" t="s">
        <v>23</v>
      </c>
      <c r="AK5" s="1">
        <v>0</v>
      </c>
    </row>
    <row r="6" spans="1:40">
      <c r="A6" t="s">
        <v>4</v>
      </c>
      <c r="B6">
        <v>0</v>
      </c>
      <c r="C6" t="s">
        <v>5</v>
      </c>
      <c r="D6">
        <v>4</v>
      </c>
      <c r="E6" t="s">
        <v>6</v>
      </c>
      <c r="F6" s="1">
        <v>0.140625</v>
      </c>
      <c r="G6" t="s">
        <v>7</v>
      </c>
      <c r="H6" s="1">
        <v>0.5</v>
      </c>
      <c r="I6" t="s">
        <v>8</v>
      </c>
      <c r="J6" s="1">
        <v>0</v>
      </c>
      <c r="K6" s="1">
        <v>27.609124170932699</v>
      </c>
      <c r="L6" s="1">
        <f t="shared" si="0"/>
        <v>0.28125</v>
      </c>
      <c r="M6" s="1">
        <f t="shared" si="1"/>
        <v>13.804562085466349</v>
      </c>
      <c r="AB6" s="2"/>
      <c r="AI6" s="2"/>
    </row>
    <row r="7" spans="1:40">
      <c r="A7" t="s">
        <v>4</v>
      </c>
      <c r="B7">
        <v>0</v>
      </c>
      <c r="C7" t="s">
        <v>5</v>
      </c>
      <c r="D7">
        <v>5</v>
      </c>
      <c r="E7" t="s">
        <v>6</v>
      </c>
      <c r="F7" s="1">
        <v>0.171875</v>
      </c>
      <c r="G7" t="s">
        <v>7</v>
      </c>
      <c r="H7" s="1">
        <v>0.5</v>
      </c>
      <c r="I7" t="s">
        <v>8</v>
      </c>
      <c r="J7" s="1">
        <v>0</v>
      </c>
      <c r="K7" s="1">
        <v>27.109601787545301</v>
      </c>
      <c r="L7" s="1">
        <f t="shared" si="0"/>
        <v>0.34375</v>
      </c>
      <c r="M7" s="1">
        <f t="shared" si="1"/>
        <v>13.554800893772651</v>
      </c>
      <c r="AB7" s="3" t="s">
        <v>26</v>
      </c>
      <c r="AC7">
        <v>1</v>
      </c>
      <c r="AI7" s="3" t="s">
        <v>26</v>
      </c>
      <c r="AJ7">
        <v>1</v>
      </c>
    </row>
    <row r="8" spans="1:40">
      <c r="A8" t="s">
        <v>4</v>
      </c>
      <c r="B8">
        <v>0</v>
      </c>
      <c r="C8" t="s">
        <v>5</v>
      </c>
      <c r="D8">
        <v>6</v>
      </c>
      <c r="E8" t="s">
        <v>6</v>
      </c>
      <c r="F8" s="1">
        <v>0.203125</v>
      </c>
      <c r="G8" t="s">
        <v>7</v>
      </c>
      <c r="H8" s="1">
        <v>0.5</v>
      </c>
      <c r="I8" t="s">
        <v>8</v>
      </c>
      <c r="J8" s="1">
        <v>0</v>
      </c>
      <c r="K8" s="1">
        <v>26.476860792216701</v>
      </c>
      <c r="L8" s="1">
        <f t="shared" si="0"/>
        <v>0.40625</v>
      </c>
      <c r="M8" s="1">
        <f t="shared" si="1"/>
        <v>13.238430396108351</v>
      </c>
      <c r="AB8" s="3" t="s">
        <v>27</v>
      </c>
      <c r="AC8" t="s">
        <v>23</v>
      </c>
      <c r="AD8" t="s">
        <v>28</v>
      </c>
      <c r="AE8" t="s">
        <v>29</v>
      </c>
      <c r="AI8" s="3" t="s">
        <v>27</v>
      </c>
      <c r="AJ8" t="s">
        <v>23</v>
      </c>
      <c r="AK8" t="s">
        <v>28</v>
      </c>
      <c r="AL8" t="s">
        <v>29</v>
      </c>
    </row>
    <row r="9" spans="1:40">
      <c r="A9" t="s">
        <v>4</v>
      </c>
      <c r="B9">
        <v>0</v>
      </c>
      <c r="C9" t="s">
        <v>5</v>
      </c>
      <c r="D9">
        <v>7</v>
      </c>
      <c r="E9" t="s">
        <v>6</v>
      </c>
      <c r="F9" s="1">
        <v>0.234375</v>
      </c>
      <c r="G9" t="s">
        <v>7</v>
      </c>
      <c r="H9" s="1">
        <v>0.5</v>
      </c>
      <c r="I9" t="s">
        <v>8</v>
      </c>
      <c r="J9" s="1">
        <v>0</v>
      </c>
      <c r="K9" s="1">
        <v>25.909283937402002</v>
      </c>
      <c r="L9" s="1">
        <f t="shared" si="0"/>
        <v>0.46875</v>
      </c>
      <c r="M9" s="1">
        <f t="shared" si="1"/>
        <v>12.954641968701001</v>
      </c>
      <c r="AB9" s="3" t="s">
        <v>30</v>
      </c>
      <c r="AC9" t="s">
        <v>23</v>
      </c>
      <c r="AD9" t="s">
        <v>31</v>
      </c>
      <c r="AI9" s="3" t="s">
        <v>30</v>
      </c>
      <c r="AJ9" t="s">
        <v>23</v>
      </c>
      <c r="AK9" t="s">
        <v>31</v>
      </c>
    </row>
    <row r="10" spans="1:40">
      <c r="A10" t="s">
        <v>4</v>
      </c>
      <c r="B10">
        <v>0</v>
      </c>
      <c r="C10" t="s">
        <v>5</v>
      </c>
      <c r="D10">
        <v>8</v>
      </c>
      <c r="E10" t="s">
        <v>6</v>
      </c>
      <c r="F10" s="1">
        <v>0.265625</v>
      </c>
      <c r="G10" t="s">
        <v>7</v>
      </c>
      <c r="H10" s="1">
        <v>0.5</v>
      </c>
      <c r="I10" t="s">
        <v>8</v>
      </c>
      <c r="J10" s="1">
        <v>0</v>
      </c>
      <c r="K10" s="1">
        <v>25.151596121178201</v>
      </c>
      <c r="L10" s="1">
        <f t="shared" si="0"/>
        <v>0.53125</v>
      </c>
      <c r="M10" s="1">
        <f t="shared" si="1"/>
        <v>12.575798060589101</v>
      </c>
      <c r="AB10" s="2"/>
      <c r="AI10" s="2"/>
    </row>
    <row r="11" spans="1:40">
      <c r="A11" t="s">
        <v>4</v>
      </c>
      <c r="B11">
        <v>0</v>
      </c>
      <c r="C11" t="s">
        <v>5</v>
      </c>
      <c r="D11">
        <v>9</v>
      </c>
      <c r="E11" t="s">
        <v>6</v>
      </c>
      <c r="F11" s="1">
        <v>0.296875</v>
      </c>
      <c r="G11" t="s">
        <v>7</v>
      </c>
      <c r="H11" s="1">
        <v>0.5</v>
      </c>
      <c r="I11" t="s">
        <v>8</v>
      </c>
      <c r="J11" s="1">
        <v>0</v>
      </c>
      <c r="K11" s="1">
        <v>24.030235293896801</v>
      </c>
      <c r="L11" s="1">
        <f t="shared" si="0"/>
        <v>0.59375</v>
      </c>
      <c r="M11" s="1">
        <f t="shared" si="1"/>
        <v>12.015117646948401</v>
      </c>
      <c r="AB11" s="3"/>
      <c r="AC11" t="s">
        <v>32</v>
      </c>
      <c r="AD11" t="s">
        <v>27</v>
      </c>
      <c r="AE11" t="s">
        <v>30</v>
      </c>
      <c r="AI11" s="3"/>
      <c r="AJ11" t="s">
        <v>32</v>
      </c>
      <c r="AK11" t="s">
        <v>27</v>
      </c>
      <c r="AL11" t="s">
        <v>30</v>
      </c>
    </row>
    <row r="12" spans="1:40">
      <c r="A12" t="s">
        <v>4</v>
      </c>
      <c r="B12">
        <v>0</v>
      </c>
      <c r="C12" t="s">
        <v>5</v>
      </c>
      <c r="D12">
        <v>10</v>
      </c>
      <c r="E12" t="s">
        <v>6</v>
      </c>
      <c r="F12" s="1">
        <v>0.328125</v>
      </c>
      <c r="G12" t="s">
        <v>7</v>
      </c>
      <c r="H12" s="1">
        <v>0.5</v>
      </c>
      <c r="I12" t="s">
        <v>8</v>
      </c>
      <c r="J12" s="1">
        <v>0</v>
      </c>
      <c r="K12" s="1">
        <v>23.305487386433601</v>
      </c>
      <c r="L12" s="1">
        <f t="shared" si="0"/>
        <v>0.65625</v>
      </c>
      <c r="M12" s="1">
        <f t="shared" si="1"/>
        <v>11.6527436932168</v>
      </c>
      <c r="AB12" s="3" t="s">
        <v>33</v>
      </c>
      <c r="AI12" s="3" t="s">
        <v>33</v>
      </c>
    </row>
    <row r="13" spans="1:40">
      <c r="A13" t="s">
        <v>4</v>
      </c>
      <c r="B13">
        <v>0</v>
      </c>
      <c r="C13" t="s">
        <v>5</v>
      </c>
      <c r="D13">
        <v>11</v>
      </c>
      <c r="E13" t="s">
        <v>6</v>
      </c>
      <c r="F13" s="1">
        <v>0.359375</v>
      </c>
      <c r="G13" t="s">
        <v>7</v>
      </c>
      <c r="H13" s="1">
        <v>0.5</v>
      </c>
      <c r="I13" t="s">
        <v>8</v>
      </c>
      <c r="J13" s="1">
        <v>0</v>
      </c>
      <c r="K13" s="1">
        <v>22.265785519163899</v>
      </c>
      <c r="L13" s="1">
        <f t="shared" si="0"/>
        <v>0.71875</v>
      </c>
      <c r="M13" s="1">
        <f t="shared" si="1"/>
        <v>11.132892759581949</v>
      </c>
      <c r="AB13" s="3"/>
      <c r="AC13">
        <v>1394</v>
      </c>
      <c r="AD13" s="1">
        <v>0</v>
      </c>
      <c r="AE13" s="1">
        <v>13.5907</v>
      </c>
      <c r="AF13" s="1">
        <f>AD13*2</f>
        <v>0</v>
      </c>
      <c r="AG13" s="1">
        <f>AE13</f>
        <v>13.5907</v>
      </c>
      <c r="AI13" s="3"/>
      <c r="AJ13">
        <v>6</v>
      </c>
      <c r="AK13" s="1">
        <v>0</v>
      </c>
      <c r="AL13" s="1">
        <v>13.433400000000001</v>
      </c>
      <c r="AM13" s="1">
        <f>AK13*2</f>
        <v>0</v>
      </c>
      <c r="AN13" s="1">
        <f>AL13</f>
        <v>13.433400000000001</v>
      </c>
    </row>
    <row r="14" spans="1:40">
      <c r="A14" t="s">
        <v>4</v>
      </c>
      <c r="B14">
        <v>0</v>
      </c>
      <c r="C14" t="s">
        <v>5</v>
      </c>
      <c r="D14">
        <v>12</v>
      </c>
      <c r="E14" t="s">
        <v>6</v>
      </c>
      <c r="F14" s="1">
        <v>0.390625</v>
      </c>
      <c r="G14" t="s">
        <v>7</v>
      </c>
      <c r="H14" s="1">
        <v>0.5</v>
      </c>
      <c r="I14" t="s">
        <v>8</v>
      </c>
      <c r="J14" s="1">
        <v>0</v>
      </c>
      <c r="K14" s="1">
        <v>20.328137981168702</v>
      </c>
      <c r="L14" s="1">
        <f t="shared" si="0"/>
        <v>0.78125</v>
      </c>
      <c r="M14" s="1">
        <f t="shared" si="1"/>
        <v>10.164068990584351</v>
      </c>
      <c r="AB14" s="3"/>
      <c r="AC14">
        <v>53685</v>
      </c>
      <c r="AD14" s="1">
        <v>1.5625E-2</v>
      </c>
      <c r="AE14" s="1">
        <v>13.579800000000001</v>
      </c>
      <c r="AF14" s="1">
        <f t="shared" ref="AF14:AF45" si="2">AD14*2</f>
        <v>3.125E-2</v>
      </c>
      <c r="AG14" s="1">
        <f t="shared" ref="AG14:AG45" si="3">AE14</f>
        <v>13.579800000000001</v>
      </c>
      <c r="AI14" s="3"/>
      <c r="AJ14">
        <v>41448</v>
      </c>
      <c r="AK14" s="1">
        <v>1.0416699999999999E-2</v>
      </c>
      <c r="AL14" s="1">
        <v>13.428599999999999</v>
      </c>
      <c r="AM14" s="1">
        <f t="shared" ref="AM14:AM61" si="4">AK14*2</f>
        <v>2.0833399999999998E-2</v>
      </c>
      <c r="AN14" s="1">
        <f t="shared" ref="AN14:AN61" si="5">AL14</f>
        <v>13.428599999999999</v>
      </c>
    </row>
    <row r="15" spans="1:40">
      <c r="A15" t="s">
        <v>4</v>
      </c>
      <c r="B15">
        <v>0</v>
      </c>
      <c r="C15" t="s">
        <v>5</v>
      </c>
      <c r="D15">
        <v>13</v>
      </c>
      <c r="E15" t="s">
        <v>6</v>
      </c>
      <c r="F15" s="1">
        <v>0.421875</v>
      </c>
      <c r="G15" t="s">
        <v>7</v>
      </c>
      <c r="H15" s="1">
        <v>0.5</v>
      </c>
      <c r="I15" t="s">
        <v>8</v>
      </c>
      <c r="J15" s="1">
        <v>0</v>
      </c>
      <c r="K15" s="1">
        <v>19.0660499295943</v>
      </c>
      <c r="L15" s="1">
        <f t="shared" si="0"/>
        <v>0.84375</v>
      </c>
      <c r="M15" s="1">
        <f t="shared" si="1"/>
        <v>9.5330249647971499</v>
      </c>
      <c r="AB15" s="3"/>
      <c r="AC15">
        <v>25202</v>
      </c>
      <c r="AD15" s="1">
        <v>3.125E-2</v>
      </c>
      <c r="AE15" s="1">
        <v>13.5688</v>
      </c>
      <c r="AF15" s="1">
        <f t="shared" si="2"/>
        <v>6.25E-2</v>
      </c>
      <c r="AG15" s="1">
        <f t="shared" si="3"/>
        <v>13.5688</v>
      </c>
      <c r="AI15" s="3"/>
      <c r="AJ15">
        <v>5714</v>
      </c>
      <c r="AK15" s="1">
        <v>2.0833299999999999E-2</v>
      </c>
      <c r="AL15" s="1">
        <v>13.4238</v>
      </c>
      <c r="AM15" s="1">
        <f t="shared" si="4"/>
        <v>4.1666599999999998E-2</v>
      </c>
      <c r="AN15" s="1">
        <f t="shared" si="5"/>
        <v>13.4238</v>
      </c>
    </row>
    <row r="16" spans="1:40">
      <c r="A16" t="s">
        <v>4</v>
      </c>
      <c r="B16">
        <v>0</v>
      </c>
      <c r="C16" t="s">
        <v>5</v>
      </c>
      <c r="D16">
        <v>14</v>
      </c>
      <c r="E16" t="s">
        <v>6</v>
      </c>
      <c r="F16" s="1">
        <v>0.453125</v>
      </c>
      <c r="G16" t="s">
        <v>7</v>
      </c>
      <c r="H16" s="1">
        <v>0.5</v>
      </c>
      <c r="I16" t="s">
        <v>8</v>
      </c>
      <c r="J16" s="1">
        <v>0</v>
      </c>
      <c r="K16" s="1">
        <v>17.5366665415551</v>
      </c>
      <c r="L16" s="1">
        <f t="shared" si="0"/>
        <v>0.90625</v>
      </c>
      <c r="M16" s="1">
        <f t="shared" si="1"/>
        <v>8.7683332707775499</v>
      </c>
      <c r="AB16" s="3"/>
      <c r="AC16">
        <v>123346</v>
      </c>
      <c r="AD16" s="1">
        <v>4.6875E-2</v>
      </c>
      <c r="AE16" s="1">
        <v>13.5359</v>
      </c>
      <c r="AF16" s="1">
        <f t="shared" si="2"/>
        <v>9.375E-2</v>
      </c>
      <c r="AG16" s="1">
        <f t="shared" si="3"/>
        <v>13.5359</v>
      </c>
      <c r="AI16" s="3"/>
      <c r="AJ16">
        <v>58322</v>
      </c>
      <c r="AK16" s="1">
        <v>3.125E-2</v>
      </c>
      <c r="AL16" s="1">
        <v>13.4094</v>
      </c>
      <c r="AM16" s="1">
        <f t="shared" si="4"/>
        <v>6.25E-2</v>
      </c>
      <c r="AN16" s="1">
        <f t="shared" si="5"/>
        <v>13.4094</v>
      </c>
    </row>
    <row r="17" spans="1:40">
      <c r="A17" t="s">
        <v>4</v>
      </c>
      <c r="B17">
        <v>0</v>
      </c>
      <c r="C17" t="s">
        <v>5</v>
      </c>
      <c r="D17">
        <v>15</v>
      </c>
      <c r="E17" t="s">
        <v>6</v>
      </c>
      <c r="F17" s="1">
        <v>0.484375</v>
      </c>
      <c r="G17" t="s">
        <v>7</v>
      </c>
      <c r="H17" s="1">
        <v>0.5</v>
      </c>
      <c r="I17" t="s">
        <v>8</v>
      </c>
      <c r="J17" s="1">
        <v>0</v>
      </c>
      <c r="K17" s="1">
        <v>12.0207936115662</v>
      </c>
      <c r="L17" s="1">
        <f t="shared" si="0"/>
        <v>0.96875</v>
      </c>
      <c r="M17" s="1">
        <f t="shared" si="1"/>
        <v>6.0103968057830999</v>
      </c>
      <c r="AB17" s="3"/>
      <c r="AC17">
        <v>25203</v>
      </c>
      <c r="AD17" s="1">
        <v>6.25E-2</v>
      </c>
      <c r="AE17" s="1">
        <v>13.5031</v>
      </c>
      <c r="AF17" s="1">
        <f t="shared" si="2"/>
        <v>0.125</v>
      </c>
      <c r="AG17" s="1">
        <f t="shared" si="3"/>
        <v>13.5031</v>
      </c>
      <c r="AI17" s="3"/>
      <c r="AJ17">
        <v>5715</v>
      </c>
      <c r="AK17" s="1">
        <v>4.1666700000000001E-2</v>
      </c>
      <c r="AL17" s="1">
        <v>13.3949</v>
      </c>
      <c r="AM17" s="1">
        <f t="shared" si="4"/>
        <v>8.3333400000000002E-2</v>
      </c>
      <c r="AN17" s="1">
        <f t="shared" si="5"/>
        <v>13.3949</v>
      </c>
    </row>
    <row r="18" spans="1:40">
      <c r="A18" t="s">
        <v>17</v>
      </c>
      <c r="L18" s="1"/>
      <c r="M18" s="1"/>
      <c r="AB18" s="3"/>
      <c r="AC18">
        <v>123349</v>
      </c>
      <c r="AD18" s="1">
        <v>7.8125E-2</v>
      </c>
      <c r="AE18" s="1">
        <v>13.4482</v>
      </c>
      <c r="AF18" s="1">
        <f t="shared" si="2"/>
        <v>0.15625</v>
      </c>
      <c r="AG18" s="1">
        <f t="shared" si="3"/>
        <v>13.4482</v>
      </c>
      <c r="AI18" s="3"/>
      <c r="AJ18">
        <v>58326</v>
      </c>
      <c r="AK18" s="1">
        <v>5.2083299999999999E-2</v>
      </c>
      <c r="AL18" s="1">
        <v>13.370900000000001</v>
      </c>
      <c r="AM18" s="1">
        <f t="shared" si="4"/>
        <v>0.1041666</v>
      </c>
      <c r="AN18" s="1">
        <f t="shared" si="5"/>
        <v>13.370900000000001</v>
      </c>
    </row>
    <row r="19" spans="1:40">
      <c r="A19" t="s">
        <v>4</v>
      </c>
      <c r="B19">
        <v>0</v>
      </c>
      <c r="C19" t="s">
        <v>5</v>
      </c>
      <c r="D19">
        <v>0</v>
      </c>
      <c r="E19" t="s">
        <v>6</v>
      </c>
      <c r="F19" s="1">
        <v>1.5625E-2</v>
      </c>
      <c r="G19" t="s">
        <v>7</v>
      </c>
      <c r="H19" s="1">
        <v>0.5</v>
      </c>
      <c r="I19" t="s">
        <v>8</v>
      </c>
      <c r="J19" s="1">
        <v>0</v>
      </c>
      <c r="K19" s="1">
        <v>28.603486166113299</v>
      </c>
      <c r="L19" s="1">
        <f t="shared" si="0"/>
        <v>3.125E-2</v>
      </c>
      <c r="M19" s="1">
        <f>K19/2</f>
        <v>14.30174308305665</v>
      </c>
      <c r="AB19" s="3"/>
      <c r="AC19">
        <v>25204</v>
      </c>
      <c r="AD19" s="1">
        <v>9.375E-2</v>
      </c>
      <c r="AE19" s="1">
        <v>13.3934</v>
      </c>
      <c r="AF19" s="1">
        <f t="shared" si="2"/>
        <v>0.1875</v>
      </c>
      <c r="AG19" s="1">
        <f t="shared" si="3"/>
        <v>13.3934</v>
      </c>
      <c r="AI19" s="3"/>
      <c r="AJ19">
        <v>5716</v>
      </c>
      <c r="AK19" s="1">
        <v>6.25E-2</v>
      </c>
      <c r="AL19" s="1">
        <v>13.3468</v>
      </c>
      <c r="AM19" s="1">
        <f t="shared" si="4"/>
        <v>0.125</v>
      </c>
      <c r="AN19" s="1">
        <f t="shared" si="5"/>
        <v>13.3468</v>
      </c>
    </row>
    <row r="20" spans="1:40">
      <c r="A20" t="s">
        <v>4</v>
      </c>
      <c r="B20">
        <v>0</v>
      </c>
      <c r="C20" t="s">
        <v>5</v>
      </c>
      <c r="D20">
        <v>1</v>
      </c>
      <c r="E20" t="s">
        <v>6</v>
      </c>
      <c r="F20" s="1">
        <v>4.6875E-2</v>
      </c>
      <c r="G20" t="s">
        <v>7</v>
      </c>
      <c r="H20" s="1">
        <v>0.5</v>
      </c>
      <c r="I20" t="s">
        <v>8</v>
      </c>
      <c r="J20" s="1">
        <v>0</v>
      </c>
      <c r="K20" s="1">
        <v>28.521617598000802</v>
      </c>
      <c r="L20" s="1">
        <f t="shared" si="0"/>
        <v>9.375E-2</v>
      </c>
      <c r="M20" s="1">
        <f t="shared" ref="M20:M34" si="6">K20/2</f>
        <v>14.260808799000401</v>
      </c>
      <c r="AB20" s="3"/>
      <c r="AC20">
        <v>123352</v>
      </c>
      <c r="AD20" s="1">
        <v>0.109375</v>
      </c>
      <c r="AE20" s="1">
        <v>13.316599999999999</v>
      </c>
      <c r="AF20" s="1">
        <f t="shared" si="2"/>
        <v>0.21875</v>
      </c>
      <c r="AG20" s="1">
        <f t="shared" si="3"/>
        <v>13.316599999999999</v>
      </c>
      <c r="AI20" s="3"/>
      <c r="AJ20">
        <v>58330</v>
      </c>
      <c r="AK20" s="1">
        <v>7.2916700000000001E-2</v>
      </c>
      <c r="AL20" s="1">
        <v>13.3131</v>
      </c>
      <c r="AM20" s="1">
        <f t="shared" si="4"/>
        <v>0.1458334</v>
      </c>
      <c r="AN20" s="1">
        <f t="shared" si="5"/>
        <v>13.3131</v>
      </c>
    </row>
    <row r="21" spans="1:40">
      <c r="A21" t="s">
        <v>4</v>
      </c>
      <c r="B21">
        <v>0</v>
      </c>
      <c r="C21" t="s">
        <v>5</v>
      </c>
      <c r="D21">
        <v>2</v>
      </c>
      <c r="E21" t="s">
        <v>6</v>
      </c>
      <c r="F21" s="1">
        <v>7.8125E-2</v>
      </c>
      <c r="G21" t="s">
        <v>7</v>
      </c>
      <c r="H21" s="1">
        <v>0.5</v>
      </c>
      <c r="I21" t="s">
        <v>8</v>
      </c>
      <c r="J21" s="1">
        <v>0</v>
      </c>
      <c r="K21" s="1">
        <v>28.3098657283096</v>
      </c>
      <c r="L21" s="1">
        <f t="shared" si="0"/>
        <v>0.15625</v>
      </c>
      <c r="M21" s="1">
        <f t="shared" si="6"/>
        <v>14.1549328641548</v>
      </c>
      <c r="AB21" s="3"/>
      <c r="AC21">
        <v>25205</v>
      </c>
      <c r="AD21" s="1">
        <v>0.125</v>
      </c>
      <c r="AE21" s="1">
        <v>13.239699999999999</v>
      </c>
      <c r="AF21" s="1">
        <f t="shared" si="2"/>
        <v>0.25</v>
      </c>
      <c r="AG21" s="1">
        <f t="shared" si="3"/>
        <v>13.239699999999999</v>
      </c>
      <c r="AI21" s="3"/>
      <c r="AJ21">
        <v>5717</v>
      </c>
      <c r="AK21" s="1">
        <v>8.3333299999999999E-2</v>
      </c>
      <c r="AL21" s="1">
        <v>13.279500000000001</v>
      </c>
      <c r="AM21" s="1">
        <f t="shared" si="4"/>
        <v>0.1666666</v>
      </c>
      <c r="AN21" s="1">
        <f t="shared" si="5"/>
        <v>13.279500000000001</v>
      </c>
    </row>
    <row r="22" spans="1:40">
      <c r="A22" t="s">
        <v>4</v>
      </c>
      <c r="B22">
        <v>0</v>
      </c>
      <c r="C22" t="s">
        <v>5</v>
      </c>
      <c r="D22">
        <v>3</v>
      </c>
      <c r="E22" t="s">
        <v>6</v>
      </c>
      <c r="F22" s="1">
        <v>0.109375</v>
      </c>
      <c r="G22" t="s">
        <v>7</v>
      </c>
      <c r="H22" s="1">
        <v>0.5</v>
      </c>
      <c r="I22" t="s">
        <v>8</v>
      </c>
      <c r="J22" s="1">
        <v>0</v>
      </c>
      <c r="K22" s="1">
        <v>28.443956782164399</v>
      </c>
      <c r="L22" s="1">
        <f t="shared" si="0"/>
        <v>0.21875</v>
      </c>
      <c r="M22" s="1">
        <f t="shared" si="6"/>
        <v>14.2219783910822</v>
      </c>
      <c r="AB22" s="3"/>
      <c r="AC22">
        <v>123355</v>
      </c>
      <c r="AD22" s="1">
        <v>0.140625</v>
      </c>
      <c r="AE22" s="1">
        <v>13.140700000000001</v>
      </c>
      <c r="AF22" s="1">
        <f t="shared" si="2"/>
        <v>0.28125</v>
      </c>
      <c r="AG22" s="1">
        <f t="shared" si="3"/>
        <v>13.140700000000001</v>
      </c>
      <c r="AI22" s="3"/>
      <c r="AJ22">
        <v>58334</v>
      </c>
      <c r="AK22" s="1">
        <v>9.375E-2</v>
      </c>
      <c r="AL22" s="1">
        <v>13.2361</v>
      </c>
      <c r="AM22" s="1">
        <f t="shared" si="4"/>
        <v>0.1875</v>
      </c>
      <c r="AN22" s="1">
        <f t="shared" si="5"/>
        <v>13.2361</v>
      </c>
    </row>
    <row r="23" spans="1:40">
      <c r="A23" t="s">
        <v>4</v>
      </c>
      <c r="B23">
        <v>0</v>
      </c>
      <c r="C23" t="s">
        <v>5</v>
      </c>
      <c r="D23">
        <v>4</v>
      </c>
      <c r="E23" t="s">
        <v>6</v>
      </c>
      <c r="F23" s="1">
        <v>0.140625</v>
      </c>
      <c r="G23" t="s">
        <v>7</v>
      </c>
      <c r="H23" s="1">
        <v>0.5</v>
      </c>
      <c r="I23" t="s">
        <v>8</v>
      </c>
      <c r="J23" s="1">
        <v>0</v>
      </c>
      <c r="K23" s="1">
        <v>27.655869884670601</v>
      </c>
      <c r="L23" s="1">
        <f t="shared" si="0"/>
        <v>0.28125</v>
      </c>
      <c r="M23" s="1">
        <f t="shared" si="6"/>
        <v>13.8279349423353</v>
      </c>
      <c r="AB23" s="3"/>
      <c r="AC23">
        <v>25206</v>
      </c>
      <c r="AD23" s="1">
        <v>0.15625</v>
      </c>
      <c r="AE23" s="1">
        <v>13.041700000000001</v>
      </c>
      <c r="AF23" s="1">
        <f t="shared" si="2"/>
        <v>0.3125</v>
      </c>
      <c r="AG23" s="1">
        <f t="shared" si="3"/>
        <v>13.041700000000001</v>
      </c>
      <c r="AI23" s="3"/>
      <c r="AJ23">
        <v>5718</v>
      </c>
      <c r="AK23" s="1">
        <v>0.104167</v>
      </c>
      <c r="AL23" s="1">
        <v>13.1928</v>
      </c>
      <c r="AM23" s="1">
        <f t="shared" si="4"/>
        <v>0.20833399999999999</v>
      </c>
      <c r="AN23" s="1">
        <f t="shared" si="5"/>
        <v>13.1928</v>
      </c>
    </row>
    <row r="24" spans="1:40">
      <c r="A24" t="s">
        <v>4</v>
      </c>
      <c r="B24">
        <v>0</v>
      </c>
      <c r="C24" t="s">
        <v>5</v>
      </c>
      <c r="D24">
        <v>5</v>
      </c>
      <c r="E24" t="s">
        <v>6</v>
      </c>
      <c r="F24" s="1">
        <v>0.171875</v>
      </c>
      <c r="G24" t="s">
        <v>7</v>
      </c>
      <c r="H24" s="1">
        <v>0.5</v>
      </c>
      <c r="I24" t="s">
        <v>8</v>
      </c>
      <c r="J24" s="1">
        <v>0</v>
      </c>
      <c r="K24" s="1">
        <v>27.1413942923921</v>
      </c>
      <c r="L24" s="1">
        <f t="shared" si="0"/>
        <v>0.34375</v>
      </c>
      <c r="M24" s="1">
        <f t="shared" si="6"/>
        <v>13.57069714619605</v>
      </c>
      <c r="AB24" s="3"/>
      <c r="AC24">
        <v>123358</v>
      </c>
      <c r="AD24" s="1">
        <v>0.171875</v>
      </c>
      <c r="AE24" s="1">
        <v>12.920199999999999</v>
      </c>
      <c r="AF24" s="1">
        <f t="shared" si="2"/>
        <v>0.34375</v>
      </c>
      <c r="AG24" s="1">
        <f t="shared" si="3"/>
        <v>12.920199999999999</v>
      </c>
      <c r="AI24" s="3"/>
      <c r="AJ24">
        <v>58338</v>
      </c>
      <c r="AK24" s="1">
        <v>0.114583</v>
      </c>
      <c r="AL24" s="1">
        <v>13.139799999999999</v>
      </c>
      <c r="AM24" s="1">
        <f t="shared" si="4"/>
        <v>0.22916600000000001</v>
      </c>
      <c r="AN24" s="1">
        <f t="shared" si="5"/>
        <v>13.139799999999999</v>
      </c>
    </row>
    <row r="25" spans="1:40">
      <c r="A25" t="s">
        <v>4</v>
      </c>
      <c r="B25">
        <v>0</v>
      </c>
      <c r="C25" t="s">
        <v>5</v>
      </c>
      <c r="D25">
        <v>6</v>
      </c>
      <c r="E25" t="s">
        <v>6</v>
      </c>
      <c r="F25" s="1">
        <v>0.203125</v>
      </c>
      <c r="G25" t="s">
        <v>7</v>
      </c>
      <c r="H25" s="1">
        <v>0.5</v>
      </c>
      <c r="I25" t="s">
        <v>8</v>
      </c>
      <c r="J25" s="1">
        <v>0</v>
      </c>
      <c r="K25" s="1">
        <v>27.1075780060672</v>
      </c>
      <c r="L25" s="1">
        <f t="shared" si="0"/>
        <v>0.40625</v>
      </c>
      <c r="M25" s="1">
        <f t="shared" si="6"/>
        <v>13.5537890030336</v>
      </c>
      <c r="AB25" s="3"/>
      <c r="AC25">
        <v>25207</v>
      </c>
      <c r="AD25" s="1">
        <v>0.1875</v>
      </c>
      <c r="AE25" s="1">
        <v>12.7987</v>
      </c>
      <c r="AF25" s="1">
        <f t="shared" si="2"/>
        <v>0.375</v>
      </c>
      <c r="AG25" s="1">
        <f t="shared" si="3"/>
        <v>12.7987</v>
      </c>
      <c r="AI25" s="3"/>
      <c r="AJ25">
        <v>5719</v>
      </c>
      <c r="AK25" s="1">
        <v>0.125</v>
      </c>
      <c r="AL25" s="1">
        <v>13.0869</v>
      </c>
      <c r="AM25" s="1">
        <f t="shared" si="4"/>
        <v>0.25</v>
      </c>
      <c r="AN25" s="1">
        <f t="shared" si="5"/>
        <v>13.0869</v>
      </c>
    </row>
    <row r="26" spans="1:40">
      <c r="A26" t="s">
        <v>4</v>
      </c>
      <c r="B26">
        <v>0</v>
      </c>
      <c r="C26" t="s">
        <v>5</v>
      </c>
      <c r="D26">
        <v>7</v>
      </c>
      <c r="E26" t="s">
        <v>6</v>
      </c>
      <c r="F26" s="1">
        <v>0.234375</v>
      </c>
      <c r="G26" t="s">
        <v>7</v>
      </c>
      <c r="H26" s="1">
        <v>0.5</v>
      </c>
      <c r="I26" t="s">
        <v>8</v>
      </c>
      <c r="J26" s="1">
        <v>0</v>
      </c>
      <c r="K26" s="1">
        <v>25.930462069289501</v>
      </c>
      <c r="L26" s="1">
        <f t="shared" si="0"/>
        <v>0.46875</v>
      </c>
      <c r="M26" s="1">
        <f t="shared" si="6"/>
        <v>12.96523103464475</v>
      </c>
      <c r="AB26" s="3"/>
      <c r="AC26">
        <v>123361</v>
      </c>
      <c r="AD26" s="1">
        <v>0.203125</v>
      </c>
      <c r="AE26" s="1">
        <v>12.6541</v>
      </c>
      <c r="AF26" s="1">
        <f t="shared" si="2"/>
        <v>0.40625</v>
      </c>
      <c r="AG26" s="1">
        <f t="shared" si="3"/>
        <v>12.6541</v>
      </c>
      <c r="AI26" s="3"/>
      <c r="AJ26">
        <v>58342</v>
      </c>
      <c r="AK26" s="1">
        <v>0.13541700000000001</v>
      </c>
      <c r="AL26" s="1">
        <v>13.0242</v>
      </c>
      <c r="AM26" s="1">
        <f t="shared" si="4"/>
        <v>0.27083400000000002</v>
      </c>
      <c r="AN26" s="1">
        <f t="shared" si="5"/>
        <v>13.0242</v>
      </c>
    </row>
    <row r="27" spans="1:40">
      <c r="A27" t="s">
        <v>4</v>
      </c>
      <c r="B27">
        <v>0</v>
      </c>
      <c r="C27" t="s">
        <v>5</v>
      </c>
      <c r="D27">
        <v>8</v>
      </c>
      <c r="E27" t="s">
        <v>6</v>
      </c>
      <c r="F27" s="1">
        <v>0.265625</v>
      </c>
      <c r="G27" t="s">
        <v>7</v>
      </c>
      <c r="H27" s="1">
        <v>0.5</v>
      </c>
      <c r="I27" t="s">
        <v>8</v>
      </c>
      <c r="J27" s="1">
        <v>0</v>
      </c>
      <c r="K27" s="1">
        <v>25.0970483128824</v>
      </c>
      <c r="L27" s="1">
        <f t="shared" si="0"/>
        <v>0.53125</v>
      </c>
      <c r="M27" s="1">
        <f t="shared" si="6"/>
        <v>12.5485241564412</v>
      </c>
      <c r="AB27" s="3"/>
      <c r="AC27">
        <v>25208</v>
      </c>
      <c r="AD27" s="1">
        <v>0.21875</v>
      </c>
      <c r="AE27" s="1">
        <v>12.509499999999999</v>
      </c>
      <c r="AF27" s="1">
        <f t="shared" si="2"/>
        <v>0.4375</v>
      </c>
      <c r="AG27" s="1">
        <f t="shared" si="3"/>
        <v>12.509499999999999</v>
      </c>
      <c r="AI27" s="3"/>
      <c r="AJ27">
        <v>5720</v>
      </c>
      <c r="AK27" s="1">
        <v>0.14583299999999999</v>
      </c>
      <c r="AL27" s="1">
        <v>12.961499999999999</v>
      </c>
      <c r="AM27" s="1">
        <f t="shared" si="4"/>
        <v>0.29166599999999998</v>
      </c>
      <c r="AN27" s="1">
        <f t="shared" si="5"/>
        <v>12.961499999999999</v>
      </c>
    </row>
    <row r="28" spans="1:40">
      <c r="A28" t="s">
        <v>4</v>
      </c>
      <c r="B28">
        <v>0</v>
      </c>
      <c r="C28" t="s">
        <v>5</v>
      </c>
      <c r="D28">
        <v>9</v>
      </c>
      <c r="E28" t="s">
        <v>6</v>
      </c>
      <c r="F28" s="1">
        <v>0.296875</v>
      </c>
      <c r="G28" t="s">
        <v>7</v>
      </c>
      <c r="H28" s="1">
        <v>0.5</v>
      </c>
      <c r="I28" t="s">
        <v>8</v>
      </c>
      <c r="J28" s="1">
        <v>0</v>
      </c>
      <c r="K28" s="1">
        <v>24.510545385360199</v>
      </c>
      <c r="L28" s="1">
        <f t="shared" si="0"/>
        <v>0.59375</v>
      </c>
      <c r="M28" s="1">
        <f t="shared" si="6"/>
        <v>12.2552726926801</v>
      </c>
      <c r="AB28" s="3"/>
      <c r="AC28">
        <v>123364</v>
      </c>
      <c r="AD28" s="1">
        <v>0.234375</v>
      </c>
      <c r="AE28" s="1">
        <v>12.3408</v>
      </c>
      <c r="AF28" s="1">
        <f t="shared" si="2"/>
        <v>0.46875</v>
      </c>
      <c r="AG28" s="1">
        <f t="shared" si="3"/>
        <v>12.3408</v>
      </c>
      <c r="AI28" s="3"/>
      <c r="AJ28">
        <v>58346</v>
      </c>
      <c r="AK28" s="1">
        <v>0.15625</v>
      </c>
      <c r="AL28" s="1">
        <v>12.889099999999999</v>
      </c>
      <c r="AM28" s="1">
        <f t="shared" si="4"/>
        <v>0.3125</v>
      </c>
      <c r="AN28" s="1">
        <f t="shared" si="5"/>
        <v>12.889099999999999</v>
      </c>
    </row>
    <row r="29" spans="1:40">
      <c r="A29" t="s">
        <v>4</v>
      </c>
      <c r="B29">
        <v>0</v>
      </c>
      <c r="C29" t="s">
        <v>5</v>
      </c>
      <c r="D29">
        <v>10</v>
      </c>
      <c r="E29" t="s">
        <v>6</v>
      </c>
      <c r="F29" s="1">
        <v>0.328125</v>
      </c>
      <c r="G29" t="s">
        <v>7</v>
      </c>
      <c r="H29" s="1">
        <v>0.5</v>
      </c>
      <c r="I29" t="s">
        <v>8</v>
      </c>
      <c r="J29" s="1">
        <v>0</v>
      </c>
      <c r="K29" s="1">
        <v>23.529190844173201</v>
      </c>
      <c r="L29" s="1">
        <f t="shared" si="0"/>
        <v>0.65625</v>
      </c>
      <c r="M29" s="1">
        <f t="shared" si="6"/>
        <v>11.7645954220866</v>
      </c>
      <c r="AB29" s="3"/>
      <c r="AC29">
        <v>25209</v>
      </c>
      <c r="AD29" s="1">
        <v>0.25</v>
      </c>
      <c r="AE29" s="1">
        <v>12.1722</v>
      </c>
      <c r="AF29" s="1">
        <f t="shared" si="2"/>
        <v>0.5</v>
      </c>
      <c r="AG29" s="1">
        <f t="shared" si="3"/>
        <v>12.1722</v>
      </c>
      <c r="AI29" s="3"/>
      <c r="AJ29">
        <v>5721</v>
      </c>
      <c r="AK29" s="1">
        <v>0.16666700000000001</v>
      </c>
      <c r="AL29" s="1">
        <v>12.816800000000001</v>
      </c>
      <c r="AM29" s="1">
        <f t="shared" si="4"/>
        <v>0.33333400000000002</v>
      </c>
      <c r="AN29" s="1">
        <f t="shared" si="5"/>
        <v>12.816800000000001</v>
      </c>
    </row>
    <row r="30" spans="1:40">
      <c r="A30" t="s">
        <v>4</v>
      </c>
      <c r="B30">
        <v>0</v>
      </c>
      <c r="C30" t="s">
        <v>5</v>
      </c>
      <c r="D30">
        <v>11</v>
      </c>
      <c r="E30" t="s">
        <v>6</v>
      </c>
      <c r="F30" s="1">
        <v>0.359375</v>
      </c>
      <c r="G30" t="s">
        <v>7</v>
      </c>
      <c r="H30" s="1">
        <v>0.5</v>
      </c>
      <c r="I30" t="s">
        <v>8</v>
      </c>
      <c r="J30" s="1">
        <v>0</v>
      </c>
      <c r="K30" s="1">
        <v>22.192514809691001</v>
      </c>
      <c r="L30" s="1">
        <f t="shared" si="0"/>
        <v>0.71875</v>
      </c>
      <c r="M30" s="1">
        <f t="shared" si="6"/>
        <v>11.096257404845501</v>
      </c>
      <c r="AB30" s="3"/>
      <c r="AC30">
        <v>123367</v>
      </c>
      <c r="AD30" s="1">
        <v>0.265625</v>
      </c>
      <c r="AE30" s="1">
        <v>11.978400000000001</v>
      </c>
      <c r="AF30" s="1">
        <f t="shared" si="2"/>
        <v>0.53125</v>
      </c>
      <c r="AG30" s="1">
        <f t="shared" si="3"/>
        <v>11.978400000000001</v>
      </c>
      <c r="AI30" s="3"/>
      <c r="AJ30">
        <v>58350</v>
      </c>
      <c r="AK30" s="1">
        <v>0.17708299999999999</v>
      </c>
      <c r="AL30" s="1">
        <v>12.7346</v>
      </c>
      <c r="AM30" s="1">
        <f t="shared" si="4"/>
        <v>0.35416599999999998</v>
      </c>
      <c r="AN30" s="1">
        <f t="shared" si="5"/>
        <v>12.7346</v>
      </c>
    </row>
    <row r="31" spans="1:40">
      <c r="A31" t="s">
        <v>4</v>
      </c>
      <c r="B31">
        <v>0</v>
      </c>
      <c r="C31" t="s">
        <v>5</v>
      </c>
      <c r="D31">
        <v>12</v>
      </c>
      <c r="E31" t="s">
        <v>6</v>
      </c>
      <c r="F31" s="1">
        <v>0.390625</v>
      </c>
      <c r="G31" t="s">
        <v>7</v>
      </c>
      <c r="H31" s="1">
        <v>0.5</v>
      </c>
      <c r="I31" t="s">
        <v>8</v>
      </c>
      <c r="J31" s="1">
        <v>0</v>
      </c>
      <c r="K31" s="1">
        <v>21.0826885920515</v>
      </c>
      <c r="L31" s="1">
        <f t="shared" si="0"/>
        <v>0.78125</v>
      </c>
      <c r="M31" s="1">
        <f t="shared" si="6"/>
        <v>10.54134429602575</v>
      </c>
      <c r="AB31" s="3"/>
      <c r="AC31">
        <v>25210</v>
      </c>
      <c r="AD31" s="1">
        <v>0.28125</v>
      </c>
      <c r="AE31" s="1">
        <v>11.784599999999999</v>
      </c>
      <c r="AF31" s="1">
        <f t="shared" si="2"/>
        <v>0.5625</v>
      </c>
      <c r="AG31" s="1">
        <f t="shared" si="3"/>
        <v>11.784599999999999</v>
      </c>
      <c r="AI31" s="3"/>
      <c r="AJ31">
        <v>5722</v>
      </c>
      <c r="AK31" s="1">
        <v>0.1875</v>
      </c>
      <c r="AL31" s="1">
        <v>12.6524</v>
      </c>
      <c r="AM31" s="1">
        <f t="shared" si="4"/>
        <v>0.375</v>
      </c>
      <c r="AN31" s="1">
        <f t="shared" si="5"/>
        <v>12.6524</v>
      </c>
    </row>
    <row r="32" spans="1:40">
      <c r="A32" t="s">
        <v>4</v>
      </c>
      <c r="B32">
        <v>0</v>
      </c>
      <c r="C32" t="s">
        <v>5</v>
      </c>
      <c r="D32">
        <v>13</v>
      </c>
      <c r="E32" t="s">
        <v>6</v>
      </c>
      <c r="F32" s="1">
        <v>0.421875</v>
      </c>
      <c r="G32" t="s">
        <v>7</v>
      </c>
      <c r="H32" s="1">
        <v>0.5</v>
      </c>
      <c r="I32" t="s">
        <v>8</v>
      </c>
      <c r="J32" s="1">
        <v>0</v>
      </c>
      <c r="K32" s="1">
        <v>17.984943326833999</v>
      </c>
      <c r="L32" s="1">
        <f t="shared" si="0"/>
        <v>0.84375</v>
      </c>
      <c r="M32" s="1">
        <f t="shared" si="6"/>
        <v>8.9924716634169997</v>
      </c>
      <c r="AB32" s="3"/>
      <c r="AC32">
        <v>123370</v>
      </c>
      <c r="AD32" s="1">
        <v>0.296875</v>
      </c>
      <c r="AE32" s="1">
        <v>11.5633</v>
      </c>
      <c r="AF32" s="1">
        <f t="shared" si="2"/>
        <v>0.59375</v>
      </c>
      <c r="AG32" s="1">
        <f t="shared" si="3"/>
        <v>11.5633</v>
      </c>
      <c r="AI32" s="3"/>
      <c r="AJ32">
        <v>58354</v>
      </c>
      <c r="AK32" s="1">
        <v>0.19791700000000001</v>
      </c>
      <c r="AL32" s="1">
        <v>12.5604</v>
      </c>
      <c r="AM32" s="1">
        <f t="shared" si="4"/>
        <v>0.39583400000000002</v>
      </c>
      <c r="AN32" s="1">
        <f t="shared" si="5"/>
        <v>12.5604</v>
      </c>
    </row>
    <row r="33" spans="1:40">
      <c r="A33" t="s">
        <v>4</v>
      </c>
      <c r="B33">
        <v>0</v>
      </c>
      <c r="C33" t="s">
        <v>5</v>
      </c>
      <c r="D33">
        <v>14</v>
      </c>
      <c r="E33" t="s">
        <v>6</v>
      </c>
      <c r="F33" s="1">
        <v>0.453125</v>
      </c>
      <c r="G33" t="s">
        <v>7</v>
      </c>
      <c r="H33" s="1">
        <v>0.5</v>
      </c>
      <c r="I33" t="s">
        <v>8</v>
      </c>
      <c r="J33" s="1">
        <v>0</v>
      </c>
      <c r="K33" s="1">
        <v>20.382294082429201</v>
      </c>
      <c r="L33" s="1">
        <f t="shared" si="0"/>
        <v>0.90625</v>
      </c>
      <c r="M33" s="1">
        <f t="shared" si="6"/>
        <v>10.191147041214601</v>
      </c>
      <c r="AB33" s="3"/>
      <c r="AC33">
        <v>25211</v>
      </c>
      <c r="AD33" s="1">
        <v>0.3125</v>
      </c>
      <c r="AE33" s="1">
        <v>11.342000000000001</v>
      </c>
      <c r="AF33" s="1">
        <f t="shared" si="2"/>
        <v>0.625</v>
      </c>
      <c r="AG33" s="1">
        <f t="shared" si="3"/>
        <v>11.342000000000001</v>
      </c>
      <c r="AI33" s="3"/>
      <c r="AJ33">
        <v>5723</v>
      </c>
      <c r="AK33" s="1">
        <v>0.20833299999999999</v>
      </c>
      <c r="AL33" s="1">
        <v>12.468299999999999</v>
      </c>
      <c r="AM33" s="1">
        <f t="shared" si="4"/>
        <v>0.41666599999999998</v>
      </c>
      <c r="AN33" s="1">
        <f t="shared" si="5"/>
        <v>12.468299999999999</v>
      </c>
    </row>
    <row r="34" spans="1:40">
      <c r="A34" t="s">
        <v>4</v>
      </c>
      <c r="B34">
        <v>0</v>
      </c>
      <c r="C34" t="s">
        <v>5</v>
      </c>
      <c r="D34">
        <v>15</v>
      </c>
      <c r="E34" t="s">
        <v>6</v>
      </c>
      <c r="F34" s="1">
        <v>0.484375</v>
      </c>
      <c r="G34" t="s">
        <v>7</v>
      </c>
      <c r="H34" s="1">
        <v>0.5</v>
      </c>
      <c r="I34" t="s">
        <v>8</v>
      </c>
      <c r="J34" s="1">
        <v>0</v>
      </c>
      <c r="K34" s="1">
        <v>10.382953285412601</v>
      </c>
      <c r="L34" s="1">
        <f t="shared" si="0"/>
        <v>0.96875</v>
      </c>
      <c r="M34" s="1">
        <f t="shared" si="6"/>
        <v>5.1914766427063004</v>
      </c>
      <c r="AB34" s="3"/>
      <c r="AC34">
        <v>123373</v>
      </c>
      <c r="AD34" s="1">
        <v>0.328125</v>
      </c>
      <c r="AE34" s="1">
        <v>11.0878</v>
      </c>
      <c r="AF34" s="1">
        <f t="shared" si="2"/>
        <v>0.65625</v>
      </c>
      <c r="AG34" s="1">
        <f t="shared" si="3"/>
        <v>11.0878</v>
      </c>
      <c r="AI34" s="3"/>
      <c r="AJ34">
        <v>58358</v>
      </c>
      <c r="AK34" s="1">
        <v>0.21875</v>
      </c>
      <c r="AL34" s="1">
        <v>12.366099999999999</v>
      </c>
      <c r="AM34" s="1">
        <f t="shared" si="4"/>
        <v>0.4375</v>
      </c>
      <c r="AN34" s="1">
        <f t="shared" si="5"/>
        <v>12.366099999999999</v>
      </c>
    </row>
    <row r="35" spans="1:40">
      <c r="A35" t="s">
        <v>18</v>
      </c>
      <c r="L35" s="1"/>
      <c r="M35" s="1"/>
      <c r="AB35" s="3"/>
      <c r="AC35">
        <v>25212</v>
      </c>
      <c r="AD35" s="1">
        <v>0.34375</v>
      </c>
      <c r="AE35" s="1">
        <v>10.833600000000001</v>
      </c>
      <c r="AF35" s="1">
        <f t="shared" si="2"/>
        <v>0.6875</v>
      </c>
      <c r="AG35" s="1">
        <f t="shared" si="3"/>
        <v>10.833600000000001</v>
      </c>
      <c r="AI35" s="3"/>
      <c r="AJ35">
        <v>5724</v>
      </c>
      <c r="AK35" s="1">
        <v>0.22916700000000001</v>
      </c>
      <c r="AL35" s="1">
        <v>12.2639</v>
      </c>
      <c r="AM35" s="1">
        <f t="shared" si="4"/>
        <v>0.45833400000000002</v>
      </c>
      <c r="AN35" s="1">
        <f t="shared" si="5"/>
        <v>12.2639</v>
      </c>
    </row>
    <row r="36" spans="1:40">
      <c r="A36" t="s">
        <v>4</v>
      </c>
      <c r="B36">
        <v>0</v>
      </c>
      <c r="C36" t="s">
        <v>5</v>
      </c>
      <c r="D36">
        <v>0</v>
      </c>
      <c r="E36" t="s">
        <v>6</v>
      </c>
      <c r="F36" s="1">
        <v>1.5625E-2</v>
      </c>
      <c r="G36" t="s">
        <v>7</v>
      </c>
      <c r="H36" s="1">
        <v>0.5</v>
      </c>
      <c r="I36" t="s">
        <v>8</v>
      </c>
      <c r="J36" s="1">
        <v>0</v>
      </c>
      <c r="K36" s="1">
        <v>28.240582255388698</v>
      </c>
      <c r="L36" s="1">
        <f t="shared" si="0"/>
        <v>3.125E-2</v>
      </c>
      <c r="M36" s="1">
        <f>K36/2</f>
        <v>14.120291127694349</v>
      </c>
      <c r="AB36" s="3"/>
      <c r="AC36">
        <v>123376</v>
      </c>
      <c r="AD36" s="1">
        <v>0.359375</v>
      </c>
      <c r="AE36" s="1">
        <v>10.535399999999999</v>
      </c>
      <c r="AF36" s="1">
        <f t="shared" si="2"/>
        <v>0.71875</v>
      </c>
      <c r="AG36" s="1">
        <f t="shared" si="3"/>
        <v>10.535399999999999</v>
      </c>
      <c r="AI36" s="3"/>
      <c r="AJ36">
        <v>58362</v>
      </c>
      <c r="AK36" s="1">
        <v>0.23958299999999999</v>
      </c>
      <c r="AL36" s="1">
        <v>12.151300000000001</v>
      </c>
      <c r="AM36" s="1">
        <f t="shared" si="4"/>
        <v>0.47916599999999998</v>
      </c>
      <c r="AN36" s="1">
        <f t="shared" si="5"/>
        <v>12.151300000000001</v>
      </c>
    </row>
    <row r="37" spans="1:40">
      <c r="A37" t="s">
        <v>4</v>
      </c>
      <c r="B37">
        <v>0</v>
      </c>
      <c r="C37" t="s">
        <v>5</v>
      </c>
      <c r="D37">
        <v>1</v>
      </c>
      <c r="E37" t="s">
        <v>6</v>
      </c>
      <c r="F37" s="1">
        <v>4.6875E-2</v>
      </c>
      <c r="G37" t="s">
        <v>7</v>
      </c>
      <c r="H37" s="1">
        <v>0.5</v>
      </c>
      <c r="I37" t="s">
        <v>8</v>
      </c>
      <c r="J37" s="1">
        <v>0</v>
      </c>
      <c r="K37" s="1">
        <v>28.175743073532399</v>
      </c>
      <c r="L37" s="1">
        <f t="shared" si="0"/>
        <v>9.375E-2</v>
      </c>
      <c r="M37" s="1">
        <f t="shared" ref="M37:M51" si="7">K37/2</f>
        <v>14.087871536766199</v>
      </c>
      <c r="AB37" s="3"/>
      <c r="AC37">
        <v>25213</v>
      </c>
      <c r="AD37" s="1">
        <v>0.375</v>
      </c>
      <c r="AE37" s="1">
        <v>10.2372</v>
      </c>
      <c r="AF37" s="1">
        <f t="shared" si="2"/>
        <v>0.75</v>
      </c>
      <c r="AG37" s="1">
        <f t="shared" si="3"/>
        <v>10.2372</v>
      </c>
      <c r="AI37" s="3"/>
      <c r="AJ37">
        <v>5725</v>
      </c>
      <c r="AK37" s="1">
        <v>0.25</v>
      </c>
      <c r="AL37" s="1">
        <v>12.0387</v>
      </c>
      <c r="AM37" s="1">
        <f t="shared" si="4"/>
        <v>0.5</v>
      </c>
      <c r="AN37" s="1">
        <f t="shared" si="5"/>
        <v>12.0387</v>
      </c>
    </row>
    <row r="38" spans="1:40">
      <c r="A38" t="s">
        <v>4</v>
      </c>
      <c r="B38">
        <v>0</v>
      </c>
      <c r="C38" t="s">
        <v>5</v>
      </c>
      <c r="D38">
        <v>2</v>
      </c>
      <c r="E38" t="s">
        <v>6</v>
      </c>
      <c r="F38" s="1">
        <v>7.8125E-2</v>
      </c>
      <c r="G38" t="s">
        <v>7</v>
      </c>
      <c r="H38" s="1">
        <v>0.5</v>
      </c>
      <c r="I38" t="s">
        <v>8</v>
      </c>
      <c r="J38" s="1">
        <v>0</v>
      </c>
      <c r="K38" s="1">
        <v>27.963507839908601</v>
      </c>
      <c r="L38" s="1">
        <f t="shared" si="0"/>
        <v>0.15625</v>
      </c>
      <c r="M38" s="1">
        <f t="shared" si="7"/>
        <v>13.981753919954301</v>
      </c>
      <c r="AB38" s="3"/>
      <c r="AC38">
        <v>123379</v>
      </c>
      <c r="AD38" s="1">
        <v>0.390625</v>
      </c>
      <c r="AE38" s="1">
        <v>9.8813800000000001</v>
      </c>
      <c r="AF38" s="1">
        <f t="shared" si="2"/>
        <v>0.78125</v>
      </c>
      <c r="AG38" s="1">
        <f t="shared" si="3"/>
        <v>9.8813800000000001</v>
      </c>
      <c r="AI38" s="3"/>
      <c r="AJ38">
        <v>58366</v>
      </c>
      <c r="AK38" s="1">
        <v>0.26041700000000001</v>
      </c>
      <c r="AL38" s="1">
        <v>11.915100000000001</v>
      </c>
      <c r="AM38" s="1">
        <f t="shared" si="4"/>
        <v>0.52083400000000002</v>
      </c>
      <c r="AN38" s="1">
        <f t="shared" si="5"/>
        <v>11.915100000000001</v>
      </c>
    </row>
    <row r="39" spans="1:40">
      <c r="A39" t="s">
        <v>4</v>
      </c>
      <c r="B39">
        <v>0</v>
      </c>
      <c r="C39" t="s">
        <v>5</v>
      </c>
      <c r="D39">
        <v>3</v>
      </c>
      <c r="E39" t="s">
        <v>6</v>
      </c>
      <c r="F39" s="1">
        <v>0.109375</v>
      </c>
      <c r="G39" t="s">
        <v>7</v>
      </c>
      <c r="H39" s="1">
        <v>0.5</v>
      </c>
      <c r="I39" t="s">
        <v>8</v>
      </c>
      <c r="J39" s="1">
        <v>0</v>
      </c>
      <c r="K39" s="1">
        <v>28.091072533317998</v>
      </c>
      <c r="L39" s="1">
        <f t="shared" si="0"/>
        <v>0.21875</v>
      </c>
      <c r="M39" s="1">
        <f t="shared" si="7"/>
        <v>14.045536266658999</v>
      </c>
      <c r="AB39" s="3"/>
      <c r="AC39">
        <v>25214</v>
      </c>
      <c r="AD39" s="1">
        <v>0.40625</v>
      </c>
      <c r="AE39" s="1">
        <v>9.5255299999999998</v>
      </c>
      <c r="AF39" s="1">
        <f t="shared" si="2"/>
        <v>0.8125</v>
      </c>
      <c r="AG39" s="1">
        <f t="shared" si="3"/>
        <v>9.5255299999999998</v>
      </c>
      <c r="AI39" s="3"/>
      <c r="AJ39">
        <v>5726</v>
      </c>
      <c r="AK39" s="1">
        <v>0.27083299999999999</v>
      </c>
      <c r="AL39" s="1">
        <v>11.791499999999999</v>
      </c>
      <c r="AM39" s="1">
        <f t="shared" si="4"/>
        <v>0.54166599999999998</v>
      </c>
      <c r="AN39" s="1">
        <f t="shared" si="5"/>
        <v>11.791499999999999</v>
      </c>
    </row>
    <row r="40" spans="1:40">
      <c r="A40" t="s">
        <v>4</v>
      </c>
      <c r="B40">
        <v>0</v>
      </c>
      <c r="C40" t="s">
        <v>5</v>
      </c>
      <c r="D40">
        <v>4</v>
      </c>
      <c r="E40" t="s">
        <v>6</v>
      </c>
      <c r="F40" s="1">
        <v>0.140625</v>
      </c>
      <c r="G40" t="s">
        <v>7</v>
      </c>
      <c r="H40" s="1">
        <v>0.5</v>
      </c>
      <c r="I40" t="s">
        <v>8</v>
      </c>
      <c r="J40" s="1">
        <v>0</v>
      </c>
      <c r="K40" s="1">
        <v>27.309346029344901</v>
      </c>
      <c r="L40" s="1">
        <f t="shared" si="0"/>
        <v>0.28125</v>
      </c>
      <c r="M40" s="1">
        <f t="shared" si="7"/>
        <v>13.654673014672451</v>
      </c>
      <c r="AB40" s="3"/>
      <c r="AC40">
        <v>123382</v>
      </c>
      <c r="AD40" s="1">
        <v>0.421875</v>
      </c>
      <c r="AE40" s="1">
        <v>9.1795799999999996</v>
      </c>
      <c r="AF40" s="1">
        <f t="shared" si="2"/>
        <v>0.84375</v>
      </c>
      <c r="AG40" s="1">
        <f t="shared" si="3"/>
        <v>9.1795799999999996</v>
      </c>
      <c r="AI40" s="3"/>
      <c r="AJ40">
        <v>58370</v>
      </c>
      <c r="AK40" s="1">
        <v>0.28125</v>
      </c>
      <c r="AL40" s="1">
        <v>11.656000000000001</v>
      </c>
      <c r="AM40" s="1">
        <f t="shared" si="4"/>
        <v>0.5625</v>
      </c>
      <c r="AN40" s="1">
        <f t="shared" si="5"/>
        <v>11.656000000000001</v>
      </c>
    </row>
    <row r="41" spans="1:40">
      <c r="A41" t="s">
        <v>4</v>
      </c>
      <c r="B41">
        <v>0</v>
      </c>
      <c r="C41" t="s">
        <v>5</v>
      </c>
      <c r="D41">
        <v>5</v>
      </c>
      <c r="E41" t="s">
        <v>6</v>
      </c>
      <c r="F41" s="1">
        <v>0.171875</v>
      </c>
      <c r="G41" t="s">
        <v>7</v>
      </c>
      <c r="H41" s="1">
        <v>0.5</v>
      </c>
      <c r="I41" t="s">
        <v>8</v>
      </c>
      <c r="J41" s="1">
        <v>0</v>
      </c>
      <c r="K41" s="1">
        <v>26.774924801826199</v>
      </c>
      <c r="L41" s="1">
        <f t="shared" si="0"/>
        <v>0.34375</v>
      </c>
      <c r="M41" s="1">
        <f t="shared" si="7"/>
        <v>13.387462400913099</v>
      </c>
      <c r="AB41" s="3"/>
      <c r="AC41">
        <v>25215</v>
      </c>
      <c r="AD41" s="1">
        <v>0.4375</v>
      </c>
      <c r="AE41" s="1">
        <v>8.8336199999999998</v>
      </c>
      <c r="AF41" s="1">
        <f t="shared" si="2"/>
        <v>0.875</v>
      </c>
      <c r="AG41" s="1">
        <f t="shared" si="3"/>
        <v>8.8336199999999998</v>
      </c>
      <c r="AI41" s="3"/>
      <c r="AJ41">
        <v>5727</v>
      </c>
      <c r="AK41" s="1">
        <v>0.29166700000000001</v>
      </c>
      <c r="AL41" s="1">
        <v>11.5205</v>
      </c>
      <c r="AM41" s="1">
        <f t="shared" si="4"/>
        <v>0.58333400000000002</v>
      </c>
      <c r="AN41" s="1">
        <f t="shared" si="5"/>
        <v>11.5205</v>
      </c>
    </row>
    <row r="42" spans="1:40">
      <c r="A42" t="s">
        <v>4</v>
      </c>
      <c r="B42">
        <v>0</v>
      </c>
      <c r="C42" t="s">
        <v>5</v>
      </c>
      <c r="D42">
        <v>6</v>
      </c>
      <c r="E42" t="s">
        <v>6</v>
      </c>
      <c r="F42" s="1">
        <v>0.203125</v>
      </c>
      <c r="G42" t="s">
        <v>7</v>
      </c>
      <c r="H42" s="1">
        <v>0.5</v>
      </c>
      <c r="I42" t="s">
        <v>8</v>
      </c>
      <c r="J42" s="1">
        <v>0</v>
      </c>
      <c r="K42" s="1">
        <v>26.7268961441345</v>
      </c>
      <c r="L42" s="1">
        <f t="shared" si="0"/>
        <v>0.40625</v>
      </c>
      <c r="M42" s="1">
        <f t="shared" si="7"/>
        <v>13.36344807206725</v>
      </c>
      <c r="AB42" s="3"/>
      <c r="AC42">
        <v>123385</v>
      </c>
      <c r="AD42" s="1">
        <v>0.453125</v>
      </c>
      <c r="AE42" s="1">
        <v>7.9292999999999996</v>
      </c>
      <c r="AF42" s="1">
        <f t="shared" si="2"/>
        <v>0.90625</v>
      </c>
      <c r="AG42" s="1">
        <f t="shared" si="3"/>
        <v>7.9292999999999996</v>
      </c>
      <c r="AI42" s="3"/>
      <c r="AJ42">
        <v>58374</v>
      </c>
      <c r="AK42" s="1">
        <v>0.30208299999999999</v>
      </c>
      <c r="AL42" s="1">
        <v>11.3714</v>
      </c>
      <c r="AM42" s="1">
        <f t="shared" si="4"/>
        <v>0.60416599999999998</v>
      </c>
      <c r="AN42" s="1">
        <f t="shared" si="5"/>
        <v>11.3714</v>
      </c>
    </row>
    <row r="43" spans="1:40">
      <c r="A43" t="s">
        <v>4</v>
      </c>
      <c r="B43">
        <v>0</v>
      </c>
      <c r="C43" t="s">
        <v>5</v>
      </c>
      <c r="D43">
        <v>7</v>
      </c>
      <c r="E43" t="s">
        <v>6</v>
      </c>
      <c r="F43" s="1">
        <v>0.234375</v>
      </c>
      <c r="G43" t="s">
        <v>7</v>
      </c>
      <c r="H43" s="1">
        <v>0.5</v>
      </c>
      <c r="I43" t="s">
        <v>8</v>
      </c>
      <c r="J43" s="1">
        <v>0</v>
      </c>
      <c r="K43" s="1">
        <v>25.553030896681701</v>
      </c>
      <c r="L43" s="1">
        <f t="shared" si="0"/>
        <v>0.46875</v>
      </c>
      <c r="M43" s="1">
        <f t="shared" si="7"/>
        <v>12.776515448340851</v>
      </c>
      <c r="AB43" s="3"/>
      <c r="AC43">
        <v>25216</v>
      </c>
      <c r="AD43" s="1">
        <v>0.46875</v>
      </c>
      <c r="AE43" s="1">
        <v>7.0249800000000002</v>
      </c>
      <c r="AF43" s="1">
        <f t="shared" si="2"/>
        <v>0.9375</v>
      </c>
      <c r="AG43" s="1">
        <f t="shared" si="3"/>
        <v>7.0249800000000002</v>
      </c>
      <c r="AI43" s="3"/>
      <c r="AJ43">
        <v>5728</v>
      </c>
      <c r="AK43" s="1">
        <v>0.3125</v>
      </c>
      <c r="AL43" s="1">
        <v>11.222300000000001</v>
      </c>
      <c r="AM43" s="1">
        <f t="shared" si="4"/>
        <v>0.625</v>
      </c>
      <c r="AN43" s="1">
        <f t="shared" si="5"/>
        <v>11.222300000000001</v>
      </c>
    </row>
    <row r="44" spans="1:40">
      <c r="A44" t="s">
        <v>4</v>
      </c>
      <c r="B44">
        <v>0</v>
      </c>
      <c r="C44" t="s">
        <v>5</v>
      </c>
      <c r="D44">
        <v>8</v>
      </c>
      <c r="E44" t="s">
        <v>6</v>
      </c>
      <c r="F44" s="1">
        <v>0.265625</v>
      </c>
      <c r="G44" t="s">
        <v>7</v>
      </c>
      <c r="H44" s="1">
        <v>0.5</v>
      </c>
      <c r="I44" t="s">
        <v>8</v>
      </c>
      <c r="J44" s="1">
        <v>0</v>
      </c>
      <c r="K44" s="1">
        <v>24.750429286114102</v>
      </c>
      <c r="L44" s="1">
        <f t="shared" si="0"/>
        <v>0.53125</v>
      </c>
      <c r="M44" s="1">
        <f t="shared" si="7"/>
        <v>12.375214643057051</v>
      </c>
      <c r="AB44" s="3"/>
      <c r="AC44">
        <v>123388</v>
      </c>
      <c r="AD44" s="1">
        <v>0.484375</v>
      </c>
      <c r="AE44" s="1">
        <v>6.2415000000000003</v>
      </c>
      <c r="AF44" s="1">
        <f t="shared" si="2"/>
        <v>0.96875</v>
      </c>
      <c r="AG44" s="1">
        <f t="shared" si="3"/>
        <v>6.2415000000000003</v>
      </c>
      <c r="AI44" s="3"/>
      <c r="AJ44">
        <v>58378</v>
      </c>
      <c r="AK44" s="1">
        <v>0.32291700000000001</v>
      </c>
      <c r="AL44" s="1">
        <v>11.0572</v>
      </c>
      <c r="AM44" s="1">
        <f t="shared" si="4"/>
        <v>0.64583400000000002</v>
      </c>
      <c r="AN44" s="1">
        <f t="shared" si="5"/>
        <v>11.0572</v>
      </c>
    </row>
    <row r="45" spans="1:40">
      <c r="A45" t="s">
        <v>4</v>
      </c>
      <c r="B45">
        <v>0</v>
      </c>
      <c r="C45" t="s">
        <v>5</v>
      </c>
      <c r="D45">
        <v>9</v>
      </c>
      <c r="E45" t="s">
        <v>6</v>
      </c>
      <c r="F45" s="1">
        <v>0.296875</v>
      </c>
      <c r="G45" t="s">
        <v>7</v>
      </c>
      <c r="H45" s="1">
        <v>0.5</v>
      </c>
      <c r="I45" t="s">
        <v>8</v>
      </c>
      <c r="J45" s="1">
        <v>0</v>
      </c>
      <c r="K45" s="1">
        <v>24.1553782498472</v>
      </c>
      <c r="L45" s="1">
        <f t="shared" si="0"/>
        <v>0.59375</v>
      </c>
      <c r="M45" s="1">
        <f t="shared" si="7"/>
        <v>12.0776891249236</v>
      </c>
      <c r="AB45" s="4"/>
      <c r="AC45">
        <v>25217</v>
      </c>
      <c r="AD45" s="1">
        <v>0.5</v>
      </c>
      <c r="AE45" s="1">
        <v>5.4580200000000003</v>
      </c>
      <c r="AF45" s="1">
        <f t="shared" si="2"/>
        <v>1</v>
      </c>
      <c r="AG45" s="1">
        <f t="shared" si="3"/>
        <v>5.4580200000000003</v>
      </c>
      <c r="AI45" s="3"/>
      <c r="AJ45">
        <v>5729</v>
      </c>
      <c r="AK45" s="1">
        <v>0.33333299999999999</v>
      </c>
      <c r="AL45" s="1">
        <v>10.891999999999999</v>
      </c>
      <c r="AM45" s="1">
        <f t="shared" si="4"/>
        <v>0.66666599999999998</v>
      </c>
      <c r="AN45" s="1">
        <f t="shared" si="5"/>
        <v>10.891999999999999</v>
      </c>
    </row>
    <row r="46" spans="1:40">
      <c r="A46" t="s">
        <v>4</v>
      </c>
      <c r="B46">
        <v>0</v>
      </c>
      <c r="C46" t="s">
        <v>5</v>
      </c>
      <c r="D46">
        <v>10</v>
      </c>
      <c r="E46" t="s">
        <v>6</v>
      </c>
      <c r="F46" s="1">
        <v>0.328125</v>
      </c>
      <c r="G46" t="s">
        <v>7</v>
      </c>
      <c r="H46" s="1">
        <v>0.5</v>
      </c>
      <c r="I46" t="s">
        <v>8</v>
      </c>
      <c r="J46" s="1">
        <v>0</v>
      </c>
      <c r="K46" s="1">
        <v>23.1508463591672</v>
      </c>
      <c r="L46" s="1">
        <f t="shared" si="0"/>
        <v>0.65625</v>
      </c>
      <c r="M46" s="1">
        <f t="shared" si="7"/>
        <v>11.5754231795836</v>
      </c>
      <c r="AI46" s="3"/>
      <c r="AJ46">
        <v>58382</v>
      </c>
      <c r="AK46" s="1">
        <v>0.34375</v>
      </c>
      <c r="AL46" s="1">
        <v>10.707599999999999</v>
      </c>
      <c r="AM46" s="1">
        <f t="shared" si="4"/>
        <v>0.6875</v>
      </c>
      <c r="AN46" s="1">
        <f t="shared" si="5"/>
        <v>10.707599999999999</v>
      </c>
    </row>
    <row r="47" spans="1:40">
      <c r="A47" t="s">
        <v>4</v>
      </c>
      <c r="B47">
        <v>0</v>
      </c>
      <c r="C47" t="s">
        <v>5</v>
      </c>
      <c r="D47">
        <v>11</v>
      </c>
      <c r="E47" t="s">
        <v>6</v>
      </c>
      <c r="F47" s="1">
        <v>0.359375</v>
      </c>
      <c r="G47" t="s">
        <v>7</v>
      </c>
      <c r="H47" s="1">
        <v>0.5</v>
      </c>
      <c r="I47" t="s">
        <v>8</v>
      </c>
      <c r="J47" s="1">
        <v>0</v>
      </c>
      <c r="K47" s="1">
        <v>21.663894072745599</v>
      </c>
      <c r="L47" s="1">
        <f t="shared" si="0"/>
        <v>0.71875</v>
      </c>
      <c r="M47" s="1">
        <f t="shared" si="7"/>
        <v>10.831947036372799</v>
      </c>
      <c r="AI47" s="3"/>
      <c r="AJ47">
        <v>5730</v>
      </c>
      <c r="AK47" s="1">
        <v>0.35416700000000001</v>
      </c>
      <c r="AL47" s="1">
        <v>10.523099999999999</v>
      </c>
      <c r="AM47" s="1">
        <f t="shared" si="4"/>
        <v>0.70833400000000002</v>
      </c>
      <c r="AN47" s="1">
        <f t="shared" si="5"/>
        <v>10.523099999999999</v>
      </c>
    </row>
    <row r="48" spans="1:40">
      <c r="A48" t="s">
        <v>4</v>
      </c>
      <c r="B48">
        <v>0</v>
      </c>
      <c r="C48" t="s">
        <v>5</v>
      </c>
      <c r="D48">
        <v>12</v>
      </c>
      <c r="E48" t="s">
        <v>6</v>
      </c>
      <c r="F48" s="1">
        <v>0.390625</v>
      </c>
      <c r="G48" t="s">
        <v>7</v>
      </c>
      <c r="H48" s="1">
        <v>0.5</v>
      </c>
      <c r="I48" t="s">
        <v>8</v>
      </c>
      <c r="J48" s="1">
        <v>0</v>
      </c>
      <c r="K48" s="1">
        <v>21.119529854613699</v>
      </c>
      <c r="L48" s="1">
        <f t="shared" si="0"/>
        <v>0.78125</v>
      </c>
      <c r="M48" s="1">
        <f t="shared" si="7"/>
        <v>10.559764927306849</v>
      </c>
      <c r="AI48" s="3"/>
      <c r="AJ48">
        <v>58386</v>
      </c>
      <c r="AK48" s="1">
        <v>0.36458299999999999</v>
      </c>
      <c r="AL48" s="1">
        <v>10.3154</v>
      </c>
      <c r="AM48" s="1">
        <f t="shared" si="4"/>
        <v>0.72916599999999998</v>
      </c>
      <c r="AN48" s="1">
        <f t="shared" si="5"/>
        <v>10.3154</v>
      </c>
    </row>
    <row r="49" spans="1:40">
      <c r="A49" t="s">
        <v>4</v>
      </c>
      <c r="B49">
        <v>0</v>
      </c>
      <c r="C49" t="s">
        <v>5</v>
      </c>
      <c r="D49">
        <v>13</v>
      </c>
      <c r="E49" t="s">
        <v>6</v>
      </c>
      <c r="F49" s="1">
        <v>0.421875</v>
      </c>
      <c r="G49" t="s">
        <v>7</v>
      </c>
      <c r="H49" s="1">
        <v>0.5</v>
      </c>
      <c r="I49" t="s">
        <v>8</v>
      </c>
      <c r="J49" s="1">
        <v>0</v>
      </c>
      <c r="K49" s="1">
        <v>17.616052103124499</v>
      </c>
      <c r="L49" s="1">
        <f t="shared" si="0"/>
        <v>0.84375</v>
      </c>
      <c r="M49" s="1">
        <f t="shared" si="7"/>
        <v>8.8080260515622495</v>
      </c>
      <c r="AI49" s="3"/>
      <c r="AJ49">
        <v>5731</v>
      </c>
      <c r="AK49" s="1">
        <v>0.375</v>
      </c>
      <c r="AL49" s="1">
        <v>10.1076</v>
      </c>
      <c r="AM49" s="1">
        <f t="shared" si="4"/>
        <v>0.75</v>
      </c>
      <c r="AN49" s="1">
        <f t="shared" si="5"/>
        <v>10.1076</v>
      </c>
    </row>
    <row r="50" spans="1:40">
      <c r="A50" t="s">
        <v>4</v>
      </c>
      <c r="B50">
        <v>0</v>
      </c>
      <c r="C50" t="s">
        <v>5</v>
      </c>
      <c r="D50">
        <v>14</v>
      </c>
      <c r="E50" t="s">
        <v>6</v>
      </c>
      <c r="F50" s="1">
        <v>0.453125</v>
      </c>
      <c r="G50" t="s">
        <v>7</v>
      </c>
      <c r="H50" s="1">
        <v>0.5</v>
      </c>
      <c r="I50" t="s">
        <v>8</v>
      </c>
      <c r="J50" s="1">
        <v>0</v>
      </c>
      <c r="K50" s="1">
        <v>19.8696665871365</v>
      </c>
      <c r="L50" s="1">
        <f t="shared" si="0"/>
        <v>0.90625</v>
      </c>
      <c r="M50" s="1">
        <f t="shared" si="7"/>
        <v>9.93483329356825</v>
      </c>
      <c r="AI50" s="3"/>
      <c r="AJ50">
        <v>58390</v>
      </c>
      <c r="AK50" s="1">
        <v>0.38541700000000001</v>
      </c>
      <c r="AL50" s="1">
        <v>9.8723100000000006</v>
      </c>
      <c r="AM50" s="1">
        <f t="shared" si="4"/>
        <v>0.77083400000000002</v>
      </c>
      <c r="AN50" s="1">
        <f t="shared" si="5"/>
        <v>9.8723100000000006</v>
      </c>
    </row>
    <row r="51" spans="1:40">
      <c r="A51" t="s">
        <v>4</v>
      </c>
      <c r="B51">
        <v>0</v>
      </c>
      <c r="C51" t="s">
        <v>5</v>
      </c>
      <c r="D51">
        <v>15</v>
      </c>
      <c r="E51" t="s">
        <v>6</v>
      </c>
      <c r="F51" s="1">
        <v>0.484375</v>
      </c>
      <c r="G51" t="s">
        <v>7</v>
      </c>
      <c r="H51" s="1">
        <v>0.5</v>
      </c>
      <c r="I51" t="s">
        <v>8</v>
      </c>
      <c r="J51" s="1">
        <v>0</v>
      </c>
      <c r="K51" s="1">
        <v>10.311261893477401</v>
      </c>
      <c r="L51" s="1">
        <f t="shared" si="0"/>
        <v>0.96875</v>
      </c>
      <c r="M51" s="1">
        <f t="shared" si="7"/>
        <v>5.1556309467387003</v>
      </c>
      <c r="AI51" s="3"/>
      <c r="AJ51">
        <v>5732</v>
      </c>
      <c r="AK51" s="1">
        <v>0.39583299999999999</v>
      </c>
      <c r="AL51" s="1">
        <v>9.6369900000000008</v>
      </c>
      <c r="AM51" s="1">
        <f t="shared" si="4"/>
        <v>0.79166599999999998</v>
      </c>
      <c r="AN51" s="1">
        <f t="shared" si="5"/>
        <v>9.6369900000000008</v>
      </c>
    </row>
    <row r="52" spans="1:40">
      <c r="AI52" s="3"/>
      <c r="AJ52">
        <v>58394</v>
      </c>
      <c r="AK52" s="1">
        <v>0.40625</v>
      </c>
      <c r="AL52" s="1">
        <v>9.3722799999999999</v>
      </c>
      <c r="AM52" s="1">
        <f t="shared" si="4"/>
        <v>0.8125</v>
      </c>
      <c r="AN52" s="1">
        <f t="shared" si="5"/>
        <v>9.3722799999999999</v>
      </c>
    </row>
    <row r="53" spans="1:40">
      <c r="AI53" s="3"/>
      <c r="AJ53">
        <v>5733</v>
      </c>
      <c r="AK53" s="1">
        <v>0.41666700000000001</v>
      </c>
      <c r="AL53" s="1">
        <v>9.1075700000000008</v>
      </c>
      <c r="AM53" s="1">
        <f t="shared" si="4"/>
        <v>0.83333400000000002</v>
      </c>
      <c r="AN53" s="1">
        <f t="shared" si="5"/>
        <v>9.1075700000000008</v>
      </c>
    </row>
    <row r="54" spans="1:40">
      <c r="AI54" s="3"/>
      <c r="AJ54">
        <v>58398</v>
      </c>
      <c r="AK54" s="1">
        <v>0.42708299999999999</v>
      </c>
      <c r="AL54" s="1">
        <v>8.8015799999999995</v>
      </c>
      <c r="AM54" s="1">
        <f t="shared" si="4"/>
        <v>0.85416599999999998</v>
      </c>
      <c r="AN54" s="1">
        <f t="shared" si="5"/>
        <v>8.8015799999999995</v>
      </c>
    </row>
    <row r="55" spans="1:40">
      <c r="AI55" s="3"/>
      <c r="AJ55">
        <v>5734</v>
      </c>
      <c r="AK55" s="1">
        <v>0.4375</v>
      </c>
      <c r="AL55" s="1">
        <v>8.4955999999999996</v>
      </c>
      <c r="AM55" s="1">
        <f t="shared" si="4"/>
        <v>0.875</v>
      </c>
      <c r="AN55" s="1">
        <f t="shared" si="5"/>
        <v>8.4955999999999996</v>
      </c>
    </row>
    <row r="56" spans="1:40">
      <c r="AI56" s="3"/>
      <c r="AJ56">
        <v>58402</v>
      </c>
      <c r="AK56" s="1">
        <v>0.44791700000000001</v>
      </c>
      <c r="AL56" s="1">
        <v>8.2087299999999992</v>
      </c>
      <c r="AM56" s="1">
        <f t="shared" si="4"/>
        <v>0.89583400000000002</v>
      </c>
      <c r="AN56" s="1">
        <f t="shared" si="5"/>
        <v>8.2087299999999992</v>
      </c>
    </row>
    <row r="57" spans="1:40">
      <c r="AI57" s="3"/>
      <c r="AJ57">
        <v>5735</v>
      </c>
      <c r="AK57" s="1">
        <v>0.45833299999999999</v>
      </c>
      <c r="AL57" s="1">
        <v>7.9218599999999997</v>
      </c>
      <c r="AM57" s="1">
        <f t="shared" si="4"/>
        <v>0.91666599999999998</v>
      </c>
      <c r="AN57" s="1">
        <f t="shared" si="5"/>
        <v>7.9218599999999997</v>
      </c>
    </row>
    <row r="58" spans="1:40">
      <c r="AI58" s="3"/>
      <c r="AJ58">
        <v>58406</v>
      </c>
      <c r="AK58" s="1">
        <v>0.46875</v>
      </c>
      <c r="AL58" s="1">
        <v>6.7829300000000003</v>
      </c>
      <c r="AM58" s="1">
        <f t="shared" si="4"/>
        <v>0.9375</v>
      </c>
      <c r="AN58" s="1">
        <f t="shared" si="5"/>
        <v>6.7829300000000003</v>
      </c>
    </row>
    <row r="59" spans="1:40">
      <c r="AI59" s="3"/>
      <c r="AJ59">
        <v>5736</v>
      </c>
      <c r="AK59" s="1">
        <v>0.47916700000000001</v>
      </c>
      <c r="AL59" s="1">
        <v>5.6440000000000001</v>
      </c>
      <c r="AM59" s="1">
        <f t="shared" si="4"/>
        <v>0.95833400000000002</v>
      </c>
      <c r="AN59" s="1">
        <f t="shared" si="5"/>
        <v>5.6440000000000001</v>
      </c>
    </row>
    <row r="60" spans="1:40">
      <c r="AI60" s="3"/>
      <c r="AJ60">
        <v>58410</v>
      </c>
      <c r="AK60" s="1">
        <v>0.48958299999999999</v>
      </c>
      <c r="AL60" s="1">
        <v>5.7351599999999996</v>
      </c>
      <c r="AM60" s="1">
        <f t="shared" si="4"/>
        <v>0.97916599999999998</v>
      </c>
      <c r="AN60" s="1">
        <f t="shared" si="5"/>
        <v>5.7351599999999996</v>
      </c>
    </row>
    <row r="61" spans="1:40">
      <c r="AI61" s="4"/>
      <c r="AJ61">
        <v>5737</v>
      </c>
      <c r="AK61" s="1">
        <v>0.5</v>
      </c>
      <c r="AL61" s="1">
        <v>5.8263100000000003</v>
      </c>
      <c r="AM61" s="1">
        <f t="shared" si="4"/>
        <v>1</v>
      </c>
      <c r="AN61" s="1">
        <f t="shared" si="5"/>
        <v>5.8263100000000003</v>
      </c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E7E8C-D39A-45D6-B82A-76BE13A9C2DC}">
  <dimension ref="A1:AN61"/>
  <sheetViews>
    <sheetView tabSelected="1" topLeftCell="L16" zoomScale="169" zoomScaleNormal="100" workbookViewId="0">
      <selection activeCell="U24" sqref="U24"/>
    </sheetView>
  </sheetViews>
  <sheetFormatPr defaultRowHeight="18"/>
  <cols>
    <col min="2" max="2" width="8.8984375" bestFit="1" customWidth="1"/>
    <col min="4" max="4" width="8.8984375" bestFit="1" customWidth="1"/>
    <col min="6" max="6" width="9.09765625" bestFit="1" customWidth="1"/>
    <col min="8" max="8" width="9.09765625" bestFit="1" customWidth="1"/>
    <col min="10" max="11" width="9.59765625" bestFit="1" customWidth="1"/>
    <col min="12" max="12" width="9.09765625" bestFit="1" customWidth="1"/>
    <col min="13" max="13" width="9.59765625" bestFit="1" customWidth="1"/>
    <col min="29" max="29" width="9.09765625" bestFit="1" customWidth="1"/>
    <col min="30" max="33" width="10.296875" bestFit="1" customWidth="1"/>
    <col min="36" max="36" width="8.8984375" bestFit="1" customWidth="1"/>
    <col min="37" max="37" width="9" bestFit="1" customWidth="1"/>
    <col min="38" max="40" width="9.5" bestFit="1" customWidth="1"/>
  </cols>
  <sheetData>
    <row r="1" spans="1:40">
      <c r="A1" t="s">
        <v>16</v>
      </c>
      <c r="AB1" s="3" t="s">
        <v>19</v>
      </c>
      <c r="AC1" t="s">
        <v>20</v>
      </c>
      <c r="AI1" s="3" t="s">
        <v>19</v>
      </c>
      <c r="AJ1" t="s">
        <v>20</v>
      </c>
    </row>
    <row r="2" spans="1:40">
      <c r="A2" t="s">
        <v>4</v>
      </c>
      <c r="B2">
        <v>0</v>
      </c>
      <c r="C2" t="s">
        <v>5</v>
      </c>
      <c r="D2">
        <v>0</v>
      </c>
      <c r="E2" t="s">
        <v>6</v>
      </c>
      <c r="F2" s="1">
        <v>1.5625E-2</v>
      </c>
      <c r="G2" t="s">
        <v>7</v>
      </c>
      <c r="H2" s="1">
        <v>0.5</v>
      </c>
      <c r="I2" t="s">
        <v>8</v>
      </c>
      <c r="J2" s="1">
        <v>0</v>
      </c>
      <c r="K2" s="1">
        <v>28.540453037514101</v>
      </c>
      <c r="L2" s="1">
        <f>2*F2</f>
        <v>3.125E-2</v>
      </c>
      <c r="M2" s="1">
        <f>K2/2</f>
        <v>14.270226518757051</v>
      </c>
      <c r="AB2" s="3" t="s">
        <v>21</v>
      </c>
      <c r="AI2" s="3" t="s">
        <v>21</v>
      </c>
    </row>
    <row r="3" spans="1:40">
      <c r="A3" t="s">
        <v>4</v>
      </c>
      <c r="B3">
        <v>0</v>
      </c>
      <c r="C3" t="s">
        <v>5</v>
      </c>
      <c r="D3">
        <v>1</v>
      </c>
      <c r="E3" t="s">
        <v>6</v>
      </c>
      <c r="F3" s="1">
        <v>4.6875E-2</v>
      </c>
      <c r="G3" t="s">
        <v>7</v>
      </c>
      <c r="H3" s="1">
        <v>0.5</v>
      </c>
      <c r="I3" t="s">
        <v>8</v>
      </c>
      <c r="J3" s="1">
        <v>0</v>
      </c>
      <c r="K3" s="1">
        <v>28.508444737590601</v>
      </c>
      <c r="L3" s="1">
        <f t="shared" ref="L3:L51" si="0">2*F3</f>
        <v>9.375E-2</v>
      </c>
      <c r="M3" s="1">
        <f t="shared" ref="M3:M17" si="1">K3/2</f>
        <v>14.2542223687953</v>
      </c>
      <c r="AB3" s="3" t="s">
        <v>22</v>
      </c>
      <c r="AC3" t="s">
        <v>23</v>
      </c>
      <c r="AD3">
        <v>89</v>
      </c>
      <c r="AI3" s="3" t="s">
        <v>22</v>
      </c>
      <c r="AJ3" t="s">
        <v>23</v>
      </c>
      <c r="AK3">
        <v>88</v>
      </c>
    </row>
    <row r="4" spans="1:40">
      <c r="A4" t="s">
        <v>4</v>
      </c>
      <c r="B4">
        <v>0</v>
      </c>
      <c r="C4" t="s">
        <v>5</v>
      </c>
      <c r="D4">
        <v>2</v>
      </c>
      <c r="E4" t="s">
        <v>6</v>
      </c>
      <c r="F4" s="1">
        <v>7.8125E-2</v>
      </c>
      <c r="G4" t="s">
        <v>7</v>
      </c>
      <c r="H4" s="1">
        <v>0.5</v>
      </c>
      <c r="I4" t="s">
        <v>8</v>
      </c>
      <c r="J4" s="1">
        <v>0</v>
      </c>
      <c r="K4" s="1">
        <v>28.271998617775399</v>
      </c>
      <c r="L4" s="1">
        <f t="shared" si="0"/>
        <v>0.15625</v>
      </c>
      <c r="M4" s="1">
        <f t="shared" si="1"/>
        <v>14.135999308887699</v>
      </c>
      <c r="AB4" s="3" t="s">
        <v>24</v>
      </c>
      <c r="AC4" t="s">
        <v>23</v>
      </c>
      <c r="AD4" s="1">
        <v>1</v>
      </c>
      <c r="AI4" s="3" t="s">
        <v>24</v>
      </c>
      <c r="AJ4" t="s">
        <v>23</v>
      </c>
      <c r="AK4" s="1">
        <v>1</v>
      </c>
    </row>
    <row r="5" spans="1:40">
      <c r="A5" t="s">
        <v>4</v>
      </c>
      <c r="B5">
        <v>0</v>
      </c>
      <c r="C5" t="s">
        <v>5</v>
      </c>
      <c r="D5">
        <v>3</v>
      </c>
      <c r="E5" t="s">
        <v>6</v>
      </c>
      <c r="F5" s="1">
        <v>0.109375</v>
      </c>
      <c r="G5" t="s">
        <v>7</v>
      </c>
      <c r="H5" s="1">
        <v>0.5</v>
      </c>
      <c r="I5" t="s">
        <v>8</v>
      </c>
      <c r="J5" s="1">
        <v>0</v>
      </c>
      <c r="K5" s="1">
        <v>27.946817762842201</v>
      </c>
      <c r="L5" s="1">
        <f t="shared" si="0"/>
        <v>0.21875</v>
      </c>
      <c r="M5" s="1">
        <f t="shared" si="1"/>
        <v>13.973408881421101</v>
      </c>
      <c r="AB5" s="3" t="s">
        <v>25</v>
      </c>
      <c r="AC5" t="s">
        <v>23</v>
      </c>
      <c r="AD5" s="1">
        <v>0</v>
      </c>
      <c r="AI5" s="3" t="s">
        <v>25</v>
      </c>
      <c r="AJ5" t="s">
        <v>23</v>
      </c>
      <c r="AK5" s="1">
        <v>0</v>
      </c>
    </row>
    <row r="6" spans="1:40">
      <c r="A6" t="s">
        <v>4</v>
      </c>
      <c r="B6">
        <v>0</v>
      </c>
      <c r="C6" t="s">
        <v>5</v>
      </c>
      <c r="D6">
        <v>4</v>
      </c>
      <c r="E6" t="s">
        <v>6</v>
      </c>
      <c r="F6" s="1">
        <v>0.140625</v>
      </c>
      <c r="G6" t="s">
        <v>7</v>
      </c>
      <c r="H6" s="1">
        <v>0.5</v>
      </c>
      <c r="I6" t="s">
        <v>8</v>
      </c>
      <c r="J6" s="1">
        <v>0</v>
      </c>
      <c r="K6" s="1">
        <v>27.609124170932699</v>
      </c>
      <c r="L6" s="1">
        <f t="shared" si="0"/>
        <v>0.28125</v>
      </c>
      <c r="M6" s="1">
        <f t="shared" si="1"/>
        <v>13.804562085466349</v>
      </c>
      <c r="AB6" s="2"/>
      <c r="AI6" s="2"/>
    </row>
    <row r="7" spans="1:40">
      <c r="A7" t="s">
        <v>4</v>
      </c>
      <c r="B7">
        <v>0</v>
      </c>
      <c r="C7" t="s">
        <v>5</v>
      </c>
      <c r="D7">
        <v>5</v>
      </c>
      <c r="E7" t="s">
        <v>6</v>
      </c>
      <c r="F7" s="1">
        <v>0.171875</v>
      </c>
      <c r="G7" t="s">
        <v>7</v>
      </c>
      <c r="H7" s="1">
        <v>0.5</v>
      </c>
      <c r="I7" t="s">
        <v>8</v>
      </c>
      <c r="J7" s="1">
        <v>0</v>
      </c>
      <c r="K7" s="1">
        <v>27.109601787545301</v>
      </c>
      <c r="L7" s="1">
        <f t="shared" si="0"/>
        <v>0.34375</v>
      </c>
      <c r="M7" s="1">
        <f t="shared" si="1"/>
        <v>13.554800893772651</v>
      </c>
      <c r="AB7" s="3" t="s">
        <v>26</v>
      </c>
      <c r="AC7">
        <v>1</v>
      </c>
      <c r="AI7" s="3" t="s">
        <v>26</v>
      </c>
      <c r="AJ7">
        <v>1</v>
      </c>
    </row>
    <row r="8" spans="1:40">
      <c r="A8" t="s">
        <v>4</v>
      </c>
      <c r="B8">
        <v>0</v>
      </c>
      <c r="C8" t="s">
        <v>5</v>
      </c>
      <c r="D8">
        <v>6</v>
      </c>
      <c r="E8" t="s">
        <v>6</v>
      </c>
      <c r="F8" s="1">
        <v>0.203125</v>
      </c>
      <c r="G8" t="s">
        <v>7</v>
      </c>
      <c r="H8" s="1">
        <v>0.5</v>
      </c>
      <c r="I8" t="s">
        <v>8</v>
      </c>
      <c r="J8" s="1">
        <v>0</v>
      </c>
      <c r="K8" s="1">
        <v>26.476860792216701</v>
      </c>
      <c r="L8" s="1">
        <f t="shared" si="0"/>
        <v>0.40625</v>
      </c>
      <c r="M8" s="1">
        <f t="shared" si="1"/>
        <v>13.238430396108351</v>
      </c>
      <c r="AB8" s="3" t="s">
        <v>27</v>
      </c>
      <c r="AC8" t="s">
        <v>23</v>
      </c>
      <c r="AD8" t="s">
        <v>28</v>
      </c>
      <c r="AE8" t="s">
        <v>29</v>
      </c>
      <c r="AI8" s="3" t="s">
        <v>27</v>
      </c>
      <c r="AJ8" t="s">
        <v>23</v>
      </c>
      <c r="AK8" t="s">
        <v>28</v>
      </c>
      <c r="AL8" t="s">
        <v>29</v>
      </c>
    </row>
    <row r="9" spans="1:40">
      <c r="A9" t="s">
        <v>4</v>
      </c>
      <c r="B9">
        <v>0</v>
      </c>
      <c r="C9" t="s">
        <v>5</v>
      </c>
      <c r="D9">
        <v>7</v>
      </c>
      <c r="E9" t="s">
        <v>6</v>
      </c>
      <c r="F9" s="1">
        <v>0.234375</v>
      </c>
      <c r="G9" t="s">
        <v>7</v>
      </c>
      <c r="H9" s="1">
        <v>0.5</v>
      </c>
      <c r="I9" t="s">
        <v>8</v>
      </c>
      <c r="J9" s="1">
        <v>0</v>
      </c>
      <c r="K9" s="1">
        <v>25.909283937402002</v>
      </c>
      <c r="L9" s="1">
        <f t="shared" si="0"/>
        <v>0.46875</v>
      </c>
      <c r="M9" s="1">
        <f t="shared" si="1"/>
        <v>12.954641968701001</v>
      </c>
      <c r="AB9" s="3" t="s">
        <v>30</v>
      </c>
      <c r="AC9" t="s">
        <v>23</v>
      </c>
      <c r="AD9" t="s">
        <v>31</v>
      </c>
      <c r="AI9" s="3" t="s">
        <v>30</v>
      </c>
      <c r="AJ9" t="s">
        <v>23</v>
      </c>
      <c r="AK9" t="s">
        <v>31</v>
      </c>
    </row>
    <row r="10" spans="1:40">
      <c r="A10" t="s">
        <v>4</v>
      </c>
      <c r="B10">
        <v>0</v>
      </c>
      <c r="C10" t="s">
        <v>5</v>
      </c>
      <c r="D10">
        <v>8</v>
      </c>
      <c r="E10" t="s">
        <v>6</v>
      </c>
      <c r="F10" s="1">
        <v>0.265625</v>
      </c>
      <c r="G10" t="s">
        <v>7</v>
      </c>
      <c r="H10" s="1">
        <v>0.5</v>
      </c>
      <c r="I10" t="s">
        <v>8</v>
      </c>
      <c r="J10" s="1">
        <v>0</v>
      </c>
      <c r="K10" s="1">
        <v>25.151596121178201</v>
      </c>
      <c r="L10" s="1">
        <f t="shared" si="0"/>
        <v>0.53125</v>
      </c>
      <c r="M10" s="1">
        <f t="shared" si="1"/>
        <v>12.575798060589101</v>
      </c>
      <c r="AB10" s="2"/>
      <c r="AI10" s="2"/>
    </row>
    <row r="11" spans="1:40">
      <c r="A11" t="s">
        <v>4</v>
      </c>
      <c r="B11">
        <v>0</v>
      </c>
      <c r="C11" t="s">
        <v>5</v>
      </c>
      <c r="D11">
        <v>9</v>
      </c>
      <c r="E11" t="s">
        <v>6</v>
      </c>
      <c r="F11" s="1">
        <v>0.296875</v>
      </c>
      <c r="G11" t="s">
        <v>7</v>
      </c>
      <c r="H11" s="1">
        <v>0.5</v>
      </c>
      <c r="I11" t="s">
        <v>8</v>
      </c>
      <c r="J11" s="1">
        <v>0</v>
      </c>
      <c r="K11" s="1">
        <v>24.030235293896801</v>
      </c>
      <c r="L11" s="1">
        <f t="shared" si="0"/>
        <v>0.59375</v>
      </c>
      <c r="M11" s="1">
        <f t="shared" si="1"/>
        <v>12.015117646948401</v>
      </c>
      <c r="AB11" s="3"/>
      <c r="AC11" t="s">
        <v>32</v>
      </c>
      <c r="AD11" t="s">
        <v>27</v>
      </c>
      <c r="AE11" t="s">
        <v>30</v>
      </c>
      <c r="AI11" s="3"/>
      <c r="AJ11" t="s">
        <v>32</v>
      </c>
      <c r="AK11" t="s">
        <v>27</v>
      </c>
      <c r="AL11" t="s">
        <v>30</v>
      </c>
    </row>
    <row r="12" spans="1:40">
      <c r="A12" t="s">
        <v>4</v>
      </c>
      <c r="B12">
        <v>0</v>
      </c>
      <c r="C12" t="s">
        <v>5</v>
      </c>
      <c r="D12">
        <v>10</v>
      </c>
      <c r="E12" t="s">
        <v>6</v>
      </c>
      <c r="F12" s="1">
        <v>0.328125</v>
      </c>
      <c r="G12" t="s">
        <v>7</v>
      </c>
      <c r="H12" s="1">
        <v>0.5</v>
      </c>
      <c r="I12" t="s">
        <v>8</v>
      </c>
      <c r="J12" s="1">
        <v>0</v>
      </c>
      <c r="K12" s="1">
        <v>23.305487386433601</v>
      </c>
      <c r="L12" s="1">
        <f t="shared" si="0"/>
        <v>0.65625</v>
      </c>
      <c r="M12" s="1">
        <f t="shared" si="1"/>
        <v>11.6527436932168</v>
      </c>
      <c r="AB12" s="3" t="s">
        <v>33</v>
      </c>
      <c r="AI12" s="3" t="s">
        <v>33</v>
      </c>
    </row>
    <row r="13" spans="1:40">
      <c r="A13" t="s">
        <v>4</v>
      </c>
      <c r="B13">
        <v>0</v>
      </c>
      <c r="C13" t="s">
        <v>5</v>
      </c>
      <c r="D13">
        <v>11</v>
      </c>
      <c r="E13" t="s">
        <v>6</v>
      </c>
      <c r="F13" s="1">
        <v>0.359375</v>
      </c>
      <c r="G13" t="s">
        <v>7</v>
      </c>
      <c r="H13" s="1">
        <v>0.5</v>
      </c>
      <c r="I13" t="s">
        <v>8</v>
      </c>
      <c r="J13" s="1">
        <v>0</v>
      </c>
      <c r="K13" s="1">
        <v>22.265785519163899</v>
      </c>
      <c r="L13" s="1">
        <f t="shared" si="0"/>
        <v>0.71875</v>
      </c>
      <c r="M13" s="1">
        <f t="shared" si="1"/>
        <v>11.132892759581949</v>
      </c>
      <c r="AB13" s="3"/>
      <c r="AC13">
        <v>1394</v>
      </c>
      <c r="AD13" s="1">
        <v>0</v>
      </c>
      <c r="AE13" s="1">
        <v>13.5907</v>
      </c>
      <c r="AF13" s="1">
        <f>AD13*2</f>
        <v>0</v>
      </c>
      <c r="AG13" s="1">
        <f>AE13</f>
        <v>13.5907</v>
      </c>
      <c r="AI13" s="3"/>
      <c r="AJ13">
        <v>6</v>
      </c>
      <c r="AK13" s="1">
        <v>0</v>
      </c>
      <c r="AL13" s="1">
        <v>13.433400000000001</v>
      </c>
      <c r="AM13" s="1">
        <f>AK13*2</f>
        <v>0</v>
      </c>
      <c r="AN13" s="1">
        <f>AL13</f>
        <v>13.433400000000001</v>
      </c>
    </row>
    <row r="14" spans="1:40">
      <c r="A14" t="s">
        <v>4</v>
      </c>
      <c r="B14">
        <v>0</v>
      </c>
      <c r="C14" t="s">
        <v>5</v>
      </c>
      <c r="D14">
        <v>12</v>
      </c>
      <c r="E14" t="s">
        <v>6</v>
      </c>
      <c r="F14" s="1">
        <v>0.390625</v>
      </c>
      <c r="G14" t="s">
        <v>7</v>
      </c>
      <c r="H14" s="1">
        <v>0.5</v>
      </c>
      <c r="I14" t="s">
        <v>8</v>
      </c>
      <c r="J14" s="1">
        <v>0</v>
      </c>
      <c r="K14" s="1">
        <v>20.328137981168702</v>
      </c>
      <c r="L14" s="1">
        <f t="shared" si="0"/>
        <v>0.78125</v>
      </c>
      <c r="M14" s="1">
        <f t="shared" si="1"/>
        <v>10.164068990584351</v>
      </c>
      <c r="AB14" s="3"/>
      <c r="AC14">
        <v>53685</v>
      </c>
      <c r="AD14" s="1">
        <v>1.5625E-2</v>
      </c>
      <c r="AE14" s="1">
        <v>13.579800000000001</v>
      </c>
      <c r="AF14" s="1">
        <f t="shared" ref="AF14:AF45" si="2">AD14*2</f>
        <v>3.125E-2</v>
      </c>
      <c r="AG14" s="1">
        <f t="shared" ref="AG14:AG45" si="3">AE14</f>
        <v>13.579800000000001</v>
      </c>
      <c r="AI14" s="3"/>
      <c r="AJ14">
        <v>41448</v>
      </c>
      <c r="AK14" s="1">
        <v>1.0416699999999999E-2</v>
      </c>
      <c r="AL14" s="1">
        <v>13.428599999999999</v>
      </c>
      <c r="AM14" s="1">
        <f t="shared" ref="AM14:AM61" si="4">AK14*2</f>
        <v>2.0833399999999998E-2</v>
      </c>
      <c r="AN14" s="1">
        <f t="shared" ref="AN14:AN61" si="5">AL14</f>
        <v>13.428599999999999</v>
      </c>
    </row>
    <row r="15" spans="1:40">
      <c r="A15" t="s">
        <v>4</v>
      </c>
      <c r="B15">
        <v>0</v>
      </c>
      <c r="C15" t="s">
        <v>5</v>
      </c>
      <c r="D15">
        <v>13</v>
      </c>
      <c r="E15" t="s">
        <v>6</v>
      </c>
      <c r="F15" s="1">
        <v>0.421875</v>
      </c>
      <c r="G15" t="s">
        <v>7</v>
      </c>
      <c r="H15" s="1">
        <v>0.5</v>
      </c>
      <c r="I15" t="s">
        <v>8</v>
      </c>
      <c r="J15" s="1">
        <v>0</v>
      </c>
      <c r="K15" s="1">
        <v>19.0660499295943</v>
      </c>
      <c r="L15" s="1">
        <f t="shared" si="0"/>
        <v>0.84375</v>
      </c>
      <c r="M15" s="1">
        <f t="shared" si="1"/>
        <v>9.5330249647971499</v>
      </c>
      <c r="AB15" s="3"/>
      <c r="AC15">
        <v>25202</v>
      </c>
      <c r="AD15" s="1">
        <v>3.125E-2</v>
      </c>
      <c r="AE15" s="1">
        <v>13.5688</v>
      </c>
      <c r="AF15" s="1">
        <f t="shared" si="2"/>
        <v>6.25E-2</v>
      </c>
      <c r="AG15" s="1">
        <f t="shared" si="3"/>
        <v>13.5688</v>
      </c>
      <c r="AI15" s="3"/>
      <c r="AJ15">
        <v>5714</v>
      </c>
      <c r="AK15" s="1">
        <v>2.0833299999999999E-2</v>
      </c>
      <c r="AL15" s="1">
        <v>13.4238</v>
      </c>
      <c r="AM15" s="1">
        <f t="shared" si="4"/>
        <v>4.1666599999999998E-2</v>
      </c>
      <c r="AN15" s="1">
        <f t="shared" si="5"/>
        <v>13.4238</v>
      </c>
    </row>
    <row r="16" spans="1:40">
      <c r="A16" t="s">
        <v>4</v>
      </c>
      <c r="B16">
        <v>0</v>
      </c>
      <c r="C16" t="s">
        <v>5</v>
      </c>
      <c r="D16">
        <v>14</v>
      </c>
      <c r="E16" t="s">
        <v>6</v>
      </c>
      <c r="F16" s="1">
        <v>0.453125</v>
      </c>
      <c r="G16" t="s">
        <v>7</v>
      </c>
      <c r="H16" s="1">
        <v>0.5</v>
      </c>
      <c r="I16" t="s">
        <v>8</v>
      </c>
      <c r="J16" s="1">
        <v>0</v>
      </c>
      <c r="K16" s="1">
        <v>17.5366665415551</v>
      </c>
      <c r="L16" s="1">
        <f t="shared" si="0"/>
        <v>0.90625</v>
      </c>
      <c r="M16" s="1">
        <f t="shared" si="1"/>
        <v>8.7683332707775499</v>
      </c>
      <c r="AB16" s="3"/>
      <c r="AC16">
        <v>123346</v>
      </c>
      <c r="AD16" s="1">
        <v>4.6875E-2</v>
      </c>
      <c r="AE16" s="1">
        <v>13.5359</v>
      </c>
      <c r="AF16" s="1">
        <f t="shared" si="2"/>
        <v>9.375E-2</v>
      </c>
      <c r="AG16" s="1">
        <f t="shared" si="3"/>
        <v>13.5359</v>
      </c>
      <c r="AI16" s="3"/>
      <c r="AJ16">
        <v>58322</v>
      </c>
      <c r="AK16" s="1">
        <v>3.125E-2</v>
      </c>
      <c r="AL16" s="1">
        <v>13.4094</v>
      </c>
      <c r="AM16" s="1">
        <f t="shared" si="4"/>
        <v>6.25E-2</v>
      </c>
      <c r="AN16" s="1">
        <f t="shared" si="5"/>
        <v>13.4094</v>
      </c>
    </row>
    <row r="17" spans="1:40">
      <c r="A17" t="s">
        <v>4</v>
      </c>
      <c r="B17">
        <v>0</v>
      </c>
      <c r="C17" t="s">
        <v>5</v>
      </c>
      <c r="D17">
        <v>15</v>
      </c>
      <c r="E17" t="s">
        <v>6</v>
      </c>
      <c r="F17" s="1">
        <v>0.484375</v>
      </c>
      <c r="G17" t="s">
        <v>7</v>
      </c>
      <c r="H17" s="1">
        <v>0.5</v>
      </c>
      <c r="I17" t="s">
        <v>8</v>
      </c>
      <c r="J17" s="1">
        <v>0</v>
      </c>
      <c r="K17" s="1">
        <v>12.0207936115662</v>
      </c>
      <c r="L17" s="1">
        <f t="shared" si="0"/>
        <v>0.96875</v>
      </c>
      <c r="M17" s="1">
        <f t="shared" si="1"/>
        <v>6.0103968057830999</v>
      </c>
      <c r="AB17" s="3"/>
      <c r="AC17">
        <v>25203</v>
      </c>
      <c r="AD17" s="1">
        <v>6.25E-2</v>
      </c>
      <c r="AE17" s="1">
        <v>13.5031</v>
      </c>
      <c r="AF17" s="1">
        <f t="shared" si="2"/>
        <v>0.125</v>
      </c>
      <c r="AG17" s="1">
        <f t="shared" si="3"/>
        <v>13.5031</v>
      </c>
      <c r="AI17" s="3"/>
      <c r="AJ17">
        <v>5715</v>
      </c>
      <c r="AK17" s="1">
        <v>4.1666700000000001E-2</v>
      </c>
      <c r="AL17" s="1">
        <v>13.3949</v>
      </c>
      <c r="AM17" s="1">
        <f t="shared" si="4"/>
        <v>8.3333400000000002E-2</v>
      </c>
      <c r="AN17" s="1">
        <f t="shared" si="5"/>
        <v>13.3949</v>
      </c>
    </row>
    <row r="18" spans="1:40">
      <c r="A18" t="s">
        <v>17</v>
      </c>
      <c r="L18" s="1"/>
      <c r="M18" s="1"/>
      <c r="AB18" s="3"/>
      <c r="AC18">
        <v>123349</v>
      </c>
      <c r="AD18" s="1">
        <v>7.8125E-2</v>
      </c>
      <c r="AE18" s="1">
        <v>13.4482</v>
      </c>
      <c r="AF18" s="1">
        <f t="shared" si="2"/>
        <v>0.15625</v>
      </c>
      <c r="AG18" s="1">
        <f t="shared" si="3"/>
        <v>13.4482</v>
      </c>
      <c r="AI18" s="3"/>
      <c r="AJ18">
        <v>58326</v>
      </c>
      <c r="AK18" s="1">
        <v>5.2083299999999999E-2</v>
      </c>
      <c r="AL18" s="1">
        <v>13.370900000000001</v>
      </c>
      <c r="AM18" s="1">
        <f t="shared" si="4"/>
        <v>0.1041666</v>
      </c>
      <c r="AN18" s="1">
        <f t="shared" si="5"/>
        <v>13.370900000000001</v>
      </c>
    </row>
    <row r="19" spans="1:40">
      <c r="A19" t="s">
        <v>4</v>
      </c>
      <c r="B19">
        <v>0</v>
      </c>
      <c r="C19" t="s">
        <v>5</v>
      </c>
      <c r="D19">
        <v>0</v>
      </c>
      <c r="E19" t="s">
        <v>6</v>
      </c>
      <c r="F19" s="1">
        <v>1.5625E-2</v>
      </c>
      <c r="G19" t="s">
        <v>7</v>
      </c>
      <c r="H19" s="1">
        <v>0.5</v>
      </c>
      <c r="I19" t="s">
        <v>8</v>
      </c>
      <c r="J19" s="1">
        <v>0</v>
      </c>
      <c r="K19" s="1">
        <v>28.603486166113299</v>
      </c>
      <c r="L19" s="1">
        <f t="shared" si="0"/>
        <v>3.125E-2</v>
      </c>
      <c r="M19" s="1">
        <f>K19/2</f>
        <v>14.30174308305665</v>
      </c>
      <c r="AB19" s="3"/>
      <c r="AC19">
        <v>25204</v>
      </c>
      <c r="AD19" s="1">
        <v>9.375E-2</v>
      </c>
      <c r="AE19" s="1">
        <v>13.3934</v>
      </c>
      <c r="AF19" s="1">
        <f t="shared" si="2"/>
        <v>0.1875</v>
      </c>
      <c r="AG19" s="1">
        <f t="shared" si="3"/>
        <v>13.3934</v>
      </c>
      <c r="AI19" s="3"/>
      <c r="AJ19">
        <v>5716</v>
      </c>
      <c r="AK19" s="1">
        <v>6.25E-2</v>
      </c>
      <c r="AL19" s="1">
        <v>13.3468</v>
      </c>
      <c r="AM19" s="1">
        <f t="shared" si="4"/>
        <v>0.125</v>
      </c>
      <c r="AN19" s="1">
        <f t="shared" si="5"/>
        <v>13.3468</v>
      </c>
    </row>
    <row r="20" spans="1:40">
      <c r="A20" t="s">
        <v>4</v>
      </c>
      <c r="B20">
        <v>0</v>
      </c>
      <c r="C20" t="s">
        <v>5</v>
      </c>
      <c r="D20">
        <v>1</v>
      </c>
      <c r="E20" t="s">
        <v>6</v>
      </c>
      <c r="F20" s="1">
        <v>4.6875E-2</v>
      </c>
      <c r="G20" t="s">
        <v>7</v>
      </c>
      <c r="H20" s="1">
        <v>0.5</v>
      </c>
      <c r="I20" t="s">
        <v>8</v>
      </c>
      <c r="J20" s="1">
        <v>0</v>
      </c>
      <c r="K20" s="1">
        <v>28.521617598000802</v>
      </c>
      <c r="L20" s="1">
        <f t="shared" si="0"/>
        <v>9.375E-2</v>
      </c>
      <c r="M20" s="1">
        <f t="shared" ref="M20:M34" si="6">K20/2</f>
        <v>14.260808799000401</v>
      </c>
      <c r="AB20" s="3"/>
      <c r="AC20">
        <v>123352</v>
      </c>
      <c r="AD20" s="1">
        <v>0.109375</v>
      </c>
      <c r="AE20" s="1">
        <v>13.316599999999999</v>
      </c>
      <c r="AF20" s="1">
        <f t="shared" si="2"/>
        <v>0.21875</v>
      </c>
      <c r="AG20" s="1">
        <f t="shared" si="3"/>
        <v>13.316599999999999</v>
      </c>
      <c r="AI20" s="3"/>
      <c r="AJ20">
        <v>58330</v>
      </c>
      <c r="AK20" s="1">
        <v>7.2916700000000001E-2</v>
      </c>
      <c r="AL20" s="1">
        <v>13.3131</v>
      </c>
      <c r="AM20" s="1">
        <f t="shared" si="4"/>
        <v>0.1458334</v>
      </c>
      <c r="AN20" s="1">
        <f t="shared" si="5"/>
        <v>13.3131</v>
      </c>
    </row>
    <row r="21" spans="1:40">
      <c r="A21" t="s">
        <v>4</v>
      </c>
      <c r="B21">
        <v>0</v>
      </c>
      <c r="C21" t="s">
        <v>5</v>
      </c>
      <c r="D21">
        <v>2</v>
      </c>
      <c r="E21" t="s">
        <v>6</v>
      </c>
      <c r="F21" s="1">
        <v>7.8125E-2</v>
      </c>
      <c r="G21" t="s">
        <v>7</v>
      </c>
      <c r="H21" s="1">
        <v>0.5</v>
      </c>
      <c r="I21" t="s">
        <v>8</v>
      </c>
      <c r="J21" s="1">
        <v>0</v>
      </c>
      <c r="K21" s="1">
        <v>28.3098657283096</v>
      </c>
      <c r="L21" s="1">
        <f t="shared" si="0"/>
        <v>0.15625</v>
      </c>
      <c r="M21" s="1">
        <f t="shared" si="6"/>
        <v>14.1549328641548</v>
      </c>
      <c r="AB21" s="3"/>
      <c r="AC21">
        <v>25205</v>
      </c>
      <c r="AD21" s="1">
        <v>0.125</v>
      </c>
      <c r="AE21" s="1">
        <v>13.239699999999999</v>
      </c>
      <c r="AF21" s="1">
        <f t="shared" si="2"/>
        <v>0.25</v>
      </c>
      <c r="AG21" s="1">
        <f t="shared" si="3"/>
        <v>13.239699999999999</v>
      </c>
      <c r="AI21" s="3"/>
      <c r="AJ21">
        <v>5717</v>
      </c>
      <c r="AK21" s="1">
        <v>8.3333299999999999E-2</v>
      </c>
      <c r="AL21" s="1">
        <v>13.279500000000001</v>
      </c>
      <c r="AM21" s="1">
        <f t="shared" si="4"/>
        <v>0.1666666</v>
      </c>
      <c r="AN21" s="1">
        <f t="shared" si="5"/>
        <v>13.279500000000001</v>
      </c>
    </row>
    <row r="22" spans="1:40">
      <c r="A22" t="s">
        <v>4</v>
      </c>
      <c r="B22">
        <v>0</v>
      </c>
      <c r="C22" t="s">
        <v>5</v>
      </c>
      <c r="D22">
        <v>3</v>
      </c>
      <c r="E22" t="s">
        <v>6</v>
      </c>
      <c r="F22" s="1">
        <v>0.109375</v>
      </c>
      <c r="G22" t="s">
        <v>7</v>
      </c>
      <c r="H22" s="1">
        <v>0.5</v>
      </c>
      <c r="I22" t="s">
        <v>8</v>
      </c>
      <c r="J22" s="1">
        <v>0</v>
      </c>
      <c r="K22" s="1">
        <v>28.443956782164399</v>
      </c>
      <c r="L22" s="1">
        <f t="shared" si="0"/>
        <v>0.21875</v>
      </c>
      <c r="M22" s="1">
        <f t="shared" si="6"/>
        <v>14.2219783910822</v>
      </c>
      <c r="AB22" s="3"/>
      <c r="AC22">
        <v>123355</v>
      </c>
      <c r="AD22" s="1">
        <v>0.140625</v>
      </c>
      <c r="AE22" s="1">
        <v>13.140700000000001</v>
      </c>
      <c r="AF22" s="1">
        <f t="shared" si="2"/>
        <v>0.28125</v>
      </c>
      <c r="AG22" s="1">
        <f t="shared" si="3"/>
        <v>13.140700000000001</v>
      </c>
      <c r="AI22" s="3"/>
      <c r="AJ22">
        <v>58334</v>
      </c>
      <c r="AK22" s="1">
        <v>9.375E-2</v>
      </c>
      <c r="AL22" s="1">
        <v>13.2361</v>
      </c>
      <c r="AM22" s="1">
        <f t="shared" si="4"/>
        <v>0.1875</v>
      </c>
      <c r="AN22" s="1">
        <f t="shared" si="5"/>
        <v>13.2361</v>
      </c>
    </row>
    <row r="23" spans="1:40">
      <c r="A23" t="s">
        <v>4</v>
      </c>
      <c r="B23">
        <v>0</v>
      </c>
      <c r="C23" t="s">
        <v>5</v>
      </c>
      <c r="D23">
        <v>4</v>
      </c>
      <c r="E23" t="s">
        <v>6</v>
      </c>
      <c r="F23" s="1">
        <v>0.140625</v>
      </c>
      <c r="G23" t="s">
        <v>7</v>
      </c>
      <c r="H23" s="1">
        <v>0.5</v>
      </c>
      <c r="I23" t="s">
        <v>8</v>
      </c>
      <c r="J23" s="1">
        <v>0</v>
      </c>
      <c r="K23" s="1">
        <v>27.655869884670601</v>
      </c>
      <c r="L23" s="1">
        <f t="shared" si="0"/>
        <v>0.28125</v>
      </c>
      <c r="M23" s="1">
        <f t="shared" si="6"/>
        <v>13.8279349423353</v>
      </c>
      <c r="AB23" s="3"/>
      <c r="AC23">
        <v>25206</v>
      </c>
      <c r="AD23" s="1">
        <v>0.15625</v>
      </c>
      <c r="AE23" s="1">
        <v>13.041700000000001</v>
      </c>
      <c r="AF23" s="1">
        <f t="shared" si="2"/>
        <v>0.3125</v>
      </c>
      <c r="AG23" s="1">
        <f t="shared" si="3"/>
        <v>13.041700000000001</v>
      </c>
      <c r="AI23" s="3"/>
      <c r="AJ23">
        <v>5718</v>
      </c>
      <c r="AK23" s="1">
        <v>0.104167</v>
      </c>
      <c r="AL23" s="1">
        <v>13.1928</v>
      </c>
      <c r="AM23" s="1">
        <f t="shared" si="4"/>
        <v>0.20833399999999999</v>
      </c>
      <c r="AN23" s="1">
        <f t="shared" si="5"/>
        <v>13.1928</v>
      </c>
    </row>
    <row r="24" spans="1:40">
      <c r="A24" t="s">
        <v>4</v>
      </c>
      <c r="B24">
        <v>0</v>
      </c>
      <c r="C24" t="s">
        <v>5</v>
      </c>
      <c r="D24">
        <v>5</v>
      </c>
      <c r="E24" t="s">
        <v>6</v>
      </c>
      <c r="F24" s="1">
        <v>0.171875</v>
      </c>
      <c r="G24" t="s">
        <v>7</v>
      </c>
      <c r="H24" s="1">
        <v>0.5</v>
      </c>
      <c r="I24" t="s">
        <v>8</v>
      </c>
      <c r="J24" s="1">
        <v>0</v>
      </c>
      <c r="K24" s="1">
        <v>27.1413942923921</v>
      </c>
      <c r="L24" s="1">
        <f t="shared" si="0"/>
        <v>0.34375</v>
      </c>
      <c r="M24" s="1">
        <f t="shared" si="6"/>
        <v>13.57069714619605</v>
      </c>
      <c r="AB24" s="3"/>
      <c r="AC24">
        <v>123358</v>
      </c>
      <c r="AD24" s="1">
        <v>0.171875</v>
      </c>
      <c r="AE24" s="1">
        <v>12.920199999999999</v>
      </c>
      <c r="AF24" s="1">
        <f t="shared" si="2"/>
        <v>0.34375</v>
      </c>
      <c r="AG24" s="1">
        <f t="shared" si="3"/>
        <v>12.920199999999999</v>
      </c>
      <c r="AI24" s="3"/>
      <c r="AJ24">
        <v>58338</v>
      </c>
      <c r="AK24" s="1">
        <v>0.114583</v>
      </c>
      <c r="AL24" s="1">
        <v>13.139799999999999</v>
      </c>
      <c r="AM24" s="1">
        <f t="shared" si="4"/>
        <v>0.22916600000000001</v>
      </c>
      <c r="AN24" s="1">
        <f t="shared" si="5"/>
        <v>13.139799999999999</v>
      </c>
    </row>
    <row r="25" spans="1:40">
      <c r="A25" t="s">
        <v>4</v>
      </c>
      <c r="B25">
        <v>0</v>
      </c>
      <c r="C25" t="s">
        <v>5</v>
      </c>
      <c r="D25">
        <v>6</v>
      </c>
      <c r="E25" t="s">
        <v>6</v>
      </c>
      <c r="F25" s="1">
        <v>0.203125</v>
      </c>
      <c r="G25" t="s">
        <v>7</v>
      </c>
      <c r="H25" s="1">
        <v>0.5</v>
      </c>
      <c r="I25" t="s">
        <v>8</v>
      </c>
      <c r="J25" s="1">
        <v>0</v>
      </c>
      <c r="K25" s="1">
        <v>27.1075780060672</v>
      </c>
      <c r="L25" s="1">
        <f t="shared" si="0"/>
        <v>0.40625</v>
      </c>
      <c r="M25" s="1">
        <f t="shared" si="6"/>
        <v>13.5537890030336</v>
      </c>
      <c r="AB25" s="3"/>
      <c r="AC25">
        <v>25207</v>
      </c>
      <c r="AD25" s="1">
        <v>0.1875</v>
      </c>
      <c r="AE25" s="1">
        <v>12.7987</v>
      </c>
      <c r="AF25" s="1">
        <f t="shared" si="2"/>
        <v>0.375</v>
      </c>
      <c r="AG25" s="1">
        <f t="shared" si="3"/>
        <v>12.7987</v>
      </c>
      <c r="AI25" s="3"/>
      <c r="AJ25">
        <v>5719</v>
      </c>
      <c r="AK25" s="1">
        <v>0.125</v>
      </c>
      <c r="AL25" s="1">
        <v>13.0869</v>
      </c>
      <c r="AM25" s="1">
        <f t="shared" si="4"/>
        <v>0.25</v>
      </c>
      <c r="AN25" s="1">
        <f t="shared" si="5"/>
        <v>13.0869</v>
      </c>
    </row>
    <row r="26" spans="1:40">
      <c r="A26" t="s">
        <v>4</v>
      </c>
      <c r="B26">
        <v>0</v>
      </c>
      <c r="C26" t="s">
        <v>5</v>
      </c>
      <c r="D26">
        <v>7</v>
      </c>
      <c r="E26" t="s">
        <v>6</v>
      </c>
      <c r="F26" s="1">
        <v>0.234375</v>
      </c>
      <c r="G26" t="s">
        <v>7</v>
      </c>
      <c r="H26" s="1">
        <v>0.5</v>
      </c>
      <c r="I26" t="s">
        <v>8</v>
      </c>
      <c r="J26" s="1">
        <v>0</v>
      </c>
      <c r="K26" s="1">
        <v>25.930462069289501</v>
      </c>
      <c r="L26" s="1">
        <f t="shared" si="0"/>
        <v>0.46875</v>
      </c>
      <c r="M26" s="1">
        <f t="shared" si="6"/>
        <v>12.96523103464475</v>
      </c>
      <c r="AB26" s="3"/>
      <c r="AC26">
        <v>123361</v>
      </c>
      <c r="AD26" s="1">
        <v>0.203125</v>
      </c>
      <c r="AE26" s="1">
        <v>12.6541</v>
      </c>
      <c r="AF26" s="1">
        <f t="shared" si="2"/>
        <v>0.40625</v>
      </c>
      <c r="AG26" s="1">
        <f t="shared" si="3"/>
        <v>12.6541</v>
      </c>
      <c r="AI26" s="3"/>
      <c r="AJ26">
        <v>58342</v>
      </c>
      <c r="AK26" s="1">
        <v>0.13541700000000001</v>
      </c>
      <c r="AL26" s="1">
        <v>13.0242</v>
      </c>
      <c r="AM26" s="1">
        <f t="shared" si="4"/>
        <v>0.27083400000000002</v>
      </c>
      <c r="AN26" s="1">
        <f t="shared" si="5"/>
        <v>13.0242</v>
      </c>
    </row>
    <row r="27" spans="1:40">
      <c r="A27" t="s">
        <v>4</v>
      </c>
      <c r="B27">
        <v>0</v>
      </c>
      <c r="C27" t="s">
        <v>5</v>
      </c>
      <c r="D27">
        <v>8</v>
      </c>
      <c r="E27" t="s">
        <v>6</v>
      </c>
      <c r="F27" s="1">
        <v>0.265625</v>
      </c>
      <c r="G27" t="s">
        <v>7</v>
      </c>
      <c r="H27" s="1">
        <v>0.5</v>
      </c>
      <c r="I27" t="s">
        <v>8</v>
      </c>
      <c r="J27" s="1">
        <v>0</v>
      </c>
      <c r="K27" s="1">
        <v>25.0970483128824</v>
      </c>
      <c r="L27" s="1">
        <f t="shared" si="0"/>
        <v>0.53125</v>
      </c>
      <c r="M27" s="1">
        <f t="shared" si="6"/>
        <v>12.5485241564412</v>
      </c>
      <c r="AB27" s="3"/>
      <c r="AC27">
        <v>25208</v>
      </c>
      <c r="AD27" s="1">
        <v>0.21875</v>
      </c>
      <c r="AE27" s="1">
        <v>12.509499999999999</v>
      </c>
      <c r="AF27" s="1">
        <f t="shared" si="2"/>
        <v>0.4375</v>
      </c>
      <c r="AG27" s="1">
        <f t="shared" si="3"/>
        <v>12.509499999999999</v>
      </c>
      <c r="AI27" s="3"/>
      <c r="AJ27">
        <v>5720</v>
      </c>
      <c r="AK27" s="1">
        <v>0.14583299999999999</v>
      </c>
      <c r="AL27" s="1">
        <v>12.961499999999999</v>
      </c>
      <c r="AM27" s="1">
        <f t="shared" si="4"/>
        <v>0.29166599999999998</v>
      </c>
      <c r="AN27" s="1">
        <f t="shared" si="5"/>
        <v>12.961499999999999</v>
      </c>
    </row>
    <row r="28" spans="1:40">
      <c r="A28" t="s">
        <v>4</v>
      </c>
      <c r="B28">
        <v>0</v>
      </c>
      <c r="C28" t="s">
        <v>5</v>
      </c>
      <c r="D28">
        <v>9</v>
      </c>
      <c r="E28" t="s">
        <v>6</v>
      </c>
      <c r="F28" s="1">
        <v>0.296875</v>
      </c>
      <c r="G28" t="s">
        <v>7</v>
      </c>
      <c r="H28" s="1">
        <v>0.5</v>
      </c>
      <c r="I28" t="s">
        <v>8</v>
      </c>
      <c r="J28" s="1">
        <v>0</v>
      </c>
      <c r="K28" s="1">
        <v>24.510545385360199</v>
      </c>
      <c r="L28" s="1">
        <f t="shared" si="0"/>
        <v>0.59375</v>
      </c>
      <c r="M28" s="1">
        <f t="shared" si="6"/>
        <v>12.2552726926801</v>
      </c>
      <c r="AB28" s="3"/>
      <c r="AC28">
        <v>123364</v>
      </c>
      <c r="AD28" s="1">
        <v>0.234375</v>
      </c>
      <c r="AE28" s="1">
        <v>12.3408</v>
      </c>
      <c r="AF28" s="1">
        <f t="shared" si="2"/>
        <v>0.46875</v>
      </c>
      <c r="AG28" s="1">
        <f t="shared" si="3"/>
        <v>12.3408</v>
      </c>
      <c r="AI28" s="3"/>
      <c r="AJ28">
        <v>58346</v>
      </c>
      <c r="AK28" s="1">
        <v>0.15625</v>
      </c>
      <c r="AL28" s="1">
        <v>12.889099999999999</v>
      </c>
      <c r="AM28" s="1">
        <f t="shared" si="4"/>
        <v>0.3125</v>
      </c>
      <c r="AN28" s="1">
        <f t="shared" si="5"/>
        <v>12.889099999999999</v>
      </c>
    </row>
    <row r="29" spans="1:40">
      <c r="A29" t="s">
        <v>4</v>
      </c>
      <c r="B29">
        <v>0</v>
      </c>
      <c r="C29" t="s">
        <v>5</v>
      </c>
      <c r="D29">
        <v>10</v>
      </c>
      <c r="E29" t="s">
        <v>6</v>
      </c>
      <c r="F29" s="1">
        <v>0.328125</v>
      </c>
      <c r="G29" t="s">
        <v>7</v>
      </c>
      <c r="H29" s="1">
        <v>0.5</v>
      </c>
      <c r="I29" t="s">
        <v>8</v>
      </c>
      <c r="J29" s="1">
        <v>0</v>
      </c>
      <c r="K29" s="1">
        <v>23.529190844173201</v>
      </c>
      <c r="L29" s="1">
        <f t="shared" si="0"/>
        <v>0.65625</v>
      </c>
      <c r="M29" s="1">
        <f t="shared" si="6"/>
        <v>11.7645954220866</v>
      </c>
      <c r="AB29" s="3"/>
      <c r="AC29">
        <v>25209</v>
      </c>
      <c r="AD29" s="1">
        <v>0.25</v>
      </c>
      <c r="AE29" s="1">
        <v>12.1722</v>
      </c>
      <c r="AF29" s="1">
        <f t="shared" si="2"/>
        <v>0.5</v>
      </c>
      <c r="AG29" s="1">
        <f t="shared" si="3"/>
        <v>12.1722</v>
      </c>
      <c r="AI29" s="3"/>
      <c r="AJ29">
        <v>5721</v>
      </c>
      <c r="AK29" s="1">
        <v>0.16666700000000001</v>
      </c>
      <c r="AL29" s="1">
        <v>12.816800000000001</v>
      </c>
      <c r="AM29" s="1">
        <f t="shared" si="4"/>
        <v>0.33333400000000002</v>
      </c>
      <c r="AN29" s="1">
        <f t="shared" si="5"/>
        <v>12.816800000000001</v>
      </c>
    </row>
    <row r="30" spans="1:40">
      <c r="A30" t="s">
        <v>4</v>
      </c>
      <c r="B30">
        <v>0</v>
      </c>
      <c r="C30" t="s">
        <v>5</v>
      </c>
      <c r="D30">
        <v>11</v>
      </c>
      <c r="E30" t="s">
        <v>6</v>
      </c>
      <c r="F30" s="1">
        <v>0.359375</v>
      </c>
      <c r="G30" t="s">
        <v>7</v>
      </c>
      <c r="H30" s="1">
        <v>0.5</v>
      </c>
      <c r="I30" t="s">
        <v>8</v>
      </c>
      <c r="J30" s="1">
        <v>0</v>
      </c>
      <c r="K30" s="1">
        <v>22.192514809691001</v>
      </c>
      <c r="L30" s="1">
        <f t="shared" si="0"/>
        <v>0.71875</v>
      </c>
      <c r="M30" s="1">
        <f t="shared" si="6"/>
        <v>11.096257404845501</v>
      </c>
      <c r="AB30" s="3"/>
      <c r="AC30">
        <v>123367</v>
      </c>
      <c r="AD30" s="1">
        <v>0.265625</v>
      </c>
      <c r="AE30" s="1">
        <v>11.978400000000001</v>
      </c>
      <c r="AF30" s="1">
        <f t="shared" si="2"/>
        <v>0.53125</v>
      </c>
      <c r="AG30" s="1">
        <f t="shared" si="3"/>
        <v>11.978400000000001</v>
      </c>
      <c r="AI30" s="3"/>
      <c r="AJ30">
        <v>58350</v>
      </c>
      <c r="AK30" s="1">
        <v>0.17708299999999999</v>
      </c>
      <c r="AL30" s="1">
        <v>12.7346</v>
      </c>
      <c r="AM30" s="1">
        <f t="shared" si="4"/>
        <v>0.35416599999999998</v>
      </c>
      <c r="AN30" s="1">
        <f t="shared" si="5"/>
        <v>12.7346</v>
      </c>
    </row>
    <row r="31" spans="1:40">
      <c r="A31" t="s">
        <v>4</v>
      </c>
      <c r="B31">
        <v>0</v>
      </c>
      <c r="C31" t="s">
        <v>5</v>
      </c>
      <c r="D31">
        <v>12</v>
      </c>
      <c r="E31" t="s">
        <v>6</v>
      </c>
      <c r="F31" s="1">
        <v>0.390625</v>
      </c>
      <c r="G31" t="s">
        <v>7</v>
      </c>
      <c r="H31" s="1">
        <v>0.5</v>
      </c>
      <c r="I31" t="s">
        <v>8</v>
      </c>
      <c r="J31" s="1">
        <v>0</v>
      </c>
      <c r="K31" s="1">
        <v>21.0826885920515</v>
      </c>
      <c r="L31" s="1">
        <f t="shared" si="0"/>
        <v>0.78125</v>
      </c>
      <c r="M31" s="1">
        <f t="shared" si="6"/>
        <v>10.54134429602575</v>
      </c>
      <c r="AB31" s="3"/>
      <c r="AC31">
        <v>25210</v>
      </c>
      <c r="AD31" s="1">
        <v>0.28125</v>
      </c>
      <c r="AE31" s="1">
        <v>11.784599999999999</v>
      </c>
      <c r="AF31" s="1">
        <f t="shared" si="2"/>
        <v>0.5625</v>
      </c>
      <c r="AG31" s="1">
        <f t="shared" si="3"/>
        <v>11.784599999999999</v>
      </c>
      <c r="AI31" s="3"/>
      <c r="AJ31">
        <v>5722</v>
      </c>
      <c r="AK31" s="1">
        <v>0.1875</v>
      </c>
      <c r="AL31" s="1">
        <v>12.6524</v>
      </c>
      <c r="AM31" s="1">
        <f t="shared" si="4"/>
        <v>0.375</v>
      </c>
      <c r="AN31" s="1">
        <f t="shared" si="5"/>
        <v>12.6524</v>
      </c>
    </row>
    <row r="32" spans="1:40">
      <c r="A32" t="s">
        <v>4</v>
      </c>
      <c r="B32">
        <v>0</v>
      </c>
      <c r="C32" t="s">
        <v>5</v>
      </c>
      <c r="D32">
        <v>13</v>
      </c>
      <c r="E32" t="s">
        <v>6</v>
      </c>
      <c r="F32" s="1">
        <v>0.421875</v>
      </c>
      <c r="G32" t="s">
        <v>7</v>
      </c>
      <c r="H32" s="1">
        <v>0.5</v>
      </c>
      <c r="I32" t="s">
        <v>8</v>
      </c>
      <c r="J32" s="1">
        <v>0</v>
      </c>
      <c r="K32" s="1">
        <v>17.984943326833999</v>
      </c>
      <c r="L32" s="1">
        <f t="shared" si="0"/>
        <v>0.84375</v>
      </c>
      <c r="M32" s="1">
        <f t="shared" si="6"/>
        <v>8.9924716634169997</v>
      </c>
      <c r="AB32" s="3"/>
      <c r="AC32">
        <v>123370</v>
      </c>
      <c r="AD32" s="1">
        <v>0.296875</v>
      </c>
      <c r="AE32" s="1">
        <v>11.5633</v>
      </c>
      <c r="AF32" s="1">
        <f t="shared" si="2"/>
        <v>0.59375</v>
      </c>
      <c r="AG32" s="1">
        <f t="shared" si="3"/>
        <v>11.5633</v>
      </c>
      <c r="AI32" s="3"/>
      <c r="AJ32">
        <v>58354</v>
      </c>
      <c r="AK32" s="1">
        <v>0.19791700000000001</v>
      </c>
      <c r="AL32" s="1">
        <v>12.5604</v>
      </c>
      <c r="AM32" s="1">
        <f t="shared" si="4"/>
        <v>0.39583400000000002</v>
      </c>
      <c r="AN32" s="1">
        <f t="shared" si="5"/>
        <v>12.5604</v>
      </c>
    </row>
    <row r="33" spans="1:40">
      <c r="A33" t="s">
        <v>4</v>
      </c>
      <c r="B33">
        <v>0</v>
      </c>
      <c r="C33" t="s">
        <v>5</v>
      </c>
      <c r="D33">
        <v>14</v>
      </c>
      <c r="E33" t="s">
        <v>6</v>
      </c>
      <c r="F33" s="1">
        <v>0.453125</v>
      </c>
      <c r="G33" t="s">
        <v>7</v>
      </c>
      <c r="H33" s="1">
        <v>0.5</v>
      </c>
      <c r="I33" t="s">
        <v>8</v>
      </c>
      <c r="J33" s="1">
        <v>0</v>
      </c>
      <c r="K33" s="1">
        <v>18.382294082429201</v>
      </c>
      <c r="L33" s="1">
        <f t="shared" si="0"/>
        <v>0.90625</v>
      </c>
      <c r="M33" s="1">
        <f t="shared" si="6"/>
        <v>9.1911470412146006</v>
      </c>
      <c r="AB33" s="3"/>
      <c r="AC33">
        <v>25211</v>
      </c>
      <c r="AD33" s="1">
        <v>0.3125</v>
      </c>
      <c r="AE33" s="1">
        <v>11.342000000000001</v>
      </c>
      <c r="AF33" s="1">
        <f t="shared" si="2"/>
        <v>0.625</v>
      </c>
      <c r="AG33" s="1">
        <f t="shared" si="3"/>
        <v>11.342000000000001</v>
      </c>
      <c r="AI33" s="3"/>
      <c r="AJ33">
        <v>5723</v>
      </c>
      <c r="AK33" s="1">
        <v>0.20833299999999999</v>
      </c>
      <c r="AL33" s="1">
        <v>12.468299999999999</v>
      </c>
      <c r="AM33" s="1">
        <f t="shared" si="4"/>
        <v>0.41666599999999998</v>
      </c>
      <c r="AN33" s="1">
        <f t="shared" si="5"/>
        <v>12.468299999999999</v>
      </c>
    </row>
    <row r="34" spans="1:40">
      <c r="A34" t="s">
        <v>4</v>
      </c>
      <c r="B34">
        <v>0</v>
      </c>
      <c r="C34" t="s">
        <v>5</v>
      </c>
      <c r="D34">
        <v>15</v>
      </c>
      <c r="E34" t="s">
        <v>6</v>
      </c>
      <c r="F34" s="1">
        <v>0.484375</v>
      </c>
      <c r="G34" t="s">
        <v>7</v>
      </c>
      <c r="H34" s="1">
        <v>0.5</v>
      </c>
      <c r="I34" t="s">
        <v>8</v>
      </c>
      <c r="J34" s="1">
        <v>0</v>
      </c>
      <c r="K34" s="1">
        <v>10.382953285412601</v>
      </c>
      <c r="L34" s="1">
        <f t="shared" si="0"/>
        <v>0.96875</v>
      </c>
      <c r="M34" s="1">
        <f t="shared" si="6"/>
        <v>5.1914766427063004</v>
      </c>
      <c r="AB34" s="3"/>
      <c r="AC34">
        <v>123373</v>
      </c>
      <c r="AD34" s="1">
        <v>0.328125</v>
      </c>
      <c r="AE34" s="1">
        <v>11.0878</v>
      </c>
      <c r="AF34" s="1">
        <f t="shared" si="2"/>
        <v>0.65625</v>
      </c>
      <c r="AG34" s="1">
        <f t="shared" si="3"/>
        <v>11.0878</v>
      </c>
      <c r="AI34" s="3"/>
      <c r="AJ34">
        <v>58358</v>
      </c>
      <c r="AK34" s="1">
        <v>0.21875</v>
      </c>
      <c r="AL34" s="1">
        <v>12.366099999999999</v>
      </c>
      <c r="AM34" s="1">
        <f t="shared" si="4"/>
        <v>0.4375</v>
      </c>
      <c r="AN34" s="1">
        <f t="shared" si="5"/>
        <v>12.366099999999999</v>
      </c>
    </row>
    <row r="35" spans="1:40">
      <c r="A35" t="s">
        <v>18</v>
      </c>
      <c r="L35" s="1"/>
      <c r="M35" s="1"/>
      <c r="AB35" s="3"/>
      <c r="AC35">
        <v>25212</v>
      </c>
      <c r="AD35" s="1">
        <v>0.34375</v>
      </c>
      <c r="AE35" s="1">
        <v>10.833600000000001</v>
      </c>
      <c r="AF35" s="1">
        <f t="shared" si="2"/>
        <v>0.6875</v>
      </c>
      <c r="AG35" s="1">
        <f t="shared" si="3"/>
        <v>10.833600000000001</v>
      </c>
      <c r="AI35" s="3"/>
      <c r="AJ35">
        <v>5724</v>
      </c>
      <c r="AK35" s="1">
        <v>0.22916700000000001</v>
      </c>
      <c r="AL35" s="1">
        <v>12.2639</v>
      </c>
      <c r="AM35" s="1">
        <f t="shared" si="4"/>
        <v>0.45833400000000002</v>
      </c>
      <c r="AN35" s="1">
        <f t="shared" si="5"/>
        <v>12.2639</v>
      </c>
    </row>
    <row r="36" spans="1:40">
      <c r="A36" t="s">
        <v>4</v>
      </c>
      <c r="B36">
        <v>0</v>
      </c>
      <c r="C36" t="s">
        <v>5</v>
      </c>
      <c r="D36">
        <v>0</v>
      </c>
      <c r="E36" t="s">
        <v>6</v>
      </c>
      <c r="F36" s="1">
        <v>1.5625E-2</v>
      </c>
      <c r="G36" t="s">
        <v>7</v>
      </c>
      <c r="H36" s="1">
        <v>0.5</v>
      </c>
      <c r="I36" t="s">
        <v>8</v>
      </c>
      <c r="J36" s="1">
        <v>0</v>
      </c>
      <c r="K36" s="1">
        <v>28.240582255388698</v>
      </c>
      <c r="L36" s="1">
        <f t="shared" si="0"/>
        <v>3.125E-2</v>
      </c>
      <c r="M36" s="1">
        <f>K36/2</f>
        <v>14.120291127694349</v>
      </c>
      <c r="AB36" s="3"/>
      <c r="AC36">
        <v>123376</v>
      </c>
      <c r="AD36" s="1">
        <v>0.359375</v>
      </c>
      <c r="AE36" s="1">
        <v>10.535399999999999</v>
      </c>
      <c r="AF36" s="1">
        <f t="shared" si="2"/>
        <v>0.71875</v>
      </c>
      <c r="AG36" s="1">
        <f t="shared" si="3"/>
        <v>10.535399999999999</v>
      </c>
      <c r="AI36" s="3"/>
      <c r="AJ36">
        <v>58362</v>
      </c>
      <c r="AK36" s="1">
        <v>0.23958299999999999</v>
      </c>
      <c r="AL36" s="1">
        <v>12.151300000000001</v>
      </c>
      <c r="AM36" s="1">
        <f t="shared" si="4"/>
        <v>0.47916599999999998</v>
      </c>
      <c r="AN36" s="1">
        <f t="shared" si="5"/>
        <v>12.151300000000001</v>
      </c>
    </row>
    <row r="37" spans="1:40">
      <c r="A37" t="s">
        <v>4</v>
      </c>
      <c r="B37">
        <v>0</v>
      </c>
      <c r="C37" t="s">
        <v>5</v>
      </c>
      <c r="D37">
        <v>1</v>
      </c>
      <c r="E37" t="s">
        <v>6</v>
      </c>
      <c r="F37" s="1">
        <v>4.6875E-2</v>
      </c>
      <c r="G37" t="s">
        <v>7</v>
      </c>
      <c r="H37" s="1">
        <v>0.5</v>
      </c>
      <c r="I37" t="s">
        <v>8</v>
      </c>
      <c r="J37" s="1">
        <v>0</v>
      </c>
      <c r="K37" s="1">
        <v>28.175743073532399</v>
      </c>
      <c r="L37" s="1">
        <f t="shared" si="0"/>
        <v>9.375E-2</v>
      </c>
      <c r="M37" s="1">
        <f t="shared" ref="M37:M51" si="7">K37/2</f>
        <v>14.087871536766199</v>
      </c>
      <c r="AB37" s="3"/>
      <c r="AC37">
        <v>25213</v>
      </c>
      <c r="AD37" s="1">
        <v>0.375</v>
      </c>
      <c r="AE37" s="1">
        <v>10.2372</v>
      </c>
      <c r="AF37" s="1">
        <f t="shared" si="2"/>
        <v>0.75</v>
      </c>
      <c r="AG37" s="1">
        <f t="shared" si="3"/>
        <v>10.2372</v>
      </c>
      <c r="AI37" s="3"/>
      <c r="AJ37">
        <v>5725</v>
      </c>
      <c r="AK37" s="1">
        <v>0.25</v>
      </c>
      <c r="AL37" s="1">
        <v>12.0387</v>
      </c>
      <c r="AM37" s="1">
        <f t="shared" si="4"/>
        <v>0.5</v>
      </c>
      <c r="AN37" s="1">
        <f t="shared" si="5"/>
        <v>12.0387</v>
      </c>
    </row>
    <row r="38" spans="1:40">
      <c r="A38" t="s">
        <v>4</v>
      </c>
      <c r="B38">
        <v>0</v>
      </c>
      <c r="C38" t="s">
        <v>5</v>
      </c>
      <c r="D38">
        <v>2</v>
      </c>
      <c r="E38" t="s">
        <v>6</v>
      </c>
      <c r="F38" s="1">
        <v>7.8125E-2</v>
      </c>
      <c r="G38" t="s">
        <v>7</v>
      </c>
      <c r="H38" s="1">
        <v>0.5</v>
      </c>
      <c r="I38" t="s">
        <v>8</v>
      </c>
      <c r="J38" s="1">
        <v>0</v>
      </c>
      <c r="K38" s="1">
        <v>27.963507839908601</v>
      </c>
      <c r="L38" s="1">
        <f t="shared" si="0"/>
        <v>0.15625</v>
      </c>
      <c r="M38" s="1">
        <f t="shared" si="7"/>
        <v>13.981753919954301</v>
      </c>
      <c r="AB38" s="3"/>
      <c r="AC38">
        <v>123379</v>
      </c>
      <c r="AD38" s="1">
        <v>0.390625</v>
      </c>
      <c r="AE38" s="1">
        <v>9.8813800000000001</v>
      </c>
      <c r="AF38" s="1">
        <f t="shared" si="2"/>
        <v>0.78125</v>
      </c>
      <c r="AG38" s="1">
        <f t="shared" si="3"/>
        <v>9.8813800000000001</v>
      </c>
      <c r="AI38" s="3"/>
      <c r="AJ38">
        <v>58366</v>
      </c>
      <c r="AK38" s="1">
        <v>0.26041700000000001</v>
      </c>
      <c r="AL38" s="1">
        <v>11.915100000000001</v>
      </c>
      <c r="AM38" s="1">
        <f t="shared" si="4"/>
        <v>0.52083400000000002</v>
      </c>
      <c r="AN38" s="1">
        <f t="shared" si="5"/>
        <v>11.915100000000001</v>
      </c>
    </row>
    <row r="39" spans="1:40">
      <c r="A39" t="s">
        <v>4</v>
      </c>
      <c r="B39">
        <v>0</v>
      </c>
      <c r="C39" t="s">
        <v>5</v>
      </c>
      <c r="D39">
        <v>3</v>
      </c>
      <c r="E39" t="s">
        <v>6</v>
      </c>
      <c r="F39" s="1">
        <v>0.109375</v>
      </c>
      <c r="G39" t="s">
        <v>7</v>
      </c>
      <c r="H39" s="1">
        <v>0.5</v>
      </c>
      <c r="I39" t="s">
        <v>8</v>
      </c>
      <c r="J39" s="1">
        <v>0</v>
      </c>
      <c r="K39" s="1">
        <v>28.091072533317998</v>
      </c>
      <c r="L39" s="1">
        <f t="shared" si="0"/>
        <v>0.21875</v>
      </c>
      <c r="M39" s="1">
        <f t="shared" si="7"/>
        <v>14.045536266658999</v>
      </c>
      <c r="AB39" s="3"/>
      <c r="AC39">
        <v>25214</v>
      </c>
      <c r="AD39" s="1">
        <v>0.40625</v>
      </c>
      <c r="AE39" s="1">
        <v>9.5255299999999998</v>
      </c>
      <c r="AF39" s="1">
        <f t="shared" si="2"/>
        <v>0.8125</v>
      </c>
      <c r="AG39" s="1">
        <f t="shared" si="3"/>
        <v>9.5255299999999998</v>
      </c>
      <c r="AI39" s="3"/>
      <c r="AJ39">
        <v>5726</v>
      </c>
      <c r="AK39" s="1">
        <v>0.27083299999999999</v>
      </c>
      <c r="AL39" s="1">
        <v>11.791499999999999</v>
      </c>
      <c r="AM39" s="1">
        <f t="shared" si="4"/>
        <v>0.54166599999999998</v>
      </c>
      <c r="AN39" s="1">
        <f t="shared" si="5"/>
        <v>11.791499999999999</v>
      </c>
    </row>
    <row r="40" spans="1:40">
      <c r="A40" t="s">
        <v>4</v>
      </c>
      <c r="B40">
        <v>0</v>
      </c>
      <c r="C40" t="s">
        <v>5</v>
      </c>
      <c r="D40">
        <v>4</v>
      </c>
      <c r="E40" t="s">
        <v>6</v>
      </c>
      <c r="F40" s="1">
        <v>0.140625</v>
      </c>
      <c r="G40" t="s">
        <v>7</v>
      </c>
      <c r="H40" s="1">
        <v>0.5</v>
      </c>
      <c r="I40" t="s">
        <v>8</v>
      </c>
      <c r="J40" s="1">
        <v>0</v>
      </c>
      <c r="K40" s="1">
        <v>27.309346029344901</v>
      </c>
      <c r="L40" s="1">
        <f t="shared" si="0"/>
        <v>0.28125</v>
      </c>
      <c r="M40" s="1">
        <f t="shared" si="7"/>
        <v>13.654673014672451</v>
      </c>
      <c r="AB40" s="3"/>
      <c r="AC40">
        <v>123382</v>
      </c>
      <c r="AD40" s="1">
        <v>0.421875</v>
      </c>
      <c r="AE40" s="1">
        <v>9.1795799999999996</v>
      </c>
      <c r="AF40" s="1">
        <f t="shared" si="2"/>
        <v>0.84375</v>
      </c>
      <c r="AG40" s="1">
        <f t="shared" si="3"/>
        <v>9.1795799999999996</v>
      </c>
      <c r="AI40" s="3"/>
      <c r="AJ40">
        <v>58370</v>
      </c>
      <c r="AK40" s="1">
        <v>0.28125</v>
      </c>
      <c r="AL40" s="1">
        <v>11.656000000000001</v>
      </c>
      <c r="AM40" s="1">
        <f t="shared" si="4"/>
        <v>0.5625</v>
      </c>
      <c r="AN40" s="1">
        <f t="shared" si="5"/>
        <v>11.656000000000001</v>
      </c>
    </row>
    <row r="41" spans="1:40">
      <c r="A41" t="s">
        <v>4</v>
      </c>
      <c r="B41">
        <v>0</v>
      </c>
      <c r="C41" t="s">
        <v>5</v>
      </c>
      <c r="D41">
        <v>5</v>
      </c>
      <c r="E41" t="s">
        <v>6</v>
      </c>
      <c r="F41" s="1">
        <v>0.171875</v>
      </c>
      <c r="G41" t="s">
        <v>7</v>
      </c>
      <c r="H41" s="1">
        <v>0.5</v>
      </c>
      <c r="I41" t="s">
        <v>8</v>
      </c>
      <c r="J41" s="1">
        <v>0</v>
      </c>
      <c r="K41" s="1">
        <v>26.774924801826199</v>
      </c>
      <c r="L41" s="1">
        <f t="shared" si="0"/>
        <v>0.34375</v>
      </c>
      <c r="M41" s="1">
        <f t="shared" si="7"/>
        <v>13.387462400913099</v>
      </c>
      <c r="AB41" s="3"/>
      <c r="AC41">
        <v>25215</v>
      </c>
      <c r="AD41" s="1">
        <v>0.4375</v>
      </c>
      <c r="AE41" s="1">
        <v>8.8336199999999998</v>
      </c>
      <c r="AF41" s="1">
        <f t="shared" si="2"/>
        <v>0.875</v>
      </c>
      <c r="AG41" s="1">
        <f t="shared" si="3"/>
        <v>8.8336199999999998</v>
      </c>
      <c r="AI41" s="3"/>
      <c r="AJ41">
        <v>5727</v>
      </c>
      <c r="AK41" s="1">
        <v>0.29166700000000001</v>
      </c>
      <c r="AL41" s="1">
        <v>11.5205</v>
      </c>
      <c r="AM41" s="1">
        <f t="shared" si="4"/>
        <v>0.58333400000000002</v>
      </c>
      <c r="AN41" s="1">
        <f t="shared" si="5"/>
        <v>11.5205</v>
      </c>
    </row>
    <row r="42" spans="1:40">
      <c r="A42" t="s">
        <v>4</v>
      </c>
      <c r="B42">
        <v>0</v>
      </c>
      <c r="C42" t="s">
        <v>5</v>
      </c>
      <c r="D42">
        <v>6</v>
      </c>
      <c r="E42" t="s">
        <v>6</v>
      </c>
      <c r="F42" s="1">
        <v>0.203125</v>
      </c>
      <c r="G42" t="s">
        <v>7</v>
      </c>
      <c r="H42" s="1">
        <v>0.5</v>
      </c>
      <c r="I42" t="s">
        <v>8</v>
      </c>
      <c r="J42" s="1">
        <v>0</v>
      </c>
      <c r="K42" s="1">
        <v>26.7268961441345</v>
      </c>
      <c r="L42" s="1">
        <f t="shared" si="0"/>
        <v>0.40625</v>
      </c>
      <c r="M42" s="1">
        <f t="shared" si="7"/>
        <v>13.36344807206725</v>
      </c>
      <c r="AB42" s="3"/>
      <c r="AC42">
        <v>123385</v>
      </c>
      <c r="AD42" s="1">
        <v>0.453125</v>
      </c>
      <c r="AE42" s="1">
        <v>7.9292999999999996</v>
      </c>
      <c r="AF42" s="1">
        <f t="shared" si="2"/>
        <v>0.90625</v>
      </c>
      <c r="AG42" s="1">
        <f t="shared" si="3"/>
        <v>7.9292999999999996</v>
      </c>
      <c r="AI42" s="3"/>
      <c r="AJ42">
        <v>58374</v>
      </c>
      <c r="AK42" s="1">
        <v>0.30208299999999999</v>
      </c>
      <c r="AL42" s="1">
        <v>11.3714</v>
      </c>
      <c r="AM42" s="1">
        <f t="shared" si="4"/>
        <v>0.60416599999999998</v>
      </c>
      <c r="AN42" s="1">
        <f t="shared" si="5"/>
        <v>11.3714</v>
      </c>
    </row>
    <row r="43" spans="1:40">
      <c r="A43" t="s">
        <v>4</v>
      </c>
      <c r="B43">
        <v>0</v>
      </c>
      <c r="C43" t="s">
        <v>5</v>
      </c>
      <c r="D43">
        <v>7</v>
      </c>
      <c r="E43" t="s">
        <v>6</v>
      </c>
      <c r="F43" s="1">
        <v>0.234375</v>
      </c>
      <c r="G43" t="s">
        <v>7</v>
      </c>
      <c r="H43" s="1">
        <v>0.5</v>
      </c>
      <c r="I43" t="s">
        <v>8</v>
      </c>
      <c r="J43" s="1">
        <v>0</v>
      </c>
      <c r="K43" s="1">
        <v>25.553030896681701</v>
      </c>
      <c r="L43" s="1">
        <f t="shared" si="0"/>
        <v>0.46875</v>
      </c>
      <c r="M43" s="1">
        <f t="shared" si="7"/>
        <v>12.776515448340851</v>
      </c>
      <c r="AB43" s="3"/>
      <c r="AC43">
        <v>25216</v>
      </c>
      <c r="AD43" s="1">
        <v>0.46875</v>
      </c>
      <c r="AE43" s="1">
        <v>7.0249800000000002</v>
      </c>
      <c r="AF43" s="1">
        <f t="shared" si="2"/>
        <v>0.9375</v>
      </c>
      <c r="AG43" s="1">
        <f t="shared" si="3"/>
        <v>7.0249800000000002</v>
      </c>
      <c r="AI43" s="3"/>
      <c r="AJ43">
        <v>5728</v>
      </c>
      <c r="AK43" s="1">
        <v>0.3125</v>
      </c>
      <c r="AL43" s="1">
        <v>11.222300000000001</v>
      </c>
      <c r="AM43" s="1">
        <f t="shared" si="4"/>
        <v>0.625</v>
      </c>
      <c r="AN43" s="1">
        <f t="shared" si="5"/>
        <v>11.222300000000001</v>
      </c>
    </row>
    <row r="44" spans="1:40">
      <c r="A44" t="s">
        <v>4</v>
      </c>
      <c r="B44">
        <v>0</v>
      </c>
      <c r="C44" t="s">
        <v>5</v>
      </c>
      <c r="D44">
        <v>8</v>
      </c>
      <c r="E44" t="s">
        <v>6</v>
      </c>
      <c r="F44" s="1">
        <v>0.265625</v>
      </c>
      <c r="G44" t="s">
        <v>7</v>
      </c>
      <c r="H44" s="1">
        <v>0.5</v>
      </c>
      <c r="I44" t="s">
        <v>8</v>
      </c>
      <c r="J44" s="1">
        <v>0</v>
      </c>
      <c r="K44" s="1">
        <v>24.750429286114102</v>
      </c>
      <c r="L44" s="1">
        <f t="shared" si="0"/>
        <v>0.53125</v>
      </c>
      <c r="M44" s="1">
        <f t="shared" si="7"/>
        <v>12.375214643057051</v>
      </c>
      <c r="AB44" s="3"/>
      <c r="AC44">
        <v>123388</v>
      </c>
      <c r="AD44" s="1">
        <v>0.484375</v>
      </c>
      <c r="AE44" s="1">
        <v>6.2415000000000003</v>
      </c>
      <c r="AF44" s="1">
        <f t="shared" si="2"/>
        <v>0.96875</v>
      </c>
      <c r="AG44" s="1">
        <f t="shared" si="3"/>
        <v>6.2415000000000003</v>
      </c>
      <c r="AI44" s="3"/>
      <c r="AJ44">
        <v>58378</v>
      </c>
      <c r="AK44" s="1">
        <v>0.32291700000000001</v>
      </c>
      <c r="AL44" s="1">
        <v>11.0572</v>
      </c>
      <c r="AM44" s="1">
        <f t="shared" si="4"/>
        <v>0.64583400000000002</v>
      </c>
      <c r="AN44" s="1">
        <f t="shared" si="5"/>
        <v>11.0572</v>
      </c>
    </row>
    <row r="45" spans="1:40">
      <c r="A45" t="s">
        <v>4</v>
      </c>
      <c r="B45">
        <v>0</v>
      </c>
      <c r="C45" t="s">
        <v>5</v>
      </c>
      <c r="D45">
        <v>9</v>
      </c>
      <c r="E45" t="s">
        <v>6</v>
      </c>
      <c r="F45" s="1">
        <v>0.296875</v>
      </c>
      <c r="G45" t="s">
        <v>7</v>
      </c>
      <c r="H45" s="1">
        <v>0.5</v>
      </c>
      <c r="I45" t="s">
        <v>8</v>
      </c>
      <c r="J45" s="1">
        <v>0</v>
      </c>
      <c r="K45" s="1">
        <v>24.1553782498472</v>
      </c>
      <c r="L45" s="1">
        <f t="shared" si="0"/>
        <v>0.59375</v>
      </c>
      <c r="M45" s="1">
        <f t="shared" si="7"/>
        <v>12.0776891249236</v>
      </c>
      <c r="AB45" s="4"/>
      <c r="AC45">
        <v>25217</v>
      </c>
      <c r="AD45" s="1">
        <v>0.5</v>
      </c>
      <c r="AE45" s="1">
        <v>5.4580200000000003</v>
      </c>
      <c r="AF45" s="1">
        <f t="shared" si="2"/>
        <v>1</v>
      </c>
      <c r="AG45" s="1">
        <f t="shared" si="3"/>
        <v>5.4580200000000003</v>
      </c>
      <c r="AI45" s="3"/>
      <c r="AJ45">
        <v>5729</v>
      </c>
      <c r="AK45" s="1">
        <v>0.33333299999999999</v>
      </c>
      <c r="AL45" s="1">
        <v>10.891999999999999</v>
      </c>
      <c r="AM45" s="1">
        <f t="shared" si="4"/>
        <v>0.66666599999999998</v>
      </c>
      <c r="AN45" s="1">
        <f t="shared" si="5"/>
        <v>10.891999999999999</v>
      </c>
    </row>
    <row r="46" spans="1:40">
      <c r="A46" t="s">
        <v>4</v>
      </c>
      <c r="B46">
        <v>0</v>
      </c>
      <c r="C46" t="s">
        <v>5</v>
      </c>
      <c r="D46">
        <v>10</v>
      </c>
      <c r="E46" t="s">
        <v>6</v>
      </c>
      <c r="F46" s="1">
        <v>0.328125</v>
      </c>
      <c r="G46" t="s">
        <v>7</v>
      </c>
      <c r="H46" s="1">
        <v>0.5</v>
      </c>
      <c r="I46" t="s">
        <v>8</v>
      </c>
      <c r="J46" s="1">
        <v>0</v>
      </c>
      <c r="K46" s="1">
        <v>23.1508463591672</v>
      </c>
      <c r="L46" s="1">
        <f t="shared" si="0"/>
        <v>0.65625</v>
      </c>
      <c r="M46" s="1">
        <f t="shared" si="7"/>
        <v>11.5754231795836</v>
      </c>
      <c r="AI46" s="3"/>
      <c r="AJ46">
        <v>58382</v>
      </c>
      <c r="AK46" s="1">
        <v>0.34375</v>
      </c>
      <c r="AL46" s="1">
        <v>10.707599999999999</v>
      </c>
      <c r="AM46" s="1">
        <f t="shared" si="4"/>
        <v>0.6875</v>
      </c>
      <c r="AN46" s="1">
        <f t="shared" si="5"/>
        <v>10.707599999999999</v>
      </c>
    </row>
    <row r="47" spans="1:40">
      <c r="A47" t="s">
        <v>4</v>
      </c>
      <c r="B47">
        <v>0</v>
      </c>
      <c r="C47" t="s">
        <v>5</v>
      </c>
      <c r="D47">
        <v>11</v>
      </c>
      <c r="E47" t="s">
        <v>6</v>
      </c>
      <c r="F47" s="1">
        <v>0.359375</v>
      </c>
      <c r="G47" t="s">
        <v>7</v>
      </c>
      <c r="H47" s="1">
        <v>0.5</v>
      </c>
      <c r="I47" t="s">
        <v>8</v>
      </c>
      <c r="J47" s="1">
        <v>0</v>
      </c>
      <c r="K47" s="1">
        <v>21.663894072745599</v>
      </c>
      <c r="L47" s="1">
        <f t="shared" si="0"/>
        <v>0.71875</v>
      </c>
      <c r="M47" s="1">
        <f t="shared" si="7"/>
        <v>10.831947036372799</v>
      </c>
      <c r="AI47" s="3"/>
      <c r="AJ47">
        <v>5730</v>
      </c>
      <c r="AK47" s="1">
        <v>0.35416700000000001</v>
      </c>
      <c r="AL47" s="1">
        <v>10.523099999999999</v>
      </c>
      <c r="AM47" s="1">
        <f t="shared" si="4"/>
        <v>0.70833400000000002</v>
      </c>
      <c r="AN47" s="1">
        <f t="shared" si="5"/>
        <v>10.523099999999999</v>
      </c>
    </row>
    <row r="48" spans="1:40">
      <c r="A48" t="s">
        <v>4</v>
      </c>
      <c r="B48">
        <v>0</v>
      </c>
      <c r="C48" t="s">
        <v>5</v>
      </c>
      <c r="D48">
        <v>12</v>
      </c>
      <c r="E48" t="s">
        <v>6</v>
      </c>
      <c r="F48" s="1">
        <v>0.390625</v>
      </c>
      <c r="G48" t="s">
        <v>7</v>
      </c>
      <c r="H48" s="1">
        <v>0.5</v>
      </c>
      <c r="I48" t="s">
        <v>8</v>
      </c>
      <c r="J48" s="1">
        <v>0</v>
      </c>
      <c r="K48" s="1">
        <v>21.119529854613699</v>
      </c>
      <c r="L48" s="1">
        <f t="shared" si="0"/>
        <v>0.78125</v>
      </c>
      <c r="M48" s="1">
        <f t="shared" si="7"/>
        <v>10.559764927306849</v>
      </c>
      <c r="AI48" s="3"/>
      <c r="AJ48">
        <v>58386</v>
      </c>
      <c r="AK48" s="1">
        <v>0.36458299999999999</v>
      </c>
      <c r="AL48" s="1">
        <v>10.3154</v>
      </c>
      <c r="AM48" s="1">
        <f t="shared" si="4"/>
        <v>0.72916599999999998</v>
      </c>
      <c r="AN48" s="1">
        <f t="shared" si="5"/>
        <v>10.3154</v>
      </c>
    </row>
    <row r="49" spans="1:40">
      <c r="A49" t="s">
        <v>4</v>
      </c>
      <c r="B49">
        <v>0</v>
      </c>
      <c r="C49" t="s">
        <v>5</v>
      </c>
      <c r="D49">
        <v>13</v>
      </c>
      <c r="E49" t="s">
        <v>6</v>
      </c>
      <c r="F49" s="1">
        <v>0.421875</v>
      </c>
      <c r="G49" t="s">
        <v>7</v>
      </c>
      <c r="H49" s="1">
        <v>0.5</v>
      </c>
      <c r="I49" t="s">
        <v>8</v>
      </c>
      <c r="J49" s="1">
        <v>0</v>
      </c>
      <c r="K49" s="1">
        <v>17.616052103124499</v>
      </c>
      <c r="L49" s="1">
        <f t="shared" si="0"/>
        <v>0.84375</v>
      </c>
      <c r="M49" s="1">
        <f t="shared" si="7"/>
        <v>8.8080260515622495</v>
      </c>
      <c r="AI49" s="3"/>
      <c r="AJ49">
        <v>5731</v>
      </c>
      <c r="AK49" s="1">
        <v>0.375</v>
      </c>
      <c r="AL49" s="1">
        <v>10.1076</v>
      </c>
      <c r="AM49" s="1">
        <f t="shared" si="4"/>
        <v>0.75</v>
      </c>
      <c r="AN49" s="1">
        <f t="shared" si="5"/>
        <v>10.1076</v>
      </c>
    </row>
    <row r="50" spans="1:40">
      <c r="A50" t="s">
        <v>4</v>
      </c>
      <c r="B50">
        <v>0</v>
      </c>
      <c r="C50" t="s">
        <v>5</v>
      </c>
      <c r="D50">
        <v>14</v>
      </c>
      <c r="E50" t="s">
        <v>6</v>
      </c>
      <c r="F50" s="1">
        <v>0.453125</v>
      </c>
      <c r="G50" t="s">
        <v>7</v>
      </c>
      <c r="H50" s="1">
        <v>0.5</v>
      </c>
      <c r="I50" t="s">
        <v>8</v>
      </c>
      <c r="J50" s="1">
        <v>0</v>
      </c>
      <c r="K50" s="1">
        <v>18.8696665871365</v>
      </c>
      <c r="L50" s="1">
        <f t="shared" si="0"/>
        <v>0.90625</v>
      </c>
      <c r="M50" s="1">
        <f t="shared" si="7"/>
        <v>9.43483329356825</v>
      </c>
      <c r="AI50" s="3"/>
      <c r="AJ50">
        <v>58390</v>
      </c>
      <c r="AK50" s="1">
        <v>0.38541700000000001</v>
      </c>
      <c r="AL50" s="1">
        <v>9.8723100000000006</v>
      </c>
      <c r="AM50" s="1">
        <f t="shared" si="4"/>
        <v>0.77083400000000002</v>
      </c>
      <c r="AN50" s="1">
        <f t="shared" si="5"/>
        <v>9.8723100000000006</v>
      </c>
    </row>
    <row r="51" spans="1:40">
      <c r="A51" t="s">
        <v>4</v>
      </c>
      <c r="B51">
        <v>0</v>
      </c>
      <c r="C51" t="s">
        <v>5</v>
      </c>
      <c r="D51">
        <v>15</v>
      </c>
      <c r="E51" t="s">
        <v>6</v>
      </c>
      <c r="F51" s="1">
        <v>0.484375</v>
      </c>
      <c r="G51" t="s">
        <v>7</v>
      </c>
      <c r="H51" s="1">
        <v>0.5</v>
      </c>
      <c r="I51" t="s">
        <v>8</v>
      </c>
      <c r="J51" s="1">
        <v>0</v>
      </c>
      <c r="K51" s="1">
        <v>10.311261893477401</v>
      </c>
      <c r="L51" s="1">
        <f t="shared" si="0"/>
        <v>0.96875</v>
      </c>
      <c r="M51" s="1">
        <f t="shared" si="7"/>
        <v>5.1556309467387003</v>
      </c>
      <c r="AI51" s="3"/>
      <c r="AJ51">
        <v>5732</v>
      </c>
      <c r="AK51" s="1">
        <v>0.39583299999999999</v>
      </c>
      <c r="AL51" s="1">
        <v>9.6369900000000008</v>
      </c>
      <c r="AM51" s="1">
        <f t="shared" si="4"/>
        <v>0.79166599999999998</v>
      </c>
      <c r="AN51" s="1">
        <f t="shared" si="5"/>
        <v>9.6369900000000008</v>
      </c>
    </row>
    <row r="52" spans="1:40">
      <c r="AI52" s="3"/>
      <c r="AJ52">
        <v>58394</v>
      </c>
      <c r="AK52" s="1">
        <v>0.40625</v>
      </c>
      <c r="AL52" s="1">
        <v>9.3722799999999999</v>
      </c>
      <c r="AM52" s="1">
        <f t="shared" si="4"/>
        <v>0.8125</v>
      </c>
      <c r="AN52" s="1">
        <f t="shared" si="5"/>
        <v>9.3722799999999999</v>
      </c>
    </row>
    <row r="53" spans="1:40">
      <c r="AI53" s="3"/>
      <c r="AJ53">
        <v>5733</v>
      </c>
      <c r="AK53" s="1">
        <v>0.41666700000000001</v>
      </c>
      <c r="AL53" s="1">
        <v>9.1075700000000008</v>
      </c>
      <c r="AM53" s="1">
        <f t="shared" si="4"/>
        <v>0.83333400000000002</v>
      </c>
      <c r="AN53" s="1">
        <f t="shared" si="5"/>
        <v>9.1075700000000008</v>
      </c>
    </row>
    <row r="54" spans="1:40">
      <c r="AI54" s="3"/>
      <c r="AJ54">
        <v>58398</v>
      </c>
      <c r="AK54" s="1">
        <v>0.42708299999999999</v>
      </c>
      <c r="AL54" s="1">
        <v>8.8015799999999995</v>
      </c>
      <c r="AM54" s="1">
        <f t="shared" si="4"/>
        <v>0.85416599999999998</v>
      </c>
      <c r="AN54" s="1">
        <f t="shared" si="5"/>
        <v>8.8015799999999995</v>
      </c>
    </row>
    <row r="55" spans="1:40">
      <c r="AI55" s="3"/>
      <c r="AJ55">
        <v>5734</v>
      </c>
      <c r="AK55" s="1">
        <v>0.4375</v>
      </c>
      <c r="AL55" s="1">
        <v>8.4955999999999996</v>
      </c>
      <c r="AM55" s="1">
        <f t="shared" si="4"/>
        <v>0.875</v>
      </c>
      <c r="AN55" s="1">
        <f t="shared" si="5"/>
        <v>8.4955999999999996</v>
      </c>
    </row>
    <row r="56" spans="1:40">
      <c r="AI56" s="3"/>
      <c r="AJ56">
        <v>58402</v>
      </c>
      <c r="AK56" s="1">
        <v>0.44791700000000001</v>
      </c>
      <c r="AL56" s="1">
        <v>8.2087299999999992</v>
      </c>
      <c r="AM56" s="1">
        <f t="shared" si="4"/>
        <v>0.89583400000000002</v>
      </c>
      <c r="AN56" s="1">
        <f t="shared" si="5"/>
        <v>8.2087299999999992</v>
      </c>
    </row>
    <row r="57" spans="1:40">
      <c r="AI57" s="3"/>
      <c r="AJ57">
        <v>5735</v>
      </c>
      <c r="AK57" s="1">
        <v>0.45833299999999999</v>
      </c>
      <c r="AL57" s="1">
        <v>7.9218599999999997</v>
      </c>
      <c r="AM57" s="1">
        <f t="shared" si="4"/>
        <v>0.91666599999999998</v>
      </c>
      <c r="AN57" s="1">
        <f t="shared" si="5"/>
        <v>7.9218599999999997</v>
      </c>
    </row>
    <row r="58" spans="1:40">
      <c r="AI58" s="3"/>
      <c r="AJ58">
        <v>58406</v>
      </c>
      <c r="AK58" s="1">
        <v>0.46875</v>
      </c>
      <c r="AL58" s="1">
        <v>6.7829300000000003</v>
      </c>
      <c r="AM58" s="1">
        <f t="shared" si="4"/>
        <v>0.9375</v>
      </c>
      <c r="AN58" s="1">
        <f t="shared" si="5"/>
        <v>6.7829300000000003</v>
      </c>
    </row>
    <row r="59" spans="1:40">
      <c r="AI59" s="3"/>
      <c r="AJ59">
        <v>5736</v>
      </c>
      <c r="AK59" s="1">
        <v>0.47916700000000001</v>
      </c>
      <c r="AL59" s="1">
        <v>5.6440000000000001</v>
      </c>
      <c r="AM59" s="1">
        <f t="shared" si="4"/>
        <v>0.95833400000000002</v>
      </c>
      <c r="AN59" s="1">
        <f t="shared" si="5"/>
        <v>5.6440000000000001</v>
      </c>
    </row>
    <row r="60" spans="1:40">
      <c r="AI60" s="3"/>
      <c r="AJ60">
        <v>58410</v>
      </c>
      <c r="AK60" s="1">
        <v>0.48958299999999999</v>
      </c>
      <c r="AL60" s="1">
        <v>5.7351599999999996</v>
      </c>
      <c r="AM60" s="1">
        <f t="shared" si="4"/>
        <v>0.97916599999999998</v>
      </c>
      <c r="AN60" s="1">
        <f t="shared" si="5"/>
        <v>5.7351599999999996</v>
      </c>
    </row>
    <row r="61" spans="1:40">
      <c r="AI61" s="4"/>
      <c r="AJ61">
        <v>5737</v>
      </c>
      <c r="AK61" s="1">
        <v>0.5</v>
      </c>
      <c r="AL61" s="1">
        <v>5.8263100000000003</v>
      </c>
      <c r="AM61" s="1">
        <f t="shared" si="4"/>
        <v>1</v>
      </c>
      <c r="AN61" s="1">
        <f t="shared" si="5"/>
        <v>5.8263100000000003</v>
      </c>
    </row>
  </sheetData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5EB9-520F-4795-B01E-C623899A34C6}">
  <dimension ref="A1:AU321"/>
  <sheetViews>
    <sheetView zoomScale="80" zoomScaleNormal="100" workbookViewId="0">
      <selection activeCell="O26" sqref="O26"/>
    </sheetView>
  </sheetViews>
  <sheetFormatPr defaultRowHeight="18"/>
  <sheetData>
    <row r="1" spans="1:47">
      <c r="A1" t="s">
        <v>36</v>
      </c>
      <c r="J1" t="s">
        <v>37</v>
      </c>
      <c r="W1" t="s">
        <v>39</v>
      </c>
      <c r="AJ1" t="s">
        <v>38</v>
      </c>
    </row>
    <row r="2" spans="1:47">
      <c r="A2" t="s">
        <v>19</v>
      </c>
      <c r="B2" t="s">
        <v>20</v>
      </c>
      <c r="J2" t="s">
        <v>4</v>
      </c>
      <c r="K2">
        <v>0</v>
      </c>
      <c r="L2" t="s">
        <v>5</v>
      </c>
      <c r="M2">
        <v>0</v>
      </c>
      <c r="N2" t="s">
        <v>6</v>
      </c>
      <c r="O2" s="1">
        <v>7.8125000000000004E-4</v>
      </c>
      <c r="P2" t="s">
        <v>7</v>
      </c>
      <c r="Q2" s="1">
        <v>0.5</v>
      </c>
      <c r="R2" t="s">
        <v>8</v>
      </c>
      <c r="S2" s="1">
        <v>0</v>
      </c>
      <c r="T2" s="1">
        <v>0.19959844929803</v>
      </c>
      <c r="U2" s="1">
        <f>T2*2</f>
        <v>0.39919689859606</v>
      </c>
      <c r="W2" t="s">
        <v>4</v>
      </c>
      <c r="X2">
        <v>0</v>
      </c>
      <c r="Y2" t="s">
        <v>5</v>
      </c>
      <c r="Z2">
        <v>0</v>
      </c>
      <c r="AA2" t="s">
        <v>6</v>
      </c>
      <c r="AB2" s="1">
        <v>7.8125000000000004E-4</v>
      </c>
      <c r="AC2" t="s">
        <v>7</v>
      </c>
      <c r="AD2" s="1">
        <v>0.5</v>
      </c>
      <c r="AE2" t="s">
        <v>8</v>
      </c>
      <c r="AF2" s="1">
        <v>0</v>
      </c>
      <c r="AG2" s="1">
        <v>0.199595097848762</v>
      </c>
      <c r="AH2" s="1">
        <f>AG2*2</f>
        <v>0.39919019569752401</v>
      </c>
      <c r="AJ2" t="s">
        <v>4</v>
      </c>
      <c r="AK2">
        <v>0</v>
      </c>
      <c r="AL2" t="s">
        <v>5</v>
      </c>
      <c r="AM2">
        <v>0</v>
      </c>
      <c r="AN2" t="s">
        <v>6</v>
      </c>
      <c r="AO2" s="1">
        <v>7.8125000000000004E-4</v>
      </c>
      <c r="AP2" t="s">
        <v>7</v>
      </c>
      <c r="AQ2" s="1">
        <v>0.5</v>
      </c>
      <c r="AR2" t="s">
        <v>8</v>
      </c>
      <c r="AS2" s="1">
        <v>0</v>
      </c>
      <c r="AT2" s="1">
        <v>0.19961124352517601</v>
      </c>
      <c r="AU2" s="1">
        <f>AT2*2</f>
        <v>0.39922248705035202</v>
      </c>
    </row>
    <row r="3" spans="1:47">
      <c r="A3" t="s">
        <v>35</v>
      </c>
      <c r="J3" t="s">
        <v>4</v>
      </c>
      <c r="K3">
        <v>0</v>
      </c>
      <c r="L3" t="s">
        <v>5</v>
      </c>
      <c r="M3">
        <v>1</v>
      </c>
      <c r="N3" t="s">
        <v>6</v>
      </c>
      <c r="O3" s="1">
        <v>2.3437499999999999E-3</v>
      </c>
      <c r="P3" t="s">
        <v>7</v>
      </c>
      <c r="Q3" s="1">
        <v>0.5</v>
      </c>
      <c r="R3" t="s">
        <v>8</v>
      </c>
      <c r="S3" s="1">
        <v>0</v>
      </c>
      <c r="T3" s="1">
        <v>0.19960042715533</v>
      </c>
      <c r="U3" s="1">
        <f t="shared" ref="U3:U66" si="0">T3*2</f>
        <v>0.39920085431065999</v>
      </c>
      <c r="W3" t="s">
        <v>4</v>
      </c>
      <c r="X3">
        <v>0</v>
      </c>
      <c r="Y3" t="s">
        <v>5</v>
      </c>
      <c r="Z3">
        <v>1</v>
      </c>
      <c r="AA3" t="s">
        <v>6</v>
      </c>
      <c r="AB3" s="1">
        <v>2.3437499999999999E-3</v>
      </c>
      <c r="AC3" t="s">
        <v>7</v>
      </c>
      <c r="AD3" s="1">
        <v>0.5</v>
      </c>
      <c r="AE3" t="s">
        <v>8</v>
      </c>
      <c r="AF3" s="1">
        <v>0</v>
      </c>
      <c r="AG3" s="1">
        <v>0.19959792834678999</v>
      </c>
      <c r="AH3" s="1">
        <f t="shared" ref="AH3:AH66" si="1">AG3*2</f>
        <v>0.39919585669357999</v>
      </c>
      <c r="AJ3" t="s">
        <v>4</v>
      </c>
      <c r="AK3">
        <v>0</v>
      </c>
      <c r="AL3" t="s">
        <v>5</v>
      </c>
      <c r="AM3">
        <v>1</v>
      </c>
      <c r="AN3" t="s">
        <v>6</v>
      </c>
      <c r="AO3" s="1">
        <v>2.3437499999999999E-3</v>
      </c>
      <c r="AP3" t="s">
        <v>7</v>
      </c>
      <c r="AQ3" s="1">
        <v>0.5</v>
      </c>
      <c r="AR3" t="s">
        <v>8</v>
      </c>
      <c r="AS3" s="1">
        <v>0</v>
      </c>
      <c r="AT3" s="1">
        <v>0.19961206427048001</v>
      </c>
      <c r="AU3" s="1">
        <f t="shared" ref="AU3:AU66" si="2">AT3*2</f>
        <v>0.39922412854096001</v>
      </c>
    </row>
    <row r="4" spans="1:47">
      <c r="A4" t="s">
        <v>22</v>
      </c>
      <c r="B4" t="s">
        <v>23</v>
      </c>
      <c r="C4">
        <v>0</v>
      </c>
      <c r="J4" t="s">
        <v>4</v>
      </c>
      <c r="K4">
        <v>0</v>
      </c>
      <c r="L4" t="s">
        <v>5</v>
      </c>
      <c r="M4">
        <v>2</v>
      </c>
      <c r="N4" t="s">
        <v>6</v>
      </c>
      <c r="O4" s="1">
        <v>3.90625E-3</v>
      </c>
      <c r="P4" t="s">
        <v>7</v>
      </c>
      <c r="Q4" s="1">
        <v>0.5</v>
      </c>
      <c r="R4" t="s">
        <v>8</v>
      </c>
      <c r="S4" s="1">
        <v>0</v>
      </c>
      <c r="T4" s="1">
        <v>0.19960246588341099</v>
      </c>
      <c r="U4" s="1">
        <f t="shared" si="0"/>
        <v>0.39920493176682198</v>
      </c>
      <c r="W4" t="s">
        <v>4</v>
      </c>
      <c r="X4">
        <v>0</v>
      </c>
      <c r="Y4" t="s">
        <v>5</v>
      </c>
      <c r="Z4">
        <v>2</v>
      </c>
      <c r="AA4" t="s">
        <v>6</v>
      </c>
      <c r="AB4" s="1">
        <v>3.90625E-3</v>
      </c>
      <c r="AC4" t="s">
        <v>7</v>
      </c>
      <c r="AD4" s="1">
        <v>0.5</v>
      </c>
      <c r="AE4" t="s">
        <v>8</v>
      </c>
      <c r="AF4" s="1">
        <v>0</v>
      </c>
      <c r="AG4" s="1">
        <v>0.19960078694083999</v>
      </c>
      <c r="AH4" s="1">
        <f t="shared" si="1"/>
        <v>0.39920157388167998</v>
      </c>
      <c r="AJ4" t="s">
        <v>4</v>
      </c>
      <c r="AK4">
        <v>0</v>
      </c>
      <c r="AL4" t="s">
        <v>5</v>
      </c>
      <c r="AM4">
        <v>2</v>
      </c>
      <c r="AN4" t="s">
        <v>6</v>
      </c>
      <c r="AO4" s="1">
        <v>3.90625E-3</v>
      </c>
      <c r="AP4" t="s">
        <v>7</v>
      </c>
      <c r="AQ4" s="1">
        <v>0.5</v>
      </c>
      <c r="AR4" t="s">
        <v>8</v>
      </c>
      <c r="AS4" s="1">
        <v>0</v>
      </c>
      <c r="AT4" s="1">
        <v>0.19961299041856101</v>
      </c>
      <c r="AU4" s="1">
        <f t="shared" si="2"/>
        <v>0.39922598083712202</v>
      </c>
    </row>
    <row r="5" spans="1:47">
      <c r="A5" t="s">
        <v>24</v>
      </c>
      <c r="B5" t="s">
        <v>23</v>
      </c>
      <c r="C5" s="1">
        <v>0</v>
      </c>
      <c r="J5" t="s">
        <v>4</v>
      </c>
      <c r="K5">
        <v>0</v>
      </c>
      <c r="L5" t="s">
        <v>5</v>
      </c>
      <c r="M5">
        <v>3</v>
      </c>
      <c r="N5" t="s">
        <v>6</v>
      </c>
      <c r="O5" s="1">
        <v>5.4687499999999997E-3</v>
      </c>
      <c r="P5" t="s">
        <v>7</v>
      </c>
      <c r="Q5" s="1">
        <v>0.5</v>
      </c>
      <c r="R5" t="s">
        <v>8</v>
      </c>
      <c r="S5" s="1">
        <v>0</v>
      </c>
      <c r="T5" s="1">
        <v>0.19960456530804199</v>
      </c>
      <c r="U5" s="1">
        <f t="shared" si="0"/>
        <v>0.39920913061608398</v>
      </c>
      <c r="W5" t="s">
        <v>4</v>
      </c>
      <c r="X5">
        <v>0</v>
      </c>
      <c r="Y5" t="s">
        <v>5</v>
      </c>
      <c r="Z5">
        <v>3</v>
      </c>
      <c r="AA5" t="s">
        <v>6</v>
      </c>
      <c r="AB5" s="1">
        <v>5.4687499999999997E-3</v>
      </c>
      <c r="AC5" t="s">
        <v>7</v>
      </c>
      <c r="AD5" s="1">
        <v>0.5</v>
      </c>
      <c r="AE5" t="s">
        <v>8</v>
      </c>
      <c r="AF5" s="1">
        <v>0</v>
      </c>
      <c r="AG5" s="1">
        <v>0.19960367269471899</v>
      </c>
      <c r="AH5" s="1">
        <f t="shared" si="1"/>
        <v>0.39920734538943797</v>
      </c>
      <c r="AJ5" t="s">
        <v>4</v>
      </c>
      <c r="AK5">
        <v>0</v>
      </c>
      <c r="AL5" t="s">
        <v>5</v>
      </c>
      <c r="AM5">
        <v>3</v>
      </c>
      <c r="AN5" t="s">
        <v>6</v>
      </c>
      <c r="AO5" s="1">
        <v>5.4687499999999997E-3</v>
      </c>
      <c r="AP5" t="s">
        <v>7</v>
      </c>
      <c r="AQ5" s="1">
        <v>0.5</v>
      </c>
      <c r="AR5" t="s">
        <v>8</v>
      </c>
      <c r="AS5" s="1">
        <v>0</v>
      </c>
      <c r="AT5" s="1">
        <v>0.19961402290844801</v>
      </c>
      <c r="AU5" s="1">
        <f t="shared" si="2"/>
        <v>0.39922804581689603</v>
      </c>
    </row>
    <row r="6" spans="1:47">
      <c r="A6" t="s">
        <v>25</v>
      </c>
      <c r="B6" t="s">
        <v>23</v>
      </c>
      <c r="C6" s="1">
        <v>0</v>
      </c>
      <c r="J6" t="s">
        <v>4</v>
      </c>
      <c r="K6">
        <v>0</v>
      </c>
      <c r="L6" t="s">
        <v>5</v>
      </c>
      <c r="M6">
        <v>4</v>
      </c>
      <c r="N6" t="s">
        <v>6</v>
      </c>
      <c r="O6" s="1">
        <v>7.0312500000000002E-3</v>
      </c>
      <c r="P6" t="s">
        <v>7</v>
      </c>
      <c r="Q6" s="1">
        <v>0.5</v>
      </c>
      <c r="R6" t="s">
        <v>8</v>
      </c>
      <c r="S6" s="1">
        <v>0</v>
      </c>
      <c r="T6" s="1">
        <v>0.19960672526249401</v>
      </c>
      <c r="U6" s="1">
        <f t="shared" si="0"/>
        <v>0.39921345052498802</v>
      </c>
      <c r="W6" t="s">
        <v>4</v>
      </c>
      <c r="X6">
        <v>0</v>
      </c>
      <c r="Y6" t="s">
        <v>5</v>
      </c>
      <c r="Z6">
        <v>4</v>
      </c>
      <c r="AA6" t="s">
        <v>6</v>
      </c>
      <c r="AB6" s="1">
        <v>7.0312500000000002E-3</v>
      </c>
      <c r="AC6" t="s">
        <v>7</v>
      </c>
      <c r="AD6" s="1">
        <v>0.5</v>
      </c>
      <c r="AE6" t="s">
        <v>8</v>
      </c>
      <c r="AF6" s="1">
        <v>0</v>
      </c>
      <c r="AG6" s="1">
        <v>0.199606584686493</v>
      </c>
      <c r="AH6" s="1">
        <f t="shared" si="1"/>
        <v>0.39921316937298601</v>
      </c>
      <c r="AJ6" t="s">
        <v>4</v>
      </c>
      <c r="AK6">
        <v>0</v>
      </c>
      <c r="AL6" t="s">
        <v>5</v>
      </c>
      <c r="AM6">
        <v>4</v>
      </c>
      <c r="AN6" t="s">
        <v>6</v>
      </c>
      <c r="AO6" s="1">
        <v>7.0312500000000002E-3</v>
      </c>
      <c r="AP6" t="s">
        <v>7</v>
      </c>
      <c r="AQ6" s="1">
        <v>0.5</v>
      </c>
      <c r="AR6" t="s">
        <v>8</v>
      </c>
      <c r="AS6" s="1">
        <v>0</v>
      </c>
      <c r="AT6" s="1">
        <v>0.19961516268551799</v>
      </c>
      <c r="AU6" s="1">
        <f t="shared" si="2"/>
        <v>0.39923032537103598</v>
      </c>
    </row>
    <row r="7" spans="1:47">
      <c r="J7" t="s">
        <v>4</v>
      </c>
      <c r="K7">
        <v>0</v>
      </c>
      <c r="L7" t="s">
        <v>5</v>
      </c>
      <c r="M7">
        <v>5</v>
      </c>
      <c r="N7" t="s">
        <v>6</v>
      </c>
      <c r="O7" s="1">
        <v>8.5937500000000007E-3</v>
      </c>
      <c r="P7" t="s">
        <v>7</v>
      </c>
      <c r="Q7" s="1">
        <v>0.5</v>
      </c>
      <c r="R7" t="s">
        <v>8</v>
      </c>
      <c r="S7" s="1">
        <v>0</v>
      </c>
      <c r="T7" s="1">
        <v>0.19960894558745099</v>
      </c>
      <c r="U7" s="1">
        <f t="shared" si="0"/>
        <v>0.39921789117490197</v>
      </c>
      <c r="W7" t="s">
        <v>4</v>
      </c>
      <c r="X7">
        <v>0</v>
      </c>
      <c r="Y7" t="s">
        <v>5</v>
      </c>
      <c r="Z7">
        <v>5</v>
      </c>
      <c r="AA7" t="s">
        <v>6</v>
      </c>
      <c r="AB7" s="1">
        <v>8.5937500000000007E-3</v>
      </c>
      <c r="AC7" t="s">
        <v>7</v>
      </c>
      <c r="AD7" s="1">
        <v>0.5</v>
      </c>
      <c r="AE7" t="s">
        <v>8</v>
      </c>
      <c r="AF7" s="1">
        <v>0</v>
      </c>
      <c r="AG7" s="1">
        <v>0.199609522008833</v>
      </c>
      <c r="AH7" s="1">
        <f t="shared" si="1"/>
        <v>0.399219044017666</v>
      </c>
      <c r="AJ7" t="s">
        <v>4</v>
      </c>
      <c r="AK7">
        <v>0</v>
      </c>
      <c r="AL7" t="s">
        <v>5</v>
      </c>
      <c r="AM7">
        <v>5</v>
      </c>
      <c r="AN7" t="s">
        <v>6</v>
      </c>
      <c r="AO7" s="1">
        <v>8.5937500000000007E-3</v>
      </c>
      <c r="AP7" t="s">
        <v>7</v>
      </c>
      <c r="AQ7" s="1">
        <v>0.5</v>
      </c>
      <c r="AR7" t="s">
        <v>8</v>
      </c>
      <c r="AS7" s="1">
        <v>0</v>
      </c>
      <c r="AT7" s="1">
        <v>0.199616410701798</v>
      </c>
      <c r="AU7" s="1">
        <f t="shared" si="2"/>
        <v>0.39923282140359601</v>
      </c>
    </row>
    <row r="8" spans="1:47">
      <c r="A8" t="s">
        <v>26</v>
      </c>
      <c r="B8">
        <v>1</v>
      </c>
      <c r="J8" t="s">
        <v>4</v>
      </c>
      <c r="K8">
        <v>0</v>
      </c>
      <c r="L8" t="s">
        <v>5</v>
      </c>
      <c r="M8">
        <v>6</v>
      </c>
      <c r="N8" t="s">
        <v>6</v>
      </c>
      <c r="O8" s="1">
        <v>1.015625E-2</v>
      </c>
      <c r="P8" t="s">
        <v>7</v>
      </c>
      <c r="Q8" s="1">
        <v>0.5</v>
      </c>
      <c r="R8" t="s">
        <v>8</v>
      </c>
      <c r="S8" s="1">
        <v>0</v>
      </c>
      <c r="T8" s="1">
        <v>0.19961122613089299</v>
      </c>
      <c r="U8" s="1">
        <f t="shared" si="0"/>
        <v>0.39922245226178599</v>
      </c>
      <c r="W8" t="s">
        <v>4</v>
      </c>
      <c r="X8">
        <v>0</v>
      </c>
      <c r="Y8" t="s">
        <v>5</v>
      </c>
      <c r="Z8">
        <v>6</v>
      </c>
      <c r="AA8" t="s">
        <v>6</v>
      </c>
      <c r="AB8" s="1">
        <v>1.015625E-2</v>
      </c>
      <c r="AC8" t="s">
        <v>7</v>
      </c>
      <c r="AD8" s="1">
        <v>0.5</v>
      </c>
      <c r="AE8" t="s">
        <v>8</v>
      </c>
      <c r="AF8" s="1">
        <v>0</v>
      </c>
      <c r="AG8" s="1">
        <v>0.19961248376923901</v>
      </c>
      <c r="AH8" s="1">
        <f t="shared" si="1"/>
        <v>0.39922496753847803</v>
      </c>
      <c r="AJ8" t="s">
        <v>4</v>
      </c>
      <c r="AK8">
        <v>0</v>
      </c>
      <c r="AL8" t="s">
        <v>5</v>
      </c>
      <c r="AM8">
        <v>6</v>
      </c>
      <c r="AN8" t="s">
        <v>6</v>
      </c>
      <c r="AO8" s="1">
        <v>1.015625E-2</v>
      </c>
      <c r="AP8" t="s">
        <v>7</v>
      </c>
      <c r="AQ8" s="1">
        <v>0.5</v>
      </c>
      <c r="AR8" t="s">
        <v>8</v>
      </c>
      <c r="AS8" s="1">
        <v>0</v>
      </c>
      <c r="AT8" s="1">
        <v>0.199617767914402</v>
      </c>
      <c r="AU8" s="1">
        <f t="shared" si="2"/>
        <v>0.399235535828804</v>
      </c>
    </row>
    <row r="9" spans="1:47">
      <c r="A9" t="s">
        <v>27</v>
      </c>
      <c r="B9" t="s">
        <v>23</v>
      </c>
      <c r="C9" t="s">
        <v>28</v>
      </c>
      <c r="D9" t="s">
        <v>29</v>
      </c>
      <c r="J9" t="s">
        <v>4</v>
      </c>
      <c r="K9">
        <v>0</v>
      </c>
      <c r="L9" t="s">
        <v>5</v>
      </c>
      <c r="M9">
        <v>7</v>
      </c>
      <c r="N9" t="s">
        <v>6</v>
      </c>
      <c r="O9" s="1">
        <v>1.171875E-2</v>
      </c>
      <c r="P9" t="s">
        <v>7</v>
      </c>
      <c r="Q9" s="1">
        <v>0.5</v>
      </c>
      <c r="R9" t="s">
        <v>8</v>
      </c>
      <c r="S9" s="1">
        <v>0</v>
      </c>
      <c r="T9" s="1">
        <v>0.19961356674832501</v>
      </c>
      <c r="U9" s="1">
        <f t="shared" si="0"/>
        <v>0.39922713349665001</v>
      </c>
      <c r="W9" t="s">
        <v>4</v>
      </c>
      <c r="X9">
        <v>0</v>
      </c>
      <c r="Y9" t="s">
        <v>5</v>
      </c>
      <c r="Z9">
        <v>7</v>
      </c>
      <c r="AA9" t="s">
        <v>6</v>
      </c>
      <c r="AB9" s="1">
        <v>1.171875E-2</v>
      </c>
      <c r="AC9" t="s">
        <v>7</v>
      </c>
      <c r="AD9" s="1">
        <v>0.5</v>
      </c>
      <c r="AE9" t="s">
        <v>8</v>
      </c>
      <c r="AF9" s="1">
        <v>0</v>
      </c>
      <c r="AG9" s="1">
        <v>0.19961546908985101</v>
      </c>
      <c r="AH9" s="1">
        <f t="shared" si="1"/>
        <v>0.39923093817970201</v>
      </c>
      <c r="AJ9" t="s">
        <v>4</v>
      </c>
      <c r="AK9">
        <v>0</v>
      </c>
      <c r="AL9" t="s">
        <v>5</v>
      </c>
      <c r="AM9">
        <v>7</v>
      </c>
      <c r="AN9" t="s">
        <v>6</v>
      </c>
      <c r="AO9" s="1">
        <v>1.171875E-2</v>
      </c>
      <c r="AP9" t="s">
        <v>7</v>
      </c>
      <c r="AQ9" s="1">
        <v>0.5</v>
      </c>
      <c r="AR9" t="s">
        <v>8</v>
      </c>
      <c r="AS9" s="1">
        <v>0</v>
      </c>
      <c r="AT9" s="1">
        <v>0.19961923528591699</v>
      </c>
      <c r="AU9" s="1">
        <f t="shared" si="2"/>
        <v>0.39923847057183398</v>
      </c>
    </row>
    <row r="10" spans="1:47">
      <c r="A10" t="s">
        <v>30</v>
      </c>
      <c r="B10" t="s">
        <v>23</v>
      </c>
      <c r="C10" t="s">
        <v>31</v>
      </c>
      <c r="J10" t="s">
        <v>4</v>
      </c>
      <c r="K10">
        <v>0</v>
      </c>
      <c r="L10" t="s">
        <v>5</v>
      </c>
      <c r="M10">
        <v>8</v>
      </c>
      <c r="N10" t="s">
        <v>6</v>
      </c>
      <c r="O10" s="1">
        <v>1.328125E-2</v>
      </c>
      <c r="P10" t="s">
        <v>7</v>
      </c>
      <c r="Q10" s="1">
        <v>0.5</v>
      </c>
      <c r="R10" t="s">
        <v>8</v>
      </c>
      <c r="S10" s="1">
        <v>0</v>
      </c>
      <c r="T10" s="1">
        <v>0.19961596730279299</v>
      </c>
      <c r="U10" s="1">
        <f t="shared" si="0"/>
        <v>0.39923193460558598</v>
      </c>
      <c r="W10" t="s">
        <v>4</v>
      </c>
      <c r="X10">
        <v>0</v>
      </c>
      <c r="Y10" t="s">
        <v>5</v>
      </c>
      <c r="Z10">
        <v>8</v>
      </c>
      <c r="AA10" t="s">
        <v>6</v>
      </c>
      <c r="AB10" s="1">
        <v>1.328125E-2</v>
      </c>
      <c r="AC10" t="s">
        <v>7</v>
      </c>
      <c r="AD10" s="1">
        <v>0.5</v>
      </c>
      <c r="AE10" t="s">
        <v>8</v>
      </c>
      <c r="AF10" s="1">
        <v>0</v>
      </c>
      <c r="AG10" s="1">
        <v>0.19961847710728101</v>
      </c>
      <c r="AH10" s="1">
        <f t="shared" si="1"/>
        <v>0.39923695421456201</v>
      </c>
      <c r="AJ10" t="s">
        <v>4</v>
      </c>
      <c r="AK10">
        <v>0</v>
      </c>
      <c r="AL10" t="s">
        <v>5</v>
      </c>
      <c r="AM10">
        <v>8</v>
      </c>
      <c r="AN10" t="s">
        <v>6</v>
      </c>
      <c r="AO10" s="1">
        <v>1.328125E-2</v>
      </c>
      <c r="AP10" t="s">
        <v>7</v>
      </c>
      <c r="AQ10" s="1">
        <v>0.5</v>
      </c>
      <c r="AR10" t="s">
        <v>8</v>
      </c>
      <c r="AS10" s="1">
        <v>0</v>
      </c>
      <c r="AT10" s="1">
        <v>0.19962081378374899</v>
      </c>
      <c r="AU10" s="1">
        <f t="shared" si="2"/>
        <v>0.39924162756749798</v>
      </c>
    </row>
    <row r="11" spans="1:47">
      <c r="J11" t="s">
        <v>4</v>
      </c>
      <c r="K11">
        <v>0</v>
      </c>
      <c r="L11" t="s">
        <v>5</v>
      </c>
      <c r="M11">
        <v>9</v>
      </c>
      <c r="N11" t="s">
        <v>6</v>
      </c>
      <c r="O11" s="1">
        <v>1.4843749999999999E-2</v>
      </c>
      <c r="P11" t="s">
        <v>7</v>
      </c>
      <c r="Q11" s="1">
        <v>0.5</v>
      </c>
      <c r="R11" t="s">
        <v>8</v>
      </c>
      <c r="S11" s="1">
        <v>0</v>
      </c>
      <c r="T11" s="1">
        <v>0.19961842766464399</v>
      </c>
      <c r="U11" s="1">
        <f t="shared" si="0"/>
        <v>0.39923685532928799</v>
      </c>
      <c r="W11" t="s">
        <v>4</v>
      </c>
      <c r="X11">
        <v>0</v>
      </c>
      <c r="Y11" t="s">
        <v>5</v>
      </c>
      <c r="Z11">
        <v>9</v>
      </c>
      <c r="AA11" t="s">
        <v>6</v>
      </c>
      <c r="AB11" s="1">
        <v>1.4843749999999999E-2</v>
      </c>
      <c r="AC11" t="s">
        <v>7</v>
      </c>
      <c r="AD11" s="1">
        <v>0.5</v>
      </c>
      <c r="AE11" t="s">
        <v>8</v>
      </c>
      <c r="AF11" s="1">
        <v>0</v>
      </c>
      <c r="AG11" s="1">
        <v>0.199621506973232</v>
      </c>
      <c r="AH11" s="1">
        <f t="shared" si="1"/>
        <v>0.399243013946464</v>
      </c>
      <c r="AJ11" t="s">
        <v>4</v>
      </c>
      <c r="AK11">
        <v>0</v>
      </c>
      <c r="AL11" t="s">
        <v>5</v>
      </c>
      <c r="AM11">
        <v>9</v>
      </c>
      <c r="AN11" t="s">
        <v>6</v>
      </c>
      <c r="AO11" s="1">
        <v>1.4843749999999999E-2</v>
      </c>
      <c r="AP11" t="s">
        <v>7</v>
      </c>
      <c r="AQ11" s="1">
        <v>0.5</v>
      </c>
      <c r="AR11" t="s">
        <v>8</v>
      </c>
      <c r="AS11" s="1">
        <v>0</v>
      </c>
      <c r="AT11" s="1">
        <v>0.199622504377587</v>
      </c>
      <c r="AU11" s="1">
        <f t="shared" si="2"/>
        <v>0.39924500875517399</v>
      </c>
    </row>
    <row r="12" spans="1:47">
      <c r="B12" t="s">
        <v>32</v>
      </c>
      <c r="C12" t="s">
        <v>27</v>
      </c>
      <c r="D12" t="s">
        <v>30</v>
      </c>
      <c r="J12" t="s">
        <v>4</v>
      </c>
      <c r="K12">
        <v>0</v>
      </c>
      <c r="L12" t="s">
        <v>5</v>
      </c>
      <c r="M12">
        <v>10</v>
      </c>
      <c r="N12" t="s">
        <v>6</v>
      </c>
      <c r="O12" s="1">
        <v>1.6406250000000001E-2</v>
      </c>
      <c r="P12" t="s">
        <v>7</v>
      </c>
      <c r="Q12" s="1">
        <v>0.5</v>
      </c>
      <c r="R12" t="s">
        <v>8</v>
      </c>
      <c r="S12" s="1">
        <v>0</v>
      </c>
      <c r="T12" s="1">
        <v>0.19962094771171601</v>
      </c>
      <c r="U12" s="1">
        <f t="shared" si="0"/>
        <v>0.39924189542343202</v>
      </c>
      <c r="W12" t="s">
        <v>4</v>
      </c>
      <c r="X12">
        <v>0</v>
      </c>
      <c r="Y12" t="s">
        <v>5</v>
      </c>
      <c r="Z12">
        <v>10</v>
      </c>
      <c r="AA12" t="s">
        <v>6</v>
      </c>
      <c r="AB12" s="1">
        <v>1.6406250000000001E-2</v>
      </c>
      <c r="AC12" t="s">
        <v>7</v>
      </c>
      <c r="AD12" s="1">
        <v>0.5</v>
      </c>
      <c r="AE12" t="s">
        <v>8</v>
      </c>
      <c r="AF12" s="1">
        <v>0</v>
      </c>
      <c r="AG12" s="1">
        <v>0.199624557854094</v>
      </c>
      <c r="AH12" s="1">
        <f t="shared" si="1"/>
        <v>0.399249115708188</v>
      </c>
      <c r="AJ12" t="s">
        <v>4</v>
      </c>
      <c r="AK12">
        <v>0</v>
      </c>
      <c r="AL12" t="s">
        <v>5</v>
      </c>
      <c r="AM12">
        <v>10</v>
      </c>
      <c r="AN12" t="s">
        <v>6</v>
      </c>
      <c r="AO12" s="1">
        <v>1.6406250000000001E-2</v>
      </c>
      <c r="AP12" t="s">
        <v>7</v>
      </c>
      <c r="AQ12" s="1">
        <v>0.5</v>
      </c>
      <c r="AR12" t="s">
        <v>8</v>
      </c>
      <c r="AS12" s="1">
        <v>0</v>
      </c>
      <c r="AT12" s="1">
        <v>0.19962430803914499</v>
      </c>
      <c r="AU12" s="1">
        <f t="shared" si="2"/>
        <v>0.39924861607828999</v>
      </c>
    </row>
    <row r="13" spans="1:47">
      <c r="A13" t="s">
        <v>33</v>
      </c>
      <c r="J13" t="s">
        <v>4</v>
      </c>
      <c r="K13">
        <v>0</v>
      </c>
      <c r="L13" t="s">
        <v>5</v>
      </c>
      <c r="M13">
        <v>11</v>
      </c>
      <c r="N13" t="s">
        <v>6</v>
      </c>
      <c r="O13" s="1">
        <v>1.7968749999999999E-2</v>
      </c>
      <c r="P13" t="s">
        <v>7</v>
      </c>
      <c r="Q13" s="1">
        <v>0.5</v>
      </c>
      <c r="R13" t="s">
        <v>8</v>
      </c>
      <c r="S13" s="1">
        <v>0</v>
      </c>
      <c r="T13" s="1">
        <v>0.19962352732938399</v>
      </c>
      <c r="U13" s="1">
        <f t="shared" si="0"/>
        <v>0.39924705465876797</v>
      </c>
      <c r="W13" t="s">
        <v>4</v>
      </c>
      <c r="X13">
        <v>0</v>
      </c>
      <c r="Y13" t="s">
        <v>5</v>
      </c>
      <c r="Z13">
        <v>11</v>
      </c>
      <c r="AA13" t="s">
        <v>6</v>
      </c>
      <c r="AB13" s="1">
        <v>1.7968749999999999E-2</v>
      </c>
      <c r="AC13" t="s">
        <v>7</v>
      </c>
      <c r="AD13" s="1">
        <v>0.5</v>
      </c>
      <c r="AE13" t="s">
        <v>8</v>
      </c>
      <c r="AF13" s="1">
        <v>0</v>
      </c>
      <c r="AG13" s="1">
        <v>0.199627628930797</v>
      </c>
      <c r="AH13" s="1">
        <f t="shared" si="1"/>
        <v>0.39925525786159399</v>
      </c>
      <c r="AJ13" t="s">
        <v>4</v>
      </c>
      <c r="AK13">
        <v>0</v>
      </c>
      <c r="AL13" t="s">
        <v>5</v>
      </c>
      <c r="AM13">
        <v>11</v>
      </c>
      <c r="AN13" t="s">
        <v>6</v>
      </c>
      <c r="AO13" s="1">
        <v>1.7968749999999999E-2</v>
      </c>
      <c r="AP13" t="s">
        <v>7</v>
      </c>
      <c r="AQ13" s="1">
        <v>0.5</v>
      </c>
      <c r="AR13" t="s">
        <v>8</v>
      </c>
      <c r="AS13" s="1">
        <v>0</v>
      </c>
      <c r="AT13" s="1">
        <v>0.199626225741421</v>
      </c>
      <c r="AU13" s="1">
        <f t="shared" si="2"/>
        <v>0.399252451482842</v>
      </c>
    </row>
    <row r="14" spans="1:47">
      <c r="B14">
        <v>1394</v>
      </c>
      <c r="C14" s="1">
        <v>0</v>
      </c>
      <c r="D14" s="1">
        <v>0.398005</v>
      </c>
      <c r="J14" t="s">
        <v>4</v>
      </c>
      <c r="K14">
        <v>0</v>
      </c>
      <c r="L14" t="s">
        <v>5</v>
      </c>
      <c r="M14">
        <v>12</v>
      </c>
      <c r="N14" t="s">
        <v>6</v>
      </c>
      <c r="O14" s="1">
        <v>1.953125E-2</v>
      </c>
      <c r="P14" t="s">
        <v>7</v>
      </c>
      <c r="Q14" s="1">
        <v>0.5</v>
      </c>
      <c r="R14" t="s">
        <v>8</v>
      </c>
      <c r="S14" s="1">
        <v>0</v>
      </c>
      <c r="T14" s="1">
        <v>0.199626166410486</v>
      </c>
      <c r="U14" s="1">
        <f t="shared" si="0"/>
        <v>0.399252332820972</v>
      </c>
      <c r="W14" t="s">
        <v>4</v>
      </c>
      <c r="X14">
        <v>0</v>
      </c>
      <c r="Y14" t="s">
        <v>5</v>
      </c>
      <c r="Z14">
        <v>12</v>
      </c>
      <c r="AA14" t="s">
        <v>6</v>
      </c>
      <c r="AB14" s="1">
        <v>1.953125E-2</v>
      </c>
      <c r="AC14" t="s">
        <v>7</v>
      </c>
      <c r="AD14" s="1">
        <v>0.5</v>
      </c>
      <c r="AE14" t="s">
        <v>8</v>
      </c>
      <c r="AF14" s="1">
        <v>0</v>
      </c>
      <c r="AG14" s="1">
        <v>0.199630719399116</v>
      </c>
      <c r="AH14" s="1">
        <f t="shared" si="1"/>
        <v>0.399261438798232</v>
      </c>
      <c r="AJ14" t="s">
        <v>4</v>
      </c>
      <c r="AK14">
        <v>0</v>
      </c>
      <c r="AL14" t="s">
        <v>5</v>
      </c>
      <c r="AM14">
        <v>12</v>
      </c>
      <c r="AN14" t="s">
        <v>6</v>
      </c>
      <c r="AO14" s="1">
        <v>1.953125E-2</v>
      </c>
      <c r="AP14" t="s">
        <v>7</v>
      </c>
      <c r="AQ14" s="1">
        <v>0.5</v>
      </c>
      <c r="AR14" t="s">
        <v>8</v>
      </c>
      <c r="AS14" s="1">
        <v>0</v>
      </c>
      <c r="AT14" s="1">
        <v>0.199628258454316</v>
      </c>
      <c r="AU14" s="1">
        <f t="shared" si="2"/>
        <v>0.39925651690863201</v>
      </c>
    </row>
    <row r="15" spans="1:47">
      <c r="B15">
        <v>53685</v>
      </c>
      <c r="C15" s="1">
        <v>1.5625E-2</v>
      </c>
      <c r="D15" s="1">
        <v>0.39805299999999999</v>
      </c>
      <c r="J15" t="s">
        <v>4</v>
      </c>
      <c r="K15">
        <v>0</v>
      </c>
      <c r="L15" t="s">
        <v>5</v>
      </c>
      <c r="M15">
        <v>13</v>
      </c>
      <c r="N15" t="s">
        <v>6</v>
      </c>
      <c r="O15" s="1">
        <v>2.1093750000000001E-2</v>
      </c>
      <c r="P15" t="s">
        <v>7</v>
      </c>
      <c r="Q15" s="1">
        <v>0.5</v>
      </c>
      <c r="R15" t="s">
        <v>8</v>
      </c>
      <c r="S15" s="1">
        <v>0</v>
      </c>
      <c r="T15" s="1">
        <v>0.19962886485534201</v>
      </c>
      <c r="U15" s="1">
        <f t="shared" si="0"/>
        <v>0.39925772971068402</v>
      </c>
      <c r="W15" t="s">
        <v>4</v>
      </c>
      <c r="X15">
        <v>0</v>
      </c>
      <c r="Y15" t="s">
        <v>5</v>
      </c>
      <c r="Z15">
        <v>13</v>
      </c>
      <c r="AA15" t="s">
        <v>6</v>
      </c>
      <c r="AB15" s="1">
        <v>2.1093750000000001E-2</v>
      </c>
      <c r="AC15" t="s">
        <v>7</v>
      </c>
      <c r="AD15" s="1">
        <v>0.5</v>
      </c>
      <c r="AE15" t="s">
        <v>8</v>
      </c>
      <c r="AF15" s="1">
        <v>0</v>
      </c>
      <c r="AG15" s="1">
        <v>0.199633828469335</v>
      </c>
      <c r="AH15" s="1">
        <f t="shared" si="1"/>
        <v>0.39926765693867</v>
      </c>
      <c r="AJ15" t="s">
        <v>4</v>
      </c>
      <c r="AK15">
        <v>0</v>
      </c>
      <c r="AL15" t="s">
        <v>5</v>
      </c>
      <c r="AM15">
        <v>13</v>
      </c>
      <c r="AN15" t="s">
        <v>6</v>
      </c>
      <c r="AO15" s="1">
        <v>2.1093750000000001E-2</v>
      </c>
      <c r="AP15" t="s">
        <v>7</v>
      </c>
      <c r="AQ15" s="1">
        <v>0.5</v>
      </c>
      <c r="AR15" t="s">
        <v>8</v>
      </c>
      <c r="AS15" s="1">
        <v>0</v>
      </c>
      <c r="AT15" s="1">
        <v>0.199630407145377</v>
      </c>
      <c r="AU15" s="1">
        <f t="shared" si="2"/>
        <v>0.399260814290754</v>
      </c>
    </row>
    <row r="16" spans="1:47">
      <c r="B16">
        <v>25202</v>
      </c>
      <c r="C16" s="1">
        <v>3.125E-2</v>
      </c>
      <c r="D16" s="1">
        <v>0.39810099999999998</v>
      </c>
      <c r="J16" t="s">
        <v>4</v>
      </c>
      <c r="K16">
        <v>0</v>
      </c>
      <c r="L16" t="s">
        <v>5</v>
      </c>
      <c r="M16">
        <v>14</v>
      </c>
      <c r="N16" t="s">
        <v>6</v>
      </c>
      <c r="O16" s="1">
        <v>2.2656249999999999E-2</v>
      </c>
      <c r="P16" t="s">
        <v>7</v>
      </c>
      <c r="Q16" s="1">
        <v>0.5</v>
      </c>
      <c r="R16" t="s">
        <v>8</v>
      </c>
      <c r="S16" s="1">
        <v>0</v>
      </c>
      <c r="T16" s="1">
        <v>0.19963162257178099</v>
      </c>
      <c r="U16" s="1">
        <f t="shared" si="0"/>
        <v>0.39926324514356198</v>
      </c>
      <c r="W16" t="s">
        <v>4</v>
      </c>
      <c r="X16">
        <v>0</v>
      </c>
      <c r="Y16" t="s">
        <v>5</v>
      </c>
      <c r="Z16">
        <v>14</v>
      </c>
      <c r="AA16" t="s">
        <v>6</v>
      </c>
      <c r="AB16" s="1">
        <v>2.2656249999999999E-2</v>
      </c>
      <c r="AC16" t="s">
        <v>7</v>
      </c>
      <c r="AD16" s="1">
        <v>0.5</v>
      </c>
      <c r="AE16" t="s">
        <v>8</v>
      </c>
      <c r="AF16" s="1">
        <v>0</v>
      </c>
      <c r="AG16" s="1">
        <v>0.19963695536620299</v>
      </c>
      <c r="AH16" s="1">
        <f t="shared" si="1"/>
        <v>0.39927391073240598</v>
      </c>
      <c r="AJ16" t="s">
        <v>4</v>
      </c>
      <c r="AK16">
        <v>0</v>
      </c>
      <c r="AL16" t="s">
        <v>5</v>
      </c>
      <c r="AM16">
        <v>14</v>
      </c>
      <c r="AN16" t="s">
        <v>6</v>
      </c>
      <c r="AO16" s="1">
        <v>2.2656249999999999E-2</v>
      </c>
      <c r="AP16" t="s">
        <v>7</v>
      </c>
      <c r="AQ16" s="1">
        <v>0.5</v>
      </c>
      <c r="AR16" t="s">
        <v>8</v>
      </c>
      <c r="AS16" s="1">
        <v>0</v>
      </c>
      <c r="AT16" s="1">
        <v>0.199632672775857</v>
      </c>
      <c r="AU16" s="1">
        <f t="shared" si="2"/>
        <v>0.399265345551714</v>
      </c>
    </row>
    <row r="17" spans="2:47">
      <c r="B17">
        <v>123346</v>
      </c>
      <c r="C17" s="1">
        <v>4.6875E-2</v>
      </c>
      <c r="D17" s="1">
        <v>0.39824500000000002</v>
      </c>
      <c r="J17" t="s">
        <v>4</v>
      </c>
      <c r="K17">
        <v>0</v>
      </c>
      <c r="L17" t="s">
        <v>5</v>
      </c>
      <c r="M17">
        <v>15</v>
      </c>
      <c r="N17" t="s">
        <v>6</v>
      </c>
      <c r="O17" s="1">
        <v>2.4218750000000001E-2</v>
      </c>
      <c r="P17" t="s">
        <v>7</v>
      </c>
      <c r="Q17" s="1">
        <v>0.5</v>
      </c>
      <c r="R17" t="s">
        <v>8</v>
      </c>
      <c r="S17" s="1">
        <v>0</v>
      </c>
      <c r="T17" s="1">
        <v>0.199634439475147</v>
      </c>
      <c r="U17" s="1">
        <f t="shared" si="0"/>
        <v>0.399268878950294</v>
      </c>
      <c r="W17" t="s">
        <v>4</v>
      </c>
      <c r="X17">
        <v>0</v>
      </c>
      <c r="Y17" t="s">
        <v>5</v>
      </c>
      <c r="Z17">
        <v>15</v>
      </c>
      <c r="AA17" t="s">
        <v>6</v>
      </c>
      <c r="AB17" s="1">
        <v>2.4218750000000001E-2</v>
      </c>
      <c r="AC17" t="s">
        <v>7</v>
      </c>
      <c r="AD17" s="1">
        <v>0.5</v>
      </c>
      <c r="AE17" t="s">
        <v>8</v>
      </c>
      <c r="AF17" s="1">
        <v>0</v>
      </c>
      <c r="AG17" s="1">
        <v>0.199640099328835</v>
      </c>
      <c r="AH17" s="1">
        <f t="shared" si="1"/>
        <v>0.39928019865767</v>
      </c>
      <c r="AJ17" t="s">
        <v>4</v>
      </c>
      <c r="AK17">
        <v>0</v>
      </c>
      <c r="AL17" t="s">
        <v>5</v>
      </c>
      <c r="AM17">
        <v>15</v>
      </c>
      <c r="AN17" t="s">
        <v>6</v>
      </c>
      <c r="AO17" s="1">
        <v>2.4218750000000001E-2</v>
      </c>
      <c r="AP17" t="s">
        <v>7</v>
      </c>
      <c r="AQ17" s="1">
        <v>0.5</v>
      </c>
      <c r="AR17" t="s">
        <v>8</v>
      </c>
      <c r="AS17" s="1">
        <v>0</v>
      </c>
      <c r="AT17" s="1">
        <v>0.199635056298887</v>
      </c>
      <c r="AU17" s="1">
        <f t="shared" si="2"/>
        <v>0.39927011259777401</v>
      </c>
    </row>
    <row r="18" spans="2:47">
      <c r="B18">
        <v>25203</v>
      </c>
      <c r="C18" s="1">
        <v>6.25E-2</v>
      </c>
      <c r="D18" s="1">
        <v>0.39839000000000002</v>
      </c>
      <c r="J18" t="s">
        <v>4</v>
      </c>
      <c r="K18">
        <v>0</v>
      </c>
      <c r="L18" t="s">
        <v>5</v>
      </c>
      <c r="M18">
        <v>16</v>
      </c>
      <c r="N18" t="s">
        <v>6</v>
      </c>
      <c r="O18" s="1">
        <v>2.5781249999999999E-2</v>
      </c>
      <c r="P18" t="s">
        <v>7</v>
      </c>
      <c r="Q18" s="1">
        <v>0.5</v>
      </c>
      <c r="R18" t="s">
        <v>8</v>
      </c>
      <c r="S18" s="1">
        <v>0</v>
      </c>
      <c r="T18" s="1">
        <v>0.19963731548842301</v>
      </c>
      <c r="U18" s="1">
        <f t="shared" si="0"/>
        <v>0.39927463097684601</v>
      </c>
      <c r="W18" t="s">
        <v>4</v>
      </c>
      <c r="X18">
        <v>0</v>
      </c>
      <c r="Y18" t="s">
        <v>5</v>
      </c>
      <c r="Z18">
        <v>16</v>
      </c>
      <c r="AA18" t="s">
        <v>6</v>
      </c>
      <c r="AB18" s="1">
        <v>2.5781249999999999E-2</v>
      </c>
      <c r="AC18" t="s">
        <v>7</v>
      </c>
      <c r="AD18" s="1">
        <v>0.5</v>
      </c>
      <c r="AE18" t="s">
        <v>8</v>
      </c>
      <c r="AF18" s="1">
        <v>0</v>
      </c>
      <c r="AG18" s="1">
        <v>0.199643259610461</v>
      </c>
      <c r="AH18" s="1">
        <f t="shared" si="1"/>
        <v>0.39928651922092201</v>
      </c>
      <c r="AJ18" t="s">
        <v>4</v>
      </c>
      <c r="AK18">
        <v>0</v>
      </c>
      <c r="AL18" t="s">
        <v>5</v>
      </c>
      <c r="AM18">
        <v>16</v>
      </c>
      <c r="AN18" t="s">
        <v>6</v>
      </c>
      <c r="AO18" s="1">
        <v>2.5781249999999999E-2</v>
      </c>
      <c r="AP18" t="s">
        <v>7</v>
      </c>
      <c r="AQ18" s="1">
        <v>0.5</v>
      </c>
      <c r="AR18" t="s">
        <v>8</v>
      </c>
      <c r="AS18" s="1">
        <v>0</v>
      </c>
      <c r="AT18" s="1">
        <v>0.199637558657351</v>
      </c>
      <c r="AU18" s="1">
        <f t="shared" si="2"/>
        <v>0.399275117314702</v>
      </c>
    </row>
    <row r="19" spans="2:47">
      <c r="B19">
        <v>123349</v>
      </c>
      <c r="C19" s="1">
        <v>7.8125E-2</v>
      </c>
      <c r="D19" s="1">
        <v>0.39862999999999998</v>
      </c>
      <c r="J19" t="s">
        <v>4</v>
      </c>
      <c r="K19">
        <v>0</v>
      </c>
      <c r="L19" t="s">
        <v>5</v>
      </c>
      <c r="M19">
        <v>17</v>
      </c>
      <c r="N19" t="s">
        <v>6</v>
      </c>
      <c r="O19" s="1">
        <v>2.734375E-2</v>
      </c>
      <c r="P19" t="s">
        <v>7</v>
      </c>
      <c r="Q19" s="1">
        <v>0.5</v>
      </c>
      <c r="R19" t="s">
        <v>8</v>
      </c>
      <c r="S19" s="1">
        <v>0</v>
      </c>
      <c r="T19" s="1">
        <v>0.199640250541915</v>
      </c>
      <c r="U19" s="1">
        <f t="shared" si="0"/>
        <v>0.39928050108383001</v>
      </c>
      <c r="W19" t="s">
        <v>4</v>
      </c>
      <c r="X19">
        <v>0</v>
      </c>
      <c r="Y19" t="s">
        <v>5</v>
      </c>
      <c r="Z19">
        <v>17</v>
      </c>
      <c r="AA19" t="s">
        <v>6</v>
      </c>
      <c r="AB19" s="1">
        <v>2.734375E-2</v>
      </c>
      <c r="AC19" t="s">
        <v>7</v>
      </c>
      <c r="AD19" s="1">
        <v>0.5</v>
      </c>
      <c r="AE19" t="s">
        <v>8</v>
      </c>
      <c r="AF19" s="1">
        <v>0</v>
      </c>
      <c r="AG19" s="1">
        <v>0.199646435478531</v>
      </c>
      <c r="AH19" s="1">
        <f t="shared" si="1"/>
        <v>0.39929287095706201</v>
      </c>
      <c r="AJ19" t="s">
        <v>4</v>
      </c>
      <c r="AK19">
        <v>0</v>
      </c>
      <c r="AL19" t="s">
        <v>5</v>
      </c>
      <c r="AM19">
        <v>17</v>
      </c>
      <c r="AN19" t="s">
        <v>6</v>
      </c>
      <c r="AO19" s="1">
        <v>2.734375E-2</v>
      </c>
      <c r="AP19" t="s">
        <v>7</v>
      </c>
      <c r="AQ19" s="1">
        <v>0.5</v>
      </c>
      <c r="AR19" t="s">
        <v>8</v>
      </c>
      <c r="AS19" s="1">
        <v>0</v>
      </c>
      <c r="AT19" s="1">
        <v>0.19964018077930401</v>
      </c>
      <c r="AU19" s="1">
        <f t="shared" si="2"/>
        <v>0.39928036155860802</v>
      </c>
    </row>
    <row r="20" spans="2:47">
      <c r="B20">
        <v>25204</v>
      </c>
      <c r="C20" s="1">
        <v>9.375E-2</v>
      </c>
      <c r="D20" s="1">
        <v>0.39887</v>
      </c>
      <c r="J20" t="s">
        <v>4</v>
      </c>
      <c r="K20">
        <v>0</v>
      </c>
      <c r="L20" t="s">
        <v>5</v>
      </c>
      <c r="M20">
        <v>18</v>
      </c>
      <c r="N20" t="s">
        <v>6</v>
      </c>
      <c r="O20" s="1">
        <v>2.8906250000000001E-2</v>
      </c>
      <c r="P20" t="s">
        <v>7</v>
      </c>
      <c r="Q20" s="1">
        <v>0.5</v>
      </c>
      <c r="R20" t="s">
        <v>8</v>
      </c>
      <c r="S20" s="1">
        <v>0</v>
      </c>
      <c r="T20" s="1">
        <v>0.19964324457372001</v>
      </c>
      <c r="U20" s="1">
        <f t="shared" si="0"/>
        <v>0.39928648914744003</v>
      </c>
      <c r="W20" t="s">
        <v>4</v>
      </c>
      <c r="X20">
        <v>0</v>
      </c>
      <c r="Y20" t="s">
        <v>5</v>
      </c>
      <c r="Z20">
        <v>18</v>
      </c>
      <c r="AA20" t="s">
        <v>6</v>
      </c>
      <c r="AB20" s="1">
        <v>2.8906250000000001E-2</v>
      </c>
      <c r="AC20" t="s">
        <v>7</v>
      </c>
      <c r="AD20" s="1">
        <v>0.5</v>
      </c>
      <c r="AE20" t="s">
        <v>8</v>
      </c>
      <c r="AF20" s="1">
        <v>0</v>
      </c>
      <c r="AG20" s="1">
        <v>0.199649626214144</v>
      </c>
      <c r="AH20" s="1">
        <f t="shared" si="1"/>
        <v>0.39929925242828801</v>
      </c>
      <c r="AJ20" t="s">
        <v>4</v>
      </c>
      <c r="AK20">
        <v>0</v>
      </c>
      <c r="AL20" t="s">
        <v>5</v>
      </c>
      <c r="AM20">
        <v>18</v>
      </c>
      <c r="AN20" t="s">
        <v>6</v>
      </c>
      <c r="AO20" s="1">
        <v>2.8906250000000001E-2</v>
      </c>
      <c r="AP20" t="s">
        <v>7</v>
      </c>
      <c r="AQ20" s="1">
        <v>0.5</v>
      </c>
      <c r="AR20" t="s">
        <v>8</v>
      </c>
      <c r="AS20" s="1">
        <v>0</v>
      </c>
      <c r="AT20" s="1">
        <v>0.199642923576624</v>
      </c>
      <c r="AU20" s="1">
        <f t="shared" si="2"/>
        <v>0.399285847153248</v>
      </c>
    </row>
    <row r="21" spans="2:47">
      <c r="B21">
        <v>123352</v>
      </c>
      <c r="C21" s="1">
        <v>0.109375</v>
      </c>
      <c r="D21" s="1">
        <v>0.399204</v>
      </c>
      <c r="J21" t="s">
        <v>4</v>
      </c>
      <c r="K21">
        <v>0</v>
      </c>
      <c r="L21" t="s">
        <v>5</v>
      </c>
      <c r="M21">
        <v>19</v>
      </c>
      <c r="N21" t="s">
        <v>6</v>
      </c>
      <c r="O21" s="1">
        <v>3.0468749999999999E-2</v>
      </c>
      <c r="P21" t="s">
        <v>7</v>
      </c>
      <c r="Q21" s="1">
        <v>0.5</v>
      </c>
      <c r="R21" t="s">
        <v>8</v>
      </c>
      <c r="S21" s="1">
        <v>0</v>
      </c>
      <c r="T21" s="1">
        <v>0.19964629752931601</v>
      </c>
      <c r="U21" s="1">
        <f t="shared" si="0"/>
        <v>0.39929259505863202</v>
      </c>
      <c r="W21" t="s">
        <v>4</v>
      </c>
      <c r="X21">
        <v>0</v>
      </c>
      <c r="Y21" t="s">
        <v>5</v>
      </c>
      <c r="Z21">
        <v>19</v>
      </c>
      <c r="AA21" t="s">
        <v>6</v>
      </c>
      <c r="AB21" s="1">
        <v>3.0468749999999999E-2</v>
      </c>
      <c r="AC21" t="s">
        <v>7</v>
      </c>
      <c r="AD21" s="1">
        <v>0.5</v>
      </c>
      <c r="AE21" t="s">
        <v>8</v>
      </c>
      <c r="AF21" s="1">
        <v>0</v>
      </c>
      <c r="AG21" s="1">
        <v>0.19965283111215301</v>
      </c>
      <c r="AH21" s="1">
        <f t="shared" si="1"/>
        <v>0.39930566222430602</v>
      </c>
      <c r="AJ21" t="s">
        <v>4</v>
      </c>
      <c r="AK21">
        <v>0</v>
      </c>
      <c r="AL21" t="s">
        <v>5</v>
      </c>
      <c r="AM21">
        <v>19</v>
      </c>
      <c r="AN21" t="s">
        <v>6</v>
      </c>
      <c r="AO21" s="1">
        <v>3.0468749999999999E-2</v>
      </c>
      <c r="AP21" t="s">
        <v>7</v>
      </c>
      <c r="AQ21" s="1">
        <v>0.5</v>
      </c>
      <c r="AR21" t="s">
        <v>8</v>
      </c>
      <c r="AS21" s="1">
        <v>0</v>
      </c>
      <c r="AT21" s="1">
        <v>0.19964578794065299</v>
      </c>
      <c r="AU21" s="1">
        <f t="shared" si="2"/>
        <v>0.39929157588130598</v>
      </c>
    </row>
    <row r="22" spans="2:47">
      <c r="B22">
        <v>25205</v>
      </c>
      <c r="C22" s="1">
        <v>0.125</v>
      </c>
      <c r="D22" s="1">
        <v>0.39953899999999998</v>
      </c>
      <c r="J22" t="s">
        <v>4</v>
      </c>
      <c r="K22">
        <v>0</v>
      </c>
      <c r="L22" t="s">
        <v>5</v>
      </c>
      <c r="M22">
        <v>20</v>
      </c>
      <c r="N22" t="s">
        <v>6</v>
      </c>
      <c r="O22" s="1">
        <v>3.2031249999999997E-2</v>
      </c>
      <c r="P22" t="s">
        <v>7</v>
      </c>
      <c r="Q22" s="1">
        <v>0.5</v>
      </c>
      <c r="R22" t="s">
        <v>8</v>
      </c>
      <c r="S22" s="1">
        <v>0</v>
      </c>
      <c r="T22" s="1">
        <v>0.19965114890889599</v>
      </c>
      <c r="U22" s="1">
        <f t="shared" si="0"/>
        <v>0.39930229781779197</v>
      </c>
      <c r="W22" t="s">
        <v>4</v>
      </c>
      <c r="X22">
        <v>0</v>
      </c>
      <c r="Y22" t="s">
        <v>5</v>
      </c>
      <c r="Z22">
        <v>20</v>
      </c>
      <c r="AA22" t="s">
        <v>6</v>
      </c>
      <c r="AB22" s="1">
        <v>3.2031249999999997E-2</v>
      </c>
      <c r="AC22" t="s">
        <v>7</v>
      </c>
      <c r="AD22" s="1">
        <v>0.5</v>
      </c>
      <c r="AE22" t="s">
        <v>8</v>
      </c>
      <c r="AF22" s="1">
        <v>0</v>
      </c>
      <c r="AG22" s="1">
        <v>0.199657157572844</v>
      </c>
      <c r="AH22" s="1">
        <f t="shared" si="1"/>
        <v>0.39931431514568799</v>
      </c>
      <c r="AJ22" t="s">
        <v>4</v>
      </c>
      <c r="AK22">
        <v>0</v>
      </c>
      <c r="AL22" t="s">
        <v>5</v>
      </c>
      <c r="AM22">
        <v>20</v>
      </c>
      <c r="AN22" t="s">
        <v>6</v>
      </c>
      <c r="AO22" s="1">
        <v>3.2031249999999997E-2</v>
      </c>
      <c r="AP22" t="s">
        <v>7</v>
      </c>
      <c r="AQ22" s="1">
        <v>0.5</v>
      </c>
      <c r="AR22" t="s">
        <v>8</v>
      </c>
      <c r="AS22" s="1">
        <v>0</v>
      </c>
      <c r="AT22" s="1">
        <v>0.199651501385775</v>
      </c>
      <c r="AU22" s="1">
        <f t="shared" si="2"/>
        <v>0.39930300277155001</v>
      </c>
    </row>
    <row r="23" spans="2:47">
      <c r="B23">
        <v>123355</v>
      </c>
      <c r="C23" s="1">
        <v>0.140625</v>
      </c>
      <c r="D23" s="1">
        <v>0.39996599999999999</v>
      </c>
      <c r="J23" t="s">
        <v>4</v>
      </c>
      <c r="K23">
        <v>0</v>
      </c>
      <c r="L23" t="s">
        <v>5</v>
      </c>
      <c r="M23">
        <v>21</v>
      </c>
      <c r="N23" t="s">
        <v>6</v>
      </c>
      <c r="O23" s="1">
        <v>3.3593749999999999E-2</v>
      </c>
      <c r="P23" t="s">
        <v>7</v>
      </c>
      <c r="Q23" s="1">
        <v>0.5</v>
      </c>
      <c r="R23" t="s">
        <v>8</v>
      </c>
      <c r="S23" s="1">
        <v>0</v>
      </c>
      <c r="T23" s="1">
        <v>0.19965780029776301</v>
      </c>
      <c r="U23" s="1">
        <f t="shared" si="0"/>
        <v>0.39931560059552601</v>
      </c>
      <c r="W23" t="s">
        <v>4</v>
      </c>
      <c r="X23">
        <v>0</v>
      </c>
      <c r="Y23" t="s">
        <v>5</v>
      </c>
      <c r="Z23">
        <v>21</v>
      </c>
      <c r="AA23" t="s">
        <v>6</v>
      </c>
      <c r="AB23" s="1">
        <v>3.3593749999999999E-2</v>
      </c>
      <c r="AC23" t="s">
        <v>7</v>
      </c>
      <c r="AD23" s="1">
        <v>0.5</v>
      </c>
      <c r="AE23" t="s">
        <v>8</v>
      </c>
      <c r="AF23" s="1">
        <v>0</v>
      </c>
      <c r="AG23" s="1">
        <v>0.19966268283035801</v>
      </c>
      <c r="AH23" s="1">
        <f t="shared" si="1"/>
        <v>0.39932536566071603</v>
      </c>
      <c r="AJ23" t="s">
        <v>4</v>
      </c>
      <c r="AK23">
        <v>0</v>
      </c>
      <c r="AL23" t="s">
        <v>5</v>
      </c>
      <c r="AM23">
        <v>21</v>
      </c>
      <c r="AN23" t="s">
        <v>6</v>
      </c>
      <c r="AO23" s="1">
        <v>3.3593749999999999E-2</v>
      </c>
      <c r="AP23" t="s">
        <v>7</v>
      </c>
      <c r="AQ23" s="1">
        <v>0.5</v>
      </c>
      <c r="AR23" t="s">
        <v>8</v>
      </c>
      <c r="AS23" s="1">
        <v>0</v>
      </c>
      <c r="AT23" s="1">
        <v>0.199659954649379</v>
      </c>
      <c r="AU23" s="1">
        <f t="shared" si="2"/>
        <v>0.39931990929875799</v>
      </c>
    </row>
    <row r="24" spans="2:47">
      <c r="B24">
        <v>25206</v>
      </c>
      <c r="C24" s="1">
        <v>0.15625</v>
      </c>
      <c r="D24" s="1">
        <v>0.400393</v>
      </c>
      <c r="J24" t="s">
        <v>4</v>
      </c>
      <c r="K24">
        <v>0</v>
      </c>
      <c r="L24" t="s">
        <v>5</v>
      </c>
      <c r="M24">
        <v>22</v>
      </c>
      <c r="N24" t="s">
        <v>6</v>
      </c>
      <c r="O24" s="1">
        <v>3.515625E-2</v>
      </c>
      <c r="P24" t="s">
        <v>7</v>
      </c>
      <c r="Q24" s="1">
        <v>0.5</v>
      </c>
      <c r="R24" t="s">
        <v>8</v>
      </c>
      <c r="S24" s="1">
        <v>0</v>
      </c>
      <c r="T24" s="1">
        <v>0.199664512496674</v>
      </c>
      <c r="U24" s="1">
        <f t="shared" si="0"/>
        <v>0.39932902499334799</v>
      </c>
      <c r="W24" t="s">
        <v>4</v>
      </c>
      <c r="X24">
        <v>0</v>
      </c>
      <c r="Y24" t="s">
        <v>5</v>
      </c>
      <c r="Z24">
        <v>22</v>
      </c>
      <c r="AA24" t="s">
        <v>6</v>
      </c>
      <c r="AB24" s="1">
        <v>3.515625E-2</v>
      </c>
      <c r="AC24" t="s">
        <v>7</v>
      </c>
      <c r="AD24" s="1">
        <v>0.5</v>
      </c>
      <c r="AE24" t="s">
        <v>8</v>
      </c>
      <c r="AF24" s="1">
        <v>0</v>
      </c>
      <c r="AG24" s="1">
        <v>0.19966833123800201</v>
      </c>
      <c r="AH24" s="1">
        <f t="shared" si="1"/>
        <v>0.39933666247600402</v>
      </c>
      <c r="AJ24" t="s">
        <v>4</v>
      </c>
      <c r="AK24">
        <v>0</v>
      </c>
      <c r="AL24" t="s">
        <v>5</v>
      </c>
      <c r="AM24">
        <v>22</v>
      </c>
      <c r="AN24" t="s">
        <v>6</v>
      </c>
      <c r="AO24" s="1">
        <v>3.515625E-2</v>
      </c>
      <c r="AP24" t="s">
        <v>7</v>
      </c>
      <c r="AQ24" s="1">
        <v>0.5</v>
      </c>
      <c r="AR24" t="s">
        <v>8</v>
      </c>
      <c r="AS24" s="1">
        <v>0</v>
      </c>
      <c r="AT24" s="1">
        <v>0.19966837416375999</v>
      </c>
      <c r="AU24" s="1">
        <f t="shared" si="2"/>
        <v>0.39933674832751997</v>
      </c>
    </row>
    <row r="25" spans="2:47">
      <c r="B25">
        <v>123358</v>
      </c>
      <c r="C25" s="1">
        <v>0.171875</v>
      </c>
      <c r="D25" s="1">
        <v>0.40090900000000002</v>
      </c>
      <c r="J25" t="s">
        <v>4</v>
      </c>
      <c r="K25">
        <v>0</v>
      </c>
      <c r="L25" t="s">
        <v>5</v>
      </c>
      <c r="M25">
        <v>23</v>
      </c>
      <c r="N25" t="s">
        <v>6</v>
      </c>
      <c r="O25" s="1">
        <v>3.6718750000000001E-2</v>
      </c>
      <c r="P25" t="s">
        <v>7</v>
      </c>
      <c r="Q25" s="1">
        <v>0.5</v>
      </c>
      <c r="R25" t="s">
        <v>8</v>
      </c>
      <c r="S25" s="1">
        <v>0</v>
      </c>
      <c r="T25" s="1">
        <v>0.199671285117134</v>
      </c>
      <c r="U25" s="1">
        <f t="shared" si="0"/>
        <v>0.399342570234268</v>
      </c>
      <c r="W25" t="s">
        <v>4</v>
      </c>
      <c r="X25">
        <v>0</v>
      </c>
      <c r="Y25" t="s">
        <v>5</v>
      </c>
      <c r="Z25">
        <v>23</v>
      </c>
      <c r="AA25" t="s">
        <v>6</v>
      </c>
      <c r="AB25" s="1">
        <v>3.6718750000000001E-2</v>
      </c>
      <c r="AC25" t="s">
        <v>7</v>
      </c>
      <c r="AD25" s="1">
        <v>0.5</v>
      </c>
      <c r="AE25" t="s">
        <v>8</v>
      </c>
      <c r="AF25" s="1">
        <v>0</v>
      </c>
      <c r="AG25" s="1">
        <v>0.19967410342904901</v>
      </c>
      <c r="AH25" s="1">
        <f t="shared" si="1"/>
        <v>0.39934820685809802</v>
      </c>
      <c r="AJ25" t="s">
        <v>4</v>
      </c>
      <c r="AK25">
        <v>0</v>
      </c>
      <c r="AL25" t="s">
        <v>5</v>
      </c>
      <c r="AM25">
        <v>23</v>
      </c>
      <c r="AN25" t="s">
        <v>6</v>
      </c>
      <c r="AO25" s="1">
        <v>3.6718750000000001E-2</v>
      </c>
      <c r="AP25" t="s">
        <v>7</v>
      </c>
      <c r="AQ25" s="1">
        <v>0.5</v>
      </c>
      <c r="AR25" t="s">
        <v>8</v>
      </c>
      <c r="AS25" s="1">
        <v>0</v>
      </c>
      <c r="AT25" s="1">
        <v>0.19967675775653199</v>
      </c>
      <c r="AU25" s="1">
        <f t="shared" si="2"/>
        <v>0.39935351551306397</v>
      </c>
    </row>
    <row r="26" spans="2:47">
      <c r="B26">
        <v>25207</v>
      </c>
      <c r="C26" s="1">
        <v>0.1875</v>
      </c>
      <c r="D26" s="1">
        <v>0.401424</v>
      </c>
      <c r="J26" t="s">
        <v>4</v>
      </c>
      <c r="K26">
        <v>0</v>
      </c>
      <c r="L26" t="s">
        <v>5</v>
      </c>
      <c r="M26">
        <v>24</v>
      </c>
      <c r="N26" t="s">
        <v>6</v>
      </c>
      <c r="O26" s="1">
        <v>3.8281250000000003E-2</v>
      </c>
      <c r="P26" t="s">
        <v>7</v>
      </c>
      <c r="Q26" s="1">
        <v>0.5</v>
      </c>
      <c r="R26" t="s">
        <v>8</v>
      </c>
      <c r="S26" s="1">
        <v>0</v>
      </c>
      <c r="T26" s="1">
        <v>0.199678117778505</v>
      </c>
      <c r="U26" s="1">
        <f t="shared" si="0"/>
        <v>0.39935623555701</v>
      </c>
      <c r="W26" t="s">
        <v>4</v>
      </c>
      <c r="X26">
        <v>0</v>
      </c>
      <c r="Y26" t="s">
        <v>5</v>
      </c>
      <c r="Z26">
        <v>24</v>
      </c>
      <c r="AA26" t="s">
        <v>6</v>
      </c>
      <c r="AB26" s="1">
        <v>3.8281250000000003E-2</v>
      </c>
      <c r="AC26" t="s">
        <v>7</v>
      </c>
      <c r="AD26" s="1">
        <v>0.5</v>
      </c>
      <c r="AE26" t="s">
        <v>8</v>
      </c>
      <c r="AF26" s="1">
        <v>0</v>
      </c>
      <c r="AG26" s="1">
        <v>0.19968000003734299</v>
      </c>
      <c r="AH26" s="1">
        <f t="shared" si="1"/>
        <v>0.39936000007468597</v>
      </c>
      <c r="AJ26" t="s">
        <v>4</v>
      </c>
      <c r="AK26">
        <v>0</v>
      </c>
      <c r="AL26" t="s">
        <v>5</v>
      </c>
      <c r="AM26">
        <v>24</v>
      </c>
      <c r="AN26" t="s">
        <v>6</v>
      </c>
      <c r="AO26" s="1">
        <v>3.8281250000000003E-2</v>
      </c>
      <c r="AP26" t="s">
        <v>7</v>
      </c>
      <c r="AQ26" s="1">
        <v>0.5</v>
      </c>
      <c r="AR26" t="s">
        <v>8</v>
      </c>
      <c r="AS26" s="1">
        <v>0</v>
      </c>
      <c r="AT26" s="1">
        <v>0.19968510329974701</v>
      </c>
      <c r="AU26" s="1">
        <f t="shared" si="2"/>
        <v>0.39937020659949402</v>
      </c>
    </row>
    <row r="27" spans="2:47">
      <c r="B27">
        <v>123361</v>
      </c>
      <c r="C27" s="1">
        <v>0.203125</v>
      </c>
      <c r="D27" s="1">
        <v>0.40202100000000002</v>
      </c>
      <c r="J27" t="s">
        <v>4</v>
      </c>
      <c r="K27">
        <v>0</v>
      </c>
      <c r="L27" t="s">
        <v>5</v>
      </c>
      <c r="M27">
        <v>25</v>
      </c>
      <c r="N27" t="s">
        <v>6</v>
      </c>
      <c r="O27" s="1">
        <v>3.9843749999999997E-2</v>
      </c>
      <c r="P27" t="s">
        <v>7</v>
      </c>
      <c r="Q27" s="1">
        <v>0.5</v>
      </c>
      <c r="R27" t="s">
        <v>8</v>
      </c>
      <c r="S27" s="1">
        <v>0</v>
      </c>
      <c r="T27" s="1">
        <v>0.199685010108027</v>
      </c>
      <c r="U27" s="1">
        <f t="shared" si="0"/>
        <v>0.399370020216054</v>
      </c>
      <c r="W27" t="s">
        <v>4</v>
      </c>
      <c r="X27">
        <v>0</v>
      </c>
      <c r="Y27" t="s">
        <v>5</v>
      </c>
      <c r="Z27">
        <v>25</v>
      </c>
      <c r="AA27" t="s">
        <v>6</v>
      </c>
      <c r="AB27" s="1">
        <v>3.9843749999999997E-2</v>
      </c>
      <c r="AC27" t="s">
        <v>7</v>
      </c>
      <c r="AD27" s="1">
        <v>0.5</v>
      </c>
      <c r="AE27" t="s">
        <v>8</v>
      </c>
      <c r="AF27" s="1">
        <v>0</v>
      </c>
      <c r="AG27" s="1">
        <v>0.199686021696653</v>
      </c>
      <c r="AH27" s="1">
        <f t="shared" si="1"/>
        <v>0.39937204339330601</v>
      </c>
      <c r="AJ27" t="s">
        <v>4</v>
      </c>
      <c r="AK27">
        <v>0</v>
      </c>
      <c r="AL27" t="s">
        <v>5</v>
      </c>
      <c r="AM27">
        <v>25</v>
      </c>
      <c r="AN27" t="s">
        <v>6</v>
      </c>
      <c r="AO27" s="1">
        <v>3.9843749999999997E-2</v>
      </c>
      <c r="AP27" t="s">
        <v>7</v>
      </c>
      <c r="AQ27" s="1">
        <v>0.5</v>
      </c>
      <c r="AR27" t="s">
        <v>8</v>
      </c>
      <c r="AS27" s="1">
        <v>0</v>
      </c>
      <c r="AT27" s="1">
        <v>0.199693408709951</v>
      </c>
      <c r="AU27" s="1">
        <f t="shared" si="2"/>
        <v>0.39938681741990201</v>
      </c>
    </row>
    <row r="28" spans="2:47">
      <c r="B28">
        <v>25208</v>
      </c>
      <c r="C28" s="1">
        <v>0.21875</v>
      </c>
      <c r="D28" s="1">
        <v>0.40261799999999998</v>
      </c>
      <c r="J28" t="s">
        <v>4</v>
      </c>
      <c r="K28">
        <v>0</v>
      </c>
      <c r="L28" t="s">
        <v>5</v>
      </c>
      <c r="M28">
        <v>26</v>
      </c>
      <c r="N28" t="s">
        <v>6</v>
      </c>
      <c r="O28" s="1">
        <v>4.1406249999999999E-2</v>
      </c>
      <c r="P28" t="s">
        <v>7</v>
      </c>
      <c r="Q28" s="1">
        <v>0.5</v>
      </c>
      <c r="R28" t="s">
        <v>8</v>
      </c>
      <c r="S28" s="1">
        <v>0</v>
      </c>
      <c r="T28" s="1">
        <v>0.199691961740913</v>
      </c>
      <c r="U28" s="1">
        <f t="shared" si="0"/>
        <v>0.399383923481826</v>
      </c>
      <c r="W28" t="s">
        <v>4</v>
      </c>
      <c r="X28">
        <v>0</v>
      </c>
      <c r="Y28" t="s">
        <v>5</v>
      </c>
      <c r="Z28">
        <v>26</v>
      </c>
      <c r="AA28" t="s">
        <v>6</v>
      </c>
      <c r="AB28" s="1">
        <v>4.1406249999999999E-2</v>
      </c>
      <c r="AC28" t="s">
        <v>7</v>
      </c>
      <c r="AD28" s="1">
        <v>0.5</v>
      </c>
      <c r="AE28" t="s">
        <v>8</v>
      </c>
      <c r="AF28" s="1">
        <v>0</v>
      </c>
      <c r="AG28" s="1">
        <v>0.19969216904057399</v>
      </c>
      <c r="AH28" s="1">
        <f t="shared" si="1"/>
        <v>0.39938433808114798</v>
      </c>
      <c r="AJ28" t="s">
        <v>4</v>
      </c>
      <c r="AK28">
        <v>0</v>
      </c>
      <c r="AL28" t="s">
        <v>5</v>
      </c>
      <c r="AM28">
        <v>26</v>
      </c>
      <c r="AN28" t="s">
        <v>6</v>
      </c>
      <c r="AO28" s="1">
        <v>4.1406249999999999E-2</v>
      </c>
      <c r="AP28" t="s">
        <v>7</v>
      </c>
      <c r="AQ28" s="1">
        <v>0.5</v>
      </c>
      <c r="AR28" t="s">
        <v>8</v>
      </c>
      <c r="AS28" s="1">
        <v>0</v>
      </c>
      <c r="AT28" s="1">
        <v>0.199701671946452</v>
      </c>
      <c r="AU28" s="1">
        <f t="shared" si="2"/>
        <v>0.39940334389290399</v>
      </c>
    </row>
    <row r="29" spans="2:47">
      <c r="B29">
        <v>123364</v>
      </c>
      <c r="C29" s="1">
        <v>0.234375</v>
      </c>
      <c r="D29" s="1">
        <v>0.403283</v>
      </c>
      <c r="J29" t="s">
        <v>4</v>
      </c>
      <c r="K29">
        <v>0</v>
      </c>
      <c r="L29" t="s">
        <v>5</v>
      </c>
      <c r="M29">
        <v>27</v>
      </c>
      <c r="N29" t="s">
        <v>6</v>
      </c>
      <c r="O29" s="1">
        <v>4.296875E-2</v>
      </c>
      <c r="P29" t="s">
        <v>7</v>
      </c>
      <c r="Q29" s="1">
        <v>0.5</v>
      </c>
      <c r="R29" t="s">
        <v>8</v>
      </c>
      <c r="S29" s="1">
        <v>0</v>
      </c>
      <c r="T29" s="1">
        <v>0.199698972320245</v>
      </c>
      <c r="U29" s="1">
        <f t="shared" si="0"/>
        <v>0.39939794464049</v>
      </c>
      <c r="W29" t="s">
        <v>4</v>
      </c>
      <c r="X29">
        <v>0</v>
      </c>
      <c r="Y29" t="s">
        <v>5</v>
      </c>
      <c r="Z29">
        <v>27</v>
      </c>
      <c r="AA29" t="s">
        <v>6</v>
      </c>
      <c r="AB29" s="1">
        <v>4.296875E-2</v>
      </c>
      <c r="AC29" t="s">
        <v>7</v>
      </c>
      <c r="AD29" s="1">
        <v>0.5</v>
      </c>
      <c r="AE29" t="s">
        <v>8</v>
      </c>
      <c r="AF29" s="1">
        <v>0</v>
      </c>
      <c r="AG29" s="1">
        <v>0.199698442702236</v>
      </c>
      <c r="AH29" s="1">
        <f t="shared" si="1"/>
        <v>0.39939688540447199</v>
      </c>
      <c r="AJ29" t="s">
        <v>4</v>
      </c>
      <c r="AK29">
        <v>0</v>
      </c>
      <c r="AL29" t="s">
        <v>5</v>
      </c>
      <c r="AM29">
        <v>27</v>
      </c>
      <c r="AN29" t="s">
        <v>6</v>
      </c>
      <c r="AO29" s="1">
        <v>4.296875E-2</v>
      </c>
      <c r="AP29" t="s">
        <v>7</v>
      </c>
      <c r="AQ29" s="1">
        <v>0.5</v>
      </c>
      <c r="AR29" t="s">
        <v>8</v>
      </c>
      <c r="AS29" s="1">
        <v>0</v>
      </c>
      <c r="AT29" s="1">
        <v>0.19970989101040201</v>
      </c>
      <c r="AU29" s="1">
        <f t="shared" si="2"/>
        <v>0.39941978202080403</v>
      </c>
    </row>
    <row r="30" spans="2:47">
      <c r="B30">
        <v>25209</v>
      </c>
      <c r="C30" s="1">
        <v>0.25</v>
      </c>
      <c r="D30" s="1">
        <v>0.403949</v>
      </c>
      <c r="J30" t="s">
        <v>4</v>
      </c>
      <c r="K30">
        <v>0</v>
      </c>
      <c r="L30" t="s">
        <v>5</v>
      </c>
      <c r="M30">
        <v>28</v>
      </c>
      <c r="N30" t="s">
        <v>6</v>
      </c>
      <c r="O30" s="1">
        <v>4.4531250000000001E-2</v>
      </c>
      <c r="P30" t="s">
        <v>7</v>
      </c>
      <c r="Q30" s="1">
        <v>0.5</v>
      </c>
      <c r="R30" t="s">
        <v>8</v>
      </c>
      <c r="S30" s="1">
        <v>0</v>
      </c>
      <c r="T30" s="1">
        <v>0.19970604149717</v>
      </c>
      <c r="U30" s="1">
        <f t="shared" si="0"/>
        <v>0.39941208299434</v>
      </c>
      <c r="W30" t="s">
        <v>4</v>
      </c>
      <c r="X30">
        <v>0</v>
      </c>
      <c r="Y30" t="s">
        <v>5</v>
      </c>
      <c r="Z30">
        <v>28</v>
      </c>
      <c r="AA30" t="s">
        <v>6</v>
      </c>
      <c r="AB30" s="1">
        <v>4.4531250000000001E-2</v>
      </c>
      <c r="AC30" t="s">
        <v>7</v>
      </c>
      <c r="AD30" s="1">
        <v>0.5</v>
      </c>
      <c r="AE30" t="s">
        <v>8</v>
      </c>
      <c r="AF30" s="1">
        <v>0</v>
      </c>
      <c r="AG30" s="1">
        <v>0.19970484331368599</v>
      </c>
      <c r="AH30" s="1">
        <f t="shared" si="1"/>
        <v>0.39940968662737197</v>
      </c>
      <c r="AJ30" t="s">
        <v>4</v>
      </c>
      <c r="AK30">
        <v>0</v>
      </c>
      <c r="AL30" t="s">
        <v>5</v>
      </c>
      <c r="AM30">
        <v>28</v>
      </c>
      <c r="AN30" t="s">
        <v>6</v>
      </c>
      <c r="AO30" s="1">
        <v>4.4531250000000001E-2</v>
      </c>
      <c r="AP30" t="s">
        <v>7</v>
      </c>
      <c r="AQ30" s="1">
        <v>0.5</v>
      </c>
      <c r="AR30" t="s">
        <v>8</v>
      </c>
      <c r="AS30" s="1">
        <v>0</v>
      </c>
      <c r="AT30" s="1">
        <v>0.199718063943681</v>
      </c>
      <c r="AU30" s="1">
        <f t="shared" si="2"/>
        <v>0.39943612788736199</v>
      </c>
    </row>
    <row r="31" spans="2:47">
      <c r="B31">
        <v>123367</v>
      </c>
      <c r="C31" s="1">
        <v>0.265625</v>
      </c>
      <c r="D31" s="1">
        <v>0.40465899999999999</v>
      </c>
      <c r="J31" t="s">
        <v>4</v>
      </c>
      <c r="K31">
        <v>0</v>
      </c>
      <c r="L31" t="s">
        <v>5</v>
      </c>
      <c r="M31">
        <v>29</v>
      </c>
      <c r="N31" t="s">
        <v>6</v>
      </c>
      <c r="O31" s="1">
        <v>4.6093750000000003E-2</v>
      </c>
      <c r="P31" t="s">
        <v>7</v>
      </c>
      <c r="Q31" s="1">
        <v>0.5</v>
      </c>
      <c r="R31" t="s">
        <v>8</v>
      </c>
      <c r="S31" s="1">
        <v>0</v>
      </c>
      <c r="T31" s="1">
        <v>0.199713168930791</v>
      </c>
      <c r="U31" s="1">
        <f t="shared" si="0"/>
        <v>0.39942633786158199</v>
      </c>
      <c r="W31" t="s">
        <v>4</v>
      </c>
      <c r="X31">
        <v>0</v>
      </c>
      <c r="Y31" t="s">
        <v>5</v>
      </c>
      <c r="Z31">
        <v>29</v>
      </c>
      <c r="AA31" t="s">
        <v>6</v>
      </c>
      <c r="AB31" s="1">
        <v>4.6093750000000003E-2</v>
      </c>
      <c r="AC31" t="s">
        <v>7</v>
      </c>
      <c r="AD31" s="1">
        <v>0.5</v>
      </c>
      <c r="AE31" t="s">
        <v>8</v>
      </c>
      <c r="AF31" s="1">
        <v>0</v>
      </c>
      <c r="AG31" s="1">
        <v>0.19971137150577301</v>
      </c>
      <c r="AH31" s="1">
        <f t="shared" si="1"/>
        <v>0.39942274301154601</v>
      </c>
      <c r="AJ31" t="s">
        <v>4</v>
      </c>
      <c r="AK31">
        <v>0</v>
      </c>
      <c r="AL31" t="s">
        <v>5</v>
      </c>
      <c r="AM31">
        <v>29</v>
      </c>
      <c r="AN31" t="s">
        <v>6</v>
      </c>
      <c r="AO31" s="1">
        <v>4.6093750000000003E-2</v>
      </c>
      <c r="AP31" t="s">
        <v>7</v>
      </c>
      <c r="AQ31" s="1">
        <v>0.5</v>
      </c>
      <c r="AR31" t="s">
        <v>8</v>
      </c>
      <c r="AS31" s="1">
        <v>0</v>
      </c>
      <c r="AT31" s="1">
        <v>0.19972618882763199</v>
      </c>
      <c r="AU31" s="1">
        <f t="shared" si="2"/>
        <v>0.39945237765526398</v>
      </c>
    </row>
    <row r="32" spans="2:47">
      <c r="B32">
        <v>25210</v>
      </c>
      <c r="C32" s="1">
        <v>0.28125</v>
      </c>
      <c r="D32" s="1">
        <v>0.40537000000000001</v>
      </c>
      <c r="J32" t="s">
        <v>4</v>
      </c>
      <c r="K32">
        <v>0</v>
      </c>
      <c r="L32" t="s">
        <v>5</v>
      </c>
      <c r="M32">
        <v>30</v>
      </c>
      <c r="N32" t="s">
        <v>6</v>
      </c>
      <c r="O32" s="1">
        <v>4.7656249999999997E-2</v>
      </c>
      <c r="P32" t="s">
        <v>7</v>
      </c>
      <c r="Q32" s="1">
        <v>0.5</v>
      </c>
      <c r="R32" t="s">
        <v>8</v>
      </c>
      <c r="S32" s="1">
        <v>0</v>
      </c>
      <c r="T32" s="1">
        <v>0.19972035428825999</v>
      </c>
      <c r="U32" s="1">
        <f t="shared" si="0"/>
        <v>0.39944070857651998</v>
      </c>
      <c r="W32" t="s">
        <v>4</v>
      </c>
      <c r="X32">
        <v>0</v>
      </c>
      <c r="Y32" t="s">
        <v>5</v>
      </c>
      <c r="Z32">
        <v>30</v>
      </c>
      <c r="AA32" t="s">
        <v>6</v>
      </c>
      <c r="AB32" s="1">
        <v>4.7656249999999997E-2</v>
      </c>
      <c r="AC32" t="s">
        <v>7</v>
      </c>
      <c r="AD32" s="1">
        <v>0.5</v>
      </c>
      <c r="AE32" t="s">
        <v>8</v>
      </c>
      <c r="AF32" s="1">
        <v>0</v>
      </c>
      <c r="AG32" s="1">
        <v>0.199718027907725</v>
      </c>
      <c r="AH32" s="1">
        <f t="shared" si="1"/>
        <v>0.39943605581545</v>
      </c>
      <c r="AJ32" t="s">
        <v>4</v>
      </c>
      <c r="AK32">
        <v>0</v>
      </c>
      <c r="AL32" t="s">
        <v>5</v>
      </c>
      <c r="AM32">
        <v>30</v>
      </c>
      <c r="AN32" t="s">
        <v>6</v>
      </c>
      <c r="AO32" s="1">
        <v>4.7656249999999997E-2</v>
      </c>
      <c r="AP32" t="s">
        <v>7</v>
      </c>
      <c r="AQ32" s="1">
        <v>0.5</v>
      </c>
      <c r="AR32" t="s">
        <v>8</v>
      </c>
      <c r="AS32" s="1">
        <v>0</v>
      </c>
      <c r="AT32" s="1">
        <v>0.19973426378179701</v>
      </c>
      <c r="AU32" s="1">
        <f t="shared" si="2"/>
        <v>0.39946852756359402</v>
      </c>
    </row>
    <row r="33" spans="2:47">
      <c r="B33">
        <v>123370</v>
      </c>
      <c r="C33" s="1">
        <v>0.296875</v>
      </c>
      <c r="D33" s="1">
        <v>0.406086</v>
      </c>
      <c r="J33" t="s">
        <v>4</v>
      </c>
      <c r="K33">
        <v>0</v>
      </c>
      <c r="L33" t="s">
        <v>5</v>
      </c>
      <c r="M33">
        <v>31</v>
      </c>
      <c r="N33" t="s">
        <v>6</v>
      </c>
      <c r="O33" s="1">
        <v>4.9218749999999999E-2</v>
      </c>
      <c r="P33" t="s">
        <v>7</v>
      </c>
      <c r="Q33" s="1">
        <v>0.5</v>
      </c>
      <c r="R33" t="s">
        <v>8</v>
      </c>
      <c r="S33" s="1">
        <v>0</v>
      </c>
      <c r="T33" s="1">
        <v>0.199727597244824</v>
      </c>
      <c r="U33" s="1">
        <f t="shared" si="0"/>
        <v>0.399455194489648</v>
      </c>
      <c r="W33" t="s">
        <v>4</v>
      </c>
      <c r="X33">
        <v>0</v>
      </c>
      <c r="Y33" t="s">
        <v>5</v>
      </c>
      <c r="Z33">
        <v>31</v>
      </c>
      <c r="AA33" t="s">
        <v>6</v>
      </c>
      <c r="AB33" s="1">
        <v>4.9218749999999999E-2</v>
      </c>
      <c r="AC33" t="s">
        <v>7</v>
      </c>
      <c r="AD33" s="1">
        <v>0.5</v>
      </c>
      <c r="AE33" t="s">
        <v>8</v>
      </c>
      <c r="AF33" s="1">
        <v>0</v>
      </c>
      <c r="AG33" s="1">
        <v>0.19972481314665</v>
      </c>
      <c r="AH33" s="1">
        <f t="shared" si="1"/>
        <v>0.3994496262933</v>
      </c>
      <c r="AJ33" t="s">
        <v>4</v>
      </c>
      <c r="AK33">
        <v>0</v>
      </c>
      <c r="AL33" t="s">
        <v>5</v>
      </c>
      <c r="AM33">
        <v>31</v>
      </c>
      <c r="AN33" t="s">
        <v>6</v>
      </c>
      <c r="AO33" s="1">
        <v>4.9218749999999999E-2</v>
      </c>
      <c r="AP33" t="s">
        <v>7</v>
      </c>
      <c r="AQ33" s="1">
        <v>0.5</v>
      </c>
      <c r="AR33" t="s">
        <v>8</v>
      </c>
      <c r="AS33" s="1">
        <v>0</v>
      </c>
      <c r="AT33" s="1">
        <v>0.19974228696254401</v>
      </c>
      <c r="AU33" s="1">
        <f t="shared" si="2"/>
        <v>0.39948457392508802</v>
      </c>
    </row>
    <row r="34" spans="2:47">
      <c r="B34">
        <v>25211</v>
      </c>
      <c r="C34" s="1">
        <v>0.3125</v>
      </c>
      <c r="D34" s="1">
        <v>0.406802</v>
      </c>
      <c r="J34" t="s">
        <v>4</v>
      </c>
      <c r="K34">
        <v>0</v>
      </c>
      <c r="L34" t="s">
        <v>5</v>
      </c>
      <c r="M34">
        <v>32</v>
      </c>
      <c r="N34" t="s">
        <v>6</v>
      </c>
      <c r="O34" s="1">
        <v>5.078125E-2</v>
      </c>
      <c r="P34" t="s">
        <v>7</v>
      </c>
      <c r="Q34" s="1">
        <v>0.5</v>
      </c>
      <c r="R34" t="s">
        <v>8</v>
      </c>
      <c r="S34" s="1">
        <v>0</v>
      </c>
      <c r="T34" s="1">
        <v>0.199734897483857</v>
      </c>
      <c r="U34" s="1">
        <f t="shared" si="0"/>
        <v>0.39946979496771401</v>
      </c>
      <c r="W34" t="s">
        <v>4</v>
      </c>
      <c r="X34">
        <v>0</v>
      </c>
      <c r="Y34" t="s">
        <v>5</v>
      </c>
      <c r="Z34">
        <v>32</v>
      </c>
      <c r="AA34" t="s">
        <v>6</v>
      </c>
      <c r="AB34" s="1">
        <v>5.078125E-2</v>
      </c>
      <c r="AC34" t="s">
        <v>7</v>
      </c>
      <c r="AD34" s="1">
        <v>0.5</v>
      </c>
      <c r="AE34" t="s">
        <v>8</v>
      </c>
      <c r="AF34" s="1">
        <v>0</v>
      </c>
      <c r="AG34" s="1">
        <v>0.199731727847346</v>
      </c>
      <c r="AH34" s="1">
        <f t="shared" si="1"/>
        <v>0.39946345569469199</v>
      </c>
      <c r="AJ34" t="s">
        <v>4</v>
      </c>
      <c r="AK34">
        <v>0</v>
      </c>
      <c r="AL34" t="s">
        <v>5</v>
      </c>
      <c r="AM34">
        <v>32</v>
      </c>
      <c r="AN34" t="s">
        <v>6</v>
      </c>
      <c r="AO34" s="1">
        <v>5.078125E-2</v>
      </c>
      <c r="AP34" t="s">
        <v>7</v>
      </c>
      <c r="AQ34" s="1">
        <v>0.5</v>
      </c>
      <c r="AR34" t="s">
        <v>8</v>
      </c>
      <c r="AS34" s="1">
        <v>0</v>
      </c>
      <c r="AT34" s="1">
        <v>0.199750256561159</v>
      </c>
      <c r="AU34" s="1">
        <f t="shared" si="2"/>
        <v>0.39950051312231799</v>
      </c>
    </row>
    <row r="35" spans="2:47">
      <c r="B35">
        <v>123373</v>
      </c>
      <c r="C35" s="1">
        <v>0.328125</v>
      </c>
      <c r="D35" s="1">
        <v>0.407447</v>
      </c>
      <c r="J35" t="s">
        <v>4</v>
      </c>
      <c r="K35">
        <v>0</v>
      </c>
      <c r="L35" t="s">
        <v>5</v>
      </c>
      <c r="M35">
        <v>33</v>
      </c>
      <c r="N35" t="s">
        <v>6</v>
      </c>
      <c r="O35" s="1">
        <v>5.2343750000000001E-2</v>
      </c>
      <c r="P35" t="s">
        <v>7</v>
      </c>
      <c r="Q35" s="1">
        <v>0.5</v>
      </c>
      <c r="R35" t="s">
        <v>8</v>
      </c>
      <c r="S35" s="1">
        <v>0</v>
      </c>
      <c r="T35" s="1">
        <v>0.19974225469677501</v>
      </c>
      <c r="U35" s="1">
        <f t="shared" si="0"/>
        <v>0.39948450939355001</v>
      </c>
      <c r="W35" t="s">
        <v>4</v>
      </c>
      <c r="X35">
        <v>0</v>
      </c>
      <c r="Y35" t="s">
        <v>5</v>
      </c>
      <c r="Z35">
        <v>33</v>
      </c>
      <c r="AA35" t="s">
        <v>6</v>
      </c>
      <c r="AB35" s="1">
        <v>5.2343750000000001E-2</v>
      </c>
      <c r="AC35" t="s">
        <v>7</v>
      </c>
      <c r="AD35" s="1">
        <v>0.5</v>
      </c>
      <c r="AE35" t="s">
        <v>8</v>
      </c>
      <c r="AF35" s="1">
        <v>0</v>
      </c>
      <c r="AG35" s="1">
        <v>0.19973877263182399</v>
      </c>
      <c r="AH35" s="1">
        <f t="shared" si="1"/>
        <v>0.39947754526364798</v>
      </c>
      <c r="AJ35" t="s">
        <v>4</v>
      </c>
      <c r="AK35">
        <v>0</v>
      </c>
      <c r="AL35" t="s">
        <v>5</v>
      </c>
      <c r="AM35">
        <v>33</v>
      </c>
      <c r="AN35" t="s">
        <v>6</v>
      </c>
      <c r="AO35" s="1">
        <v>5.2343750000000001E-2</v>
      </c>
      <c r="AP35" t="s">
        <v>7</v>
      </c>
      <c r="AQ35" s="1">
        <v>0.5</v>
      </c>
      <c r="AR35" t="s">
        <v>8</v>
      </c>
      <c r="AS35" s="1">
        <v>0</v>
      </c>
      <c r="AT35" s="1">
        <v>0.19975817080271499</v>
      </c>
      <c r="AU35" s="1">
        <f t="shared" si="2"/>
        <v>0.39951634160542998</v>
      </c>
    </row>
    <row r="36" spans="2:47">
      <c r="B36">
        <v>25212</v>
      </c>
      <c r="C36" s="1">
        <v>0.34375</v>
      </c>
      <c r="D36" s="1">
        <v>0.40809200000000001</v>
      </c>
      <c r="J36" t="s">
        <v>4</v>
      </c>
      <c r="K36">
        <v>0</v>
      </c>
      <c r="L36" t="s">
        <v>5</v>
      </c>
      <c r="M36">
        <v>34</v>
      </c>
      <c r="N36" t="s">
        <v>6</v>
      </c>
      <c r="O36" s="1">
        <v>5.3906250000000003E-2</v>
      </c>
      <c r="P36" t="s">
        <v>7</v>
      </c>
      <c r="Q36" s="1">
        <v>0.5</v>
      </c>
      <c r="R36" t="s">
        <v>8</v>
      </c>
      <c r="S36" s="1">
        <v>0</v>
      </c>
      <c r="T36" s="1">
        <v>0.19974966858331</v>
      </c>
      <c r="U36" s="1">
        <f t="shared" si="0"/>
        <v>0.39949933716662001</v>
      </c>
      <c r="W36" t="s">
        <v>4</v>
      </c>
      <c r="X36">
        <v>0</v>
      </c>
      <c r="Y36" t="s">
        <v>5</v>
      </c>
      <c r="Z36">
        <v>34</v>
      </c>
      <c r="AA36" t="s">
        <v>6</v>
      </c>
      <c r="AB36" s="1">
        <v>5.3906250000000003E-2</v>
      </c>
      <c r="AC36" t="s">
        <v>7</v>
      </c>
      <c r="AD36" s="1">
        <v>0.5</v>
      </c>
      <c r="AE36" t="s">
        <v>8</v>
      </c>
      <c r="AF36" s="1">
        <v>0</v>
      </c>
      <c r="AG36" s="1">
        <v>0.19974594811881999</v>
      </c>
      <c r="AH36" s="1">
        <f t="shared" si="1"/>
        <v>0.39949189623763998</v>
      </c>
      <c r="AJ36" t="s">
        <v>4</v>
      </c>
      <c r="AK36">
        <v>0</v>
      </c>
      <c r="AL36" t="s">
        <v>5</v>
      </c>
      <c r="AM36">
        <v>34</v>
      </c>
      <c r="AN36" t="s">
        <v>6</v>
      </c>
      <c r="AO36" s="1">
        <v>5.3906250000000003E-2</v>
      </c>
      <c r="AP36" t="s">
        <v>7</v>
      </c>
      <c r="AQ36" s="1">
        <v>0.5</v>
      </c>
      <c r="AR36" t="s">
        <v>8</v>
      </c>
      <c r="AS36" s="1">
        <v>0</v>
      </c>
      <c r="AT36" s="1">
        <v>0.19976602794444201</v>
      </c>
      <c r="AU36" s="1">
        <f t="shared" si="2"/>
        <v>0.39953205588888402</v>
      </c>
    </row>
    <row r="37" spans="2:47">
      <c r="B37">
        <v>123376</v>
      </c>
      <c r="C37" s="1">
        <v>0.359375</v>
      </c>
      <c r="D37" s="1">
        <v>0.40852899999999998</v>
      </c>
      <c r="J37" t="s">
        <v>4</v>
      </c>
      <c r="K37">
        <v>0</v>
      </c>
      <c r="L37" t="s">
        <v>5</v>
      </c>
      <c r="M37">
        <v>35</v>
      </c>
      <c r="N37" t="s">
        <v>6</v>
      </c>
      <c r="O37" s="1">
        <v>5.5468749999999997E-2</v>
      </c>
      <c r="P37" t="s">
        <v>7</v>
      </c>
      <c r="Q37" s="1">
        <v>0.5</v>
      </c>
      <c r="R37" t="s">
        <v>8</v>
      </c>
      <c r="S37" s="1">
        <v>0</v>
      </c>
      <c r="T37" s="1">
        <v>0.19975713885128399</v>
      </c>
      <c r="U37" s="1">
        <f t="shared" si="0"/>
        <v>0.39951427770256798</v>
      </c>
      <c r="W37" t="s">
        <v>4</v>
      </c>
      <c r="X37">
        <v>0</v>
      </c>
      <c r="Y37" t="s">
        <v>5</v>
      </c>
      <c r="Z37">
        <v>35</v>
      </c>
      <c r="AA37" t="s">
        <v>6</v>
      </c>
      <c r="AB37" s="1">
        <v>5.5468749999999997E-2</v>
      </c>
      <c r="AC37" t="s">
        <v>7</v>
      </c>
      <c r="AD37" s="1">
        <v>0.5</v>
      </c>
      <c r="AE37" t="s">
        <v>8</v>
      </c>
      <c r="AF37" s="1">
        <v>0</v>
      </c>
      <c r="AG37" s="1">
        <v>0.19975325492353799</v>
      </c>
      <c r="AH37" s="1">
        <f t="shared" si="1"/>
        <v>0.39950650984707597</v>
      </c>
      <c r="AJ37" t="s">
        <v>4</v>
      </c>
      <c r="AK37">
        <v>0</v>
      </c>
      <c r="AL37" t="s">
        <v>5</v>
      </c>
      <c r="AM37">
        <v>35</v>
      </c>
      <c r="AN37" t="s">
        <v>6</v>
      </c>
      <c r="AO37" s="1">
        <v>5.5468749999999997E-2</v>
      </c>
      <c r="AP37" t="s">
        <v>7</v>
      </c>
      <c r="AQ37" s="1">
        <v>0.5</v>
      </c>
      <c r="AR37" t="s">
        <v>8</v>
      </c>
      <c r="AS37" s="1">
        <v>0</v>
      </c>
      <c r="AT37" s="1">
        <v>0.19977382627357301</v>
      </c>
      <c r="AU37" s="1">
        <f t="shared" si="2"/>
        <v>0.39954765254714603</v>
      </c>
    </row>
    <row r="38" spans="2:47">
      <c r="B38">
        <v>25213</v>
      </c>
      <c r="C38" s="1">
        <v>0.375</v>
      </c>
      <c r="D38" s="1">
        <v>0.40896700000000002</v>
      </c>
      <c r="J38" t="s">
        <v>4</v>
      </c>
      <c r="K38">
        <v>0</v>
      </c>
      <c r="L38" t="s">
        <v>5</v>
      </c>
      <c r="M38">
        <v>36</v>
      </c>
      <c r="N38" t="s">
        <v>6</v>
      </c>
      <c r="O38" s="1">
        <v>5.7031249999999999E-2</v>
      </c>
      <c r="P38" t="s">
        <v>7</v>
      </c>
      <c r="Q38" s="1">
        <v>0.5</v>
      </c>
      <c r="R38" t="s">
        <v>8</v>
      </c>
      <c r="S38" s="1">
        <v>0</v>
      </c>
      <c r="T38" s="1">
        <v>0.19976466521678601</v>
      </c>
      <c r="U38" s="1">
        <f t="shared" si="0"/>
        <v>0.39952933043357203</v>
      </c>
      <c r="W38" t="s">
        <v>4</v>
      </c>
      <c r="X38">
        <v>0</v>
      </c>
      <c r="Y38" t="s">
        <v>5</v>
      </c>
      <c r="Z38">
        <v>36</v>
      </c>
      <c r="AA38" t="s">
        <v>6</v>
      </c>
      <c r="AB38" s="1">
        <v>5.7031249999999999E-2</v>
      </c>
      <c r="AC38" t="s">
        <v>7</v>
      </c>
      <c r="AD38" s="1">
        <v>0.5</v>
      </c>
      <c r="AE38" t="s">
        <v>8</v>
      </c>
      <c r="AF38" s="1">
        <v>0</v>
      </c>
      <c r="AG38" s="1">
        <v>0.19976069365718499</v>
      </c>
      <c r="AH38" s="1">
        <f t="shared" si="1"/>
        <v>0.39952138731436998</v>
      </c>
      <c r="AJ38" t="s">
        <v>4</v>
      </c>
      <c r="AK38">
        <v>0</v>
      </c>
      <c r="AL38" t="s">
        <v>5</v>
      </c>
      <c r="AM38">
        <v>36</v>
      </c>
      <c r="AN38" t="s">
        <v>6</v>
      </c>
      <c r="AO38" s="1">
        <v>5.7031249999999999E-2</v>
      </c>
      <c r="AP38" t="s">
        <v>7</v>
      </c>
      <c r="AQ38" s="1">
        <v>0.5</v>
      </c>
      <c r="AR38" t="s">
        <v>8</v>
      </c>
      <c r="AS38" s="1">
        <v>0</v>
      </c>
      <c r="AT38" s="1">
        <v>0.199781564105875</v>
      </c>
      <c r="AU38" s="1">
        <f t="shared" si="2"/>
        <v>0.39956312821175</v>
      </c>
    </row>
    <row r="39" spans="2:47">
      <c r="B39">
        <v>123379</v>
      </c>
      <c r="C39" s="1">
        <v>0.390625</v>
      </c>
      <c r="D39" s="1">
        <v>0.40883399999999998</v>
      </c>
      <c r="J39" t="s">
        <v>4</v>
      </c>
      <c r="K39">
        <v>0</v>
      </c>
      <c r="L39" t="s">
        <v>5</v>
      </c>
      <c r="M39">
        <v>37</v>
      </c>
      <c r="N39" t="s">
        <v>6</v>
      </c>
      <c r="O39" s="1">
        <v>5.859375E-2</v>
      </c>
      <c r="P39" t="s">
        <v>7</v>
      </c>
      <c r="Q39" s="1">
        <v>0.5</v>
      </c>
      <c r="R39" t="s">
        <v>8</v>
      </c>
      <c r="S39" s="1">
        <v>0</v>
      </c>
      <c r="T39" s="1">
        <v>0.19977224740420399</v>
      </c>
      <c r="U39" s="1">
        <f t="shared" si="0"/>
        <v>0.39954449480840798</v>
      </c>
      <c r="W39" t="s">
        <v>4</v>
      </c>
      <c r="X39">
        <v>0</v>
      </c>
      <c r="Y39" t="s">
        <v>5</v>
      </c>
      <c r="Z39">
        <v>37</v>
      </c>
      <c r="AA39" t="s">
        <v>6</v>
      </c>
      <c r="AB39" s="1">
        <v>5.859375E-2</v>
      </c>
      <c r="AC39" t="s">
        <v>7</v>
      </c>
      <c r="AD39" s="1">
        <v>0.5</v>
      </c>
      <c r="AE39" t="s">
        <v>8</v>
      </c>
      <c r="AF39" s="1">
        <v>0</v>
      </c>
      <c r="AG39" s="1">
        <v>0.19976826492646599</v>
      </c>
      <c r="AH39" s="1">
        <f t="shared" si="1"/>
        <v>0.39953652985293198</v>
      </c>
      <c r="AJ39" t="s">
        <v>4</v>
      </c>
      <c r="AK39">
        <v>0</v>
      </c>
      <c r="AL39" t="s">
        <v>5</v>
      </c>
      <c r="AM39">
        <v>37</v>
      </c>
      <c r="AN39" t="s">
        <v>6</v>
      </c>
      <c r="AO39" s="1">
        <v>5.859375E-2</v>
      </c>
      <c r="AP39" t="s">
        <v>7</v>
      </c>
      <c r="AQ39" s="1">
        <v>0.5</v>
      </c>
      <c r="AR39" t="s">
        <v>8</v>
      </c>
      <c r="AS39" s="1">
        <v>0</v>
      </c>
      <c r="AT39" s="1">
        <v>0.19978923978355501</v>
      </c>
      <c r="AU39" s="1">
        <f t="shared" si="2"/>
        <v>0.39957847956711001</v>
      </c>
    </row>
    <row r="40" spans="2:47">
      <c r="B40">
        <v>25214</v>
      </c>
      <c r="C40" s="1">
        <v>0.40625</v>
      </c>
      <c r="D40" s="1">
        <v>0.40870000000000001</v>
      </c>
      <c r="J40" t="s">
        <v>4</v>
      </c>
      <c r="K40">
        <v>0</v>
      </c>
      <c r="L40" t="s">
        <v>5</v>
      </c>
      <c r="M40">
        <v>38</v>
      </c>
      <c r="N40" t="s">
        <v>6</v>
      </c>
      <c r="O40" s="1">
        <v>6.0156250000000001E-2</v>
      </c>
      <c r="P40" t="s">
        <v>7</v>
      </c>
      <c r="Q40" s="1">
        <v>0.5</v>
      </c>
      <c r="R40" t="s">
        <v>8</v>
      </c>
      <c r="S40" s="1">
        <v>0</v>
      </c>
      <c r="T40" s="1">
        <v>0.19977988514615899</v>
      </c>
      <c r="U40" s="1">
        <f t="shared" si="0"/>
        <v>0.39955977029231798</v>
      </c>
      <c r="W40" t="s">
        <v>4</v>
      </c>
      <c r="X40">
        <v>0</v>
      </c>
      <c r="Y40" t="s">
        <v>5</v>
      </c>
      <c r="Z40">
        <v>38</v>
      </c>
      <c r="AA40" t="s">
        <v>6</v>
      </c>
      <c r="AB40" s="1">
        <v>6.0156250000000001E-2</v>
      </c>
      <c r="AC40" t="s">
        <v>7</v>
      </c>
      <c r="AD40" s="1">
        <v>0.5</v>
      </c>
      <c r="AE40" t="s">
        <v>8</v>
      </c>
      <c r="AF40" s="1">
        <v>0</v>
      </c>
      <c r="AG40" s="1">
        <v>0.199775969333332</v>
      </c>
      <c r="AH40" s="1">
        <f t="shared" si="1"/>
        <v>0.399551938666664</v>
      </c>
      <c r="AJ40" t="s">
        <v>4</v>
      </c>
      <c r="AK40">
        <v>0</v>
      </c>
      <c r="AL40" t="s">
        <v>5</v>
      </c>
      <c r="AM40">
        <v>38</v>
      </c>
      <c r="AN40" t="s">
        <v>6</v>
      </c>
      <c r="AO40" s="1">
        <v>6.0156250000000001E-2</v>
      </c>
      <c r="AP40" t="s">
        <v>7</v>
      </c>
      <c r="AQ40" s="1">
        <v>0.5</v>
      </c>
      <c r="AR40" t="s">
        <v>8</v>
      </c>
      <c r="AS40" s="1">
        <v>0</v>
      </c>
      <c r="AT40" s="1">
        <v>0.19979685167328001</v>
      </c>
      <c r="AU40" s="1">
        <f t="shared" si="2"/>
        <v>0.39959370334656003</v>
      </c>
    </row>
    <row r="41" spans="2:47">
      <c r="B41">
        <v>123382</v>
      </c>
      <c r="C41" s="1">
        <v>0.421875</v>
      </c>
      <c r="D41" s="1">
        <v>0.40736499999999998</v>
      </c>
      <c r="J41" t="s">
        <v>4</v>
      </c>
      <c r="K41">
        <v>0</v>
      </c>
      <c r="L41" t="s">
        <v>5</v>
      </c>
      <c r="M41">
        <v>39</v>
      </c>
      <c r="N41" t="s">
        <v>6</v>
      </c>
      <c r="O41" s="1">
        <v>6.1718750000000003E-2</v>
      </c>
      <c r="P41" t="s">
        <v>7</v>
      </c>
      <c r="Q41" s="1">
        <v>0.5</v>
      </c>
      <c r="R41" t="s">
        <v>8</v>
      </c>
      <c r="S41" s="1">
        <v>0</v>
      </c>
      <c r="T41" s="1">
        <v>0.19978757818363599</v>
      </c>
      <c r="U41" s="1">
        <f t="shared" si="0"/>
        <v>0.39957515636727198</v>
      </c>
      <c r="W41" t="s">
        <v>4</v>
      </c>
      <c r="X41">
        <v>0</v>
      </c>
      <c r="Y41" t="s">
        <v>5</v>
      </c>
      <c r="Z41">
        <v>39</v>
      </c>
      <c r="AA41" t="s">
        <v>6</v>
      </c>
      <c r="AB41" s="1">
        <v>6.1718750000000003E-2</v>
      </c>
      <c r="AC41" t="s">
        <v>7</v>
      </c>
      <c r="AD41" s="1">
        <v>0.5</v>
      </c>
      <c r="AE41" t="s">
        <v>8</v>
      </c>
      <c r="AF41" s="1">
        <v>0</v>
      </c>
      <c r="AG41" s="1">
        <v>0.19978380747432301</v>
      </c>
      <c r="AH41" s="1">
        <f t="shared" si="1"/>
        <v>0.39956761494864601</v>
      </c>
      <c r="AJ41" t="s">
        <v>4</v>
      </c>
      <c r="AK41">
        <v>0</v>
      </c>
      <c r="AL41" t="s">
        <v>5</v>
      </c>
      <c r="AM41">
        <v>39</v>
      </c>
      <c r="AN41" t="s">
        <v>6</v>
      </c>
      <c r="AO41" s="1">
        <v>6.1718750000000003E-2</v>
      </c>
      <c r="AP41" t="s">
        <v>7</v>
      </c>
      <c r="AQ41" s="1">
        <v>0.5</v>
      </c>
      <c r="AR41" t="s">
        <v>8</v>
      </c>
      <c r="AS41" s="1">
        <v>0</v>
      </c>
      <c r="AT41" s="1">
        <v>0.19980439816427101</v>
      </c>
      <c r="AU41" s="1">
        <f t="shared" si="2"/>
        <v>0.39960879632854202</v>
      </c>
    </row>
    <row r="42" spans="2:47">
      <c r="B42">
        <v>25215</v>
      </c>
      <c r="C42" s="1">
        <v>0.4375</v>
      </c>
      <c r="D42" s="1">
        <v>0.40603</v>
      </c>
      <c r="J42" t="s">
        <v>4</v>
      </c>
      <c r="K42">
        <v>0</v>
      </c>
      <c r="L42" t="s">
        <v>5</v>
      </c>
      <c r="M42">
        <v>40</v>
      </c>
      <c r="N42" t="s">
        <v>6</v>
      </c>
      <c r="O42" s="1">
        <v>6.3281249999999997E-2</v>
      </c>
      <c r="P42" t="s">
        <v>7</v>
      </c>
      <c r="Q42" s="1">
        <v>0.5</v>
      </c>
      <c r="R42" t="s">
        <v>8</v>
      </c>
      <c r="S42" s="1">
        <v>0</v>
      </c>
      <c r="T42" s="1">
        <v>0.19979716064758399</v>
      </c>
      <c r="U42" s="1">
        <f t="shared" si="0"/>
        <v>0.39959432129516798</v>
      </c>
      <c r="W42" t="s">
        <v>4</v>
      </c>
      <c r="X42">
        <v>0</v>
      </c>
      <c r="Y42" t="s">
        <v>5</v>
      </c>
      <c r="Z42">
        <v>40</v>
      </c>
      <c r="AA42" t="s">
        <v>6</v>
      </c>
      <c r="AB42" s="1">
        <v>6.3281249999999997E-2</v>
      </c>
      <c r="AC42" t="s">
        <v>7</v>
      </c>
      <c r="AD42" s="1">
        <v>0.5</v>
      </c>
      <c r="AE42" t="s">
        <v>8</v>
      </c>
      <c r="AF42" s="1">
        <v>0</v>
      </c>
      <c r="AG42" s="1">
        <v>0.199794856211647</v>
      </c>
      <c r="AH42" s="1">
        <f t="shared" si="1"/>
        <v>0.399589712423294</v>
      </c>
      <c r="AJ42" t="s">
        <v>4</v>
      </c>
      <c r="AK42">
        <v>0</v>
      </c>
      <c r="AL42" t="s">
        <v>5</v>
      </c>
      <c r="AM42">
        <v>40</v>
      </c>
      <c r="AN42" t="s">
        <v>6</v>
      </c>
      <c r="AO42" s="1">
        <v>6.3281249999999997E-2</v>
      </c>
      <c r="AP42" t="s">
        <v>7</v>
      </c>
      <c r="AQ42" s="1">
        <v>0.5</v>
      </c>
      <c r="AR42" t="s">
        <v>8</v>
      </c>
      <c r="AS42" s="1">
        <v>0</v>
      </c>
      <c r="AT42" s="1">
        <v>0.19981112635659201</v>
      </c>
      <c r="AU42" s="1">
        <f t="shared" si="2"/>
        <v>0.39962225271318402</v>
      </c>
    </row>
    <row r="43" spans="2:47">
      <c r="B43">
        <v>123385</v>
      </c>
      <c r="C43" s="1">
        <v>0.453125</v>
      </c>
      <c r="D43" s="1">
        <v>0.39985700000000002</v>
      </c>
      <c r="J43" t="s">
        <v>4</v>
      </c>
      <c r="K43">
        <v>0</v>
      </c>
      <c r="L43" t="s">
        <v>5</v>
      </c>
      <c r="M43">
        <v>41</v>
      </c>
      <c r="N43" t="s">
        <v>6</v>
      </c>
      <c r="O43" s="1">
        <v>6.4843750000000006E-2</v>
      </c>
      <c r="P43" t="s">
        <v>7</v>
      </c>
      <c r="Q43" s="1">
        <v>0.5</v>
      </c>
      <c r="R43" t="s">
        <v>8</v>
      </c>
      <c r="S43" s="1">
        <v>0</v>
      </c>
      <c r="T43" s="1">
        <v>0.199808636670044</v>
      </c>
      <c r="U43" s="1">
        <f t="shared" si="0"/>
        <v>0.39961727334008801</v>
      </c>
      <c r="W43" t="s">
        <v>4</v>
      </c>
      <c r="X43">
        <v>0</v>
      </c>
      <c r="Y43" t="s">
        <v>5</v>
      </c>
      <c r="Z43">
        <v>41</v>
      </c>
      <c r="AA43" t="s">
        <v>6</v>
      </c>
      <c r="AB43" s="1">
        <v>6.4843750000000006E-2</v>
      </c>
      <c r="AC43" t="s">
        <v>7</v>
      </c>
      <c r="AD43" s="1">
        <v>0.5</v>
      </c>
      <c r="AE43" t="s">
        <v>8</v>
      </c>
      <c r="AF43" s="1">
        <v>0</v>
      </c>
      <c r="AG43" s="1">
        <v>0.19980894645001199</v>
      </c>
      <c r="AH43" s="1">
        <f t="shared" si="1"/>
        <v>0.39961789290002397</v>
      </c>
      <c r="AJ43" t="s">
        <v>4</v>
      </c>
      <c r="AK43">
        <v>0</v>
      </c>
      <c r="AL43" t="s">
        <v>5</v>
      </c>
      <c r="AM43">
        <v>41</v>
      </c>
      <c r="AN43" t="s">
        <v>6</v>
      </c>
      <c r="AO43" s="1">
        <v>6.4843750000000006E-2</v>
      </c>
      <c r="AP43" t="s">
        <v>7</v>
      </c>
      <c r="AQ43" s="1">
        <v>0.5</v>
      </c>
      <c r="AR43" t="s">
        <v>8</v>
      </c>
      <c r="AS43" s="1">
        <v>0</v>
      </c>
      <c r="AT43" s="1">
        <v>0.199817314813651</v>
      </c>
      <c r="AU43" s="1">
        <f t="shared" si="2"/>
        <v>0.39963462962730201</v>
      </c>
    </row>
    <row r="44" spans="2:47">
      <c r="B44">
        <v>25216</v>
      </c>
      <c r="C44" s="1">
        <v>0.46875</v>
      </c>
      <c r="D44" s="1">
        <v>0.39368500000000001</v>
      </c>
      <c r="J44" t="s">
        <v>4</v>
      </c>
      <c r="K44">
        <v>0</v>
      </c>
      <c r="L44" t="s">
        <v>5</v>
      </c>
      <c r="M44">
        <v>42</v>
      </c>
      <c r="N44" t="s">
        <v>6</v>
      </c>
      <c r="O44" s="1">
        <v>6.640625E-2</v>
      </c>
      <c r="P44" t="s">
        <v>7</v>
      </c>
      <c r="Q44" s="1">
        <v>0.5</v>
      </c>
      <c r="R44" t="s">
        <v>8</v>
      </c>
      <c r="S44" s="1">
        <v>0</v>
      </c>
      <c r="T44" s="1">
        <v>0.199820173092456</v>
      </c>
      <c r="U44" s="1">
        <f t="shared" si="0"/>
        <v>0.39964034618491201</v>
      </c>
      <c r="W44" t="s">
        <v>4</v>
      </c>
      <c r="X44">
        <v>0</v>
      </c>
      <c r="Y44" t="s">
        <v>5</v>
      </c>
      <c r="Z44">
        <v>42</v>
      </c>
      <c r="AA44" t="s">
        <v>6</v>
      </c>
      <c r="AB44" s="1">
        <v>6.640625E-2</v>
      </c>
      <c r="AC44" t="s">
        <v>7</v>
      </c>
      <c r="AD44" s="1">
        <v>0.5</v>
      </c>
      <c r="AE44" t="s">
        <v>8</v>
      </c>
      <c r="AF44" s="1">
        <v>0</v>
      </c>
      <c r="AG44" s="1">
        <v>0.19982292960524101</v>
      </c>
      <c r="AH44" s="1">
        <f t="shared" si="1"/>
        <v>0.39964585921048201</v>
      </c>
      <c r="AJ44" t="s">
        <v>4</v>
      </c>
      <c r="AK44">
        <v>0</v>
      </c>
      <c r="AL44" t="s">
        <v>5</v>
      </c>
      <c r="AM44">
        <v>42</v>
      </c>
      <c r="AN44" t="s">
        <v>6</v>
      </c>
      <c r="AO44" s="1">
        <v>6.640625E-2</v>
      </c>
      <c r="AP44" t="s">
        <v>7</v>
      </c>
      <c r="AQ44" s="1">
        <v>0.5</v>
      </c>
      <c r="AR44" t="s">
        <v>8</v>
      </c>
      <c r="AS44" s="1">
        <v>0</v>
      </c>
      <c r="AT44" s="1">
        <v>0.19982383287896399</v>
      </c>
      <c r="AU44" s="1">
        <f t="shared" si="2"/>
        <v>0.39964766575792798</v>
      </c>
    </row>
    <row r="45" spans="2:47">
      <c r="B45">
        <v>123388</v>
      </c>
      <c r="C45" s="1">
        <v>0.484375</v>
      </c>
      <c r="D45" s="1">
        <v>0.376971</v>
      </c>
      <c r="J45" t="s">
        <v>4</v>
      </c>
      <c r="K45">
        <v>0</v>
      </c>
      <c r="L45" t="s">
        <v>5</v>
      </c>
      <c r="M45">
        <v>43</v>
      </c>
      <c r="N45" t="s">
        <v>6</v>
      </c>
      <c r="O45" s="1">
        <v>6.7968749999999994E-2</v>
      </c>
      <c r="P45" t="s">
        <v>7</v>
      </c>
      <c r="Q45" s="1">
        <v>0.5</v>
      </c>
      <c r="R45" t="s">
        <v>8</v>
      </c>
      <c r="S45" s="1">
        <v>0</v>
      </c>
      <c r="T45" s="1">
        <v>0.199831769256232</v>
      </c>
      <c r="U45" s="1">
        <f t="shared" si="0"/>
        <v>0.399663538512464</v>
      </c>
      <c r="W45" t="s">
        <v>4</v>
      </c>
      <c r="X45">
        <v>0</v>
      </c>
      <c r="Y45" t="s">
        <v>5</v>
      </c>
      <c r="Z45">
        <v>43</v>
      </c>
      <c r="AA45" t="s">
        <v>6</v>
      </c>
      <c r="AB45" s="1">
        <v>6.7968749999999994E-2</v>
      </c>
      <c r="AC45" t="s">
        <v>7</v>
      </c>
      <c r="AD45" s="1">
        <v>0.5</v>
      </c>
      <c r="AE45" t="s">
        <v>8</v>
      </c>
      <c r="AF45" s="1">
        <v>0</v>
      </c>
      <c r="AG45" s="1">
        <v>0.19983680248232999</v>
      </c>
      <c r="AH45" s="1">
        <f t="shared" si="1"/>
        <v>0.39967360496465998</v>
      </c>
      <c r="AJ45" t="s">
        <v>4</v>
      </c>
      <c r="AK45">
        <v>0</v>
      </c>
      <c r="AL45" t="s">
        <v>5</v>
      </c>
      <c r="AM45">
        <v>43</v>
      </c>
      <c r="AN45" t="s">
        <v>6</v>
      </c>
      <c r="AO45" s="1">
        <v>6.7968749999999994E-2</v>
      </c>
      <c r="AP45" t="s">
        <v>7</v>
      </c>
      <c r="AQ45" s="1">
        <v>0.5</v>
      </c>
      <c r="AR45" t="s">
        <v>8</v>
      </c>
      <c r="AS45" s="1">
        <v>0</v>
      </c>
      <c r="AT45" s="1">
        <v>0.19983068432798901</v>
      </c>
      <c r="AU45" s="1">
        <f t="shared" si="2"/>
        <v>0.39966136865597801</v>
      </c>
    </row>
    <row r="46" spans="2:47">
      <c r="B46">
        <v>25217</v>
      </c>
      <c r="C46" s="1">
        <v>0.5</v>
      </c>
      <c r="D46" s="1">
        <v>0.36025699999999999</v>
      </c>
      <c r="J46" t="s">
        <v>4</v>
      </c>
      <c r="K46">
        <v>0</v>
      </c>
      <c r="L46" t="s">
        <v>5</v>
      </c>
      <c r="M46">
        <v>44</v>
      </c>
      <c r="N46" t="s">
        <v>6</v>
      </c>
      <c r="O46" s="1">
        <v>6.9531250000000003E-2</v>
      </c>
      <c r="P46" t="s">
        <v>7</v>
      </c>
      <c r="Q46" s="1">
        <v>0.5</v>
      </c>
      <c r="R46" t="s">
        <v>8</v>
      </c>
      <c r="S46" s="1">
        <v>0</v>
      </c>
      <c r="T46" s="1">
        <v>0.19984342451172199</v>
      </c>
      <c r="U46" s="1">
        <f t="shared" si="0"/>
        <v>0.39968684902344398</v>
      </c>
      <c r="W46" t="s">
        <v>4</v>
      </c>
      <c r="X46">
        <v>0</v>
      </c>
      <c r="Y46" t="s">
        <v>5</v>
      </c>
      <c r="Z46">
        <v>44</v>
      </c>
      <c r="AA46" t="s">
        <v>6</v>
      </c>
      <c r="AB46" s="1">
        <v>6.9531250000000003E-2</v>
      </c>
      <c r="AC46" t="s">
        <v>7</v>
      </c>
      <c r="AD46" s="1">
        <v>0.5</v>
      </c>
      <c r="AE46" t="s">
        <v>8</v>
      </c>
      <c r="AF46" s="1">
        <v>0</v>
      </c>
      <c r="AG46" s="1">
        <v>0.19985056192702999</v>
      </c>
      <c r="AH46" s="1">
        <f t="shared" si="1"/>
        <v>0.39970112385405998</v>
      </c>
      <c r="AJ46" t="s">
        <v>4</v>
      </c>
      <c r="AK46">
        <v>0</v>
      </c>
      <c r="AL46" t="s">
        <v>5</v>
      </c>
      <c r="AM46">
        <v>44</v>
      </c>
      <c r="AN46" t="s">
        <v>6</v>
      </c>
      <c r="AO46" s="1">
        <v>6.9531250000000003E-2</v>
      </c>
      <c r="AP46" t="s">
        <v>7</v>
      </c>
      <c r="AQ46" s="1">
        <v>0.5</v>
      </c>
      <c r="AR46" t="s">
        <v>8</v>
      </c>
      <c r="AS46" s="1">
        <v>0</v>
      </c>
      <c r="AT46" s="1">
        <v>0.199837872920298</v>
      </c>
      <c r="AU46" s="1">
        <f t="shared" si="2"/>
        <v>0.39967574584059601</v>
      </c>
    </row>
    <row r="47" spans="2:47">
      <c r="J47" t="s">
        <v>4</v>
      </c>
      <c r="K47">
        <v>0</v>
      </c>
      <c r="L47" t="s">
        <v>5</v>
      </c>
      <c r="M47">
        <v>45</v>
      </c>
      <c r="N47" t="s">
        <v>6</v>
      </c>
      <c r="O47" s="1">
        <v>7.1093749999999997E-2</v>
      </c>
      <c r="P47" t="s">
        <v>7</v>
      </c>
      <c r="Q47" s="1">
        <v>0.5</v>
      </c>
      <c r="R47" t="s">
        <v>8</v>
      </c>
      <c r="S47" s="1">
        <v>0</v>
      </c>
      <c r="T47" s="1">
        <v>0.19985513821829401</v>
      </c>
      <c r="U47" s="1">
        <f t="shared" si="0"/>
        <v>0.39971027643658802</v>
      </c>
      <c r="W47" t="s">
        <v>4</v>
      </c>
      <c r="X47">
        <v>0</v>
      </c>
      <c r="Y47" t="s">
        <v>5</v>
      </c>
      <c r="Z47">
        <v>45</v>
      </c>
      <c r="AA47" t="s">
        <v>6</v>
      </c>
      <c r="AB47" s="1">
        <v>7.1093749999999997E-2</v>
      </c>
      <c r="AC47" t="s">
        <v>7</v>
      </c>
      <c r="AD47" s="1">
        <v>0.5</v>
      </c>
      <c r="AE47" t="s">
        <v>8</v>
      </c>
      <c r="AF47" s="1">
        <v>0</v>
      </c>
      <c r="AG47" s="1">
        <v>0.19986420482543399</v>
      </c>
      <c r="AH47" s="1">
        <f t="shared" si="1"/>
        <v>0.39972840965086798</v>
      </c>
      <c r="AJ47" t="s">
        <v>4</v>
      </c>
      <c r="AK47">
        <v>0</v>
      </c>
      <c r="AL47" t="s">
        <v>5</v>
      </c>
      <c r="AM47">
        <v>45</v>
      </c>
      <c r="AN47" t="s">
        <v>6</v>
      </c>
      <c r="AO47" s="1">
        <v>7.1093749999999997E-2</v>
      </c>
      <c r="AP47" t="s">
        <v>7</v>
      </c>
      <c r="AQ47" s="1">
        <v>0.5</v>
      </c>
      <c r="AR47" t="s">
        <v>8</v>
      </c>
      <c r="AS47" s="1">
        <v>0</v>
      </c>
      <c r="AT47" s="1">
        <v>0.19984540239555901</v>
      </c>
      <c r="AU47" s="1">
        <f t="shared" si="2"/>
        <v>0.39969080479111802</v>
      </c>
    </row>
    <row r="48" spans="2:47">
      <c r="J48" t="s">
        <v>4</v>
      </c>
      <c r="K48">
        <v>0</v>
      </c>
      <c r="L48" t="s">
        <v>5</v>
      </c>
      <c r="M48">
        <v>46</v>
      </c>
      <c r="N48" t="s">
        <v>6</v>
      </c>
      <c r="O48" s="1">
        <v>7.2656250000000006E-2</v>
      </c>
      <c r="P48" t="s">
        <v>7</v>
      </c>
      <c r="Q48" s="1">
        <v>0.5</v>
      </c>
      <c r="R48" t="s">
        <v>8</v>
      </c>
      <c r="S48" s="1">
        <v>0</v>
      </c>
      <c r="T48" s="1">
        <v>0.199866909744464</v>
      </c>
      <c r="U48" s="1">
        <f t="shared" si="0"/>
        <v>0.399733819488928</v>
      </c>
      <c r="W48" t="s">
        <v>4</v>
      </c>
      <c r="X48">
        <v>0</v>
      </c>
      <c r="Y48" t="s">
        <v>5</v>
      </c>
      <c r="Z48">
        <v>46</v>
      </c>
      <c r="AA48" t="s">
        <v>6</v>
      </c>
      <c r="AB48" s="1">
        <v>7.2656250000000006E-2</v>
      </c>
      <c r="AC48" t="s">
        <v>7</v>
      </c>
      <c r="AD48" s="1">
        <v>0.5</v>
      </c>
      <c r="AE48" t="s">
        <v>8</v>
      </c>
      <c r="AF48" s="1">
        <v>0</v>
      </c>
      <c r="AG48" s="1">
        <v>0.199877728103488</v>
      </c>
      <c r="AH48" s="1">
        <f t="shared" si="1"/>
        <v>0.399755456206976</v>
      </c>
      <c r="AJ48" t="s">
        <v>4</v>
      </c>
      <c r="AK48">
        <v>0</v>
      </c>
      <c r="AL48" t="s">
        <v>5</v>
      </c>
      <c r="AM48">
        <v>46</v>
      </c>
      <c r="AN48" t="s">
        <v>6</v>
      </c>
      <c r="AO48" s="1">
        <v>7.2656250000000006E-2</v>
      </c>
      <c r="AP48" t="s">
        <v>7</v>
      </c>
      <c r="AQ48" s="1">
        <v>0.5</v>
      </c>
      <c r="AR48" t="s">
        <v>8</v>
      </c>
      <c r="AS48" s="1">
        <v>0</v>
      </c>
      <c r="AT48" s="1">
        <v>0.199853276469665</v>
      </c>
      <c r="AU48" s="1">
        <f t="shared" si="2"/>
        <v>0.39970655293933</v>
      </c>
    </row>
    <row r="49" spans="10:47">
      <c r="J49" t="s">
        <v>4</v>
      </c>
      <c r="K49">
        <v>0</v>
      </c>
      <c r="L49" t="s">
        <v>5</v>
      </c>
      <c r="M49">
        <v>47</v>
      </c>
      <c r="N49" t="s">
        <v>6</v>
      </c>
      <c r="O49" s="1">
        <v>7.421875E-2</v>
      </c>
      <c r="P49" t="s">
        <v>7</v>
      </c>
      <c r="Q49" s="1">
        <v>0.5</v>
      </c>
      <c r="R49" t="s">
        <v>8</v>
      </c>
      <c r="S49" s="1">
        <v>0</v>
      </c>
      <c r="T49" s="1">
        <v>0.199878738467826</v>
      </c>
      <c r="U49" s="1">
        <f t="shared" si="0"/>
        <v>0.399757476935652</v>
      </c>
      <c r="W49" t="s">
        <v>4</v>
      </c>
      <c r="X49">
        <v>0</v>
      </c>
      <c r="Y49" t="s">
        <v>5</v>
      </c>
      <c r="Z49">
        <v>47</v>
      </c>
      <c r="AA49" t="s">
        <v>6</v>
      </c>
      <c r="AB49" s="1">
        <v>7.421875E-2</v>
      </c>
      <c r="AC49" t="s">
        <v>7</v>
      </c>
      <c r="AD49" s="1">
        <v>0.5</v>
      </c>
      <c r="AE49" t="s">
        <v>8</v>
      </c>
      <c r="AF49" s="1">
        <v>0</v>
      </c>
      <c r="AG49" s="1">
        <v>0.199891128726851</v>
      </c>
      <c r="AH49" s="1">
        <f t="shared" si="1"/>
        <v>0.39978225745370199</v>
      </c>
      <c r="AJ49" t="s">
        <v>4</v>
      </c>
      <c r="AK49">
        <v>0</v>
      </c>
      <c r="AL49" t="s">
        <v>5</v>
      </c>
      <c r="AM49">
        <v>47</v>
      </c>
      <c r="AN49" t="s">
        <v>6</v>
      </c>
      <c r="AO49" s="1">
        <v>7.421875E-2</v>
      </c>
      <c r="AP49" t="s">
        <v>7</v>
      </c>
      <c r="AQ49" s="1">
        <v>0.5</v>
      </c>
      <c r="AR49" t="s">
        <v>8</v>
      </c>
      <c r="AS49" s="1">
        <v>0</v>
      </c>
      <c r="AT49" s="1">
        <v>0.19986149882819901</v>
      </c>
      <c r="AU49" s="1">
        <f t="shared" si="2"/>
        <v>0.39972299765639802</v>
      </c>
    </row>
    <row r="50" spans="10:47">
      <c r="J50" t="s">
        <v>4</v>
      </c>
      <c r="K50">
        <v>0</v>
      </c>
      <c r="L50" t="s">
        <v>5</v>
      </c>
      <c r="M50">
        <v>48</v>
      </c>
      <c r="N50" t="s">
        <v>6</v>
      </c>
      <c r="O50" s="1">
        <v>7.5781249999999994E-2</v>
      </c>
      <c r="P50" t="s">
        <v>7</v>
      </c>
      <c r="Q50" s="1">
        <v>0.5</v>
      </c>
      <c r="R50" t="s">
        <v>8</v>
      </c>
      <c r="S50" s="1">
        <v>0</v>
      </c>
      <c r="T50" s="1">
        <v>0.199890623775169</v>
      </c>
      <c r="U50" s="1">
        <f t="shared" si="0"/>
        <v>0.399781247550338</v>
      </c>
      <c r="W50" t="s">
        <v>4</v>
      </c>
      <c r="X50">
        <v>0</v>
      </c>
      <c r="Y50" t="s">
        <v>5</v>
      </c>
      <c r="Z50">
        <v>48</v>
      </c>
      <c r="AA50" t="s">
        <v>6</v>
      </c>
      <c r="AB50" s="1">
        <v>7.5781249999999994E-2</v>
      </c>
      <c r="AC50" t="s">
        <v>7</v>
      </c>
      <c r="AD50" s="1">
        <v>0.5</v>
      </c>
      <c r="AE50" t="s">
        <v>8</v>
      </c>
      <c r="AF50" s="1">
        <v>0</v>
      </c>
      <c r="AG50" s="1">
        <v>0.19990440370033799</v>
      </c>
      <c r="AH50" s="1">
        <f t="shared" si="1"/>
        <v>0.39980880740067598</v>
      </c>
      <c r="AJ50" t="s">
        <v>4</v>
      </c>
      <c r="AK50">
        <v>0</v>
      </c>
      <c r="AL50" t="s">
        <v>5</v>
      </c>
      <c r="AM50">
        <v>48</v>
      </c>
      <c r="AN50" t="s">
        <v>6</v>
      </c>
      <c r="AO50" s="1">
        <v>7.5781249999999994E-2</v>
      </c>
      <c r="AP50" t="s">
        <v>7</v>
      </c>
      <c r="AQ50" s="1">
        <v>0.5</v>
      </c>
      <c r="AR50" t="s">
        <v>8</v>
      </c>
      <c r="AS50" s="1">
        <v>0</v>
      </c>
      <c r="AT50" s="1">
        <v>0.19987007312490601</v>
      </c>
      <c r="AU50" s="1">
        <f t="shared" si="2"/>
        <v>0.39974014624981202</v>
      </c>
    </row>
    <row r="51" spans="10:47">
      <c r="J51" t="s">
        <v>4</v>
      </c>
      <c r="K51">
        <v>0</v>
      </c>
      <c r="L51" t="s">
        <v>5</v>
      </c>
      <c r="M51">
        <v>49</v>
      </c>
      <c r="N51" t="s">
        <v>6</v>
      </c>
      <c r="O51" s="1">
        <v>7.7343750000000003E-2</v>
      </c>
      <c r="P51" t="s">
        <v>7</v>
      </c>
      <c r="Q51" s="1">
        <v>0.5</v>
      </c>
      <c r="R51" t="s">
        <v>8</v>
      </c>
      <c r="S51" s="1">
        <v>0</v>
      </c>
      <c r="T51" s="1">
        <v>0.19990256506255999</v>
      </c>
      <c r="U51" s="1">
        <f t="shared" si="0"/>
        <v>0.39980513012511998</v>
      </c>
      <c r="W51" t="s">
        <v>4</v>
      </c>
      <c r="X51">
        <v>0</v>
      </c>
      <c r="Y51" t="s">
        <v>5</v>
      </c>
      <c r="Z51">
        <v>49</v>
      </c>
      <c r="AA51" t="s">
        <v>6</v>
      </c>
      <c r="AB51" s="1">
        <v>7.7343750000000003E-2</v>
      </c>
      <c r="AC51" t="s">
        <v>7</v>
      </c>
      <c r="AD51" s="1">
        <v>0.5</v>
      </c>
      <c r="AE51" t="s">
        <v>8</v>
      </c>
      <c r="AF51" s="1">
        <v>0</v>
      </c>
      <c r="AG51" s="1">
        <v>0.19991755006770101</v>
      </c>
      <c r="AH51" s="1">
        <f t="shared" si="1"/>
        <v>0.39983510013540202</v>
      </c>
      <c r="AJ51" t="s">
        <v>4</v>
      </c>
      <c r="AK51">
        <v>0</v>
      </c>
      <c r="AL51" t="s">
        <v>5</v>
      </c>
      <c r="AM51">
        <v>49</v>
      </c>
      <c r="AN51" t="s">
        <v>6</v>
      </c>
      <c r="AO51" s="1">
        <v>7.7343750000000003E-2</v>
      </c>
      <c r="AP51" t="s">
        <v>7</v>
      </c>
      <c r="AQ51" s="1">
        <v>0.5</v>
      </c>
      <c r="AR51" t="s">
        <v>8</v>
      </c>
      <c r="AS51" s="1">
        <v>0</v>
      </c>
      <c r="AT51" s="1">
        <v>0.19987900297469299</v>
      </c>
      <c r="AU51" s="1">
        <f t="shared" si="2"/>
        <v>0.39975800594938599</v>
      </c>
    </row>
    <row r="52" spans="10:47">
      <c r="J52" t="s">
        <v>4</v>
      </c>
      <c r="K52">
        <v>0</v>
      </c>
      <c r="L52" t="s">
        <v>5</v>
      </c>
      <c r="M52">
        <v>50</v>
      </c>
      <c r="N52" t="s">
        <v>6</v>
      </c>
      <c r="O52" s="1">
        <v>7.8906249999999997E-2</v>
      </c>
      <c r="P52" t="s">
        <v>7</v>
      </c>
      <c r="Q52" s="1">
        <v>0.5</v>
      </c>
      <c r="R52" t="s">
        <v>8</v>
      </c>
      <c r="S52" s="1">
        <v>0</v>
      </c>
      <c r="T52" s="1">
        <v>0.199914561735312</v>
      </c>
      <c r="U52" s="1">
        <f t="shared" si="0"/>
        <v>0.39982912347062399</v>
      </c>
      <c r="W52" t="s">
        <v>4</v>
      </c>
      <c r="X52">
        <v>0</v>
      </c>
      <c r="Y52" t="s">
        <v>5</v>
      </c>
      <c r="Z52">
        <v>50</v>
      </c>
      <c r="AA52" t="s">
        <v>6</v>
      </c>
      <c r="AB52" s="1">
        <v>7.8906249999999997E-2</v>
      </c>
      <c r="AC52" t="s">
        <v>7</v>
      </c>
      <c r="AD52" s="1">
        <v>0.5</v>
      </c>
      <c r="AE52" t="s">
        <v>8</v>
      </c>
      <c r="AF52" s="1">
        <v>0</v>
      </c>
      <c r="AG52" s="1">
        <v>0.19993056491118</v>
      </c>
      <c r="AH52" s="1">
        <f t="shared" si="1"/>
        <v>0.39986112982236</v>
      </c>
      <c r="AJ52" t="s">
        <v>4</v>
      </c>
      <c r="AK52">
        <v>0</v>
      </c>
      <c r="AL52" t="s">
        <v>5</v>
      </c>
      <c r="AM52">
        <v>50</v>
      </c>
      <c r="AN52" t="s">
        <v>6</v>
      </c>
      <c r="AO52" s="1">
        <v>7.8906249999999997E-2</v>
      </c>
      <c r="AP52" t="s">
        <v>7</v>
      </c>
      <c r="AQ52" s="1">
        <v>0.5</v>
      </c>
      <c r="AR52" t="s">
        <v>8</v>
      </c>
      <c r="AS52" s="1">
        <v>0</v>
      </c>
      <c r="AT52" s="1">
        <v>0.19988829195013499</v>
      </c>
      <c r="AU52" s="1">
        <f t="shared" si="2"/>
        <v>0.39977658390026999</v>
      </c>
    </row>
    <row r="53" spans="10:47">
      <c r="J53" t="s">
        <v>4</v>
      </c>
      <c r="K53">
        <v>0</v>
      </c>
      <c r="L53" t="s">
        <v>5</v>
      </c>
      <c r="M53">
        <v>51</v>
      </c>
      <c r="N53" t="s">
        <v>6</v>
      </c>
      <c r="O53" s="1">
        <v>8.0468750000000006E-2</v>
      </c>
      <c r="P53" t="s">
        <v>7</v>
      </c>
      <c r="Q53" s="1">
        <v>0.5</v>
      </c>
      <c r="R53" t="s">
        <v>8</v>
      </c>
      <c r="S53" s="1">
        <v>0</v>
      </c>
      <c r="T53" s="1">
        <v>0.199926613208225</v>
      </c>
      <c r="U53" s="1">
        <f t="shared" si="0"/>
        <v>0.39985322641644999</v>
      </c>
      <c r="W53" t="s">
        <v>4</v>
      </c>
      <c r="X53">
        <v>0</v>
      </c>
      <c r="Y53" t="s">
        <v>5</v>
      </c>
      <c r="Z53">
        <v>51</v>
      </c>
      <c r="AA53" t="s">
        <v>6</v>
      </c>
      <c r="AB53" s="1">
        <v>8.0468750000000006E-2</v>
      </c>
      <c r="AC53" t="s">
        <v>7</v>
      </c>
      <c r="AD53" s="1">
        <v>0.5</v>
      </c>
      <c r="AE53" t="s">
        <v>8</v>
      </c>
      <c r="AF53" s="1">
        <v>0</v>
      </c>
      <c r="AG53" s="1">
        <v>0.19994344535102801</v>
      </c>
      <c r="AH53" s="1">
        <f t="shared" si="1"/>
        <v>0.39988689070205602</v>
      </c>
      <c r="AJ53" t="s">
        <v>4</v>
      </c>
      <c r="AK53">
        <v>0</v>
      </c>
      <c r="AL53" t="s">
        <v>5</v>
      </c>
      <c r="AM53">
        <v>51</v>
      </c>
      <c r="AN53" t="s">
        <v>6</v>
      </c>
      <c r="AO53" s="1">
        <v>8.0468750000000006E-2</v>
      </c>
      <c r="AP53" t="s">
        <v>7</v>
      </c>
      <c r="AQ53" s="1">
        <v>0.5</v>
      </c>
      <c r="AR53" t="s">
        <v>8</v>
      </c>
      <c r="AS53" s="1">
        <v>0</v>
      </c>
      <c r="AT53" s="1">
        <v>0.19989794357684501</v>
      </c>
      <c r="AU53" s="1">
        <f t="shared" si="2"/>
        <v>0.39979588715369002</v>
      </c>
    </row>
    <row r="54" spans="10:47">
      <c r="J54" t="s">
        <v>4</v>
      </c>
      <c r="K54">
        <v>0</v>
      </c>
      <c r="L54" t="s">
        <v>5</v>
      </c>
      <c r="M54">
        <v>52</v>
      </c>
      <c r="N54" t="s">
        <v>6</v>
      </c>
      <c r="O54" s="1">
        <v>8.203125E-2</v>
      </c>
      <c r="P54" t="s">
        <v>7</v>
      </c>
      <c r="Q54" s="1">
        <v>0.5</v>
      </c>
      <c r="R54" t="s">
        <v>8</v>
      </c>
      <c r="S54" s="1">
        <v>0</v>
      </c>
      <c r="T54" s="1">
        <v>0.19993871890537299</v>
      </c>
      <c r="U54" s="1">
        <f t="shared" si="0"/>
        <v>0.39987743781074597</v>
      </c>
      <c r="W54" t="s">
        <v>4</v>
      </c>
      <c r="X54">
        <v>0</v>
      </c>
      <c r="Y54" t="s">
        <v>5</v>
      </c>
      <c r="Z54">
        <v>52</v>
      </c>
      <c r="AA54" t="s">
        <v>6</v>
      </c>
      <c r="AB54" s="1">
        <v>8.203125E-2</v>
      </c>
      <c r="AC54" t="s">
        <v>7</v>
      </c>
      <c r="AD54" s="1">
        <v>0.5</v>
      </c>
      <c r="AE54" t="s">
        <v>8</v>
      </c>
      <c r="AF54" s="1">
        <v>0</v>
      </c>
      <c r="AG54" s="1">
        <v>0.19995618854549399</v>
      </c>
      <c r="AH54" s="1">
        <f t="shared" si="1"/>
        <v>0.39991237709098798</v>
      </c>
      <c r="AJ54" t="s">
        <v>4</v>
      </c>
      <c r="AK54">
        <v>0</v>
      </c>
      <c r="AL54" t="s">
        <v>5</v>
      </c>
      <c r="AM54">
        <v>52</v>
      </c>
      <c r="AN54" t="s">
        <v>6</v>
      </c>
      <c r="AO54" s="1">
        <v>8.203125E-2</v>
      </c>
      <c r="AP54" t="s">
        <v>7</v>
      </c>
      <c r="AQ54" s="1">
        <v>0.5</v>
      </c>
      <c r="AR54" t="s">
        <v>8</v>
      </c>
      <c r="AS54" s="1">
        <v>0</v>
      </c>
      <c r="AT54" s="1">
        <v>0.19990796132736899</v>
      </c>
      <c r="AU54" s="1">
        <f t="shared" si="2"/>
        <v>0.39981592265473798</v>
      </c>
    </row>
    <row r="55" spans="10:47">
      <c r="J55" t="s">
        <v>4</v>
      </c>
      <c r="K55">
        <v>0</v>
      </c>
      <c r="L55" t="s">
        <v>5</v>
      </c>
      <c r="M55">
        <v>53</v>
      </c>
      <c r="N55" t="s">
        <v>6</v>
      </c>
      <c r="O55" s="1">
        <v>8.3593749999999994E-2</v>
      </c>
      <c r="P55" t="s">
        <v>7</v>
      </c>
      <c r="Q55" s="1">
        <v>0.5</v>
      </c>
      <c r="R55" t="s">
        <v>8</v>
      </c>
      <c r="S55" s="1">
        <v>0</v>
      </c>
      <c r="T55" s="1">
        <v>0.199950878260376</v>
      </c>
      <c r="U55" s="1">
        <f t="shared" si="0"/>
        <v>0.39990175652075199</v>
      </c>
      <c r="W55" t="s">
        <v>4</v>
      </c>
      <c r="X55">
        <v>0</v>
      </c>
      <c r="Y55" t="s">
        <v>5</v>
      </c>
      <c r="Z55">
        <v>53</v>
      </c>
      <c r="AA55" t="s">
        <v>6</v>
      </c>
      <c r="AB55" s="1">
        <v>8.3593749999999994E-2</v>
      </c>
      <c r="AC55" t="s">
        <v>7</v>
      </c>
      <c r="AD55" s="1">
        <v>0.5</v>
      </c>
      <c r="AE55" t="s">
        <v>8</v>
      </c>
      <c r="AF55" s="1">
        <v>0</v>
      </c>
      <c r="AG55" s="1">
        <v>0.19996879169002199</v>
      </c>
      <c r="AH55" s="1">
        <f t="shared" si="1"/>
        <v>0.39993758338004398</v>
      </c>
      <c r="AJ55" t="s">
        <v>4</v>
      </c>
      <c r="AK55">
        <v>0</v>
      </c>
      <c r="AL55" t="s">
        <v>5</v>
      </c>
      <c r="AM55">
        <v>53</v>
      </c>
      <c r="AN55" t="s">
        <v>6</v>
      </c>
      <c r="AO55" s="1">
        <v>8.3593749999999994E-2</v>
      </c>
      <c r="AP55" t="s">
        <v>7</v>
      </c>
      <c r="AQ55" s="1">
        <v>0.5</v>
      </c>
      <c r="AR55" t="s">
        <v>8</v>
      </c>
      <c r="AS55" s="1">
        <v>0</v>
      </c>
      <c r="AT55" s="1">
        <v>0.19991834861844399</v>
      </c>
      <c r="AU55" s="1">
        <f t="shared" si="2"/>
        <v>0.39983669723688797</v>
      </c>
    </row>
    <row r="56" spans="10:47">
      <c r="J56" t="s">
        <v>4</v>
      </c>
      <c r="K56">
        <v>0</v>
      </c>
      <c r="L56" t="s">
        <v>5</v>
      </c>
      <c r="M56">
        <v>54</v>
      </c>
      <c r="N56" t="s">
        <v>6</v>
      </c>
      <c r="O56" s="1">
        <v>8.5156250000000003E-2</v>
      </c>
      <c r="P56" t="s">
        <v>7</v>
      </c>
      <c r="Q56" s="1">
        <v>0.5</v>
      </c>
      <c r="R56" t="s">
        <v>8</v>
      </c>
      <c r="S56" s="1">
        <v>0</v>
      </c>
      <c r="T56" s="1">
        <v>0.19996309071635901</v>
      </c>
      <c r="U56" s="1">
        <f t="shared" si="0"/>
        <v>0.39992618143271802</v>
      </c>
      <c r="W56" t="s">
        <v>4</v>
      </c>
      <c r="X56">
        <v>0</v>
      </c>
      <c r="Y56" t="s">
        <v>5</v>
      </c>
      <c r="Z56">
        <v>54</v>
      </c>
      <c r="AA56" t="s">
        <v>6</v>
      </c>
      <c r="AB56" s="1">
        <v>8.5156250000000003E-2</v>
      </c>
      <c r="AC56" t="s">
        <v>7</v>
      </c>
      <c r="AD56" s="1">
        <v>0.5</v>
      </c>
      <c r="AE56" t="s">
        <v>8</v>
      </c>
      <c r="AF56" s="1">
        <v>0</v>
      </c>
      <c r="AG56" s="1">
        <v>0.19998125201719699</v>
      </c>
      <c r="AH56" s="1">
        <f t="shared" si="1"/>
        <v>0.39996250403439398</v>
      </c>
      <c r="AJ56" t="s">
        <v>4</v>
      </c>
      <c r="AK56">
        <v>0</v>
      </c>
      <c r="AL56" t="s">
        <v>5</v>
      </c>
      <c r="AM56">
        <v>54</v>
      </c>
      <c r="AN56" t="s">
        <v>6</v>
      </c>
      <c r="AO56" s="1">
        <v>8.5156250000000003E-2</v>
      </c>
      <c r="AP56" t="s">
        <v>7</v>
      </c>
      <c r="AQ56" s="1">
        <v>0.5</v>
      </c>
      <c r="AR56" t="s">
        <v>8</v>
      </c>
      <c r="AS56" s="1">
        <v>0</v>
      </c>
      <c r="AT56" s="1">
        <v>0.19992910880435999</v>
      </c>
      <c r="AU56" s="1">
        <f t="shared" si="2"/>
        <v>0.39985821760871998</v>
      </c>
    </row>
    <row r="57" spans="10:47">
      <c r="J57" t="s">
        <v>4</v>
      </c>
      <c r="K57">
        <v>0</v>
      </c>
      <c r="L57" t="s">
        <v>5</v>
      </c>
      <c r="M57">
        <v>55</v>
      </c>
      <c r="N57" t="s">
        <v>6</v>
      </c>
      <c r="O57" s="1">
        <v>8.6718749999999997E-2</v>
      </c>
      <c r="P57" t="s">
        <v>7</v>
      </c>
      <c r="Q57" s="1">
        <v>0.5</v>
      </c>
      <c r="R57" t="s">
        <v>8</v>
      </c>
      <c r="S57" s="1">
        <v>0</v>
      </c>
      <c r="T57" s="1">
        <v>0.19997535572609601</v>
      </c>
      <c r="U57" s="1">
        <f t="shared" si="0"/>
        <v>0.39995071145219202</v>
      </c>
      <c r="W57" t="s">
        <v>4</v>
      </c>
      <c r="X57">
        <v>0</v>
      </c>
      <c r="Y57" t="s">
        <v>5</v>
      </c>
      <c r="Z57">
        <v>55</v>
      </c>
      <c r="AA57" t="s">
        <v>6</v>
      </c>
      <c r="AB57" s="1">
        <v>8.6718749999999997E-2</v>
      </c>
      <c r="AC57" t="s">
        <v>7</v>
      </c>
      <c r="AD57" s="1">
        <v>0.5</v>
      </c>
      <c r="AE57" t="s">
        <v>8</v>
      </c>
      <c r="AF57" s="1">
        <v>0</v>
      </c>
      <c r="AG57" s="1">
        <v>0.19999356679623401</v>
      </c>
      <c r="AH57" s="1">
        <f t="shared" si="1"/>
        <v>0.39998713359246801</v>
      </c>
      <c r="AJ57" t="s">
        <v>4</v>
      </c>
      <c r="AK57">
        <v>0</v>
      </c>
      <c r="AL57" t="s">
        <v>5</v>
      </c>
      <c r="AM57">
        <v>55</v>
      </c>
      <c r="AN57" t="s">
        <v>6</v>
      </c>
      <c r="AO57" s="1">
        <v>8.6718749999999997E-2</v>
      </c>
      <c r="AP57" t="s">
        <v>7</v>
      </c>
      <c r="AQ57" s="1">
        <v>0.5</v>
      </c>
      <c r="AR57" t="s">
        <v>8</v>
      </c>
      <c r="AS57" s="1">
        <v>0</v>
      </c>
      <c r="AT57" s="1">
        <v>0.19994024517250999</v>
      </c>
      <c r="AU57" s="1">
        <f t="shared" si="2"/>
        <v>0.39988049034501999</v>
      </c>
    </row>
    <row r="58" spans="10:47">
      <c r="J58" t="s">
        <v>4</v>
      </c>
      <c r="K58">
        <v>0</v>
      </c>
      <c r="L58" t="s">
        <v>5</v>
      </c>
      <c r="M58">
        <v>56</v>
      </c>
      <c r="N58" t="s">
        <v>6</v>
      </c>
      <c r="O58" s="1">
        <v>8.8281250000000006E-2</v>
      </c>
      <c r="P58" t="s">
        <v>7</v>
      </c>
      <c r="Q58" s="1">
        <v>0.5</v>
      </c>
      <c r="R58" t="s">
        <v>8</v>
      </c>
      <c r="S58" s="1">
        <v>0</v>
      </c>
      <c r="T58" s="1">
        <v>0.19998767275193399</v>
      </c>
      <c r="U58" s="1">
        <f t="shared" si="0"/>
        <v>0.39997534550386799</v>
      </c>
      <c r="W58" t="s">
        <v>4</v>
      </c>
      <c r="X58">
        <v>0</v>
      </c>
      <c r="Y58" t="s">
        <v>5</v>
      </c>
      <c r="Z58">
        <v>56</v>
      </c>
      <c r="AA58" t="s">
        <v>6</v>
      </c>
      <c r="AB58" s="1">
        <v>8.8281250000000006E-2</v>
      </c>
      <c r="AC58" t="s">
        <v>7</v>
      </c>
      <c r="AD58" s="1">
        <v>0.5</v>
      </c>
      <c r="AE58" t="s">
        <v>8</v>
      </c>
      <c r="AF58" s="1">
        <v>0</v>
      </c>
      <c r="AG58" s="1">
        <v>0.20000573333263899</v>
      </c>
      <c r="AH58" s="1">
        <f t="shared" si="1"/>
        <v>0.40001146666527798</v>
      </c>
      <c r="AJ58" t="s">
        <v>4</v>
      </c>
      <c r="AK58">
        <v>0</v>
      </c>
      <c r="AL58" t="s">
        <v>5</v>
      </c>
      <c r="AM58">
        <v>56</v>
      </c>
      <c r="AN58" t="s">
        <v>6</v>
      </c>
      <c r="AO58" s="1">
        <v>8.8281250000000006E-2</v>
      </c>
      <c r="AP58" t="s">
        <v>7</v>
      </c>
      <c r="AQ58" s="1">
        <v>0.5</v>
      </c>
      <c r="AR58" t="s">
        <v>8</v>
      </c>
      <c r="AS58" s="1">
        <v>0</v>
      </c>
      <c r="AT58" s="1">
        <v>0.19995176093865299</v>
      </c>
      <c r="AU58" s="1">
        <f t="shared" si="2"/>
        <v>0.39990352187730599</v>
      </c>
    </row>
    <row r="59" spans="10:47">
      <c r="J59" t="s">
        <v>4</v>
      </c>
      <c r="K59">
        <v>0</v>
      </c>
      <c r="L59" t="s">
        <v>5</v>
      </c>
      <c r="M59">
        <v>57</v>
      </c>
      <c r="N59" t="s">
        <v>6</v>
      </c>
      <c r="O59" s="1">
        <v>8.984375E-2</v>
      </c>
      <c r="P59" t="s">
        <v>7</v>
      </c>
      <c r="Q59" s="1">
        <v>0.5</v>
      </c>
      <c r="R59" t="s">
        <v>8</v>
      </c>
      <c r="S59" s="1">
        <v>0</v>
      </c>
      <c r="T59" s="1">
        <v>0.200000041265957</v>
      </c>
      <c r="U59" s="1">
        <f t="shared" si="0"/>
        <v>0.40000008253191399</v>
      </c>
      <c r="W59" t="s">
        <v>4</v>
      </c>
      <c r="X59">
        <v>0</v>
      </c>
      <c r="Y59" t="s">
        <v>5</v>
      </c>
      <c r="Z59">
        <v>57</v>
      </c>
      <c r="AA59" t="s">
        <v>6</v>
      </c>
      <c r="AB59" s="1">
        <v>8.984375E-2</v>
      </c>
      <c r="AC59" t="s">
        <v>7</v>
      </c>
      <c r="AD59" s="1">
        <v>0.5</v>
      </c>
      <c r="AE59" t="s">
        <v>8</v>
      </c>
      <c r="AF59" s="1">
        <v>0</v>
      </c>
      <c r="AG59" s="1">
        <v>0.20001774896788499</v>
      </c>
      <c r="AH59" s="1">
        <f t="shared" si="1"/>
        <v>0.40003549793576998</v>
      </c>
      <c r="AJ59" t="s">
        <v>4</v>
      </c>
      <c r="AK59">
        <v>0</v>
      </c>
      <c r="AL59" t="s">
        <v>5</v>
      </c>
      <c r="AM59">
        <v>57</v>
      </c>
      <c r="AN59" t="s">
        <v>6</v>
      </c>
      <c r="AO59" s="1">
        <v>8.984375E-2</v>
      </c>
      <c r="AP59" t="s">
        <v>7</v>
      </c>
      <c r="AQ59" s="1">
        <v>0.5</v>
      </c>
      <c r="AR59" t="s">
        <v>8</v>
      </c>
      <c r="AS59" s="1">
        <v>0</v>
      </c>
      <c r="AT59" s="1">
        <v>0.199963659241394</v>
      </c>
      <c r="AU59" s="1">
        <f t="shared" si="2"/>
        <v>0.39992731848278801</v>
      </c>
    </row>
    <row r="60" spans="10:47">
      <c r="J60" t="s">
        <v>4</v>
      </c>
      <c r="K60">
        <v>0</v>
      </c>
      <c r="L60" t="s">
        <v>5</v>
      </c>
      <c r="M60">
        <v>58</v>
      </c>
      <c r="N60" t="s">
        <v>6</v>
      </c>
      <c r="O60" s="1">
        <v>9.1406249999999994E-2</v>
      </c>
      <c r="P60" t="s">
        <v>7</v>
      </c>
      <c r="Q60" s="1">
        <v>0.5</v>
      </c>
      <c r="R60" t="s">
        <v>8</v>
      </c>
      <c r="S60" s="1">
        <v>0</v>
      </c>
      <c r="T60" s="1">
        <v>0.20001246075001999</v>
      </c>
      <c r="U60" s="1">
        <f t="shared" si="0"/>
        <v>0.40002492150003999</v>
      </c>
      <c r="W60" t="s">
        <v>4</v>
      </c>
      <c r="X60">
        <v>0</v>
      </c>
      <c r="Y60" t="s">
        <v>5</v>
      </c>
      <c r="Z60">
        <v>58</v>
      </c>
      <c r="AA60" t="s">
        <v>6</v>
      </c>
      <c r="AB60" s="1">
        <v>9.1406249999999994E-2</v>
      </c>
      <c r="AC60" t="s">
        <v>7</v>
      </c>
      <c r="AD60" s="1">
        <v>0.5</v>
      </c>
      <c r="AE60" t="s">
        <v>8</v>
      </c>
      <c r="AF60" s="1">
        <v>0</v>
      </c>
      <c r="AG60" s="1">
        <v>0.20002961107898501</v>
      </c>
      <c r="AH60" s="1">
        <f t="shared" si="1"/>
        <v>0.40005922215797002</v>
      </c>
      <c r="AJ60" t="s">
        <v>4</v>
      </c>
      <c r="AK60">
        <v>0</v>
      </c>
      <c r="AL60" t="s">
        <v>5</v>
      </c>
      <c r="AM60">
        <v>58</v>
      </c>
      <c r="AN60" t="s">
        <v>6</v>
      </c>
      <c r="AO60" s="1">
        <v>9.1406249999999994E-2</v>
      </c>
      <c r="AP60" t="s">
        <v>7</v>
      </c>
      <c r="AQ60" s="1">
        <v>0.5</v>
      </c>
      <c r="AR60" t="s">
        <v>8</v>
      </c>
      <c r="AS60" s="1">
        <v>0</v>
      </c>
      <c r="AT60" s="1">
        <v>0.19997594313720801</v>
      </c>
      <c r="AU60" s="1">
        <f t="shared" si="2"/>
        <v>0.39995188627441602</v>
      </c>
    </row>
    <row r="61" spans="10:47">
      <c r="J61" t="s">
        <v>4</v>
      </c>
      <c r="K61">
        <v>0</v>
      </c>
      <c r="L61" t="s">
        <v>5</v>
      </c>
      <c r="M61">
        <v>59</v>
      </c>
      <c r="N61" t="s">
        <v>6</v>
      </c>
      <c r="O61" s="1">
        <v>9.2968750000000003E-2</v>
      </c>
      <c r="P61" t="s">
        <v>7</v>
      </c>
      <c r="Q61" s="1">
        <v>0.5</v>
      </c>
      <c r="R61" t="s">
        <v>8</v>
      </c>
      <c r="S61" s="1">
        <v>0</v>
      </c>
      <c r="T61" s="1">
        <v>0.200024930695714</v>
      </c>
      <c r="U61" s="1">
        <f t="shared" si="0"/>
        <v>0.40004986139142801</v>
      </c>
      <c r="W61" t="s">
        <v>4</v>
      </c>
      <c r="X61">
        <v>0</v>
      </c>
      <c r="Y61" t="s">
        <v>5</v>
      </c>
      <c r="Z61">
        <v>59</v>
      </c>
      <c r="AA61" t="s">
        <v>6</v>
      </c>
      <c r="AB61" s="1">
        <v>9.2968750000000003E-2</v>
      </c>
      <c r="AC61" t="s">
        <v>7</v>
      </c>
      <c r="AD61" s="1">
        <v>0.5</v>
      </c>
      <c r="AE61" t="s">
        <v>8</v>
      </c>
      <c r="AF61" s="1">
        <v>0</v>
      </c>
      <c r="AG61" s="1">
        <v>0.200041317078088</v>
      </c>
      <c r="AH61" s="1">
        <f t="shared" si="1"/>
        <v>0.40008263415617601</v>
      </c>
      <c r="AJ61" t="s">
        <v>4</v>
      </c>
      <c r="AK61">
        <v>0</v>
      </c>
      <c r="AL61" t="s">
        <v>5</v>
      </c>
      <c r="AM61">
        <v>59</v>
      </c>
      <c r="AN61" t="s">
        <v>6</v>
      </c>
      <c r="AO61" s="1">
        <v>9.2968750000000003E-2</v>
      </c>
      <c r="AP61" t="s">
        <v>7</v>
      </c>
      <c r="AQ61" s="1">
        <v>0.5</v>
      </c>
      <c r="AR61" t="s">
        <v>8</v>
      </c>
      <c r="AS61" s="1">
        <v>0</v>
      </c>
      <c r="AT61" s="1">
        <v>0.19998861559494399</v>
      </c>
      <c r="AU61" s="1">
        <f t="shared" si="2"/>
        <v>0.39997723118988798</v>
      </c>
    </row>
    <row r="62" spans="10:47">
      <c r="J62" t="s">
        <v>4</v>
      </c>
      <c r="K62">
        <v>0</v>
      </c>
      <c r="L62" t="s">
        <v>5</v>
      </c>
      <c r="M62">
        <v>60</v>
      </c>
      <c r="N62" t="s">
        <v>6</v>
      </c>
      <c r="O62" s="1">
        <v>9.4531249999999997E-2</v>
      </c>
      <c r="P62" t="s">
        <v>7</v>
      </c>
      <c r="Q62" s="1">
        <v>0.5</v>
      </c>
      <c r="R62" t="s">
        <v>8</v>
      </c>
      <c r="S62" s="1">
        <v>0</v>
      </c>
      <c r="T62" s="1">
        <v>0.20003929556960001</v>
      </c>
      <c r="U62" s="1">
        <f t="shared" si="0"/>
        <v>0.40007859113920002</v>
      </c>
      <c r="W62" t="s">
        <v>4</v>
      </c>
      <c r="X62">
        <v>0</v>
      </c>
      <c r="Y62" t="s">
        <v>5</v>
      </c>
      <c r="Z62">
        <v>60</v>
      </c>
      <c r="AA62" t="s">
        <v>6</v>
      </c>
      <c r="AB62" s="1">
        <v>9.4531249999999997E-2</v>
      </c>
      <c r="AC62" t="s">
        <v>7</v>
      </c>
      <c r="AD62" s="1">
        <v>0.5</v>
      </c>
      <c r="AE62" t="s">
        <v>8</v>
      </c>
      <c r="AF62" s="1">
        <v>0</v>
      </c>
      <c r="AG62" s="1">
        <v>0.20004555179887101</v>
      </c>
      <c r="AH62" s="1">
        <f t="shared" si="1"/>
        <v>0.40009110359774203</v>
      </c>
      <c r="AJ62" t="s">
        <v>4</v>
      </c>
      <c r="AK62">
        <v>0</v>
      </c>
      <c r="AL62" t="s">
        <v>5</v>
      </c>
      <c r="AM62">
        <v>60</v>
      </c>
      <c r="AN62" t="s">
        <v>6</v>
      </c>
      <c r="AO62" s="1">
        <v>9.4531249999999997E-2</v>
      </c>
      <c r="AP62" t="s">
        <v>7</v>
      </c>
      <c r="AQ62" s="1">
        <v>0.5</v>
      </c>
      <c r="AR62" t="s">
        <v>8</v>
      </c>
      <c r="AS62" s="1">
        <v>0</v>
      </c>
      <c r="AT62" s="1">
        <v>0.20002646971292901</v>
      </c>
      <c r="AU62" s="1">
        <f t="shared" si="2"/>
        <v>0.40005293942585801</v>
      </c>
    </row>
    <row r="63" spans="10:47">
      <c r="J63" t="s">
        <v>4</v>
      </c>
      <c r="K63">
        <v>0</v>
      </c>
      <c r="L63" t="s">
        <v>5</v>
      </c>
      <c r="M63">
        <v>61</v>
      </c>
      <c r="N63" t="s">
        <v>6</v>
      </c>
      <c r="O63" s="1">
        <v>9.6093750000000006E-2</v>
      </c>
      <c r="P63" t="s">
        <v>7</v>
      </c>
      <c r="Q63" s="1">
        <v>0.5</v>
      </c>
      <c r="R63" t="s">
        <v>8</v>
      </c>
      <c r="S63" s="1">
        <v>0</v>
      </c>
      <c r="T63" s="1">
        <v>0.20005556049384901</v>
      </c>
      <c r="U63" s="1">
        <f t="shared" si="0"/>
        <v>0.40011112098769802</v>
      </c>
      <c r="W63" t="s">
        <v>4</v>
      </c>
      <c r="X63">
        <v>0</v>
      </c>
      <c r="Y63" t="s">
        <v>5</v>
      </c>
      <c r="Z63">
        <v>61</v>
      </c>
      <c r="AA63" t="s">
        <v>6</v>
      </c>
      <c r="AB63" s="1">
        <v>9.6093750000000006E-2</v>
      </c>
      <c r="AC63" t="s">
        <v>7</v>
      </c>
      <c r="AD63" s="1">
        <v>0.5</v>
      </c>
      <c r="AE63" t="s">
        <v>8</v>
      </c>
      <c r="AF63" s="1">
        <v>0</v>
      </c>
      <c r="AG63" s="1">
        <v>0.20004362564095701</v>
      </c>
      <c r="AH63" s="1">
        <f t="shared" si="1"/>
        <v>0.40008725128191402</v>
      </c>
      <c r="AJ63" t="s">
        <v>4</v>
      </c>
      <c r="AK63">
        <v>0</v>
      </c>
      <c r="AL63" t="s">
        <v>5</v>
      </c>
      <c r="AM63">
        <v>61</v>
      </c>
      <c r="AN63" t="s">
        <v>6</v>
      </c>
      <c r="AO63" s="1">
        <v>9.6093750000000006E-2</v>
      </c>
      <c r="AP63" t="s">
        <v>7</v>
      </c>
      <c r="AQ63" s="1">
        <v>0.5</v>
      </c>
      <c r="AR63" t="s">
        <v>8</v>
      </c>
      <c r="AS63" s="1">
        <v>0</v>
      </c>
      <c r="AT63" s="1">
        <v>0.200087427875969</v>
      </c>
      <c r="AU63" s="1">
        <f t="shared" si="2"/>
        <v>0.40017485575193801</v>
      </c>
    </row>
    <row r="64" spans="10:47">
      <c r="J64" t="s">
        <v>4</v>
      </c>
      <c r="K64">
        <v>0</v>
      </c>
      <c r="L64" t="s">
        <v>5</v>
      </c>
      <c r="M64">
        <v>62</v>
      </c>
      <c r="N64" t="s">
        <v>6</v>
      </c>
      <c r="O64" s="1">
        <v>9.765625E-2</v>
      </c>
      <c r="P64" t="s">
        <v>7</v>
      </c>
      <c r="Q64" s="1">
        <v>0.5</v>
      </c>
      <c r="R64" t="s">
        <v>8</v>
      </c>
      <c r="S64" s="1">
        <v>0</v>
      </c>
      <c r="T64" s="1">
        <v>0.20007188191556699</v>
      </c>
      <c r="U64" s="1">
        <f t="shared" si="0"/>
        <v>0.40014376383113398</v>
      </c>
      <c r="W64" t="s">
        <v>4</v>
      </c>
      <c r="X64">
        <v>0</v>
      </c>
      <c r="Y64" t="s">
        <v>5</v>
      </c>
      <c r="Z64">
        <v>62</v>
      </c>
      <c r="AA64" t="s">
        <v>6</v>
      </c>
      <c r="AB64" s="1">
        <v>9.765625E-2</v>
      </c>
      <c r="AC64" t="s">
        <v>7</v>
      </c>
      <c r="AD64" s="1">
        <v>0.5</v>
      </c>
      <c r="AE64" t="s">
        <v>8</v>
      </c>
      <c r="AF64" s="1">
        <v>0</v>
      </c>
      <c r="AG64" s="1">
        <v>0.200043407835648</v>
      </c>
      <c r="AH64" s="1">
        <f t="shared" si="1"/>
        <v>0.400086815671296</v>
      </c>
      <c r="AJ64" t="s">
        <v>4</v>
      </c>
      <c r="AK64">
        <v>0</v>
      </c>
      <c r="AL64" t="s">
        <v>5</v>
      </c>
      <c r="AM64">
        <v>62</v>
      </c>
      <c r="AN64" t="s">
        <v>6</v>
      </c>
      <c r="AO64" s="1">
        <v>9.765625E-2</v>
      </c>
      <c r="AP64" t="s">
        <v>7</v>
      </c>
      <c r="AQ64" s="1">
        <v>0.5</v>
      </c>
      <c r="AR64" t="s">
        <v>8</v>
      </c>
      <c r="AS64" s="1">
        <v>0</v>
      </c>
      <c r="AT64" s="1">
        <v>0.20014581524395</v>
      </c>
      <c r="AU64" s="1">
        <f t="shared" si="2"/>
        <v>0.40029163048790001</v>
      </c>
    </row>
    <row r="65" spans="10:47">
      <c r="J65" t="s">
        <v>4</v>
      </c>
      <c r="K65">
        <v>0</v>
      </c>
      <c r="L65" t="s">
        <v>5</v>
      </c>
      <c r="M65">
        <v>63</v>
      </c>
      <c r="N65" t="s">
        <v>6</v>
      </c>
      <c r="O65" s="1">
        <v>9.9218749999999994E-2</v>
      </c>
      <c r="P65" t="s">
        <v>7</v>
      </c>
      <c r="Q65" s="1">
        <v>0.5</v>
      </c>
      <c r="R65" t="s">
        <v>8</v>
      </c>
      <c r="S65" s="1">
        <v>0</v>
      </c>
      <c r="T65" s="1">
        <v>0.200088258838412</v>
      </c>
      <c r="U65" s="1">
        <f t="shared" si="0"/>
        <v>0.400176517676824</v>
      </c>
      <c r="W65" t="s">
        <v>4</v>
      </c>
      <c r="X65">
        <v>0</v>
      </c>
      <c r="Y65" t="s">
        <v>5</v>
      </c>
      <c r="Z65">
        <v>63</v>
      </c>
      <c r="AA65" t="s">
        <v>6</v>
      </c>
      <c r="AB65" s="1">
        <v>9.9218749999999994E-2</v>
      </c>
      <c r="AC65" t="s">
        <v>7</v>
      </c>
      <c r="AD65" s="1">
        <v>0.5</v>
      </c>
      <c r="AE65" t="s">
        <v>8</v>
      </c>
      <c r="AF65" s="1">
        <v>0</v>
      </c>
      <c r="AG65" s="1">
        <v>0.20004491916634201</v>
      </c>
      <c r="AH65" s="1">
        <f t="shared" si="1"/>
        <v>0.40008983833268402</v>
      </c>
      <c r="AJ65" t="s">
        <v>4</v>
      </c>
      <c r="AK65">
        <v>0</v>
      </c>
      <c r="AL65" t="s">
        <v>5</v>
      </c>
      <c r="AM65">
        <v>63</v>
      </c>
      <c r="AN65" t="s">
        <v>6</v>
      </c>
      <c r="AO65" s="1">
        <v>9.9218749999999994E-2</v>
      </c>
      <c r="AP65" t="s">
        <v>7</v>
      </c>
      <c r="AQ65" s="1">
        <v>0.5</v>
      </c>
      <c r="AR65" t="s">
        <v>8</v>
      </c>
      <c r="AS65" s="1">
        <v>0</v>
      </c>
      <c r="AT65" s="1">
        <v>0.20020159714959401</v>
      </c>
      <c r="AU65" s="1">
        <f t="shared" si="2"/>
        <v>0.40040319429918803</v>
      </c>
    </row>
    <row r="66" spans="10:47">
      <c r="J66" t="s">
        <v>4</v>
      </c>
      <c r="K66">
        <v>0</v>
      </c>
      <c r="L66" t="s">
        <v>5</v>
      </c>
      <c r="M66">
        <v>64</v>
      </c>
      <c r="N66" t="s">
        <v>6</v>
      </c>
      <c r="O66" s="1">
        <v>0.1007813</v>
      </c>
      <c r="P66" t="s">
        <v>7</v>
      </c>
      <c r="Q66" s="1">
        <v>0.5</v>
      </c>
      <c r="R66" t="s">
        <v>8</v>
      </c>
      <c r="S66" s="1">
        <v>0</v>
      </c>
      <c r="T66" s="1">
        <v>0.20010469027684399</v>
      </c>
      <c r="U66" s="1">
        <f t="shared" si="0"/>
        <v>0.40020938055368799</v>
      </c>
      <c r="W66" t="s">
        <v>4</v>
      </c>
      <c r="X66">
        <v>0</v>
      </c>
      <c r="Y66" t="s">
        <v>5</v>
      </c>
      <c r="Z66">
        <v>64</v>
      </c>
      <c r="AA66" t="s">
        <v>6</v>
      </c>
      <c r="AB66" s="1">
        <v>0.1007813</v>
      </c>
      <c r="AC66" t="s">
        <v>7</v>
      </c>
      <c r="AD66" s="1">
        <v>0.5</v>
      </c>
      <c r="AE66" t="s">
        <v>8</v>
      </c>
      <c r="AF66" s="1">
        <v>0</v>
      </c>
      <c r="AG66" s="1">
        <v>0.20005826565250201</v>
      </c>
      <c r="AH66" s="1">
        <f t="shared" si="1"/>
        <v>0.40011653130500402</v>
      </c>
      <c r="AJ66" t="s">
        <v>4</v>
      </c>
      <c r="AK66">
        <v>0</v>
      </c>
      <c r="AL66" t="s">
        <v>5</v>
      </c>
      <c r="AM66">
        <v>64</v>
      </c>
      <c r="AN66" t="s">
        <v>6</v>
      </c>
      <c r="AO66" s="1">
        <v>0.1007813</v>
      </c>
      <c r="AP66" t="s">
        <v>7</v>
      </c>
      <c r="AQ66" s="1">
        <v>0.5</v>
      </c>
      <c r="AR66" t="s">
        <v>8</v>
      </c>
      <c r="AS66" s="1">
        <v>0</v>
      </c>
      <c r="AT66" s="1">
        <v>0.20022891305721999</v>
      </c>
      <c r="AU66" s="1">
        <f t="shared" si="2"/>
        <v>0.40045782611443997</v>
      </c>
    </row>
    <row r="67" spans="10:47">
      <c r="J67" t="s">
        <v>4</v>
      </c>
      <c r="K67">
        <v>0</v>
      </c>
      <c r="L67" t="s">
        <v>5</v>
      </c>
      <c r="M67">
        <v>65</v>
      </c>
      <c r="N67" t="s">
        <v>6</v>
      </c>
      <c r="O67" s="1">
        <v>0.1023438</v>
      </c>
      <c r="P67" t="s">
        <v>7</v>
      </c>
      <c r="Q67" s="1">
        <v>0.5</v>
      </c>
      <c r="R67" t="s">
        <v>8</v>
      </c>
      <c r="S67" s="1">
        <v>0</v>
      </c>
      <c r="T67" s="1">
        <v>0.20012117525627701</v>
      </c>
      <c r="U67" s="1">
        <f t="shared" ref="U67:U130" si="3">T67*2</f>
        <v>0.40024235051255402</v>
      </c>
      <c r="W67" t="s">
        <v>4</v>
      </c>
      <c r="X67">
        <v>0</v>
      </c>
      <c r="Y67" t="s">
        <v>5</v>
      </c>
      <c r="Z67">
        <v>65</v>
      </c>
      <c r="AA67" t="s">
        <v>6</v>
      </c>
      <c r="AB67" s="1">
        <v>0.1023438</v>
      </c>
      <c r="AC67" t="s">
        <v>7</v>
      </c>
      <c r="AD67" s="1">
        <v>0.5</v>
      </c>
      <c r="AE67" t="s">
        <v>8</v>
      </c>
      <c r="AF67" s="1">
        <v>0</v>
      </c>
      <c r="AG67" s="1">
        <v>0.20008202302987199</v>
      </c>
      <c r="AH67" s="1">
        <f t="shared" ref="AH67:AH130" si="4">AG67*2</f>
        <v>0.40016404605974398</v>
      </c>
      <c r="AJ67" t="s">
        <v>4</v>
      </c>
      <c r="AK67">
        <v>0</v>
      </c>
      <c r="AL67" t="s">
        <v>5</v>
      </c>
      <c r="AM67">
        <v>65</v>
      </c>
      <c r="AN67" t="s">
        <v>6</v>
      </c>
      <c r="AO67" s="1">
        <v>0.1023438</v>
      </c>
      <c r="AP67" t="s">
        <v>7</v>
      </c>
      <c r="AQ67" s="1">
        <v>0.5</v>
      </c>
      <c r="AR67" t="s">
        <v>8</v>
      </c>
      <c r="AS67" s="1">
        <v>0</v>
      </c>
      <c r="AT67" s="1">
        <v>0.20022999102858299</v>
      </c>
      <c r="AU67" s="1">
        <f t="shared" ref="AU67:AU130" si="5">AT67*2</f>
        <v>0.40045998205716599</v>
      </c>
    </row>
    <row r="68" spans="10:47">
      <c r="J68" t="s">
        <v>4</v>
      </c>
      <c r="K68">
        <v>0</v>
      </c>
      <c r="L68" t="s">
        <v>5</v>
      </c>
      <c r="M68">
        <v>66</v>
      </c>
      <c r="N68" t="s">
        <v>6</v>
      </c>
      <c r="O68" s="1">
        <v>0.10390629999999999</v>
      </c>
      <c r="P68" t="s">
        <v>7</v>
      </c>
      <c r="Q68" s="1">
        <v>0.5</v>
      </c>
      <c r="R68" t="s">
        <v>8</v>
      </c>
      <c r="S68" s="1">
        <v>0</v>
      </c>
      <c r="T68" s="1">
        <v>0.200137712813199</v>
      </c>
      <c r="U68" s="1">
        <f t="shared" si="3"/>
        <v>0.40027542562639801</v>
      </c>
      <c r="W68" t="s">
        <v>4</v>
      </c>
      <c r="X68">
        <v>0</v>
      </c>
      <c r="Y68" t="s">
        <v>5</v>
      </c>
      <c r="Z68">
        <v>66</v>
      </c>
      <c r="AA68" t="s">
        <v>6</v>
      </c>
      <c r="AB68" s="1">
        <v>0.10390629999999999</v>
      </c>
      <c r="AC68" t="s">
        <v>7</v>
      </c>
      <c r="AD68" s="1">
        <v>0.5</v>
      </c>
      <c r="AE68" t="s">
        <v>8</v>
      </c>
      <c r="AF68" s="1">
        <v>0</v>
      </c>
      <c r="AG68" s="1">
        <v>0.20010551026267601</v>
      </c>
      <c r="AH68" s="1">
        <f t="shared" si="4"/>
        <v>0.40021102052535201</v>
      </c>
      <c r="AJ68" t="s">
        <v>4</v>
      </c>
      <c r="AK68">
        <v>0</v>
      </c>
      <c r="AL68" t="s">
        <v>5</v>
      </c>
      <c r="AM68">
        <v>66</v>
      </c>
      <c r="AN68" t="s">
        <v>6</v>
      </c>
      <c r="AO68" s="1">
        <v>0.10390629999999999</v>
      </c>
      <c r="AP68" t="s">
        <v>7</v>
      </c>
      <c r="AQ68" s="1">
        <v>0.5</v>
      </c>
      <c r="AR68" t="s">
        <v>8</v>
      </c>
      <c r="AS68" s="1">
        <v>0</v>
      </c>
      <c r="AT68" s="1">
        <v>0.20023158673312699</v>
      </c>
      <c r="AU68" s="1">
        <f t="shared" si="5"/>
        <v>0.40046317346625399</v>
      </c>
    </row>
    <row r="69" spans="10:47">
      <c r="J69" t="s">
        <v>4</v>
      </c>
      <c r="K69">
        <v>0</v>
      </c>
      <c r="L69" t="s">
        <v>5</v>
      </c>
      <c r="M69">
        <v>67</v>
      </c>
      <c r="N69" t="s">
        <v>6</v>
      </c>
      <c r="O69" s="1">
        <v>0.1054688</v>
      </c>
      <c r="P69" t="s">
        <v>7</v>
      </c>
      <c r="Q69" s="1">
        <v>0.5</v>
      </c>
      <c r="R69" t="s">
        <v>8</v>
      </c>
      <c r="S69" s="1">
        <v>0</v>
      </c>
      <c r="T69" s="1">
        <v>0.200154301995146</v>
      </c>
      <c r="U69" s="1">
        <f t="shared" si="3"/>
        <v>0.400308603990292</v>
      </c>
      <c r="W69" t="s">
        <v>4</v>
      </c>
      <c r="X69">
        <v>0</v>
      </c>
      <c r="Y69" t="s">
        <v>5</v>
      </c>
      <c r="Z69">
        <v>67</v>
      </c>
      <c r="AA69" t="s">
        <v>6</v>
      </c>
      <c r="AB69" s="1">
        <v>0.1054688</v>
      </c>
      <c r="AC69" t="s">
        <v>7</v>
      </c>
      <c r="AD69" s="1">
        <v>0.5</v>
      </c>
      <c r="AE69" t="s">
        <v>8</v>
      </c>
      <c r="AF69" s="1">
        <v>0</v>
      </c>
      <c r="AG69" s="1">
        <v>0.200128721055643</v>
      </c>
      <c r="AH69" s="1">
        <f t="shared" si="4"/>
        <v>0.400257442111286</v>
      </c>
      <c r="AJ69" t="s">
        <v>4</v>
      </c>
      <c r="AK69">
        <v>0</v>
      </c>
      <c r="AL69" t="s">
        <v>5</v>
      </c>
      <c r="AM69">
        <v>67</v>
      </c>
      <c r="AN69" t="s">
        <v>6</v>
      </c>
      <c r="AO69" s="1">
        <v>0.1054688</v>
      </c>
      <c r="AP69" t="s">
        <v>7</v>
      </c>
      <c r="AQ69" s="1">
        <v>0.5</v>
      </c>
      <c r="AR69" t="s">
        <v>8</v>
      </c>
      <c r="AS69" s="1">
        <v>0</v>
      </c>
      <c r="AT69" s="1">
        <v>0.20023370536059401</v>
      </c>
      <c r="AU69" s="1">
        <f t="shared" si="5"/>
        <v>0.40046741072118802</v>
      </c>
    </row>
    <row r="70" spans="10:47">
      <c r="J70" t="s">
        <v>4</v>
      </c>
      <c r="K70">
        <v>0</v>
      </c>
      <c r="L70" t="s">
        <v>5</v>
      </c>
      <c r="M70">
        <v>68</v>
      </c>
      <c r="N70" t="s">
        <v>6</v>
      </c>
      <c r="O70" s="1">
        <v>0.1070313</v>
      </c>
      <c r="P70" t="s">
        <v>7</v>
      </c>
      <c r="Q70" s="1">
        <v>0.5</v>
      </c>
      <c r="R70" t="s">
        <v>8</v>
      </c>
      <c r="S70" s="1">
        <v>0</v>
      </c>
      <c r="T70" s="1">
        <v>0.200170941860878</v>
      </c>
      <c r="U70" s="1">
        <f t="shared" si="3"/>
        <v>0.400341883721756</v>
      </c>
      <c r="W70" t="s">
        <v>4</v>
      </c>
      <c r="X70">
        <v>0</v>
      </c>
      <c r="Y70" t="s">
        <v>5</v>
      </c>
      <c r="Z70">
        <v>68</v>
      </c>
      <c r="AA70" t="s">
        <v>6</v>
      </c>
      <c r="AB70" s="1">
        <v>0.1070313</v>
      </c>
      <c r="AC70" t="s">
        <v>7</v>
      </c>
      <c r="AD70" s="1">
        <v>0.5</v>
      </c>
      <c r="AE70" t="s">
        <v>8</v>
      </c>
      <c r="AF70" s="1">
        <v>0</v>
      </c>
      <c r="AG70" s="1">
        <v>0.20015164917397399</v>
      </c>
      <c r="AH70" s="1">
        <f t="shared" si="4"/>
        <v>0.40030329834794798</v>
      </c>
      <c r="AJ70" t="s">
        <v>4</v>
      </c>
      <c r="AK70">
        <v>0</v>
      </c>
      <c r="AL70" t="s">
        <v>5</v>
      </c>
      <c r="AM70">
        <v>68</v>
      </c>
      <c r="AN70" t="s">
        <v>6</v>
      </c>
      <c r="AO70" s="1">
        <v>0.1070313</v>
      </c>
      <c r="AP70" t="s">
        <v>7</v>
      </c>
      <c r="AQ70" s="1">
        <v>0.5</v>
      </c>
      <c r="AR70" t="s">
        <v>8</v>
      </c>
      <c r="AS70" s="1">
        <v>0</v>
      </c>
      <c r="AT70" s="1">
        <v>0.200236352001124</v>
      </c>
      <c r="AU70" s="1">
        <f t="shared" si="5"/>
        <v>0.40047270400224799</v>
      </c>
    </row>
    <row r="71" spans="10:47">
      <c r="J71" t="s">
        <v>4</v>
      </c>
      <c r="K71">
        <v>0</v>
      </c>
      <c r="L71" t="s">
        <v>5</v>
      </c>
      <c r="M71">
        <v>69</v>
      </c>
      <c r="N71" t="s">
        <v>6</v>
      </c>
      <c r="O71" s="1">
        <v>0.1085938</v>
      </c>
      <c r="P71" t="s">
        <v>7</v>
      </c>
      <c r="Q71" s="1">
        <v>0.5</v>
      </c>
      <c r="R71" t="s">
        <v>8</v>
      </c>
      <c r="S71" s="1">
        <v>0</v>
      </c>
      <c r="T71" s="1">
        <v>0.20018763148042501</v>
      </c>
      <c r="U71" s="1">
        <f t="shared" si="3"/>
        <v>0.40037526296085002</v>
      </c>
      <c r="W71" t="s">
        <v>4</v>
      </c>
      <c r="X71">
        <v>0</v>
      </c>
      <c r="Y71" t="s">
        <v>5</v>
      </c>
      <c r="Z71">
        <v>69</v>
      </c>
      <c r="AA71" t="s">
        <v>6</v>
      </c>
      <c r="AB71" s="1">
        <v>0.1085938</v>
      </c>
      <c r="AC71" t="s">
        <v>7</v>
      </c>
      <c r="AD71" s="1">
        <v>0.5</v>
      </c>
      <c r="AE71" t="s">
        <v>8</v>
      </c>
      <c r="AF71" s="1">
        <v>0</v>
      </c>
      <c r="AG71" s="1">
        <v>0.20017428844511201</v>
      </c>
      <c r="AH71" s="1">
        <f t="shared" si="4"/>
        <v>0.40034857689022402</v>
      </c>
      <c r="AJ71" t="s">
        <v>4</v>
      </c>
      <c r="AK71">
        <v>0</v>
      </c>
      <c r="AL71" t="s">
        <v>5</v>
      </c>
      <c r="AM71">
        <v>69</v>
      </c>
      <c r="AN71" t="s">
        <v>6</v>
      </c>
      <c r="AO71" s="1">
        <v>0.1085938</v>
      </c>
      <c r="AP71" t="s">
        <v>7</v>
      </c>
      <c r="AQ71" s="1">
        <v>0.5</v>
      </c>
      <c r="AR71" t="s">
        <v>8</v>
      </c>
      <c r="AS71" s="1">
        <v>0</v>
      </c>
      <c r="AT71" s="1">
        <v>0.20023953165198699</v>
      </c>
      <c r="AU71" s="1">
        <f t="shared" si="5"/>
        <v>0.40047906330397398</v>
      </c>
    </row>
    <row r="72" spans="10:47">
      <c r="J72" t="s">
        <v>4</v>
      </c>
      <c r="K72">
        <v>0</v>
      </c>
      <c r="L72" t="s">
        <v>5</v>
      </c>
      <c r="M72">
        <v>70</v>
      </c>
      <c r="N72" t="s">
        <v>6</v>
      </c>
      <c r="O72" s="1">
        <v>0.1101563</v>
      </c>
      <c r="P72" t="s">
        <v>7</v>
      </c>
      <c r="Q72" s="1">
        <v>0.5</v>
      </c>
      <c r="R72" t="s">
        <v>8</v>
      </c>
      <c r="S72" s="1">
        <v>0</v>
      </c>
      <c r="T72" s="1">
        <v>0.20020436993517499</v>
      </c>
      <c r="U72" s="1">
        <f t="shared" si="3"/>
        <v>0.40040873987034997</v>
      </c>
      <c r="W72" t="s">
        <v>4</v>
      </c>
      <c r="X72">
        <v>0</v>
      </c>
      <c r="Y72" t="s">
        <v>5</v>
      </c>
      <c r="Z72">
        <v>70</v>
      </c>
      <c r="AA72" t="s">
        <v>6</v>
      </c>
      <c r="AB72" s="1">
        <v>0.1101563</v>
      </c>
      <c r="AC72" t="s">
        <v>7</v>
      </c>
      <c r="AD72" s="1">
        <v>0.5</v>
      </c>
      <c r="AE72" t="s">
        <v>8</v>
      </c>
      <c r="AF72" s="1">
        <v>0</v>
      </c>
      <c r="AG72" s="1">
        <v>0.20019663276053201</v>
      </c>
      <c r="AH72" s="1">
        <f t="shared" si="4"/>
        <v>0.40039326552106402</v>
      </c>
      <c r="AJ72" t="s">
        <v>4</v>
      </c>
      <c r="AK72">
        <v>0</v>
      </c>
      <c r="AL72" t="s">
        <v>5</v>
      </c>
      <c r="AM72">
        <v>70</v>
      </c>
      <c r="AN72" t="s">
        <v>6</v>
      </c>
      <c r="AO72" s="1">
        <v>0.1101563</v>
      </c>
      <c r="AP72" t="s">
        <v>7</v>
      </c>
      <c r="AQ72" s="1">
        <v>0.5</v>
      </c>
      <c r="AR72" t="s">
        <v>8</v>
      </c>
      <c r="AS72" s="1">
        <v>0</v>
      </c>
      <c r="AT72" s="1">
        <v>0.20024324922598899</v>
      </c>
      <c r="AU72" s="1">
        <f t="shared" si="5"/>
        <v>0.40048649845197798</v>
      </c>
    </row>
    <row r="73" spans="10:47">
      <c r="J73" t="s">
        <v>4</v>
      </c>
      <c r="K73">
        <v>0</v>
      </c>
      <c r="L73" t="s">
        <v>5</v>
      </c>
      <c r="M73">
        <v>71</v>
      </c>
      <c r="N73" t="s">
        <v>6</v>
      </c>
      <c r="O73" s="1">
        <v>0.11171879999999999</v>
      </c>
      <c r="P73" t="s">
        <v>7</v>
      </c>
      <c r="Q73" s="1">
        <v>0.5</v>
      </c>
      <c r="R73" t="s">
        <v>8</v>
      </c>
      <c r="S73" s="1">
        <v>0</v>
      </c>
      <c r="T73" s="1">
        <v>0.200221156318063</v>
      </c>
      <c r="U73" s="1">
        <f t="shared" si="3"/>
        <v>0.40044231263612601</v>
      </c>
      <c r="W73" t="s">
        <v>4</v>
      </c>
      <c r="X73">
        <v>0</v>
      </c>
      <c r="Y73" t="s">
        <v>5</v>
      </c>
      <c r="Z73">
        <v>71</v>
      </c>
      <c r="AA73" t="s">
        <v>6</v>
      </c>
      <c r="AB73" s="1">
        <v>0.11171879999999999</v>
      </c>
      <c r="AC73" t="s">
        <v>7</v>
      </c>
      <c r="AD73" s="1">
        <v>0.5</v>
      </c>
      <c r="AE73" t="s">
        <v>8</v>
      </c>
      <c r="AF73" s="1">
        <v>0</v>
      </c>
      <c r="AG73" s="1">
        <v>0.20021867607728799</v>
      </c>
      <c r="AH73" s="1">
        <f t="shared" si="4"/>
        <v>0.40043735215457599</v>
      </c>
      <c r="AJ73" t="s">
        <v>4</v>
      </c>
      <c r="AK73">
        <v>0</v>
      </c>
      <c r="AL73" t="s">
        <v>5</v>
      </c>
      <c r="AM73">
        <v>71</v>
      </c>
      <c r="AN73" t="s">
        <v>6</v>
      </c>
      <c r="AO73" s="1">
        <v>0.11171879999999999</v>
      </c>
      <c r="AP73" t="s">
        <v>7</v>
      </c>
      <c r="AQ73" s="1">
        <v>0.5</v>
      </c>
      <c r="AR73" t="s">
        <v>8</v>
      </c>
      <c r="AS73" s="1">
        <v>0</v>
      </c>
      <c r="AT73" s="1">
        <v>0.20024750955847101</v>
      </c>
      <c r="AU73" s="1">
        <f t="shared" si="5"/>
        <v>0.40049501911694202</v>
      </c>
    </row>
    <row r="74" spans="10:47">
      <c r="J74" t="s">
        <v>4</v>
      </c>
      <c r="K74">
        <v>0</v>
      </c>
      <c r="L74" t="s">
        <v>5</v>
      </c>
      <c r="M74">
        <v>72</v>
      </c>
      <c r="N74" t="s">
        <v>6</v>
      </c>
      <c r="O74" s="1">
        <v>0.1132813</v>
      </c>
      <c r="P74" t="s">
        <v>7</v>
      </c>
      <c r="Q74" s="1">
        <v>0.5</v>
      </c>
      <c r="R74" t="s">
        <v>8</v>
      </c>
      <c r="S74" s="1">
        <v>0</v>
      </c>
      <c r="T74" s="1">
        <v>0.20023798973344001</v>
      </c>
      <c r="U74" s="1">
        <f t="shared" si="3"/>
        <v>0.40047597946688002</v>
      </c>
      <c r="W74" t="s">
        <v>4</v>
      </c>
      <c r="X74">
        <v>0</v>
      </c>
      <c r="Y74" t="s">
        <v>5</v>
      </c>
      <c r="Z74">
        <v>72</v>
      </c>
      <c r="AA74" t="s">
        <v>6</v>
      </c>
      <c r="AB74" s="1">
        <v>0.1132813</v>
      </c>
      <c r="AC74" t="s">
        <v>7</v>
      </c>
      <c r="AD74" s="1">
        <v>0.5</v>
      </c>
      <c r="AE74" t="s">
        <v>8</v>
      </c>
      <c r="AF74" s="1">
        <v>0</v>
      </c>
      <c r="AG74" s="1">
        <v>0.20024041242017099</v>
      </c>
      <c r="AH74" s="1">
        <f t="shared" si="4"/>
        <v>0.40048082484034198</v>
      </c>
      <c r="AJ74" t="s">
        <v>4</v>
      </c>
      <c r="AK74">
        <v>0</v>
      </c>
      <c r="AL74" t="s">
        <v>5</v>
      </c>
      <c r="AM74">
        <v>72</v>
      </c>
      <c r="AN74" t="s">
        <v>6</v>
      </c>
      <c r="AO74" s="1">
        <v>0.1132813</v>
      </c>
      <c r="AP74" t="s">
        <v>7</v>
      </c>
      <c r="AQ74" s="1">
        <v>0.5</v>
      </c>
      <c r="AR74" t="s">
        <v>8</v>
      </c>
      <c r="AS74" s="1">
        <v>0</v>
      </c>
      <c r="AT74" s="1">
        <v>0.20025231741400501</v>
      </c>
      <c r="AU74" s="1">
        <f t="shared" si="5"/>
        <v>0.40050463482801002</v>
      </c>
    </row>
    <row r="75" spans="10:47">
      <c r="J75" t="s">
        <v>4</v>
      </c>
      <c r="K75">
        <v>0</v>
      </c>
      <c r="L75" t="s">
        <v>5</v>
      </c>
      <c r="M75">
        <v>73</v>
      </c>
      <c r="N75" t="s">
        <v>6</v>
      </c>
      <c r="O75" s="1">
        <v>0.11484370000000001</v>
      </c>
      <c r="P75" t="s">
        <v>7</v>
      </c>
      <c r="Q75" s="1">
        <v>0.5</v>
      </c>
      <c r="R75" t="s">
        <v>8</v>
      </c>
      <c r="S75" s="1">
        <v>0</v>
      </c>
      <c r="T75" s="1">
        <v>0.20025486929735301</v>
      </c>
      <c r="U75" s="1">
        <f t="shared" si="3"/>
        <v>0.40050973859470601</v>
      </c>
      <c r="W75" t="s">
        <v>4</v>
      </c>
      <c r="X75">
        <v>0</v>
      </c>
      <c r="Y75" t="s">
        <v>5</v>
      </c>
      <c r="Z75">
        <v>73</v>
      </c>
      <c r="AA75" t="s">
        <v>6</v>
      </c>
      <c r="AB75" s="1">
        <v>0.11484370000000001</v>
      </c>
      <c r="AC75" t="s">
        <v>7</v>
      </c>
      <c r="AD75" s="1">
        <v>0.5</v>
      </c>
      <c r="AE75" t="s">
        <v>8</v>
      </c>
      <c r="AF75" s="1">
        <v>0</v>
      </c>
      <c r="AG75" s="1">
        <v>0.20026183588309601</v>
      </c>
      <c r="AH75" s="1">
        <f t="shared" si="4"/>
        <v>0.40052367176619202</v>
      </c>
      <c r="AJ75" t="s">
        <v>4</v>
      </c>
      <c r="AK75">
        <v>0</v>
      </c>
      <c r="AL75" t="s">
        <v>5</v>
      </c>
      <c r="AM75">
        <v>73</v>
      </c>
      <c r="AN75" t="s">
        <v>6</v>
      </c>
      <c r="AO75" s="1">
        <v>0.11484370000000001</v>
      </c>
      <c r="AP75" t="s">
        <v>7</v>
      </c>
      <c r="AQ75" s="1">
        <v>0.5</v>
      </c>
      <c r="AR75" t="s">
        <v>8</v>
      </c>
      <c r="AS75" s="1">
        <v>0</v>
      </c>
      <c r="AT75" s="1">
        <v>0.200257677495673</v>
      </c>
      <c r="AU75" s="1">
        <f t="shared" si="5"/>
        <v>0.400515354991346</v>
      </c>
    </row>
    <row r="76" spans="10:47">
      <c r="J76" t="s">
        <v>4</v>
      </c>
      <c r="K76">
        <v>0</v>
      </c>
      <c r="L76" t="s">
        <v>5</v>
      </c>
      <c r="M76">
        <v>74</v>
      </c>
      <c r="N76" t="s">
        <v>6</v>
      </c>
      <c r="O76" s="1">
        <v>0.1164063</v>
      </c>
      <c r="P76" t="s">
        <v>7</v>
      </c>
      <c r="Q76" s="1">
        <v>0.5</v>
      </c>
      <c r="R76" t="s">
        <v>8</v>
      </c>
      <c r="S76" s="1">
        <v>0</v>
      </c>
      <c r="T76" s="1">
        <v>0.200271794137557</v>
      </c>
      <c r="U76" s="1">
        <f t="shared" si="3"/>
        <v>0.40054358827511399</v>
      </c>
      <c r="W76" t="s">
        <v>4</v>
      </c>
      <c r="X76">
        <v>0</v>
      </c>
      <c r="Y76" t="s">
        <v>5</v>
      </c>
      <c r="Z76">
        <v>74</v>
      </c>
      <c r="AA76" t="s">
        <v>6</v>
      </c>
      <c r="AB76" s="1">
        <v>0.1164063</v>
      </c>
      <c r="AC76" t="s">
        <v>7</v>
      </c>
      <c r="AD76" s="1">
        <v>0.5</v>
      </c>
      <c r="AE76" t="s">
        <v>8</v>
      </c>
      <c r="AF76" s="1">
        <v>0</v>
      </c>
      <c r="AG76" s="1">
        <v>0.20028294063117799</v>
      </c>
      <c r="AH76" s="1">
        <f t="shared" si="4"/>
        <v>0.40056588126235598</v>
      </c>
      <c r="AJ76" t="s">
        <v>4</v>
      </c>
      <c r="AK76">
        <v>0</v>
      </c>
      <c r="AL76" t="s">
        <v>5</v>
      </c>
      <c r="AM76">
        <v>74</v>
      </c>
      <c r="AN76" t="s">
        <v>6</v>
      </c>
      <c r="AO76" s="1">
        <v>0.1164063</v>
      </c>
      <c r="AP76" t="s">
        <v>7</v>
      </c>
      <c r="AQ76" s="1">
        <v>0.5</v>
      </c>
      <c r="AR76" t="s">
        <v>8</v>
      </c>
      <c r="AS76" s="1">
        <v>0</v>
      </c>
      <c r="AT76" s="1">
        <v>0.20026359445042</v>
      </c>
      <c r="AU76" s="1">
        <f t="shared" si="5"/>
        <v>0.40052718890083999</v>
      </c>
    </row>
    <row r="77" spans="10:47">
      <c r="J77" t="s">
        <v>4</v>
      </c>
      <c r="K77">
        <v>0</v>
      </c>
      <c r="L77" t="s">
        <v>5</v>
      </c>
      <c r="M77">
        <v>75</v>
      </c>
      <c r="N77" t="s">
        <v>6</v>
      </c>
      <c r="O77" s="1">
        <v>0.1179687</v>
      </c>
      <c r="P77" t="s">
        <v>7</v>
      </c>
      <c r="Q77" s="1">
        <v>0.5</v>
      </c>
      <c r="R77" t="s">
        <v>8</v>
      </c>
      <c r="S77" s="1">
        <v>0</v>
      </c>
      <c r="T77" s="1">
        <v>0.200288763393666</v>
      </c>
      <c r="U77" s="1">
        <f t="shared" si="3"/>
        <v>0.40057752678733199</v>
      </c>
      <c r="W77" t="s">
        <v>4</v>
      </c>
      <c r="X77">
        <v>0</v>
      </c>
      <c r="Y77" t="s">
        <v>5</v>
      </c>
      <c r="Z77">
        <v>75</v>
      </c>
      <c r="AA77" t="s">
        <v>6</v>
      </c>
      <c r="AB77" s="1">
        <v>0.1179687</v>
      </c>
      <c r="AC77" t="s">
        <v>7</v>
      </c>
      <c r="AD77" s="1">
        <v>0.5</v>
      </c>
      <c r="AE77" t="s">
        <v>8</v>
      </c>
      <c r="AF77" s="1">
        <v>0</v>
      </c>
      <c r="AG77" s="1">
        <v>0.20030372090249701</v>
      </c>
      <c r="AH77" s="1">
        <f t="shared" si="4"/>
        <v>0.40060744180499402</v>
      </c>
      <c r="AJ77" t="s">
        <v>4</v>
      </c>
      <c r="AK77">
        <v>0</v>
      </c>
      <c r="AL77" t="s">
        <v>5</v>
      </c>
      <c r="AM77">
        <v>75</v>
      </c>
      <c r="AN77" t="s">
        <v>6</v>
      </c>
      <c r="AO77" s="1">
        <v>0.1179687</v>
      </c>
      <c r="AP77" t="s">
        <v>7</v>
      </c>
      <c r="AQ77" s="1">
        <v>0.5</v>
      </c>
      <c r="AR77" t="s">
        <v>8</v>
      </c>
      <c r="AS77" s="1">
        <v>0</v>
      </c>
      <c r="AT77" s="1">
        <v>0.20027007287745299</v>
      </c>
      <c r="AU77" s="1">
        <f t="shared" si="5"/>
        <v>0.40054014575490599</v>
      </c>
    </row>
    <row r="78" spans="10:47">
      <c r="J78" t="s">
        <v>4</v>
      </c>
      <c r="K78">
        <v>0</v>
      </c>
      <c r="L78" t="s">
        <v>5</v>
      </c>
      <c r="M78">
        <v>76</v>
      </c>
      <c r="N78" t="s">
        <v>6</v>
      </c>
      <c r="O78" s="1">
        <v>0.11953129999999999</v>
      </c>
      <c r="P78" t="s">
        <v>7</v>
      </c>
      <c r="Q78" s="1">
        <v>0.5</v>
      </c>
      <c r="R78" t="s">
        <v>8</v>
      </c>
      <c r="S78" s="1">
        <v>0</v>
      </c>
      <c r="T78" s="1">
        <v>0.20030577621710799</v>
      </c>
      <c r="U78" s="1">
        <f t="shared" si="3"/>
        <v>0.40061155243421598</v>
      </c>
      <c r="W78" t="s">
        <v>4</v>
      </c>
      <c r="X78">
        <v>0</v>
      </c>
      <c r="Y78" t="s">
        <v>5</v>
      </c>
      <c r="Z78">
        <v>76</v>
      </c>
      <c r="AA78" t="s">
        <v>6</v>
      </c>
      <c r="AB78" s="1">
        <v>0.11953129999999999</v>
      </c>
      <c r="AC78" t="s">
        <v>7</v>
      </c>
      <c r="AD78" s="1">
        <v>0.5</v>
      </c>
      <c r="AE78" t="s">
        <v>8</v>
      </c>
      <c r="AF78" s="1">
        <v>0</v>
      </c>
      <c r="AG78" s="1">
        <v>0.200324171009955</v>
      </c>
      <c r="AH78" s="1">
        <f t="shared" si="4"/>
        <v>0.40064834201991001</v>
      </c>
      <c r="AJ78" t="s">
        <v>4</v>
      </c>
      <c r="AK78">
        <v>0</v>
      </c>
      <c r="AL78" t="s">
        <v>5</v>
      </c>
      <c r="AM78">
        <v>76</v>
      </c>
      <c r="AN78" t="s">
        <v>6</v>
      </c>
      <c r="AO78" s="1">
        <v>0.11953129999999999</v>
      </c>
      <c r="AP78" t="s">
        <v>7</v>
      </c>
      <c r="AQ78" s="1">
        <v>0.5</v>
      </c>
      <c r="AR78" t="s">
        <v>8</v>
      </c>
      <c r="AS78" s="1">
        <v>0</v>
      </c>
      <c r="AT78" s="1">
        <v>0.20027711733529699</v>
      </c>
      <c r="AU78" s="1">
        <f t="shared" si="5"/>
        <v>0.40055423467059398</v>
      </c>
    </row>
    <row r="79" spans="10:47">
      <c r="J79" t="s">
        <v>4</v>
      </c>
      <c r="K79">
        <v>0</v>
      </c>
      <c r="L79" t="s">
        <v>5</v>
      </c>
      <c r="M79">
        <v>77</v>
      </c>
      <c r="N79" t="s">
        <v>6</v>
      </c>
      <c r="O79" s="1">
        <v>0.1210938</v>
      </c>
      <c r="P79" t="s">
        <v>7</v>
      </c>
      <c r="Q79" s="1">
        <v>0.5</v>
      </c>
      <c r="R79" t="s">
        <v>8</v>
      </c>
      <c r="S79" s="1">
        <v>0</v>
      </c>
      <c r="T79" s="1">
        <v>0.20032283177135901</v>
      </c>
      <c r="U79" s="1">
        <f t="shared" si="3"/>
        <v>0.40064566354271802</v>
      </c>
      <c r="W79" t="s">
        <v>4</v>
      </c>
      <c r="X79">
        <v>0</v>
      </c>
      <c r="Y79" t="s">
        <v>5</v>
      </c>
      <c r="Z79">
        <v>77</v>
      </c>
      <c r="AA79" t="s">
        <v>6</v>
      </c>
      <c r="AB79" s="1">
        <v>0.1210938</v>
      </c>
      <c r="AC79" t="s">
        <v>7</v>
      </c>
      <c r="AD79" s="1">
        <v>0.5</v>
      </c>
      <c r="AE79" t="s">
        <v>8</v>
      </c>
      <c r="AF79" s="1">
        <v>0</v>
      </c>
      <c r="AG79" s="1">
        <v>0.20034428534318299</v>
      </c>
      <c r="AH79" s="1">
        <f t="shared" si="4"/>
        <v>0.40068857068636599</v>
      </c>
      <c r="AJ79" t="s">
        <v>4</v>
      </c>
      <c r="AK79">
        <v>0</v>
      </c>
      <c r="AL79" t="s">
        <v>5</v>
      </c>
      <c r="AM79">
        <v>77</v>
      </c>
      <c r="AN79" t="s">
        <v>6</v>
      </c>
      <c r="AO79" s="1">
        <v>0.1210938</v>
      </c>
      <c r="AP79" t="s">
        <v>7</v>
      </c>
      <c r="AQ79" s="1">
        <v>0.5</v>
      </c>
      <c r="AR79" t="s">
        <v>8</v>
      </c>
      <c r="AS79" s="1">
        <v>0</v>
      </c>
      <c r="AT79" s="1">
        <v>0.200284732347943</v>
      </c>
      <c r="AU79" s="1">
        <f t="shared" si="5"/>
        <v>0.400569464695886</v>
      </c>
    </row>
    <row r="80" spans="10:47">
      <c r="J80" t="s">
        <v>4</v>
      </c>
      <c r="K80">
        <v>0</v>
      </c>
      <c r="L80" t="s">
        <v>5</v>
      </c>
      <c r="M80">
        <v>78</v>
      </c>
      <c r="N80" t="s">
        <v>6</v>
      </c>
      <c r="O80" s="1">
        <v>0.12265620000000001</v>
      </c>
      <c r="P80" t="s">
        <v>7</v>
      </c>
      <c r="Q80" s="1">
        <v>0.5</v>
      </c>
      <c r="R80" t="s">
        <v>8</v>
      </c>
      <c r="S80" s="1">
        <v>0</v>
      </c>
      <c r="T80" s="1">
        <v>0.20033992923192101</v>
      </c>
      <c r="U80" s="1">
        <f t="shared" si="3"/>
        <v>0.40067985846384202</v>
      </c>
      <c r="W80" t="s">
        <v>4</v>
      </c>
      <c r="X80">
        <v>0</v>
      </c>
      <c r="Y80" t="s">
        <v>5</v>
      </c>
      <c r="Z80">
        <v>78</v>
      </c>
      <c r="AA80" t="s">
        <v>6</v>
      </c>
      <c r="AB80" s="1">
        <v>0.12265620000000001</v>
      </c>
      <c r="AC80" t="s">
        <v>7</v>
      </c>
      <c r="AD80" s="1">
        <v>0.5</v>
      </c>
      <c r="AE80" t="s">
        <v>8</v>
      </c>
      <c r="AF80" s="1">
        <v>0</v>
      </c>
      <c r="AG80" s="1">
        <v>0.200364058370329</v>
      </c>
      <c r="AH80" s="1">
        <f t="shared" si="4"/>
        <v>0.400728116740658</v>
      </c>
      <c r="AJ80" t="s">
        <v>4</v>
      </c>
      <c r="AK80">
        <v>0</v>
      </c>
      <c r="AL80" t="s">
        <v>5</v>
      </c>
      <c r="AM80">
        <v>78</v>
      </c>
      <c r="AN80" t="s">
        <v>6</v>
      </c>
      <c r="AO80" s="1">
        <v>0.12265620000000001</v>
      </c>
      <c r="AP80" t="s">
        <v>7</v>
      </c>
      <c r="AQ80" s="1">
        <v>0.5</v>
      </c>
      <c r="AR80" t="s">
        <v>8</v>
      </c>
      <c r="AS80" s="1">
        <v>0</v>
      </c>
      <c r="AT80" s="1">
        <v>0.20029292241330601</v>
      </c>
      <c r="AU80" s="1">
        <f t="shared" si="5"/>
        <v>0.40058584482661203</v>
      </c>
    </row>
    <row r="81" spans="10:47">
      <c r="J81" t="s">
        <v>4</v>
      </c>
      <c r="K81">
        <v>0</v>
      </c>
      <c r="L81" t="s">
        <v>5</v>
      </c>
      <c r="M81">
        <v>79</v>
      </c>
      <c r="N81" t="s">
        <v>6</v>
      </c>
      <c r="O81" s="1">
        <v>0.1242188</v>
      </c>
      <c r="P81" t="s">
        <v>7</v>
      </c>
      <c r="Q81" s="1">
        <v>0.5</v>
      </c>
      <c r="R81" t="s">
        <v>8</v>
      </c>
      <c r="S81" s="1">
        <v>0</v>
      </c>
      <c r="T81" s="1">
        <v>0.20035706778647</v>
      </c>
      <c r="U81" s="1">
        <f t="shared" si="3"/>
        <v>0.40071413557294</v>
      </c>
      <c r="W81" t="s">
        <v>4</v>
      </c>
      <c r="X81">
        <v>0</v>
      </c>
      <c r="Y81" t="s">
        <v>5</v>
      </c>
      <c r="Z81">
        <v>79</v>
      </c>
      <c r="AA81" t="s">
        <v>6</v>
      </c>
      <c r="AB81" s="1">
        <v>0.1242188</v>
      </c>
      <c r="AC81" t="s">
        <v>7</v>
      </c>
      <c r="AD81" s="1">
        <v>0.5</v>
      </c>
      <c r="AE81" t="s">
        <v>8</v>
      </c>
      <c r="AF81" s="1">
        <v>0</v>
      </c>
      <c r="AG81" s="1">
        <v>0.20038348464011399</v>
      </c>
      <c r="AH81" s="1">
        <f t="shared" si="4"/>
        <v>0.40076696928022798</v>
      </c>
      <c r="AJ81" t="s">
        <v>4</v>
      </c>
      <c r="AK81">
        <v>0</v>
      </c>
      <c r="AL81" t="s">
        <v>5</v>
      </c>
      <c r="AM81">
        <v>79</v>
      </c>
      <c r="AN81" t="s">
        <v>6</v>
      </c>
      <c r="AO81" s="1">
        <v>0.1242188</v>
      </c>
      <c r="AP81" t="s">
        <v>7</v>
      </c>
      <c r="AQ81" s="1">
        <v>0.5</v>
      </c>
      <c r="AR81" t="s">
        <v>8</v>
      </c>
      <c r="AS81" s="1">
        <v>0</v>
      </c>
      <c r="AT81" s="1">
        <v>0.20030169200936601</v>
      </c>
      <c r="AU81" s="1">
        <f t="shared" si="5"/>
        <v>0.40060338401873202</v>
      </c>
    </row>
    <row r="82" spans="10:47">
      <c r="J82" t="s">
        <v>4</v>
      </c>
      <c r="K82">
        <v>0</v>
      </c>
      <c r="L82" t="s">
        <v>5</v>
      </c>
      <c r="M82">
        <v>80</v>
      </c>
      <c r="N82" t="s">
        <v>6</v>
      </c>
      <c r="O82" s="1">
        <v>0.12578130000000001</v>
      </c>
      <c r="P82" t="s">
        <v>7</v>
      </c>
      <c r="Q82" s="1">
        <v>0.5</v>
      </c>
      <c r="R82" t="s">
        <v>8</v>
      </c>
      <c r="S82" s="1">
        <v>0</v>
      </c>
      <c r="T82" s="1">
        <v>0.20037608322848199</v>
      </c>
      <c r="U82" s="1">
        <f t="shared" si="3"/>
        <v>0.40075216645696399</v>
      </c>
      <c r="W82" t="s">
        <v>4</v>
      </c>
      <c r="X82">
        <v>0</v>
      </c>
      <c r="Y82" t="s">
        <v>5</v>
      </c>
      <c r="Z82">
        <v>80</v>
      </c>
      <c r="AA82" t="s">
        <v>6</v>
      </c>
      <c r="AB82" s="1">
        <v>0.12578130000000001</v>
      </c>
      <c r="AC82" t="s">
        <v>7</v>
      </c>
      <c r="AD82" s="1">
        <v>0.5</v>
      </c>
      <c r="AE82" t="s">
        <v>8</v>
      </c>
      <c r="AF82" s="1">
        <v>0</v>
      </c>
      <c r="AG82" s="1">
        <v>0.20040178946311599</v>
      </c>
      <c r="AH82" s="1">
        <f t="shared" si="4"/>
        <v>0.40080357892623197</v>
      </c>
      <c r="AJ82" t="s">
        <v>4</v>
      </c>
      <c r="AK82">
        <v>0</v>
      </c>
      <c r="AL82" t="s">
        <v>5</v>
      </c>
      <c r="AM82">
        <v>80</v>
      </c>
      <c r="AN82" t="s">
        <v>6</v>
      </c>
      <c r="AO82" s="1">
        <v>0.12578130000000001</v>
      </c>
      <c r="AP82" t="s">
        <v>7</v>
      </c>
      <c r="AQ82" s="1">
        <v>0.5</v>
      </c>
      <c r="AR82" t="s">
        <v>8</v>
      </c>
      <c r="AS82" s="1">
        <v>0</v>
      </c>
      <c r="AT82" s="1">
        <v>0.20031955361631401</v>
      </c>
      <c r="AU82" s="1">
        <f t="shared" si="5"/>
        <v>0.40063910723262802</v>
      </c>
    </row>
    <row r="83" spans="10:47">
      <c r="J83" t="s">
        <v>4</v>
      </c>
      <c r="K83">
        <v>0</v>
      </c>
      <c r="L83" t="s">
        <v>5</v>
      </c>
      <c r="M83">
        <v>81</v>
      </c>
      <c r="N83" t="s">
        <v>6</v>
      </c>
      <c r="O83" s="1">
        <v>0.12734380000000001</v>
      </c>
      <c r="P83" t="s">
        <v>7</v>
      </c>
      <c r="Q83" s="1">
        <v>0.5</v>
      </c>
      <c r="R83" t="s">
        <v>8</v>
      </c>
      <c r="S83" s="1">
        <v>0</v>
      </c>
      <c r="T83" s="1">
        <v>0.20039698422299701</v>
      </c>
      <c r="U83" s="1">
        <f t="shared" si="3"/>
        <v>0.40079396844599402</v>
      </c>
      <c r="W83" t="s">
        <v>4</v>
      </c>
      <c r="X83">
        <v>0</v>
      </c>
      <c r="Y83" t="s">
        <v>5</v>
      </c>
      <c r="Z83">
        <v>81</v>
      </c>
      <c r="AA83" t="s">
        <v>6</v>
      </c>
      <c r="AB83" s="1">
        <v>0.12734380000000001</v>
      </c>
      <c r="AC83" t="s">
        <v>7</v>
      </c>
      <c r="AD83" s="1">
        <v>0.5</v>
      </c>
      <c r="AE83" t="s">
        <v>8</v>
      </c>
      <c r="AF83" s="1">
        <v>0</v>
      </c>
      <c r="AG83" s="1">
        <v>0.20041935927510099</v>
      </c>
      <c r="AH83" s="1">
        <f t="shared" si="4"/>
        <v>0.40083871855020198</v>
      </c>
      <c r="AJ83" t="s">
        <v>4</v>
      </c>
      <c r="AK83">
        <v>0</v>
      </c>
      <c r="AL83" t="s">
        <v>5</v>
      </c>
      <c r="AM83">
        <v>81</v>
      </c>
      <c r="AN83" t="s">
        <v>6</v>
      </c>
      <c r="AO83" s="1">
        <v>0.12734380000000001</v>
      </c>
      <c r="AP83" t="s">
        <v>7</v>
      </c>
      <c r="AQ83" s="1">
        <v>0.5</v>
      </c>
      <c r="AR83" t="s">
        <v>8</v>
      </c>
      <c r="AS83" s="1">
        <v>0</v>
      </c>
      <c r="AT83" s="1">
        <v>0.20034605998707</v>
      </c>
      <c r="AU83" s="1">
        <f t="shared" si="5"/>
        <v>0.40069211997414</v>
      </c>
    </row>
    <row r="84" spans="10:47">
      <c r="J84" t="s">
        <v>4</v>
      </c>
      <c r="K84">
        <v>0</v>
      </c>
      <c r="L84" t="s">
        <v>5</v>
      </c>
      <c r="M84">
        <v>82</v>
      </c>
      <c r="N84" t="s">
        <v>6</v>
      </c>
      <c r="O84" s="1">
        <v>0.1289062</v>
      </c>
      <c r="P84" t="s">
        <v>7</v>
      </c>
      <c r="Q84" s="1">
        <v>0.5</v>
      </c>
      <c r="R84" t="s">
        <v>8</v>
      </c>
      <c r="S84" s="1">
        <v>0</v>
      </c>
      <c r="T84" s="1">
        <v>0.20041793675709799</v>
      </c>
      <c r="U84" s="1">
        <f t="shared" si="3"/>
        <v>0.40083587351419597</v>
      </c>
      <c r="W84" t="s">
        <v>4</v>
      </c>
      <c r="X84">
        <v>0</v>
      </c>
      <c r="Y84" t="s">
        <v>5</v>
      </c>
      <c r="Z84">
        <v>82</v>
      </c>
      <c r="AA84" t="s">
        <v>6</v>
      </c>
      <c r="AB84" s="1">
        <v>0.1289062</v>
      </c>
      <c r="AC84" t="s">
        <v>7</v>
      </c>
      <c r="AD84" s="1">
        <v>0.5</v>
      </c>
      <c r="AE84" t="s">
        <v>8</v>
      </c>
      <c r="AF84" s="1">
        <v>0</v>
      </c>
      <c r="AG84" s="1">
        <v>0.200437124523697</v>
      </c>
      <c r="AH84" s="1">
        <f t="shared" si="4"/>
        <v>0.40087424904739399</v>
      </c>
      <c r="AJ84" t="s">
        <v>4</v>
      </c>
      <c r="AK84">
        <v>0</v>
      </c>
      <c r="AL84" t="s">
        <v>5</v>
      </c>
      <c r="AM84">
        <v>82</v>
      </c>
      <c r="AN84" t="s">
        <v>6</v>
      </c>
      <c r="AO84" s="1">
        <v>0.1289062</v>
      </c>
      <c r="AP84" t="s">
        <v>7</v>
      </c>
      <c r="AQ84" s="1">
        <v>0.5</v>
      </c>
      <c r="AR84" t="s">
        <v>8</v>
      </c>
      <c r="AS84" s="1">
        <v>0</v>
      </c>
      <c r="AT84" s="1">
        <v>0.20037251784607699</v>
      </c>
      <c r="AU84" s="1">
        <f t="shared" si="5"/>
        <v>0.40074503569215397</v>
      </c>
    </row>
    <row r="85" spans="10:47">
      <c r="J85" t="s">
        <v>4</v>
      </c>
      <c r="K85">
        <v>0</v>
      </c>
      <c r="L85" t="s">
        <v>5</v>
      </c>
      <c r="M85">
        <v>83</v>
      </c>
      <c r="N85" t="s">
        <v>6</v>
      </c>
      <c r="O85" s="1">
        <v>0.13046869999999999</v>
      </c>
      <c r="P85" t="s">
        <v>7</v>
      </c>
      <c r="Q85" s="1">
        <v>0.5</v>
      </c>
      <c r="R85" t="s">
        <v>8</v>
      </c>
      <c r="S85" s="1">
        <v>0</v>
      </c>
      <c r="T85" s="1">
        <v>0.20043893939364599</v>
      </c>
      <c r="U85" s="1">
        <f t="shared" si="3"/>
        <v>0.40087787878729197</v>
      </c>
      <c r="W85" t="s">
        <v>4</v>
      </c>
      <c r="X85">
        <v>0</v>
      </c>
      <c r="Y85" t="s">
        <v>5</v>
      </c>
      <c r="Z85">
        <v>83</v>
      </c>
      <c r="AA85" t="s">
        <v>6</v>
      </c>
      <c r="AB85" s="1">
        <v>0.13046869999999999</v>
      </c>
      <c r="AC85" t="s">
        <v>7</v>
      </c>
      <c r="AD85" s="1">
        <v>0.5</v>
      </c>
      <c r="AE85" t="s">
        <v>8</v>
      </c>
      <c r="AF85" s="1">
        <v>0</v>
      </c>
      <c r="AG85" s="1">
        <v>0.20045508634590101</v>
      </c>
      <c r="AH85" s="1">
        <f t="shared" si="4"/>
        <v>0.40091017269180201</v>
      </c>
      <c r="AJ85" t="s">
        <v>4</v>
      </c>
      <c r="AK85">
        <v>0</v>
      </c>
      <c r="AL85" t="s">
        <v>5</v>
      </c>
      <c r="AM85">
        <v>83</v>
      </c>
      <c r="AN85" t="s">
        <v>6</v>
      </c>
      <c r="AO85" s="1">
        <v>0.13046869999999999</v>
      </c>
      <c r="AP85" t="s">
        <v>7</v>
      </c>
      <c r="AQ85" s="1">
        <v>0.5</v>
      </c>
      <c r="AR85" t="s">
        <v>8</v>
      </c>
      <c r="AS85" s="1">
        <v>0</v>
      </c>
      <c r="AT85" s="1">
        <v>0.20039892696894601</v>
      </c>
      <c r="AU85" s="1">
        <f t="shared" si="5"/>
        <v>0.40079785393789202</v>
      </c>
    </row>
    <row r="86" spans="10:47">
      <c r="J86" t="s">
        <v>4</v>
      </c>
      <c r="K86">
        <v>0</v>
      </c>
      <c r="L86" t="s">
        <v>5</v>
      </c>
      <c r="M86">
        <v>84</v>
      </c>
      <c r="N86" t="s">
        <v>6</v>
      </c>
      <c r="O86" s="1">
        <v>0.13203119999999999</v>
      </c>
      <c r="P86" t="s">
        <v>7</v>
      </c>
      <c r="Q86" s="1">
        <v>0.5</v>
      </c>
      <c r="R86" t="s">
        <v>8</v>
      </c>
      <c r="S86" s="1">
        <v>0</v>
      </c>
      <c r="T86" s="1">
        <v>0.20045999070930701</v>
      </c>
      <c r="U86" s="1">
        <f t="shared" si="3"/>
        <v>0.40091998141861401</v>
      </c>
      <c r="W86" t="s">
        <v>4</v>
      </c>
      <c r="X86">
        <v>0</v>
      </c>
      <c r="Y86" t="s">
        <v>5</v>
      </c>
      <c r="Z86">
        <v>84</v>
      </c>
      <c r="AA86" t="s">
        <v>6</v>
      </c>
      <c r="AB86" s="1">
        <v>0.13203119999999999</v>
      </c>
      <c r="AC86" t="s">
        <v>7</v>
      </c>
      <c r="AD86" s="1">
        <v>0.5</v>
      </c>
      <c r="AE86" t="s">
        <v>8</v>
      </c>
      <c r="AF86" s="1">
        <v>0</v>
      </c>
      <c r="AG86" s="1">
        <v>0.20047324586600199</v>
      </c>
      <c r="AH86" s="1">
        <f t="shared" si="4"/>
        <v>0.40094649173200397</v>
      </c>
      <c r="AJ86" t="s">
        <v>4</v>
      </c>
      <c r="AK86">
        <v>0</v>
      </c>
      <c r="AL86" t="s">
        <v>5</v>
      </c>
      <c r="AM86">
        <v>84</v>
      </c>
      <c r="AN86" t="s">
        <v>6</v>
      </c>
      <c r="AO86" s="1">
        <v>0.13203119999999999</v>
      </c>
      <c r="AP86" t="s">
        <v>7</v>
      </c>
      <c r="AQ86" s="1">
        <v>0.5</v>
      </c>
      <c r="AR86" t="s">
        <v>8</v>
      </c>
      <c r="AS86" s="1">
        <v>0</v>
      </c>
      <c r="AT86" s="1">
        <v>0.200425287137176</v>
      </c>
      <c r="AU86" s="1">
        <f t="shared" si="5"/>
        <v>0.400850574274352</v>
      </c>
    </row>
    <row r="87" spans="10:47">
      <c r="J87" t="s">
        <v>4</v>
      </c>
      <c r="K87">
        <v>0</v>
      </c>
      <c r="L87" t="s">
        <v>5</v>
      </c>
      <c r="M87">
        <v>85</v>
      </c>
      <c r="N87" t="s">
        <v>6</v>
      </c>
      <c r="O87" s="1">
        <v>0.13359380000000001</v>
      </c>
      <c r="P87" t="s">
        <v>7</v>
      </c>
      <c r="Q87" s="1">
        <v>0.5</v>
      </c>
      <c r="R87" t="s">
        <v>8</v>
      </c>
      <c r="S87" s="1">
        <v>0</v>
      </c>
      <c r="T87" s="1">
        <v>0.20048108929463401</v>
      </c>
      <c r="U87" s="1">
        <f t="shared" si="3"/>
        <v>0.40096217858926803</v>
      </c>
      <c r="W87" t="s">
        <v>4</v>
      </c>
      <c r="X87">
        <v>0</v>
      </c>
      <c r="Y87" t="s">
        <v>5</v>
      </c>
      <c r="Z87">
        <v>85</v>
      </c>
      <c r="AA87" t="s">
        <v>6</v>
      </c>
      <c r="AB87" s="1">
        <v>0.13359380000000001</v>
      </c>
      <c r="AC87" t="s">
        <v>7</v>
      </c>
      <c r="AD87" s="1">
        <v>0.5</v>
      </c>
      <c r="AE87" t="s">
        <v>8</v>
      </c>
      <c r="AF87" s="1">
        <v>0</v>
      </c>
      <c r="AG87" s="1">
        <v>0.20049160419581</v>
      </c>
      <c r="AH87" s="1">
        <f t="shared" si="4"/>
        <v>0.40098320839161999</v>
      </c>
      <c r="AJ87" t="s">
        <v>4</v>
      </c>
      <c r="AK87">
        <v>0</v>
      </c>
      <c r="AL87" t="s">
        <v>5</v>
      </c>
      <c r="AM87">
        <v>85</v>
      </c>
      <c r="AN87" t="s">
        <v>6</v>
      </c>
      <c r="AO87" s="1">
        <v>0.13359380000000001</v>
      </c>
      <c r="AP87" t="s">
        <v>7</v>
      </c>
      <c r="AQ87" s="1">
        <v>0.5</v>
      </c>
      <c r="AR87" t="s">
        <v>8</v>
      </c>
      <c r="AS87" s="1">
        <v>0</v>
      </c>
      <c r="AT87" s="1">
        <v>0.20045159813723201</v>
      </c>
      <c r="AU87" s="1">
        <f t="shared" si="5"/>
        <v>0.40090319627446402</v>
      </c>
    </row>
    <row r="88" spans="10:47">
      <c r="J88" t="s">
        <v>4</v>
      </c>
      <c r="K88">
        <v>0</v>
      </c>
      <c r="L88" t="s">
        <v>5</v>
      </c>
      <c r="M88">
        <v>86</v>
      </c>
      <c r="N88" t="s">
        <v>6</v>
      </c>
      <c r="O88" s="1">
        <v>0.13515630000000001</v>
      </c>
      <c r="P88" t="s">
        <v>7</v>
      </c>
      <c r="Q88" s="1">
        <v>0.5</v>
      </c>
      <c r="R88" t="s">
        <v>8</v>
      </c>
      <c r="S88" s="1">
        <v>0</v>
      </c>
      <c r="T88" s="1">
        <v>0.200502233754316</v>
      </c>
      <c r="U88" s="1">
        <f t="shared" si="3"/>
        <v>0.401004467508632</v>
      </c>
      <c r="W88" t="s">
        <v>4</v>
      </c>
      <c r="X88">
        <v>0</v>
      </c>
      <c r="Y88" t="s">
        <v>5</v>
      </c>
      <c r="Z88">
        <v>86</v>
      </c>
      <c r="AA88" t="s">
        <v>6</v>
      </c>
      <c r="AB88" s="1">
        <v>0.13515630000000001</v>
      </c>
      <c r="AC88" t="s">
        <v>7</v>
      </c>
      <c r="AD88" s="1">
        <v>0.5</v>
      </c>
      <c r="AE88" t="s">
        <v>8</v>
      </c>
      <c r="AF88" s="1">
        <v>0</v>
      </c>
      <c r="AG88" s="1">
        <v>0.20051016243516701</v>
      </c>
      <c r="AH88" s="1">
        <f t="shared" si="4"/>
        <v>0.40102032487033401</v>
      </c>
      <c r="AJ88" t="s">
        <v>4</v>
      </c>
      <c r="AK88">
        <v>0</v>
      </c>
      <c r="AL88" t="s">
        <v>5</v>
      </c>
      <c r="AM88">
        <v>86</v>
      </c>
      <c r="AN88" t="s">
        <v>6</v>
      </c>
      <c r="AO88" s="1">
        <v>0.13515630000000001</v>
      </c>
      <c r="AP88" t="s">
        <v>7</v>
      </c>
      <c r="AQ88" s="1">
        <v>0.5</v>
      </c>
      <c r="AR88" t="s">
        <v>8</v>
      </c>
      <c r="AS88" s="1">
        <v>0</v>
      </c>
      <c r="AT88" s="1">
        <v>0.20047785975990901</v>
      </c>
      <c r="AU88" s="1">
        <f t="shared" si="5"/>
        <v>0.40095571951981801</v>
      </c>
    </row>
    <row r="89" spans="10:47">
      <c r="J89" t="s">
        <v>4</v>
      </c>
      <c r="K89">
        <v>0</v>
      </c>
      <c r="L89" t="s">
        <v>5</v>
      </c>
      <c r="M89">
        <v>87</v>
      </c>
      <c r="N89" t="s">
        <v>6</v>
      </c>
      <c r="O89" s="1">
        <v>0.1367188</v>
      </c>
      <c r="P89" t="s">
        <v>7</v>
      </c>
      <c r="Q89" s="1">
        <v>0.5</v>
      </c>
      <c r="R89" t="s">
        <v>8</v>
      </c>
      <c r="S89" s="1">
        <v>0</v>
      </c>
      <c r="T89" s="1">
        <v>0.20052342270729201</v>
      </c>
      <c r="U89" s="1">
        <f t="shared" si="3"/>
        <v>0.40104684541458402</v>
      </c>
      <c r="W89" t="s">
        <v>4</v>
      </c>
      <c r="X89">
        <v>0</v>
      </c>
      <c r="Y89" t="s">
        <v>5</v>
      </c>
      <c r="Z89">
        <v>87</v>
      </c>
      <c r="AA89" t="s">
        <v>6</v>
      </c>
      <c r="AB89" s="1">
        <v>0.1367188</v>
      </c>
      <c r="AC89" t="s">
        <v>7</v>
      </c>
      <c r="AD89" s="1">
        <v>0.5</v>
      </c>
      <c r="AE89" t="s">
        <v>8</v>
      </c>
      <c r="AF89" s="1">
        <v>0</v>
      </c>
      <c r="AG89" s="1">
        <v>0.200528921672087</v>
      </c>
      <c r="AH89" s="1">
        <f t="shared" si="4"/>
        <v>0.40105784334417399</v>
      </c>
      <c r="AJ89" t="s">
        <v>4</v>
      </c>
      <c r="AK89">
        <v>0</v>
      </c>
      <c r="AL89" t="s">
        <v>5</v>
      </c>
      <c r="AM89">
        <v>87</v>
      </c>
      <c r="AN89" t="s">
        <v>6</v>
      </c>
      <c r="AO89" s="1">
        <v>0.1367188</v>
      </c>
      <c r="AP89" t="s">
        <v>7</v>
      </c>
      <c r="AQ89" s="1">
        <v>0.5</v>
      </c>
      <c r="AR89" t="s">
        <v>8</v>
      </c>
      <c r="AS89" s="1">
        <v>0</v>
      </c>
      <c r="AT89" s="1">
        <v>0.20050407179997501</v>
      </c>
      <c r="AU89" s="1">
        <f t="shared" si="5"/>
        <v>0.40100814359995002</v>
      </c>
    </row>
    <row r="90" spans="10:47">
      <c r="J90" t="s">
        <v>4</v>
      </c>
      <c r="K90">
        <v>0</v>
      </c>
      <c r="L90" t="s">
        <v>5</v>
      </c>
      <c r="M90">
        <v>88</v>
      </c>
      <c r="N90" t="s">
        <v>6</v>
      </c>
      <c r="O90" s="1">
        <v>0.13828119999999999</v>
      </c>
      <c r="P90" t="s">
        <v>7</v>
      </c>
      <c r="Q90" s="1">
        <v>0.5</v>
      </c>
      <c r="R90" t="s">
        <v>8</v>
      </c>
      <c r="S90" s="1">
        <v>0</v>
      </c>
      <c r="T90" s="1">
        <v>0.200544654786734</v>
      </c>
      <c r="U90" s="1">
        <f t="shared" si="3"/>
        <v>0.401089309573468</v>
      </c>
      <c r="W90" t="s">
        <v>4</v>
      </c>
      <c r="X90">
        <v>0</v>
      </c>
      <c r="Y90" t="s">
        <v>5</v>
      </c>
      <c r="Z90">
        <v>88</v>
      </c>
      <c r="AA90" t="s">
        <v>6</v>
      </c>
      <c r="AB90" s="1">
        <v>0.13828119999999999</v>
      </c>
      <c r="AC90" t="s">
        <v>7</v>
      </c>
      <c r="AD90" s="1">
        <v>0.5</v>
      </c>
      <c r="AE90" t="s">
        <v>8</v>
      </c>
      <c r="AF90" s="1">
        <v>0</v>
      </c>
      <c r="AG90" s="1">
        <v>0.20054788298335599</v>
      </c>
      <c r="AH90" s="1">
        <f t="shared" si="4"/>
        <v>0.40109576596671198</v>
      </c>
      <c r="AJ90" t="s">
        <v>4</v>
      </c>
      <c r="AK90">
        <v>0</v>
      </c>
      <c r="AL90" t="s">
        <v>5</v>
      </c>
      <c r="AM90">
        <v>88</v>
      </c>
      <c r="AN90" t="s">
        <v>6</v>
      </c>
      <c r="AO90" s="1">
        <v>0.13828119999999999</v>
      </c>
      <c r="AP90" t="s">
        <v>7</v>
      </c>
      <c r="AQ90" s="1">
        <v>0.5</v>
      </c>
      <c r="AR90" t="s">
        <v>8</v>
      </c>
      <c r="AS90" s="1">
        <v>0</v>
      </c>
      <c r="AT90" s="1">
        <v>0.20053023405480699</v>
      </c>
      <c r="AU90" s="1">
        <f t="shared" si="5"/>
        <v>0.40106046810961399</v>
      </c>
    </row>
    <row r="91" spans="10:47">
      <c r="J91" t="s">
        <v>4</v>
      </c>
      <c r="K91">
        <v>0</v>
      </c>
      <c r="L91" t="s">
        <v>5</v>
      </c>
      <c r="M91">
        <v>89</v>
      </c>
      <c r="N91" t="s">
        <v>6</v>
      </c>
      <c r="O91" s="1">
        <v>0.13984369999999999</v>
      </c>
      <c r="P91" t="s">
        <v>7</v>
      </c>
      <c r="Q91" s="1">
        <v>0.5</v>
      </c>
      <c r="R91" t="s">
        <v>8</v>
      </c>
      <c r="S91" s="1">
        <v>0</v>
      </c>
      <c r="T91" s="1">
        <v>0.20056592864039999</v>
      </c>
      <c r="U91" s="1">
        <f t="shared" si="3"/>
        <v>0.40113185728079997</v>
      </c>
      <c r="W91" t="s">
        <v>4</v>
      </c>
      <c r="X91">
        <v>0</v>
      </c>
      <c r="Y91" t="s">
        <v>5</v>
      </c>
      <c r="Z91">
        <v>89</v>
      </c>
      <c r="AA91" t="s">
        <v>6</v>
      </c>
      <c r="AB91" s="1">
        <v>0.13984369999999999</v>
      </c>
      <c r="AC91" t="s">
        <v>7</v>
      </c>
      <c r="AD91" s="1">
        <v>0.5</v>
      </c>
      <c r="AE91" t="s">
        <v>8</v>
      </c>
      <c r="AF91" s="1">
        <v>0</v>
      </c>
      <c r="AG91" s="1">
        <v>0.20056704743484199</v>
      </c>
      <c r="AH91" s="1">
        <f t="shared" si="4"/>
        <v>0.40113409486968399</v>
      </c>
      <c r="AJ91" t="s">
        <v>4</v>
      </c>
      <c r="AK91">
        <v>0</v>
      </c>
      <c r="AL91" t="s">
        <v>5</v>
      </c>
      <c r="AM91">
        <v>89</v>
      </c>
      <c r="AN91" t="s">
        <v>6</v>
      </c>
      <c r="AO91" s="1">
        <v>0.13984369999999999</v>
      </c>
      <c r="AP91" t="s">
        <v>7</v>
      </c>
      <c r="AQ91" s="1">
        <v>0.5</v>
      </c>
      <c r="AR91" t="s">
        <v>8</v>
      </c>
      <c r="AS91" s="1">
        <v>0</v>
      </c>
      <c r="AT91" s="1">
        <v>0.20055634632331601</v>
      </c>
      <c r="AU91" s="1">
        <f t="shared" si="5"/>
        <v>0.40111269264663202</v>
      </c>
    </row>
    <row r="92" spans="10:47">
      <c r="J92" t="s">
        <v>4</v>
      </c>
      <c r="K92">
        <v>0</v>
      </c>
      <c r="L92" t="s">
        <v>5</v>
      </c>
      <c r="M92">
        <v>90</v>
      </c>
      <c r="N92" t="s">
        <v>6</v>
      </c>
      <c r="O92" s="1">
        <v>0.14140630000000001</v>
      </c>
      <c r="P92" t="s">
        <v>7</v>
      </c>
      <c r="Q92" s="1">
        <v>0.5</v>
      </c>
      <c r="R92" t="s">
        <v>8</v>
      </c>
      <c r="S92" s="1">
        <v>0</v>
      </c>
      <c r="T92" s="1">
        <v>0.200587242930513</v>
      </c>
      <c r="U92" s="1">
        <f t="shared" si="3"/>
        <v>0.401174485861026</v>
      </c>
      <c r="W92" t="s">
        <v>4</v>
      </c>
      <c r="X92">
        <v>0</v>
      </c>
      <c r="Y92" t="s">
        <v>5</v>
      </c>
      <c r="Z92">
        <v>90</v>
      </c>
      <c r="AA92" t="s">
        <v>6</v>
      </c>
      <c r="AB92" s="1">
        <v>0.14140630000000001</v>
      </c>
      <c r="AC92" t="s">
        <v>7</v>
      </c>
      <c r="AD92" s="1">
        <v>0.5</v>
      </c>
      <c r="AE92" t="s">
        <v>8</v>
      </c>
      <c r="AF92" s="1">
        <v>0</v>
      </c>
      <c r="AG92" s="1">
        <v>0.20058641608178601</v>
      </c>
      <c r="AH92" s="1">
        <f t="shared" si="4"/>
        <v>0.40117283216357202</v>
      </c>
      <c r="AJ92" t="s">
        <v>4</v>
      </c>
      <c r="AK92">
        <v>0</v>
      </c>
      <c r="AL92" t="s">
        <v>5</v>
      </c>
      <c r="AM92">
        <v>90</v>
      </c>
      <c r="AN92" t="s">
        <v>6</v>
      </c>
      <c r="AO92" s="1">
        <v>0.14140630000000001</v>
      </c>
      <c r="AP92" t="s">
        <v>7</v>
      </c>
      <c r="AQ92" s="1">
        <v>0.5</v>
      </c>
      <c r="AR92" t="s">
        <v>8</v>
      </c>
      <c r="AS92" s="1">
        <v>0</v>
      </c>
      <c r="AT92" s="1">
        <v>0.20058240840500699</v>
      </c>
      <c r="AU92" s="1">
        <f t="shared" si="5"/>
        <v>0.40116481681001398</v>
      </c>
    </row>
    <row r="93" spans="10:47">
      <c r="J93" t="s">
        <v>4</v>
      </c>
      <c r="K93">
        <v>0</v>
      </c>
      <c r="L93" t="s">
        <v>5</v>
      </c>
      <c r="M93">
        <v>91</v>
      </c>
      <c r="N93" t="s">
        <v>6</v>
      </c>
      <c r="O93" s="1">
        <v>0.14296880000000001</v>
      </c>
      <c r="P93" t="s">
        <v>7</v>
      </c>
      <c r="Q93" s="1">
        <v>0.5</v>
      </c>
      <c r="R93" t="s">
        <v>8</v>
      </c>
      <c r="S93" s="1">
        <v>0</v>
      </c>
      <c r="T93" s="1">
        <v>0.20060859633421699</v>
      </c>
      <c r="U93" s="1">
        <f t="shared" si="3"/>
        <v>0.40121719266843398</v>
      </c>
      <c r="W93" t="s">
        <v>4</v>
      </c>
      <c r="X93">
        <v>0</v>
      </c>
      <c r="Y93" t="s">
        <v>5</v>
      </c>
      <c r="Z93">
        <v>91</v>
      </c>
      <c r="AA93" t="s">
        <v>6</v>
      </c>
      <c r="AB93" s="1">
        <v>0.14296880000000001</v>
      </c>
      <c r="AC93" t="s">
        <v>7</v>
      </c>
      <c r="AD93" s="1">
        <v>0.5</v>
      </c>
      <c r="AE93" t="s">
        <v>8</v>
      </c>
      <c r="AF93" s="1">
        <v>0</v>
      </c>
      <c r="AG93" s="1">
        <v>0.20060598996903301</v>
      </c>
      <c r="AH93" s="1">
        <f t="shared" si="4"/>
        <v>0.40121197993806601</v>
      </c>
      <c r="AJ93" t="s">
        <v>4</v>
      </c>
      <c r="AK93">
        <v>0</v>
      </c>
      <c r="AL93" t="s">
        <v>5</v>
      </c>
      <c r="AM93">
        <v>91</v>
      </c>
      <c r="AN93" t="s">
        <v>6</v>
      </c>
      <c r="AO93" s="1">
        <v>0.14296880000000001</v>
      </c>
      <c r="AP93" t="s">
        <v>7</v>
      </c>
      <c r="AQ93" s="1">
        <v>0.5</v>
      </c>
      <c r="AR93" t="s">
        <v>8</v>
      </c>
      <c r="AS93" s="1">
        <v>0</v>
      </c>
      <c r="AT93" s="1">
        <v>0.200608420098187</v>
      </c>
      <c r="AU93" s="1">
        <f t="shared" si="5"/>
        <v>0.40121684019637399</v>
      </c>
    </row>
    <row r="94" spans="10:47">
      <c r="J94" t="s">
        <v>4</v>
      </c>
      <c r="K94">
        <v>0</v>
      </c>
      <c r="L94" t="s">
        <v>5</v>
      </c>
      <c r="M94">
        <v>92</v>
      </c>
      <c r="N94" t="s">
        <v>6</v>
      </c>
      <c r="O94" s="1">
        <v>0.1445312</v>
      </c>
      <c r="P94" t="s">
        <v>7</v>
      </c>
      <c r="Q94" s="1">
        <v>0.5</v>
      </c>
      <c r="R94" t="s">
        <v>8</v>
      </c>
      <c r="S94" s="1">
        <v>0</v>
      </c>
      <c r="T94" s="1">
        <v>0.20062998754335401</v>
      </c>
      <c r="U94" s="1">
        <f t="shared" si="3"/>
        <v>0.40125997508670802</v>
      </c>
      <c r="W94" t="s">
        <v>4</v>
      </c>
      <c r="X94">
        <v>0</v>
      </c>
      <c r="Y94" t="s">
        <v>5</v>
      </c>
      <c r="Z94">
        <v>92</v>
      </c>
      <c r="AA94" t="s">
        <v>6</v>
      </c>
      <c r="AB94" s="1">
        <v>0.1445312</v>
      </c>
      <c r="AC94" t="s">
        <v>7</v>
      </c>
      <c r="AD94" s="1">
        <v>0.5</v>
      </c>
      <c r="AE94" t="s">
        <v>8</v>
      </c>
      <c r="AF94" s="1">
        <v>0</v>
      </c>
      <c r="AG94" s="1">
        <v>0.200625770131833</v>
      </c>
      <c r="AH94" s="1">
        <f t="shared" si="4"/>
        <v>0.401251540263666</v>
      </c>
      <c r="AJ94" t="s">
        <v>4</v>
      </c>
      <c r="AK94">
        <v>0</v>
      </c>
      <c r="AL94" t="s">
        <v>5</v>
      </c>
      <c r="AM94">
        <v>92</v>
      </c>
      <c r="AN94" t="s">
        <v>6</v>
      </c>
      <c r="AO94" s="1">
        <v>0.1445312</v>
      </c>
      <c r="AP94" t="s">
        <v>7</v>
      </c>
      <c r="AQ94" s="1">
        <v>0.5</v>
      </c>
      <c r="AR94" t="s">
        <v>8</v>
      </c>
      <c r="AS94" s="1">
        <v>0</v>
      </c>
      <c r="AT94" s="1">
        <v>0.20063438119767801</v>
      </c>
      <c r="AU94" s="1">
        <f t="shared" si="5"/>
        <v>0.40126876239535603</v>
      </c>
    </row>
    <row r="95" spans="10:47">
      <c r="J95" t="s">
        <v>4</v>
      </c>
      <c r="K95">
        <v>0</v>
      </c>
      <c r="L95" t="s">
        <v>5</v>
      </c>
      <c r="M95">
        <v>93</v>
      </c>
      <c r="N95" t="s">
        <v>6</v>
      </c>
      <c r="O95" s="1">
        <v>0.14609369999999999</v>
      </c>
      <c r="P95" t="s">
        <v>7</v>
      </c>
      <c r="Q95" s="1">
        <v>0.5</v>
      </c>
      <c r="R95" t="s">
        <v>8</v>
      </c>
      <c r="S95" s="1">
        <v>0</v>
      </c>
      <c r="T95" s="1">
        <v>0.200651415264818</v>
      </c>
      <c r="U95" s="1">
        <f t="shared" si="3"/>
        <v>0.401302830529636</v>
      </c>
      <c r="W95" t="s">
        <v>4</v>
      </c>
      <c r="X95">
        <v>0</v>
      </c>
      <c r="Y95" t="s">
        <v>5</v>
      </c>
      <c r="Z95">
        <v>93</v>
      </c>
      <c r="AA95" t="s">
        <v>6</v>
      </c>
      <c r="AB95" s="1">
        <v>0.14609369999999999</v>
      </c>
      <c r="AC95" t="s">
        <v>7</v>
      </c>
      <c r="AD95" s="1">
        <v>0.5</v>
      </c>
      <c r="AE95" t="s">
        <v>8</v>
      </c>
      <c r="AF95" s="1">
        <v>0</v>
      </c>
      <c r="AG95" s="1">
        <v>0.20064575759570299</v>
      </c>
      <c r="AH95" s="1">
        <f t="shared" si="4"/>
        <v>0.40129151519140599</v>
      </c>
      <c r="AJ95" t="s">
        <v>4</v>
      </c>
      <c r="AK95">
        <v>0</v>
      </c>
      <c r="AL95" t="s">
        <v>5</v>
      </c>
      <c r="AM95">
        <v>93</v>
      </c>
      <c r="AN95" t="s">
        <v>6</v>
      </c>
      <c r="AO95" s="1">
        <v>0.14609369999999999</v>
      </c>
      <c r="AP95" t="s">
        <v>7</v>
      </c>
      <c r="AQ95" s="1">
        <v>0.5</v>
      </c>
      <c r="AR95" t="s">
        <v>8</v>
      </c>
      <c r="AS95" s="1">
        <v>0</v>
      </c>
      <c r="AT95" s="1">
        <v>0.20066029149405801</v>
      </c>
      <c r="AU95" s="1">
        <f t="shared" si="5"/>
        <v>0.40132058298811601</v>
      </c>
    </row>
    <row r="96" spans="10:47">
      <c r="J96" t="s">
        <v>4</v>
      </c>
      <c r="K96">
        <v>0</v>
      </c>
      <c r="L96" t="s">
        <v>5</v>
      </c>
      <c r="M96">
        <v>94</v>
      </c>
      <c r="N96" t="s">
        <v>6</v>
      </c>
      <c r="O96" s="1">
        <v>0.14765619999999999</v>
      </c>
      <c r="P96" t="s">
        <v>7</v>
      </c>
      <c r="Q96" s="1">
        <v>0.5</v>
      </c>
      <c r="R96" t="s">
        <v>8</v>
      </c>
      <c r="S96" s="1">
        <v>0</v>
      </c>
      <c r="T96" s="1">
        <v>0.20067287822070601</v>
      </c>
      <c r="U96" s="1">
        <f t="shared" si="3"/>
        <v>0.40134575644141202</v>
      </c>
      <c r="W96" t="s">
        <v>4</v>
      </c>
      <c r="X96">
        <v>0</v>
      </c>
      <c r="Y96" t="s">
        <v>5</v>
      </c>
      <c r="Z96">
        <v>94</v>
      </c>
      <c r="AA96" t="s">
        <v>6</v>
      </c>
      <c r="AB96" s="1">
        <v>0.14765619999999999</v>
      </c>
      <c r="AC96" t="s">
        <v>7</v>
      </c>
      <c r="AD96" s="1">
        <v>0.5</v>
      </c>
      <c r="AE96" t="s">
        <v>8</v>
      </c>
      <c r="AF96" s="1">
        <v>0</v>
      </c>
      <c r="AG96" s="1">
        <v>0.20066595337707499</v>
      </c>
      <c r="AH96" s="1">
        <f t="shared" si="4"/>
        <v>0.40133190675414998</v>
      </c>
      <c r="AJ96" t="s">
        <v>4</v>
      </c>
      <c r="AK96">
        <v>0</v>
      </c>
      <c r="AL96" t="s">
        <v>5</v>
      </c>
      <c r="AM96">
        <v>94</v>
      </c>
      <c r="AN96" t="s">
        <v>6</v>
      </c>
      <c r="AO96" s="1">
        <v>0.14765619999999999</v>
      </c>
      <c r="AP96" t="s">
        <v>7</v>
      </c>
      <c r="AQ96" s="1">
        <v>0.5</v>
      </c>
      <c r="AR96" t="s">
        <v>8</v>
      </c>
      <c r="AS96" s="1">
        <v>0</v>
      </c>
      <c r="AT96" s="1">
        <v>0.200686150771067</v>
      </c>
      <c r="AU96" s="1">
        <f t="shared" si="5"/>
        <v>0.40137230154213399</v>
      </c>
    </row>
    <row r="97" spans="10:47">
      <c r="J97" t="s">
        <v>4</v>
      </c>
      <c r="K97">
        <v>0</v>
      </c>
      <c r="L97" t="s">
        <v>5</v>
      </c>
      <c r="M97">
        <v>95</v>
      </c>
      <c r="N97" t="s">
        <v>6</v>
      </c>
      <c r="O97" s="1">
        <v>0.14921880000000001</v>
      </c>
      <c r="P97" t="s">
        <v>7</v>
      </c>
      <c r="Q97" s="1">
        <v>0.5</v>
      </c>
      <c r="R97" t="s">
        <v>8</v>
      </c>
      <c r="S97" s="1">
        <v>0</v>
      </c>
      <c r="T97" s="1">
        <v>0.200694375148284</v>
      </c>
      <c r="U97" s="1">
        <f t="shared" si="3"/>
        <v>0.40138875029656801</v>
      </c>
      <c r="W97" t="s">
        <v>4</v>
      </c>
      <c r="X97">
        <v>0</v>
      </c>
      <c r="Y97" t="s">
        <v>5</v>
      </c>
      <c r="Z97">
        <v>95</v>
      </c>
      <c r="AA97" t="s">
        <v>6</v>
      </c>
      <c r="AB97" s="1">
        <v>0.14921880000000001</v>
      </c>
      <c r="AC97" t="s">
        <v>7</v>
      </c>
      <c r="AD97" s="1">
        <v>0.5</v>
      </c>
      <c r="AE97" t="s">
        <v>8</v>
      </c>
      <c r="AF97" s="1">
        <v>0</v>
      </c>
      <c r="AG97" s="1">
        <v>0.20068635848365199</v>
      </c>
      <c r="AH97" s="1">
        <f t="shared" si="4"/>
        <v>0.40137271696730398</v>
      </c>
      <c r="AJ97" t="s">
        <v>4</v>
      </c>
      <c r="AK97">
        <v>0</v>
      </c>
      <c r="AL97" t="s">
        <v>5</v>
      </c>
      <c r="AM97">
        <v>95</v>
      </c>
      <c r="AN97" t="s">
        <v>6</v>
      </c>
      <c r="AO97" s="1">
        <v>0.14921880000000001</v>
      </c>
      <c r="AP97" t="s">
        <v>7</v>
      </c>
      <c r="AQ97" s="1">
        <v>0.5</v>
      </c>
      <c r="AR97" t="s">
        <v>8</v>
      </c>
      <c r="AS97" s="1">
        <v>0</v>
      </c>
      <c r="AT97" s="1">
        <v>0.20071195880308501</v>
      </c>
      <c r="AU97" s="1">
        <f t="shared" si="5"/>
        <v>0.40142391760617002</v>
      </c>
    </row>
    <row r="98" spans="10:47">
      <c r="J98" t="s">
        <v>4</v>
      </c>
      <c r="K98">
        <v>0</v>
      </c>
      <c r="L98" t="s">
        <v>5</v>
      </c>
      <c r="M98">
        <v>96</v>
      </c>
      <c r="N98" t="s">
        <v>6</v>
      </c>
      <c r="O98" s="1">
        <v>0.15078130000000001</v>
      </c>
      <c r="P98" t="s">
        <v>7</v>
      </c>
      <c r="Q98" s="1">
        <v>0.5</v>
      </c>
      <c r="R98" t="s">
        <v>8</v>
      </c>
      <c r="S98" s="1">
        <v>0</v>
      </c>
      <c r="T98" s="1">
        <v>0.200715904800256</v>
      </c>
      <c r="U98" s="1">
        <f t="shared" si="3"/>
        <v>0.401431809600512</v>
      </c>
      <c r="W98" t="s">
        <v>4</v>
      </c>
      <c r="X98">
        <v>0</v>
      </c>
      <c r="Y98" t="s">
        <v>5</v>
      </c>
      <c r="Z98">
        <v>96</v>
      </c>
      <c r="AA98" t="s">
        <v>6</v>
      </c>
      <c r="AB98" s="1">
        <v>0.15078130000000001</v>
      </c>
      <c r="AC98" t="s">
        <v>7</v>
      </c>
      <c r="AD98" s="1">
        <v>0.5</v>
      </c>
      <c r="AE98" t="s">
        <v>8</v>
      </c>
      <c r="AF98" s="1">
        <v>0</v>
      </c>
      <c r="AG98" s="1">
        <v>0.20070697391469799</v>
      </c>
      <c r="AH98" s="1">
        <f t="shared" si="4"/>
        <v>0.40141394782939599</v>
      </c>
      <c r="AJ98" t="s">
        <v>4</v>
      </c>
      <c r="AK98">
        <v>0</v>
      </c>
      <c r="AL98" t="s">
        <v>5</v>
      </c>
      <c r="AM98">
        <v>96</v>
      </c>
      <c r="AN98" t="s">
        <v>6</v>
      </c>
      <c r="AO98" s="1">
        <v>0.15078130000000001</v>
      </c>
      <c r="AP98" t="s">
        <v>7</v>
      </c>
      <c r="AQ98" s="1">
        <v>0.5</v>
      </c>
      <c r="AR98" t="s">
        <v>8</v>
      </c>
      <c r="AS98" s="1">
        <v>0</v>
      </c>
      <c r="AT98" s="1">
        <v>0.20073771535315599</v>
      </c>
      <c r="AU98" s="1">
        <f t="shared" si="5"/>
        <v>0.40147543070631198</v>
      </c>
    </row>
    <row r="99" spans="10:47">
      <c r="J99" t="s">
        <v>4</v>
      </c>
      <c r="K99">
        <v>0</v>
      </c>
      <c r="L99" t="s">
        <v>5</v>
      </c>
      <c r="M99">
        <v>97</v>
      </c>
      <c r="N99" t="s">
        <v>6</v>
      </c>
      <c r="O99" s="1">
        <v>0.1523438</v>
      </c>
      <c r="P99" t="s">
        <v>7</v>
      </c>
      <c r="Q99" s="1">
        <v>0.5</v>
      </c>
      <c r="R99" t="s">
        <v>8</v>
      </c>
      <c r="S99" s="1">
        <v>0</v>
      </c>
      <c r="T99" s="1">
        <v>0.20073746594487901</v>
      </c>
      <c r="U99" s="1">
        <f t="shared" si="3"/>
        <v>0.40147493188975802</v>
      </c>
      <c r="W99" t="s">
        <v>4</v>
      </c>
      <c r="X99">
        <v>0</v>
      </c>
      <c r="Y99" t="s">
        <v>5</v>
      </c>
      <c r="Z99">
        <v>97</v>
      </c>
      <c r="AA99" t="s">
        <v>6</v>
      </c>
      <c r="AB99" s="1">
        <v>0.1523438</v>
      </c>
      <c r="AC99" t="s">
        <v>7</v>
      </c>
      <c r="AD99" s="1">
        <v>0.5</v>
      </c>
      <c r="AE99" t="s">
        <v>8</v>
      </c>
      <c r="AF99" s="1">
        <v>0</v>
      </c>
      <c r="AG99" s="1">
        <v>0.20072780066144399</v>
      </c>
      <c r="AH99" s="1">
        <f t="shared" si="4"/>
        <v>0.40145560132288799</v>
      </c>
      <c r="AJ99" t="s">
        <v>4</v>
      </c>
      <c r="AK99">
        <v>0</v>
      </c>
      <c r="AL99" t="s">
        <v>5</v>
      </c>
      <c r="AM99">
        <v>97</v>
      </c>
      <c r="AN99" t="s">
        <v>6</v>
      </c>
      <c r="AO99" s="1">
        <v>0.1523438</v>
      </c>
      <c r="AP99" t="s">
        <v>7</v>
      </c>
      <c r="AQ99" s="1">
        <v>0.5</v>
      </c>
      <c r="AR99" t="s">
        <v>8</v>
      </c>
      <c r="AS99" s="1">
        <v>0</v>
      </c>
      <c r="AT99" s="1">
        <v>0.20076342016996099</v>
      </c>
      <c r="AU99" s="1">
        <f t="shared" si="5"/>
        <v>0.40152684033992198</v>
      </c>
    </row>
    <row r="100" spans="10:47">
      <c r="J100" t="s">
        <v>4</v>
      </c>
      <c r="K100">
        <v>0</v>
      </c>
      <c r="L100" t="s">
        <v>5</v>
      </c>
      <c r="M100">
        <v>98</v>
      </c>
      <c r="N100" t="s">
        <v>6</v>
      </c>
      <c r="O100" s="1">
        <v>0.1539063</v>
      </c>
      <c r="P100" t="s">
        <v>7</v>
      </c>
      <c r="Q100" s="1">
        <v>0.5</v>
      </c>
      <c r="R100" t="s">
        <v>8</v>
      </c>
      <c r="S100" s="1">
        <v>0</v>
      </c>
      <c r="T100" s="1">
        <v>0.200759057366036</v>
      </c>
      <c r="U100" s="1">
        <f t="shared" si="3"/>
        <v>0.401518114732072</v>
      </c>
      <c r="W100" t="s">
        <v>4</v>
      </c>
      <c r="X100">
        <v>0</v>
      </c>
      <c r="Y100" t="s">
        <v>5</v>
      </c>
      <c r="Z100">
        <v>98</v>
      </c>
      <c r="AA100" t="s">
        <v>6</v>
      </c>
      <c r="AB100" s="1">
        <v>0.1539063</v>
      </c>
      <c r="AC100" t="s">
        <v>7</v>
      </c>
      <c r="AD100" s="1">
        <v>0.5</v>
      </c>
      <c r="AE100" t="s">
        <v>8</v>
      </c>
      <c r="AF100" s="1">
        <v>0</v>
      </c>
      <c r="AG100" s="1">
        <v>0.20074883970737001</v>
      </c>
      <c r="AH100" s="1">
        <f t="shared" si="4"/>
        <v>0.40149767941474002</v>
      </c>
      <c r="AJ100" t="s">
        <v>4</v>
      </c>
      <c r="AK100">
        <v>0</v>
      </c>
      <c r="AL100" t="s">
        <v>5</v>
      </c>
      <c r="AM100">
        <v>98</v>
      </c>
      <c r="AN100" t="s">
        <v>6</v>
      </c>
      <c r="AO100" s="1">
        <v>0.1539063</v>
      </c>
      <c r="AP100" t="s">
        <v>7</v>
      </c>
      <c r="AQ100" s="1">
        <v>0.5</v>
      </c>
      <c r="AR100" t="s">
        <v>8</v>
      </c>
      <c r="AS100" s="1">
        <v>0</v>
      </c>
      <c r="AT100" s="1">
        <v>0.20078907298537499</v>
      </c>
      <c r="AU100" s="1">
        <f t="shared" si="5"/>
        <v>0.40157814597074998</v>
      </c>
    </row>
    <row r="101" spans="10:47">
      <c r="J101" t="s">
        <v>4</v>
      </c>
      <c r="K101">
        <v>0</v>
      </c>
      <c r="L101" t="s">
        <v>5</v>
      </c>
      <c r="M101">
        <v>99</v>
      </c>
      <c r="N101" t="s">
        <v>6</v>
      </c>
      <c r="O101" s="1">
        <v>0.15546869999999999</v>
      </c>
      <c r="P101" t="s">
        <v>7</v>
      </c>
      <c r="Q101" s="1">
        <v>0.5</v>
      </c>
      <c r="R101" t="s">
        <v>8</v>
      </c>
      <c r="S101" s="1">
        <v>0</v>
      </c>
      <c r="T101" s="1">
        <v>0.20078067786340001</v>
      </c>
      <c r="U101" s="1">
        <f t="shared" si="3"/>
        <v>0.40156135572680002</v>
      </c>
      <c r="W101" t="s">
        <v>4</v>
      </c>
      <c r="X101">
        <v>0</v>
      </c>
      <c r="Y101" t="s">
        <v>5</v>
      </c>
      <c r="Z101">
        <v>99</v>
      </c>
      <c r="AA101" t="s">
        <v>6</v>
      </c>
      <c r="AB101" s="1">
        <v>0.15546869999999999</v>
      </c>
      <c r="AC101" t="s">
        <v>7</v>
      </c>
      <c r="AD101" s="1">
        <v>0.5</v>
      </c>
      <c r="AE101" t="s">
        <v>8</v>
      </c>
      <c r="AF101" s="1">
        <v>0</v>
      </c>
      <c r="AG101" s="1">
        <v>0.20077009202878901</v>
      </c>
      <c r="AH101" s="1">
        <f t="shared" si="4"/>
        <v>0.40154018405757802</v>
      </c>
      <c r="AJ101" t="s">
        <v>4</v>
      </c>
      <c r="AK101">
        <v>0</v>
      </c>
      <c r="AL101" t="s">
        <v>5</v>
      </c>
      <c r="AM101">
        <v>99</v>
      </c>
      <c r="AN101" t="s">
        <v>6</v>
      </c>
      <c r="AO101" s="1">
        <v>0.15546869999999999</v>
      </c>
      <c r="AP101" t="s">
        <v>7</v>
      </c>
      <c r="AQ101" s="1">
        <v>0.5</v>
      </c>
      <c r="AR101" t="s">
        <v>8</v>
      </c>
      <c r="AS101" s="1">
        <v>0</v>
      </c>
      <c r="AT101" s="1">
        <v>0.20081467351110099</v>
      </c>
      <c r="AU101" s="1">
        <f t="shared" si="5"/>
        <v>0.40162934702220199</v>
      </c>
    </row>
    <row r="102" spans="10:47">
      <c r="J102" t="s">
        <v>4</v>
      </c>
      <c r="K102">
        <v>0</v>
      </c>
      <c r="L102" t="s">
        <v>5</v>
      </c>
      <c r="M102">
        <v>100</v>
      </c>
      <c r="N102" t="s">
        <v>6</v>
      </c>
      <c r="O102" s="1">
        <v>0.15703130000000001</v>
      </c>
      <c r="P102" t="s">
        <v>7</v>
      </c>
      <c r="Q102" s="1">
        <v>0.5</v>
      </c>
      <c r="R102" t="s">
        <v>8</v>
      </c>
      <c r="S102" s="1">
        <v>0</v>
      </c>
      <c r="T102" s="1">
        <v>0.20080430372047001</v>
      </c>
      <c r="U102" s="1">
        <f t="shared" si="3"/>
        <v>0.40160860744094001</v>
      </c>
      <c r="W102" t="s">
        <v>4</v>
      </c>
      <c r="X102">
        <v>0</v>
      </c>
      <c r="Y102" t="s">
        <v>5</v>
      </c>
      <c r="Z102">
        <v>100</v>
      </c>
      <c r="AA102" t="s">
        <v>6</v>
      </c>
      <c r="AB102" s="1">
        <v>0.15703130000000001</v>
      </c>
      <c r="AC102" t="s">
        <v>7</v>
      </c>
      <c r="AD102" s="1">
        <v>0.5</v>
      </c>
      <c r="AE102" t="s">
        <v>8</v>
      </c>
      <c r="AF102" s="1">
        <v>0</v>
      </c>
      <c r="AG102" s="1">
        <v>0.20079510350267199</v>
      </c>
      <c r="AH102" s="1">
        <f t="shared" si="4"/>
        <v>0.40159020700534398</v>
      </c>
      <c r="AJ102" t="s">
        <v>4</v>
      </c>
      <c r="AK102">
        <v>0</v>
      </c>
      <c r="AL102" t="s">
        <v>5</v>
      </c>
      <c r="AM102">
        <v>100</v>
      </c>
      <c r="AN102" t="s">
        <v>6</v>
      </c>
      <c r="AO102" s="1">
        <v>0.15703130000000001</v>
      </c>
      <c r="AP102" t="s">
        <v>7</v>
      </c>
      <c r="AQ102" s="1">
        <v>0.5</v>
      </c>
      <c r="AR102" t="s">
        <v>8</v>
      </c>
      <c r="AS102" s="1">
        <v>0</v>
      </c>
      <c r="AT102" s="1">
        <v>0.20084009429261801</v>
      </c>
      <c r="AU102" s="1">
        <f t="shared" si="5"/>
        <v>0.40168018858523602</v>
      </c>
    </row>
    <row r="103" spans="10:47">
      <c r="J103" t="s">
        <v>4</v>
      </c>
      <c r="K103">
        <v>0</v>
      </c>
      <c r="L103" t="s">
        <v>5</v>
      </c>
      <c r="M103">
        <v>101</v>
      </c>
      <c r="N103" t="s">
        <v>6</v>
      </c>
      <c r="O103" s="1">
        <v>0.15859380000000001</v>
      </c>
      <c r="P103" t="s">
        <v>7</v>
      </c>
      <c r="Q103" s="1">
        <v>0.5</v>
      </c>
      <c r="R103" t="s">
        <v>8</v>
      </c>
      <c r="S103" s="1">
        <v>0</v>
      </c>
      <c r="T103" s="1">
        <v>0.20082994078208</v>
      </c>
      <c r="U103" s="1">
        <f t="shared" si="3"/>
        <v>0.40165988156415999</v>
      </c>
      <c r="W103" t="s">
        <v>4</v>
      </c>
      <c r="X103">
        <v>0</v>
      </c>
      <c r="Y103" t="s">
        <v>5</v>
      </c>
      <c r="Z103">
        <v>101</v>
      </c>
      <c r="AA103" t="s">
        <v>6</v>
      </c>
      <c r="AB103" s="1">
        <v>0.15859380000000001</v>
      </c>
      <c r="AC103" t="s">
        <v>7</v>
      </c>
      <c r="AD103" s="1">
        <v>0.5</v>
      </c>
      <c r="AE103" t="s">
        <v>8</v>
      </c>
      <c r="AF103" s="1">
        <v>0</v>
      </c>
      <c r="AG103" s="1">
        <v>0.20082362899647099</v>
      </c>
      <c r="AH103" s="1">
        <f t="shared" si="4"/>
        <v>0.40164725799294199</v>
      </c>
      <c r="AJ103" t="s">
        <v>4</v>
      </c>
      <c r="AK103">
        <v>0</v>
      </c>
      <c r="AL103" t="s">
        <v>5</v>
      </c>
      <c r="AM103">
        <v>101</v>
      </c>
      <c r="AN103" t="s">
        <v>6</v>
      </c>
      <c r="AO103" s="1">
        <v>0.15859380000000001</v>
      </c>
      <c r="AP103" t="s">
        <v>7</v>
      </c>
      <c r="AQ103" s="1">
        <v>0.5</v>
      </c>
      <c r="AR103" t="s">
        <v>8</v>
      </c>
      <c r="AS103" s="1">
        <v>0</v>
      </c>
      <c r="AT103" s="1">
        <v>0.20086529545211301</v>
      </c>
      <c r="AU103" s="1">
        <f t="shared" si="5"/>
        <v>0.40173059090422603</v>
      </c>
    </row>
    <row r="104" spans="10:47">
      <c r="J104" t="s">
        <v>4</v>
      </c>
      <c r="K104">
        <v>0</v>
      </c>
      <c r="L104" t="s">
        <v>5</v>
      </c>
      <c r="M104">
        <v>102</v>
      </c>
      <c r="N104" t="s">
        <v>6</v>
      </c>
      <c r="O104" s="1">
        <v>0.1601562</v>
      </c>
      <c r="P104" t="s">
        <v>7</v>
      </c>
      <c r="Q104" s="1">
        <v>0.5</v>
      </c>
      <c r="R104" t="s">
        <v>8</v>
      </c>
      <c r="S104" s="1">
        <v>0</v>
      </c>
      <c r="T104" s="1">
        <v>0.20085561260246701</v>
      </c>
      <c r="U104" s="1">
        <f t="shared" si="3"/>
        <v>0.40171122520493402</v>
      </c>
      <c r="W104" t="s">
        <v>4</v>
      </c>
      <c r="X104">
        <v>0</v>
      </c>
      <c r="Y104" t="s">
        <v>5</v>
      </c>
      <c r="Z104">
        <v>102</v>
      </c>
      <c r="AA104" t="s">
        <v>6</v>
      </c>
      <c r="AB104" s="1">
        <v>0.1601562</v>
      </c>
      <c r="AC104" t="s">
        <v>7</v>
      </c>
      <c r="AD104" s="1">
        <v>0.5</v>
      </c>
      <c r="AE104" t="s">
        <v>8</v>
      </c>
      <c r="AF104" s="1">
        <v>0</v>
      </c>
      <c r="AG104" s="1">
        <v>0.20085201825745699</v>
      </c>
      <c r="AH104" s="1">
        <f t="shared" si="4"/>
        <v>0.40170403651491399</v>
      </c>
      <c r="AJ104" t="s">
        <v>4</v>
      </c>
      <c r="AK104">
        <v>0</v>
      </c>
      <c r="AL104" t="s">
        <v>5</v>
      </c>
      <c r="AM104">
        <v>102</v>
      </c>
      <c r="AN104" t="s">
        <v>6</v>
      </c>
      <c r="AO104" s="1">
        <v>0.1601562</v>
      </c>
      <c r="AP104" t="s">
        <v>7</v>
      </c>
      <c r="AQ104" s="1">
        <v>0.5</v>
      </c>
      <c r="AR104" t="s">
        <v>8</v>
      </c>
      <c r="AS104" s="1">
        <v>0</v>
      </c>
      <c r="AT104" s="1">
        <v>0.200890378752801</v>
      </c>
      <c r="AU104" s="1">
        <f t="shared" si="5"/>
        <v>0.40178075750560199</v>
      </c>
    </row>
    <row r="105" spans="10:47">
      <c r="J105" t="s">
        <v>4</v>
      </c>
      <c r="K105">
        <v>0</v>
      </c>
      <c r="L105" t="s">
        <v>5</v>
      </c>
      <c r="M105">
        <v>103</v>
      </c>
      <c r="N105" t="s">
        <v>6</v>
      </c>
      <c r="O105" s="1">
        <v>0.16171869999999999</v>
      </c>
      <c r="P105" t="s">
        <v>7</v>
      </c>
      <c r="Q105" s="1">
        <v>0.5</v>
      </c>
      <c r="R105" t="s">
        <v>8</v>
      </c>
      <c r="S105" s="1">
        <v>0</v>
      </c>
      <c r="T105" s="1">
        <v>0.20088131714857599</v>
      </c>
      <c r="U105" s="1">
        <f t="shared" si="3"/>
        <v>0.40176263429715198</v>
      </c>
      <c r="W105" t="s">
        <v>4</v>
      </c>
      <c r="X105">
        <v>0</v>
      </c>
      <c r="Y105" t="s">
        <v>5</v>
      </c>
      <c r="Z105">
        <v>103</v>
      </c>
      <c r="AA105" t="s">
        <v>6</v>
      </c>
      <c r="AB105" s="1">
        <v>0.16171869999999999</v>
      </c>
      <c r="AC105" t="s">
        <v>7</v>
      </c>
      <c r="AD105" s="1">
        <v>0.5</v>
      </c>
      <c r="AE105" t="s">
        <v>8</v>
      </c>
      <c r="AF105" s="1">
        <v>0</v>
      </c>
      <c r="AG105" s="1">
        <v>0.20088026602557901</v>
      </c>
      <c r="AH105" s="1">
        <f t="shared" si="4"/>
        <v>0.40176053205115803</v>
      </c>
      <c r="AJ105" t="s">
        <v>4</v>
      </c>
      <c r="AK105">
        <v>0</v>
      </c>
      <c r="AL105" t="s">
        <v>5</v>
      </c>
      <c r="AM105">
        <v>103</v>
      </c>
      <c r="AN105" t="s">
        <v>6</v>
      </c>
      <c r="AO105" s="1">
        <v>0.16171869999999999</v>
      </c>
      <c r="AP105" t="s">
        <v>7</v>
      </c>
      <c r="AQ105" s="1">
        <v>0.5</v>
      </c>
      <c r="AR105" t="s">
        <v>8</v>
      </c>
      <c r="AS105" s="1">
        <v>0</v>
      </c>
      <c r="AT105" s="1">
        <v>0.200915332983504</v>
      </c>
      <c r="AU105" s="1">
        <f t="shared" si="5"/>
        <v>0.401830665967008</v>
      </c>
    </row>
    <row r="106" spans="10:47">
      <c r="J106" t="s">
        <v>4</v>
      </c>
      <c r="K106">
        <v>0</v>
      </c>
      <c r="L106" t="s">
        <v>5</v>
      </c>
      <c r="M106">
        <v>104</v>
      </c>
      <c r="N106" t="s">
        <v>6</v>
      </c>
      <c r="O106" s="1">
        <v>0.16328119999999999</v>
      </c>
      <c r="P106" t="s">
        <v>7</v>
      </c>
      <c r="Q106" s="1">
        <v>0.5</v>
      </c>
      <c r="R106" t="s">
        <v>8</v>
      </c>
      <c r="S106" s="1">
        <v>0</v>
      </c>
      <c r="T106" s="1">
        <v>0.20090705240536</v>
      </c>
      <c r="U106" s="1">
        <f t="shared" si="3"/>
        <v>0.40181410481072</v>
      </c>
      <c r="W106" t="s">
        <v>4</v>
      </c>
      <c r="X106">
        <v>0</v>
      </c>
      <c r="Y106" t="s">
        <v>5</v>
      </c>
      <c r="Z106">
        <v>104</v>
      </c>
      <c r="AA106" t="s">
        <v>6</v>
      </c>
      <c r="AB106" s="1">
        <v>0.16328119999999999</v>
      </c>
      <c r="AC106" t="s">
        <v>7</v>
      </c>
      <c r="AD106" s="1">
        <v>0.5</v>
      </c>
      <c r="AE106" t="s">
        <v>8</v>
      </c>
      <c r="AF106" s="1">
        <v>0</v>
      </c>
      <c r="AG106" s="1">
        <v>0.200908367090322</v>
      </c>
      <c r="AH106" s="1">
        <f t="shared" si="4"/>
        <v>0.40181673418064401</v>
      </c>
      <c r="AJ106" t="s">
        <v>4</v>
      </c>
      <c r="AK106">
        <v>0</v>
      </c>
      <c r="AL106" t="s">
        <v>5</v>
      </c>
      <c r="AM106">
        <v>104</v>
      </c>
      <c r="AN106" t="s">
        <v>6</v>
      </c>
      <c r="AO106" s="1">
        <v>0.16328119999999999</v>
      </c>
      <c r="AP106" t="s">
        <v>7</v>
      </c>
      <c r="AQ106" s="1">
        <v>0.5</v>
      </c>
      <c r="AR106" t="s">
        <v>8</v>
      </c>
      <c r="AS106" s="1">
        <v>0</v>
      </c>
      <c r="AT106" s="1">
        <v>0.200940147114544</v>
      </c>
      <c r="AU106" s="1">
        <f t="shared" si="5"/>
        <v>0.401880294229088</v>
      </c>
    </row>
    <row r="107" spans="10:47">
      <c r="J107" t="s">
        <v>4</v>
      </c>
      <c r="K107">
        <v>0</v>
      </c>
      <c r="L107" t="s">
        <v>5</v>
      </c>
      <c r="M107">
        <v>105</v>
      </c>
      <c r="N107" t="s">
        <v>6</v>
      </c>
      <c r="O107" s="1">
        <v>0.16484380000000001</v>
      </c>
      <c r="P107" t="s">
        <v>7</v>
      </c>
      <c r="Q107" s="1">
        <v>0.5</v>
      </c>
      <c r="R107" t="s">
        <v>8</v>
      </c>
      <c r="S107" s="1">
        <v>0</v>
      </c>
      <c r="T107" s="1">
        <v>0.20093281637591701</v>
      </c>
      <c r="U107" s="1">
        <f t="shared" si="3"/>
        <v>0.40186563275183401</v>
      </c>
      <c r="W107" t="s">
        <v>4</v>
      </c>
      <c r="X107">
        <v>0</v>
      </c>
      <c r="Y107" t="s">
        <v>5</v>
      </c>
      <c r="Z107">
        <v>105</v>
      </c>
      <c r="AA107" t="s">
        <v>6</v>
      </c>
      <c r="AB107" s="1">
        <v>0.16484380000000001</v>
      </c>
      <c r="AC107" t="s">
        <v>7</v>
      </c>
      <c r="AD107" s="1">
        <v>0.5</v>
      </c>
      <c r="AE107" t="s">
        <v>8</v>
      </c>
      <c r="AF107" s="1">
        <v>0</v>
      </c>
      <c r="AG107" s="1">
        <v>0.20093631629196401</v>
      </c>
      <c r="AH107" s="1">
        <f t="shared" si="4"/>
        <v>0.40187263258392802</v>
      </c>
      <c r="AJ107" t="s">
        <v>4</v>
      </c>
      <c r="AK107">
        <v>0</v>
      </c>
      <c r="AL107" t="s">
        <v>5</v>
      </c>
      <c r="AM107">
        <v>105</v>
      </c>
      <c r="AN107" t="s">
        <v>6</v>
      </c>
      <c r="AO107" s="1">
        <v>0.16484380000000001</v>
      </c>
      <c r="AP107" t="s">
        <v>7</v>
      </c>
      <c r="AQ107" s="1">
        <v>0.5</v>
      </c>
      <c r="AR107" t="s">
        <v>8</v>
      </c>
      <c r="AS107" s="1">
        <v>0</v>
      </c>
      <c r="AT107" s="1">
        <v>0.20096481029215599</v>
      </c>
      <c r="AU107" s="1">
        <f t="shared" si="5"/>
        <v>0.40192962058431198</v>
      </c>
    </row>
    <row r="108" spans="10:47">
      <c r="J108" t="s">
        <v>4</v>
      </c>
      <c r="K108">
        <v>0</v>
      </c>
      <c r="L108" t="s">
        <v>5</v>
      </c>
      <c r="M108">
        <v>106</v>
      </c>
      <c r="N108" t="s">
        <v>6</v>
      </c>
      <c r="O108" s="1">
        <v>0.16640630000000001</v>
      </c>
      <c r="P108" t="s">
        <v>7</v>
      </c>
      <c r="Q108" s="1">
        <v>0.5</v>
      </c>
      <c r="R108" t="s">
        <v>8</v>
      </c>
      <c r="S108" s="1">
        <v>0</v>
      </c>
      <c r="T108" s="1">
        <v>0.20095860708180499</v>
      </c>
      <c r="U108" s="1">
        <f t="shared" si="3"/>
        <v>0.40191721416360998</v>
      </c>
      <c r="W108" t="s">
        <v>4</v>
      </c>
      <c r="X108">
        <v>0</v>
      </c>
      <c r="Y108" t="s">
        <v>5</v>
      </c>
      <c r="Z108">
        <v>106</v>
      </c>
      <c r="AA108" t="s">
        <v>6</v>
      </c>
      <c r="AB108" s="1">
        <v>0.16640630000000001</v>
      </c>
      <c r="AC108" t="s">
        <v>7</v>
      </c>
      <c r="AD108" s="1">
        <v>0.5</v>
      </c>
      <c r="AE108" t="s">
        <v>8</v>
      </c>
      <c r="AF108" s="1">
        <v>0</v>
      </c>
      <c r="AG108" s="1">
        <v>0.20096410852291699</v>
      </c>
      <c r="AH108" s="1">
        <f t="shared" si="4"/>
        <v>0.40192821704583398</v>
      </c>
      <c r="AJ108" t="s">
        <v>4</v>
      </c>
      <c r="AK108">
        <v>0</v>
      </c>
      <c r="AL108" t="s">
        <v>5</v>
      </c>
      <c r="AM108">
        <v>106</v>
      </c>
      <c r="AN108" t="s">
        <v>6</v>
      </c>
      <c r="AO108" s="1">
        <v>0.16640630000000001</v>
      </c>
      <c r="AP108" t="s">
        <v>7</v>
      </c>
      <c r="AQ108" s="1">
        <v>0.5</v>
      </c>
      <c r="AR108" t="s">
        <v>8</v>
      </c>
      <c r="AS108" s="1">
        <v>0</v>
      </c>
      <c r="AT108" s="1">
        <v>0.20098931183434299</v>
      </c>
      <c r="AU108" s="1">
        <f t="shared" si="5"/>
        <v>0.40197862366868597</v>
      </c>
    </row>
    <row r="109" spans="10:47">
      <c r="J109" t="s">
        <v>4</v>
      </c>
      <c r="K109">
        <v>0</v>
      </c>
      <c r="L109" t="s">
        <v>5</v>
      </c>
      <c r="M109">
        <v>107</v>
      </c>
      <c r="N109" t="s">
        <v>6</v>
      </c>
      <c r="O109" s="1">
        <v>0.1679688</v>
      </c>
      <c r="P109" t="s">
        <v>7</v>
      </c>
      <c r="Q109" s="1">
        <v>0.5</v>
      </c>
      <c r="R109" t="s">
        <v>8</v>
      </c>
      <c r="S109" s="1">
        <v>0</v>
      </c>
      <c r="T109" s="1">
        <v>0.200984422563215</v>
      </c>
      <c r="U109" s="1">
        <f t="shared" si="3"/>
        <v>0.40196884512643</v>
      </c>
      <c r="W109" t="s">
        <v>4</v>
      </c>
      <c r="X109">
        <v>0</v>
      </c>
      <c r="Y109" t="s">
        <v>5</v>
      </c>
      <c r="Z109">
        <v>107</v>
      </c>
      <c r="AA109" t="s">
        <v>6</v>
      </c>
      <c r="AB109" s="1">
        <v>0.1679688</v>
      </c>
      <c r="AC109" t="s">
        <v>7</v>
      </c>
      <c r="AD109" s="1">
        <v>0.5</v>
      </c>
      <c r="AE109" t="s">
        <v>8</v>
      </c>
      <c r="AF109" s="1">
        <v>0</v>
      </c>
      <c r="AG109" s="1">
        <v>0.200991738728727</v>
      </c>
      <c r="AH109" s="1">
        <f t="shared" si="4"/>
        <v>0.401983477457454</v>
      </c>
      <c r="AJ109" t="s">
        <v>4</v>
      </c>
      <c r="AK109">
        <v>0</v>
      </c>
      <c r="AL109" t="s">
        <v>5</v>
      </c>
      <c r="AM109">
        <v>107</v>
      </c>
      <c r="AN109" t="s">
        <v>6</v>
      </c>
      <c r="AO109" s="1">
        <v>0.1679688</v>
      </c>
      <c r="AP109" t="s">
        <v>7</v>
      </c>
      <c r="AQ109" s="1">
        <v>0.5</v>
      </c>
      <c r="AR109" t="s">
        <v>8</v>
      </c>
      <c r="AS109" s="1">
        <v>0</v>
      </c>
      <c r="AT109" s="1">
        <v>0.20101364122438101</v>
      </c>
      <c r="AU109" s="1">
        <f t="shared" si="5"/>
        <v>0.40202728244876201</v>
      </c>
    </row>
    <row r="110" spans="10:47">
      <c r="J110" t="s">
        <v>4</v>
      </c>
      <c r="K110">
        <v>0</v>
      </c>
      <c r="L110" t="s">
        <v>5</v>
      </c>
      <c r="M110">
        <v>108</v>
      </c>
      <c r="N110" t="s">
        <v>6</v>
      </c>
      <c r="O110" s="1">
        <v>0.16953119999999999</v>
      </c>
      <c r="P110" t="s">
        <v>7</v>
      </c>
      <c r="Q110" s="1">
        <v>0.5</v>
      </c>
      <c r="R110" t="s">
        <v>8</v>
      </c>
      <c r="S110" s="1">
        <v>0</v>
      </c>
      <c r="T110" s="1">
        <v>0.20101026087905999</v>
      </c>
      <c r="U110" s="1">
        <f t="shared" si="3"/>
        <v>0.40202052175811998</v>
      </c>
      <c r="W110" t="s">
        <v>4</v>
      </c>
      <c r="X110">
        <v>0</v>
      </c>
      <c r="Y110" t="s">
        <v>5</v>
      </c>
      <c r="Z110">
        <v>108</v>
      </c>
      <c r="AA110" t="s">
        <v>6</v>
      </c>
      <c r="AB110" s="1">
        <v>0.16953119999999999</v>
      </c>
      <c r="AC110" t="s">
        <v>7</v>
      </c>
      <c r="AD110" s="1">
        <v>0.5</v>
      </c>
      <c r="AE110" t="s">
        <v>8</v>
      </c>
      <c r="AF110" s="1">
        <v>0</v>
      </c>
      <c r="AG110" s="1">
        <v>0.201019201909658</v>
      </c>
      <c r="AH110" s="1">
        <f t="shared" si="4"/>
        <v>0.40203840381931599</v>
      </c>
      <c r="AJ110" t="s">
        <v>4</v>
      </c>
      <c r="AK110">
        <v>0</v>
      </c>
      <c r="AL110" t="s">
        <v>5</v>
      </c>
      <c r="AM110">
        <v>108</v>
      </c>
      <c r="AN110" t="s">
        <v>6</v>
      </c>
      <c r="AO110" s="1">
        <v>0.16953119999999999</v>
      </c>
      <c r="AP110" t="s">
        <v>7</v>
      </c>
      <c r="AQ110" s="1">
        <v>0.5</v>
      </c>
      <c r="AR110" t="s">
        <v>8</v>
      </c>
      <c r="AS110" s="1">
        <v>0</v>
      </c>
      <c r="AT110" s="1">
        <v>0.20103778810579101</v>
      </c>
      <c r="AU110" s="1">
        <f t="shared" si="5"/>
        <v>0.40207557621158202</v>
      </c>
    </row>
    <row r="111" spans="10:47">
      <c r="J111" t="s">
        <v>4</v>
      </c>
      <c r="K111">
        <v>0</v>
      </c>
      <c r="L111" t="s">
        <v>5</v>
      </c>
      <c r="M111">
        <v>109</v>
      </c>
      <c r="N111" t="s">
        <v>6</v>
      </c>
      <c r="O111" s="1">
        <v>0.17109369999999999</v>
      </c>
      <c r="P111" t="s">
        <v>7</v>
      </c>
      <c r="Q111" s="1">
        <v>0.5</v>
      </c>
      <c r="R111" t="s">
        <v>8</v>
      </c>
      <c r="S111" s="1">
        <v>0</v>
      </c>
      <c r="T111" s="1">
        <v>0.20103612010731201</v>
      </c>
      <c r="U111" s="1">
        <f t="shared" si="3"/>
        <v>0.40207224021462401</v>
      </c>
      <c r="W111" t="s">
        <v>4</v>
      </c>
      <c r="X111">
        <v>0</v>
      </c>
      <c r="Y111" t="s">
        <v>5</v>
      </c>
      <c r="Z111">
        <v>109</v>
      </c>
      <c r="AA111" t="s">
        <v>6</v>
      </c>
      <c r="AB111" s="1">
        <v>0.17109369999999999</v>
      </c>
      <c r="AC111" t="s">
        <v>7</v>
      </c>
      <c r="AD111" s="1">
        <v>0.5</v>
      </c>
      <c r="AE111" t="s">
        <v>8</v>
      </c>
      <c r="AF111" s="1">
        <v>0</v>
      </c>
      <c r="AG111" s="1">
        <v>0.20104649312179901</v>
      </c>
      <c r="AH111" s="1">
        <f t="shared" si="4"/>
        <v>0.40209298624359802</v>
      </c>
      <c r="AJ111" t="s">
        <v>4</v>
      </c>
      <c r="AK111">
        <v>0</v>
      </c>
      <c r="AL111" t="s">
        <v>5</v>
      </c>
      <c r="AM111">
        <v>109</v>
      </c>
      <c r="AN111" t="s">
        <v>6</v>
      </c>
      <c r="AO111" s="1">
        <v>0.17109369999999999</v>
      </c>
      <c r="AP111" t="s">
        <v>7</v>
      </c>
      <c r="AQ111" s="1">
        <v>0.5</v>
      </c>
      <c r="AR111" t="s">
        <v>8</v>
      </c>
      <c r="AS111" s="1">
        <v>0</v>
      </c>
      <c r="AT111" s="1">
        <v>0.201061742276022</v>
      </c>
      <c r="AU111" s="1">
        <f t="shared" si="5"/>
        <v>0.402123484552044</v>
      </c>
    </row>
    <row r="112" spans="10:47">
      <c r="J112" t="s">
        <v>4</v>
      </c>
      <c r="K112">
        <v>0</v>
      </c>
      <c r="L112" t="s">
        <v>5</v>
      </c>
      <c r="M112">
        <v>110</v>
      </c>
      <c r="N112" t="s">
        <v>6</v>
      </c>
      <c r="O112" s="1">
        <v>0.17265630000000001</v>
      </c>
      <c r="P112" t="s">
        <v>7</v>
      </c>
      <c r="Q112" s="1">
        <v>0.5</v>
      </c>
      <c r="R112" t="s">
        <v>8</v>
      </c>
      <c r="S112" s="1">
        <v>0</v>
      </c>
      <c r="T112" s="1">
        <v>0.20106199834504099</v>
      </c>
      <c r="U112" s="1">
        <f t="shared" si="3"/>
        <v>0.40212399669008198</v>
      </c>
      <c r="W112" t="s">
        <v>4</v>
      </c>
      <c r="X112">
        <v>0</v>
      </c>
      <c r="Y112" t="s">
        <v>5</v>
      </c>
      <c r="Z112">
        <v>110</v>
      </c>
      <c r="AA112" t="s">
        <v>6</v>
      </c>
      <c r="AB112" s="1">
        <v>0.17265630000000001</v>
      </c>
      <c r="AC112" t="s">
        <v>7</v>
      </c>
      <c r="AD112" s="1">
        <v>0.5</v>
      </c>
      <c r="AE112" t="s">
        <v>8</v>
      </c>
      <c r="AF112" s="1">
        <v>0</v>
      </c>
      <c r="AG112" s="1">
        <v>0.201073607478337</v>
      </c>
      <c r="AH112" s="1">
        <f t="shared" si="4"/>
        <v>0.40214721495667399</v>
      </c>
      <c r="AJ112" t="s">
        <v>4</v>
      </c>
      <c r="AK112">
        <v>0</v>
      </c>
      <c r="AL112" t="s">
        <v>5</v>
      </c>
      <c r="AM112">
        <v>110</v>
      </c>
      <c r="AN112" t="s">
        <v>6</v>
      </c>
      <c r="AO112" s="1">
        <v>0.17265630000000001</v>
      </c>
      <c r="AP112" t="s">
        <v>7</v>
      </c>
      <c r="AQ112" s="1">
        <v>0.5</v>
      </c>
      <c r="AR112" t="s">
        <v>8</v>
      </c>
      <c r="AS112" s="1">
        <v>0</v>
      </c>
      <c r="AT112" s="1">
        <v>0.20108549368140899</v>
      </c>
      <c r="AU112" s="1">
        <f t="shared" si="5"/>
        <v>0.40217098736281798</v>
      </c>
    </row>
    <row r="113" spans="10:47">
      <c r="J113" t="s">
        <v>4</v>
      </c>
      <c r="K113">
        <v>0</v>
      </c>
      <c r="L113" t="s">
        <v>5</v>
      </c>
      <c r="M113">
        <v>111</v>
      </c>
      <c r="N113" t="s">
        <v>6</v>
      </c>
      <c r="O113" s="1">
        <v>0.17421880000000001</v>
      </c>
      <c r="P113" t="s">
        <v>7</v>
      </c>
      <c r="Q113" s="1">
        <v>0.5</v>
      </c>
      <c r="R113" t="s">
        <v>8</v>
      </c>
      <c r="S113" s="1">
        <v>0</v>
      </c>
      <c r="T113" s="1">
        <v>0.201087893708913</v>
      </c>
      <c r="U113" s="1">
        <f t="shared" si="3"/>
        <v>0.402175787417826</v>
      </c>
      <c r="W113" t="s">
        <v>4</v>
      </c>
      <c r="X113">
        <v>0</v>
      </c>
      <c r="Y113" t="s">
        <v>5</v>
      </c>
      <c r="Z113">
        <v>111</v>
      </c>
      <c r="AA113" t="s">
        <v>6</v>
      </c>
      <c r="AB113" s="1">
        <v>0.17421880000000001</v>
      </c>
      <c r="AC113" t="s">
        <v>7</v>
      </c>
      <c r="AD113" s="1">
        <v>0.5</v>
      </c>
      <c r="AE113" t="s">
        <v>8</v>
      </c>
      <c r="AF113" s="1">
        <v>0</v>
      </c>
      <c r="AG113" s="1">
        <v>0.20110054015075601</v>
      </c>
      <c r="AH113" s="1">
        <f t="shared" si="4"/>
        <v>0.40220108030151203</v>
      </c>
      <c r="AJ113" t="s">
        <v>4</v>
      </c>
      <c r="AK113">
        <v>0</v>
      </c>
      <c r="AL113" t="s">
        <v>5</v>
      </c>
      <c r="AM113">
        <v>111</v>
      </c>
      <c r="AN113" t="s">
        <v>6</v>
      </c>
      <c r="AO113" s="1">
        <v>0.17421880000000001</v>
      </c>
      <c r="AP113" t="s">
        <v>7</v>
      </c>
      <c r="AQ113" s="1">
        <v>0.5</v>
      </c>
      <c r="AR113" t="s">
        <v>8</v>
      </c>
      <c r="AS113" s="1">
        <v>0</v>
      </c>
      <c r="AT113" s="1">
        <v>0.201109032410244</v>
      </c>
      <c r="AU113" s="1">
        <f t="shared" si="5"/>
        <v>0.402218064820488</v>
      </c>
    </row>
    <row r="114" spans="10:47">
      <c r="J114" t="s">
        <v>4</v>
      </c>
      <c r="K114">
        <v>0</v>
      </c>
      <c r="L114" t="s">
        <v>5</v>
      </c>
      <c r="M114">
        <v>112</v>
      </c>
      <c r="N114" t="s">
        <v>6</v>
      </c>
      <c r="O114" s="1">
        <v>0.1757812</v>
      </c>
      <c r="P114" t="s">
        <v>7</v>
      </c>
      <c r="Q114" s="1">
        <v>0.5</v>
      </c>
      <c r="R114" t="s">
        <v>8</v>
      </c>
      <c r="S114" s="1">
        <v>0</v>
      </c>
      <c r="T114" s="1">
        <v>0.201113804334935</v>
      </c>
      <c r="U114" s="1">
        <f t="shared" si="3"/>
        <v>0.40222760866987001</v>
      </c>
      <c r="W114" t="s">
        <v>4</v>
      </c>
      <c r="X114">
        <v>0</v>
      </c>
      <c r="Y114" t="s">
        <v>5</v>
      </c>
      <c r="Z114">
        <v>112</v>
      </c>
      <c r="AA114" t="s">
        <v>6</v>
      </c>
      <c r="AB114" s="1">
        <v>0.1757812</v>
      </c>
      <c r="AC114" t="s">
        <v>7</v>
      </c>
      <c r="AD114" s="1">
        <v>0.5</v>
      </c>
      <c r="AE114" t="s">
        <v>8</v>
      </c>
      <c r="AF114" s="1">
        <v>0</v>
      </c>
      <c r="AG114" s="1">
        <v>0.201127286370375</v>
      </c>
      <c r="AH114" s="1">
        <f t="shared" si="4"/>
        <v>0.40225457274074999</v>
      </c>
      <c r="AJ114" t="s">
        <v>4</v>
      </c>
      <c r="AK114">
        <v>0</v>
      </c>
      <c r="AL114" t="s">
        <v>5</v>
      </c>
      <c r="AM114">
        <v>112</v>
      </c>
      <c r="AN114" t="s">
        <v>6</v>
      </c>
      <c r="AO114" s="1">
        <v>0.1757812</v>
      </c>
      <c r="AP114" t="s">
        <v>7</v>
      </c>
      <c r="AQ114" s="1">
        <v>0.5</v>
      </c>
      <c r="AR114" t="s">
        <v>8</v>
      </c>
      <c r="AS114" s="1">
        <v>0</v>
      </c>
      <c r="AT114" s="1">
        <v>0.20113234868608601</v>
      </c>
      <c r="AU114" s="1">
        <f t="shared" si="5"/>
        <v>0.40226469737217202</v>
      </c>
    </row>
    <row r="115" spans="10:47">
      <c r="J115" t="s">
        <v>4</v>
      </c>
      <c r="K115">
        <v>0</v>
      </c>
      <c r="L115" t="s">
        <v>5</v>
      </c>
      <c r="M115">
        <v>113</v>
      </c>
      <c r="N115" t="s">
        <v>6</v>
      </c>
      <c r="O115" s="1">
        <v>0.17734369999999999</v>
      </c>
      <c r="P115" t="s">
        <v>7</v>
      </c>
      <c r="Q115" s="1">
        <v>0.5</v>
      </c>
      <c r="R115" t="s">
        <v>8</v>
      </c>
      <c r="S115" s="1">
        <v>0</v>
      </c>
      <c r="T115" s="1">
        <v>0.20113972837906699</v>
      </c>
      <c r="U115" s="1">
        <f t="shared" si="3"/>
        <v>0.40227945675813398</v>
      </c>
      <c r="W115" t="s">
        <v>4</v>
      </c>
      <c r="X115">
        <v>0</v>
      </c>
      <c r="Y115" t="s">
        <v>5</v>
      </c>
      <c r="Z115">
        <v>113</v>
      </c>
      <c r="AA115" t="s">
        <v>6</v>
      </c>
      <c r="AB115" s="1">
        <v>0.17734369999999999</v>
      </c>
      <c r="AC115" t="s">
        <v>7</v>
      </c>
      <c r="AD115" s="1">
        <v>0.5</v>
      </c>
      <c r="AE115" t="s">
        <v>8</v>
      </c>
      <c r="AF115" s="1">
        <v>0</v>
      </c>
      <c r="AG115" s="1">
        <v>0.20115384142930301</v>
      </c>
      <c r="AH115" s="1">
        <f t="shared" si="4"/>
        <v>0.40230768285860602</v>
      </c>
      <c r="AJ115" t="s">
        <v>4</v>
      </c>
      <c r="AK115">
        <v>0</v>
      </c>
      <c r="AL115" t="s">
        <v>5</v>
      </c>
      <c r="AM115">
        <v>113</v>
      </c>
      <c r="AN115" t="s">
        <v>6</v>
      </c>
      <c r="AO115" s="1">
        <v>0.17734369999999999</v>
      </c>
      <c r="AP115" t="s">
        <v>7</v>
      </c>
      <c r="AQ115" s="1">
        <v>0.5</v>
      </c>
      <c r="AR115" t="s">
        <v>8</v>
      </c>
      <c r="AS115" s="1">
        <v>0</v>
      </c>
      <c r="AT115" s="1">
        <v>0.20115543286193099</v>
      </c>
      <c r="AU115" s="1">
        <f t="shared" si="5"/>
        <v>0.40231086572386199</v>
      </c>
    </row>
    <row r="116" spans="10:47">
      <c r="J116" t="s">
        <v>4</v>
      </c>
      <c r="K116">
        <v>0</v>
      </c>
      <c r="L116" t="s">
        <v>5</v>
      </c>
      <c r="M116">
        <v>114</v>
      </c>
      <c r="N116" t="s">
        <v>6</v>
      </c>
      <c r="O116" s="1">
        <v>0.17890619999999999</v>
      </c>
      <c r="P116" t="s">
        <v>7</v>
      </c>
      <c r="Q116" s="1">
        <v>0.5</v>
      </c>
      <c r="R116" t="s">
        <v>8</v>
      </c>
      <c r="S116" s="1">
        <v>0</v>
      </c>
      <c r="T116" s="1">
        <v>0.20116566401724301</v>
      </c>
      <c r="U116" s="1">
        <f t="shared" si="3"/>
        <v>0.40233132803448601</v>
      </c>
      <c r="W116" t="s">
        <v>4</v>
      </c>
      <c r="X116">
        <v>0</v>
      </c>
      <c r="Y116" t="s">
        <v>5</v>
      </c>
      <c r="Z116">
        <v>114</v>
      </c>
      <c r="AA116" t="s">
        <v>6</v>
      </c>
      <c r="AB116" s="1">
        <v>0.17890619999999999</v>
      </c>
      <c r="AC116" t="s">
        <v>7</v>
      </c>
      <c r="AD116" s="1">
        <v>0.5</v>
      </c>
      <c r="AE116" t="s">
        <v>8</v>
      </c>
      <c r="AF116" s="1">
        <v>0</v>
      </c>
      <c r="AG116" s="1">
        <v>0.20118020068190301</v>
      </c>
      <c r="AH116" s="1">
        <f t="shared" si="4"/>
        <v>0.40236040136380602</v>
      </c>
      <c r="AJ116" t="s">
        <v>4</v>
      </c>
      <c r="AK116">
        <v>0</v>
      </c>
      <c r="AL116" t="s">
        <v>5</v>
      </c>
      <c r="AM116">
        <v>114</v>
      </c>
      <c r="AN116" t="s">
        <v>6</v>
      </c>
      <c r="AO116" s="1">
        <v>0.17890619999999999</v>
      </c>
      <c r="AP116" t="s">
        <v>7</v>
      </c>
      <c r="AQ116" s="1">
        <v>0.5</v>
      </c>
      <c r="AR116" t="s">
        <v>8</v>
      </c>
      <c r="AS116" s="1">
        <v>0</v>
      </c>
      <c r="AT116" s="1">
        <v>0.20117827541371999</v>
      </c>
      <c r="AU116" s="1">
        <f t="shared" si="5"/>
        <v>0.40235655082743998</v>
      </c>
    </row>
    <row r="117" spans="10:47">
      <c r="J117" t="s">
        <v>4</v>
      </c>
      <c r="K117">
        <v>0</v>
      </c>
      <c r="L117" t="s">
        <v>5</v>
      </c>
      <c r="M117">
        <v>115</v>
      </c>
      <c r="N117" t="s">
        <v>6</v>
      </c>
      <c r="O117" s="1">
        <v>0.18046880000000001</v>
      </c>
      <c r="P117" t="s">
        <v>7</v>
      </c>
      <c r="Q117" s="1">
        <v>0.5</v>
      </c>
      <c r="R117" t="s">
        <v>8</v>
      </c>
      <c r="S117" s="1">
        <v>0</v>
      </c>
      <c r="T117" s="1">
        <v>0.20119160944557499</v>
      </c>
      <c r="U117" s="1">
        <f t="shared" si="3"/>
        <v>0.40238321889114997</v>
      </c>
      <c r="W117" t="s">
        <v>4</v>
      </c>
      <c r="X117">
        <v>0</v>
      </c>
      <c r="Y117" t="s">
        <v>5</v>
      </c>
      <c r="Z117">
        <v>115</v>
      </c>
      <c r="AA117" t="s">
        <v>6</v>
      </c>
      <c r="AB117" s="1">
        <v>0.18046880000000001</v>
      </c>
      <c r="AC117" t="s">
        <v>7</v>
      </c>
      <c r="AD117" s="1">
        <v>0.5</v>
      </c>
      <c r="AE117" t="s">
        <v>8</v>
      </c>
      <c r="AF117" s="1">
        <v>0</v>
      </c>
      <c r="AG117" s="1">
        <v>0.20120635954618099</v>
      </c>
      <c r="AH117" s="1">
        <f t="shared" si="4"/>
        <v>0.40241271909236198</v>
      </c>
      <c r="AJ117" t="s">
        <v>4</v>
      </c>
      <c r="AK117">
        <v>0</v>
      </c>
      <c r="AL117" t="s">
        <v>5</v>
      </c>
      <c r="AM117">
        <v>115</v>
      </c>
      <c r="AN117" t="s">
        <v>6</v>
      </c>
      <c r="AO117" s="1">
        <v>0.18046880000000001</v>
      </c>
      <c r="AP117" t="s">
        <v>7</v>
      </c>
      <c r="AQ117" s="1">
        <v>0.5</v>
      </c>
      <c r="AR117" t="s">
        <v>8</v>
      </c>
      <c r="AS117" s="1">
        <v>0</v>
      </c>
      <c r="AT117" s="1">
        <v>0.201200866932086</v>
      </c>
      <c r="AU117" s="1">
        <f t="shared" si="5"/>
        <v>0.402401733864172</v>
      </c>
    </row>
    <row r="118" spans="10:47">
      <c r="J118" t="s">
        <v>4</v>
      </c>
      <c r="K118">
        <v>0</v>
      </c>
      <c r="L118" t="s">
        <v>5</v>
      </c>
      <c r="M118">
        <v>116</v>
      </c>
      <c r="N118" t="s">
        <v>6</v>
      </c>
      <c r="O118" s="1">
        <v>0.18203130000000001</v>
      </c>
      <c r="P118" t="s">
        <v>7</v>
      </c>
      <c r="Q118" s="1">
        <v>0.5</v>
      </c>
      <c r="R118" t="s">
        <v>8</v>
      </c>
      <c r="S118" s="1">
        <v>0</v>
      </c>
      <c r="T118" s="1">
        <v>0.201217562880533</v>
      </c>
      <c r="U118" s="1">
        <f t="shared" si="3"/>
        <v>0.40243512576106599</v>
      </c>
      <c r="W118" t="s">
        <v>4</v>
      </c>
      <c r="X118">
        <v>0</v>
      </c>
      <c r="Y118" t="s">
        <v>5</v>
      </c>
      <c r="Z118">
        <v>116</v>
      </c>
      <c r="AA118" t="s">
        <v>6</v>
      </c>
      <c r="AB118" s="1">
        <v>0.18203130000000001</v>
      </c>
      <c r="AC118" t="s">
        <v>7</v>
      </c>
      <c r="AD118" s="1">
        <v>0.5</v>
      </c>
      <c r="AE118" t="s">
        <v>8</v>
      </c>
      <c r="AF118" s="1">
        <v>0</v>
      </c>
      <c r="AG118" s="1">
        <v>0.20123231350490101</v>
      </c>
      <c r="AH118" s="1">
        <f t="shared" si="4"/>
        <v>0.40246462700980201</v>
      </c>
      <c r="AJ118" t="s">
        <v>4</v>
      </c>
      <c r="AK118">
        <v>0</v>
      </c>
      <c r="AL118" t="s">
        <v>5</v>
      </c>
      <c r="AM118">
        <v>116</v>
      </c>
      <c r="AN118" t="s">
        <v>6</v>
      </c>
      <c r="AO118" s="1">
        <v>0.18203130000000001</v>
      </c>
      <c r="AP118" t="s">
        <v>7</v>
      </c>
      <c r="AQ118" s="1">
        <v>0.5</v>
      </c>
      <c r="AR118" t="s">
        <v>8</v>
      </c>
      <c r="AS118" s="1">
        <v>0</v>
      </c>
      <c r="AT118" s="1">
        <v>0.201223198116426</v>
      </c>
      <c r="AU118" s="1">
        <f t="shared" si="5"/>
        <v>0.402446396232852</v>
      </c>
    </row>
    <row r="119" spans="10:47">
      <c r="J119" t="s">
        <v>4</v>
      </c>
      <c r="K119">
        <v>0</v>
      </c>
      <c r="L119" t="s">
        <v>5</v>
      </c>
      <c r="M119">
        <v>117</v>
      </c>
      <c r="N119" t="s">
        <v>6</v>
      </c>
      <c r="O119" s="1">
        <v>0.1835938</v>
      </c>
      <c r="P119" t="s">
        <v>7</v>
      </c>
      <c r="Q119" s="1">
        <v>0.5</v>
      </c>
      <c r="R119" t="s">
        <v>8</v>
      </c>
      <c r="S119" s="1">
        <v>0</v>
      </c>
      <c r="T119" s="1">
        <v>0.201243522559268</v>
      </c>
      <c r="U119" s="1">
        <f t="shared" si="3"/>
        <v>0.402487045118536</v>
      </c>
      <c r="W119" t="s">
        <v>4</v>
      </c>
      <c r="X119">
        <v>0</v>
      </c>
      <c r="Y119" t="s">
        <v>5</v>
      </c>
      <c r="Z119">
        <v>117</v>
      </c>
      <c r="AA119" t="s">
        <v>6</v>
      </c>
      <c r="AB119" s="1">
        <v>0.1835938</v>
      </c>
      <c r="AC119" t="s">
        <v>7</v>
      </c>
      <c r="AD119" s="1">
        <v>0.5</v>
      </c>
      <c r="AE119" t="s">
        <v>8</v>
      </c>
      <c r="AF119" s="1">
        <v>0</v>
      </c>
      <c r="AG119" s="1">
        <v>0.20125805810696301</v>
      </c>
      <c r="AH119" s="1">
        <f t="shared" si="4"/>
        <v>0.40251611621392602</v>
      </c>
      <c r="AJ119" t="s">
        <v>4</v>
      </c>
      <c r="AK119">
        <v>0</v>
      </c>
      <c r="AL119" t="s">
        <v>5</v>
      </c>
      <c r="AM119">
        <v>117</v>
      </c>
      <c r="AN119" t="s">
        <v>6</v>
      </c>
      <c r="AO119" s="1">
        <v>0.1835938</v>
      </c>
      <c r="AP119" t="s">
        <v>7</v>
      </c>
      <c r="AQ119" s="1">
        <v>0.5</v>
      </c>
      <c r="AR119" t="s">
        <v>8</v>
      </c>
      <c r="AS119" s="1">
        <v>0</v>
      </c>
      <c r="AT119" s="1">
        <v>0.20124525976697299</v>
      </c>
      <c r="AU119" s="1">
        <f t="shared" si="5"/>
        <v>0.40249051953394599</v>
      </c>
    </row>
    <row r="120" spans="10:47">
      <c r="J120" t="s">
        <v>4</v>
      </c>
      <c r="K120">
        <v>0</v>
      </c>
      <c r="L120" t="s">
        <v>5</v>
      </c>
      <c r="M120">
        <v>118</v>
      </c>
      <c r="N120" t="s">
        <v>6</v>
      </c>
      <c r="O120" s="1">
        <v>0.18515619999999999</v>
      </c>
      <c r="P120" t="s">
        <v>7</v>
      </c>
      <c r="Q120" s="1">
        <v>0.5</v>
      </c>
      <c r="R120" t="s">
        <v>8</v>
      </c>
      <c r="S120" s="1">
        <v>0</v>
      </c>
      <c r="T120" s="1">
        <v>0.20126948673964201</v>
      </c>
      <c r="U120" s="1">
        <f t="shared" si="3"/>
        <v>0.40253897347928402</v>
      </c>
      <c r="W120" t="s">
        <v>4</v>
      </c>
      <c r="X120">
        <v>0</v>
      </c>
      <c r="Y120" t="s">
        <v>5</v>
      </c>
      <c r="Z120">
        <v>118</v>
      </c>
      <c r="AA120" t="s">
        <v>6</v>
      </c>
      <c r="AB120" s="1">
        <v>0.18515619999999999</v>
      </c>
      <c r="AC120" t="s">
        <v>7</v>
      </c>
      <c r="AD120" s="1">
        <v>0.5</v>
      </c>
      <c r="AE120" t="s">
        <v>8</v>
      </c>
      <c r="AF120" s="1">
        <v>0</v>
      </c>
      <c r="AG120" s="1">
        <v>0.201283588968661</v>
      </c>
      <c r="AH120" s="1">
        <f t="shared" si="4"/>
        <v>0.402567177937322</v>
      </c>
      <c r="AJ120" t="s">
        <v>4</v>
      </c>
      <c r="AK120">
        <v>0</v>
      </c>
      <c r="AL120" t="s">
        <v>5</v>
      </c>
      <c r="AM120">
        <v>118</v>
      </c>
      <c r="AN120" t="s">
        <v>6</v>
      </c>
      <c r="AO120" s="1">
        <v>0.18515619999999999</v>
      </c>
      <c r="AP120" t="s">
        <v>7</v>
      </c>
      <c r="AQ120" s="1">
        <v>0.5</v>
      </c>
      <c r="AR120" t="s">
        <v>8</v>
      </c>
      <c r="AS120" s="1">
        <v>0</v>
      </c>
      <c r="AT120" s="1">
        <v>0.20126704277749399</v>
      </c>
      <c r="AU120" s="1">
        <f t="shared" si="5"/>
        <v>0.40253408555498799</v>
      </c>
    </row>
    <row r="121" spans="10:47">
      <c r="J121" t="s">
        <v>4</v>
      </c>
      <c r="K121">
        <v>0</v>
      </c>
      <c r="L121" t="s">
        <v>5</v>
      </c>
      <c r="M121">
        <v>119</v>
      </c>
      <c r="N121" t="s">
        <v>6</v>
      </c>
      <c r="O121" s="1">
        <v>0.18671869999999999</v>
      </c>
      <c r="P121" t="s">
        <v>7</v>
      </c>
      <c r="Q121" s="1">
        <v>0.5</v>
      </c>
      <c r="R121" t="s">
        <v>8</v>
      </c>
      <c r="S121" s="1">
        <v>0</v>
      </c>
      <c r="T121" s="1">
        <v>0.201295453700569</v>
      </c>
      <c r="U121" s="1">
        <f t="shared" si="3"/>
        <v>0.40259090740113801</v>
      </c>
      <c r="W121" t="s">
        <v>4</v>
      </c>
      <c r="X121">
        <v>0</v>
      </c>
      <c r="Y121" t="s">
        <v>5</v>
      </c>
      <c r="Z121">
        <v>119</v>
      </c>
      <c r="AA121" t="s">
        <v>6</v>
      </c>
      <c r="AB121" s="1">
        <v>0.18671869999999999</v>
      </c>
      <c r="AC121" t="s">
        <v>7</v>
      </c>
      <c r="AD121" s="1">
        <v>0.5</v>
      </c>
      <c r="AE121" t="s">
        <v>8</v>
      </c>
      <c r="AF121" s="1">
        <v>0</v>
      </c>
      <c r="AG121" s="1">
        <v>0.20130890177515701</v>
      </c>
      <c r="AH121" s="1">
        <f t="shared" si="4"/>
        <v>0.40261780355031401</v>
      </c>
      <c r="AJ121" t="s">
        <v>4</v>
      </c>
      <c r="AK121">
        <v>0</v>
      </c>
      <c r="AL121" t="s">
        <v>5</v>
      </c>
      <c r="AM121">
        <v>119</v>
      </c>
      <c r="AN121" t="s">
        <v>6</v>
      </c>
      <c r="AO121" s="1">
        <v>0.18671869999999999</v>
      </c>
      <c r="AP121" t="s">
        <v>7</v>
      </c>
      <c r="AQ121" s="1">
        <v>0.5</v>
      </c>
      <c r="AR121" t="s">
        <v>8</v>
      </c>
      <c r="AS121" s="1">
        <v>0</v>
      </c>
      <c r="AT121" s="1">
        <v>0.20128853812773301</v>
      </c>
      <c r="AU121" s="1">
        <f t="shared" si="5"/>
        <v>0.40257707625546602</v>
      </c>
    </row>
    <row r="122" spans="10:47">
      <c r="J122" t="s">
        <v>4</v>
      </c>
      <c r="K122">
        <v>0</v>
      </c>
      <c r="L122" t="s">
        <v>5</v>
      </c>
      <c r="M122">
        <v>120</v>
      </c>
      <c r="N122" t="s">
        <v>6</v>
      </c>
      <c r="O122" s="1">
        <v>0.18828130000000001</v>
      </c>
      <c r="P122" t="s">
        <v>7</v>
      </c>
      <c r="Q122" s="1">
        <v>0.5</v>
      </c>
      <c r="R122" t="s">
        <v>8</v>
      </c>
      <c r="S122" s="1">
        <v>0</v>
      </c>
      <c r="T122" s="1">
        <v>0.20132321458896901</v>
      </c>
      <c r="U122" s="1">
        <f t="shared" si="3"/>
        <v>0.40264642917793803</v>
      </c>
      <c r="W122" t="s">
        <v>4</v>
      </c>
      <c r="X122">
        <v>0</v>
      </c>
      <c r="Y122" t="s">
        <v>5</v>
      </c>
      <c r="Z122">
        <v>120</v>
      </c>
      <c r="AA122" t="s">
        <v>6</v>
      </c>
      <c r="AB122" s="1">
        <v>0.18828130000000001</v>
      </c>
      <c r="AC122" t="s">
        <v>7</v>
      </c>
      <c r="AD122" s="1">
        <v>0.5</v>
      </c>
      <c r="AE122" t="s">
        <v>8</v>
      </c>
      <c r="AF122" s="1">
        <v>0</v>
      </c>
      <c r="AG122" s="1">
        <v>0.20133181697424901</v>
      </c>
      <c r="AH122" s="1">
        <f t="shared" si="4"/>
        <v>0.40266363394849802</v>
      </c>
      <c r="AJ122" t="s">
        <v>4</v>
      </c>
      <c r="AK122">
        <v>0</v>
      </c>
      <c r="AL122" t="s">
        <v>5</v>
      </c>
      <c r="AM122">
        <v>120</v>
      </c>
      <c r="AN122" t="s">
        <v>6</v>
      </c>
      <c r="AO122" s="1">
        <v>0.18828130000000001</v>
      </c>
      <c r="AP122" t="s">
        <v>7</v>
      </c>
      <c r="AQ122" s="1">
        <v>0.5</v>
      </c>
      <c r="AR122" t="s">
        <v>8</v>
      </c>
      <c r="AS122" s="1">
        <v>0</v>
      </c>
      <c r="AT122" s="1">
        <v>0.201305752204229</v>
      </c>
      <c r="AU122" s="1">
        <f t="shared" si="5"/>
        <v>0.402611504408458</v>
      </c>
    </row>
    <row r="123" spans="10:47">
      <c r="J123" t="s">
        <v>4</v>
      </c>
      <c r="K123">
        <v>0</v>
      </c>
      <c r="L123" t="s">
        <v>5</v>
      </c>
      <c r="M123">
        <v>121</v>
      </c>
      <c r="N123" t="s">
        <v>6</v>
      </c>
      <c r="O123" s="1">
        <v>0.18984380000000001</v>
      </c>
      <c r="P123" t="s">
        <v>7</v>
      </c>
      <c r="Q123" s="1">
        <v>0.5</v>
      </c>
      <c r="R123" t="s">
        <v>8</v>
      </c>
      <c r="S123" s="1">
        <v>0</v>
      </c>
      <c r="T123" s="1">
        <v>0.20135278639352999</v>
      </c>
      <c r="U123" s="1">
        <f t="shared" si="3"/>
        <v>0.40270557278705998</v>
      </c>
      <c r="W123" t="s">
        <v>4</v>
      </c>
      <c r="X123">
        <v>0</v>
      </c>
      <c r="Y123" t="s">
        <v>5</v>
      </c>
      <c r="Z123">
        <v>121</v>
      </c>
      <c r="AA123" t="s">
        <v>6</v>
      </c>
      <c r="AB123" s="1">
        <v>0.18984380000000001</v>
      </c>
      <c r="AC123" t="s">
        <v>7</v>
      </c>
      <c r="AD123" s="1">
        <v>0.5</v>
      </c>
      <c r="AE123" t="s">
        <v>8</v>
      </c>
      <c r="AF123" s="1">
        <v>0</v>
      </c>
      <c r="AG123" s="1">
        <v>0.20135305387569899</v>
      </c>
      <c r="AH123" s="1">
        <f t="shared" si="4"/>
        <v>0.40270610775139798</v>
      </c>
      <c r="AJ123" t="s">
        <v>4</v>
      </c>
      <c r="AK123">
        <v>0</v>
      </c>
      <c r="AL123" t="s">
        <v>5</v>
      </c>
      <c r="AM123">
        <v>121</v>
      </c>
      <c r="AN123" t="s">
        <v>6</v>
      </c>
      <c r="AO123" s="1">
        <v>0.18984380000000001</v>
      </c>
      <c r="AP123" t="s">
        <v>7</v>
      </c>
      <c r="AQ123" s="1">
        <v>0.5</v>
      </c>
      <c r="AR123" t="s">
        <v>8</v>
      </c>
      <c r="AS123" s="1">
        <v>0</v>
      </c>
      <c r="AT123" s="1">
        <v>0.20131999924246499</v>
      </c>
      <c r="AU123" s="1">
        <f t="shared" si="5"/>
        <v>0.40263999848492998</v>
      </c>
    </row>
    <row r="124" spans="10:47">
      <c r="J124" t="s">
        <v>4</v>
      </c>
      <c r="K124">
        <v>0</v>
      </c>
      <c r="L124" t="s">
        <v>5</v>
      </c>
      <c r="M124">
        <v>122</v>
      </c>
      <c r="N124" t="s">
        <v>6</v>
      </c>
      <c r="O124" s="1">
        <v>0.1914063</v>
      </c>
      <c r="P124" t="s">
        <v>7</v>
      </c>
      <c r="Q124" s="1">
        <v>0.5</v>
      </c>
      <c r="R124" t="s">
        <v>8</v>
      </c>
      <c r="S124" s="1">
        <v>0</v>
      </c>
      <c r="T124" s="1">
        <v>0.20138238133759501</v>
      </c>
      <c r="U124" s="1">
        <f t="shared" si="3"/>
        <v>0.40276476267519001</v>
      </c>
      <c r="W124" t="s">
        <v>4</v>
      </c>
      <c r="X124">
        <v>0</v>
      </c>
      <c r="Y124" t="s">
        <v>5</v>
      </c>
      <c r="Z124">
        <v>122</v>
      </c>
      <c r="AA124" t="s">
        <v>6</v>
      </c>
      <c r="AB124" s="1">
        <v>0.1914063</v>
      </c>
      <c r="AC124" t="s">
        <v>7</v>
      </c>
      <c r="AD124" s="1">
        <v>0.5</v>
      </c>
      <c r="AE124" t="s">
        <v>8</v>
      </c>
      <c r="AF124" s="1">
        <v>0</v>
      </c>
      <c r="AG124" s="1">
        <v>0.20137509215108401</v>
      </c>
      <c r="AH124" s="1">
        <f t="shared" si="4"/>
        <v>0.40275018430216802</v>
      </c>
      <c r="AJ124" t="s">
        <v>4</v>
      </c>
      <c r="AK124">
        <v>0</v>
      </c>
      <c r="AL124" t="s">
        <v>5</v>
      </c>
      <c r="AM124">
        <v>122</v>
      </c>
      <c r="AN124" t="s">
        <v>6</v>
      </c>
      <c r="AO124" s="1">
        <v>0.1914063</v>
      </c>
      <c r="AP124" t="s">
        <v>7</v>
      </c>
      <c r="AQ124" s="1">
        <v>0.5</v>
      </c>
      <c r="AR124" t="s">
        <v>8</v>
      </c>
      <c r="AS124" s="1">
        <v>0</v>
      </c>
      <c r="AT124" s="1">
        <v>0.20133584364985599</v>
      </c>
      <c r="AU124" s="1">
        <f t="shared" si="5"/>
        <v>0.40267168729971198</v>
      </c>
    </row>
    <row r="125" spans="10:47">
      <c r="J125" t="s">
        <v>4</v>
      </c>
      <c r="K125">
        <v>0</v>
      </c>
      <c r="L125" t="s">
        <v>5</v>
      </c>
      <c r="M125">
        <v>123</v>
      </c>
      <c r="N125" t="s">
        <v>6</v>
      </c>
      <c r="O125" s="1">
        <v>0.19296869999999999</v>
      </c>
      <c r="P125" t="s">
        <v>7</v>
      </c>
      <c r="Q125" s="1">
        <v>0.5</v>
      </c>
      <c r="R125" t="s">
        <v>8</v>
      </c>
      <c r="S125" s="1">
        <v>0</v>
      </c>
      <c r="T125" s="1">
        <v>0.20141199658025299</v>
      </c>
      <c r="U125" s="1">
        <f t="shared" si="3"/>
        <v>0.40282399316050599</v>
      </c>
      <c r="W125" t="s">
        <v>4</v>
      </c>
      <c r="X125">
        <v>0</v>
      </c>
      <c r="Y125" t="s">
        <v>5</v>
      </c>
      <c r="Z125">
        <v>123</v>
      </c>
      <c r="AA125" t="s">
        <v>6</v>
      </c>
      <c r="AB125" s="1">
        <v>0.19296869999999999</v>
      </c>
      <c r="AC125" t="s">
        <v>7</v>
      </c>
      <c r="AD125" s="1">
        <v>0.5</v>
      </c>
      <c r="AE125" t="s">
        <v>8</v>
      </c>
      <c r="AF125" s="1">
        <v>0</v>
      </c>
      <c r="AG125" s="1">
        <v>0.20139794092851901</v>
      </c>
      <c r="AH125" s="1">
        <f t="shared" si="4"/>
        <v>0.40279588185703802</v>
      </c>
      <c r="AJ125" t="s">
        <v>4</v>
      </c>
      <c r="AK125">
        <v>0</v>
      </c>
      <c r="AL125" t="s">
        <v>5</v>
      </c>
      <c r="AM125">
        <v>123</v>
      </c>
      <c r="AN125" t="s">
        <v>6</v>
      </c>
      <c r="AO125" s="1">
        <v>0.19296869999999999</v>
      </c>
      <c r="AP125" t="s">
        <v>7</v>
      </c>
      <c r="AQ125" s="1">
        <v>0.5</v>
      </c>
      <c r="AR125" t="s">
        <v>8</v>
      </c>
      <c r="AS125" s="1">
        <v>0</v>
      </c>
      <c r="AT125" s="1">
        <v>0.201353332042644</v>
      </c>
      <c r="AU125" s="1">
        <f t="shared" si="5"/>
        <v>0.40270666408528799</v>
      </c>
    </row>
    <row r="126" spans="10:47">
      <c r="J126" t="s">
        <v>4</v>
      </c>
      <c r="K126">
        <v>0</v>
      </c>
      <c r="L126" t="s">
        <v>5</v>
      </c>
      <c r="M126">
        <v>124</v>
      </c>
      <c r="N126" t="s">
        <v>6</v>
      </c>
      <c r="O126" s="1">
        <v>0.19453129999999999</v>
      </c>
      <c r="P126" t="s">
        <v>7</v>
      </c>
      <c r="Q126" s="1">
        <v>0.5</v>
      </c>
      <c r="R126" t="s">
        <v>8</v>
      </c>
      <c r="S126" s="1">
        <v>0</v>
      </c>
      <c r="T126" s="1">
        <v>0.201441629305561</v>
      </c>
      <c r="U126" s="1">
        <f t="shared" si="3"/>
        <v>0.40288325861112201</v>
      </c>
      <c r="W126" t="s">
        <v>4</v>
      </c>
      <c r="X126">
        <v>0</v>
      </c>
      <c r="Y126" t="s">
        <v>5</v>
      </c>
      <c r="Z126">
        <v>124</v>
      </c>
      <c r="AA126" t="s">
        <v>6</v>
      </c>
      <c r="AB126" s="1">
        <v>0.19453129999999999</v>
      </c>
      <c r="AC126" t="s">
        <v>7</v>
      </c>
      <c r="AD126" s="1">
        <v>0.5</v>
      </c>
      <c r="AE126" t="s">
        <v>8</v>
      </c>
      <c r="AF126" s="1">
        <v>0</v>
      </c>
      <c r="AG126" s="1">
        <v>0.20142160924341501</v>
      </c>
      <c r="AH126" s="1">
        <f t="shared" si="4"/>
        <v>0.40284321848683002</v>
      </c>
      <c r="AJ126" t="s">
        <v>4</v>
      </c>
      <c r="AK126">
        <v>0</v>
      </c>
      <c r="AL126" t="s">
        <v>5</v>
      </c>
      <c r="AM126">
        <v>124</v>
      </c>
      <c r="AN126" t="s">
        <v>6</v>
      </c>
      <c r="AO126" s="1">
        <v>0.19453129999999999</v>
      </c>
      <c r="AP126" t="s">
        <v>7</v>
      </c>
      <c r="AQ126" s="1">
        <v>0.5</v>
      </c>
      <c r="AR126" t="s">
        <v>8</v>
      </c>
      <c r="AS126" s="1">
        <v>0</v>
      </c>
      <c r="AT126" s="1">
        <v>0.20137251143793999</v>
      </c>
      <c r="AU126" s="1">
        <f t="shared" si="5"/>
        <v>0.40274502287587999</v>
      </c>
    </row>
    <row r="127" spans="10:47">
      <c r="J127" t="s">
        <v>4</v>
      </c>
      <c r="K127">
        <v>0</v>
      </c>
      <c r="L127" t="s">
        <v>5</v>
      </c>
      <c r="M127">
        <v>125</v>
      </c>
      <c r="N127" t="s">
        <v>6</v>
      </c>
      <c r="O127" s="1">
        <v>0.19609380000000001</v>
      </c>
      <c r="P127" t="s">
        <v>7</v>
      </c>
      <c r="Q127" s="1">
        <v>0.5</v>
      </c>
      <c r="R127" t="s">
        <v>8</v>
      </c>
      <c r="S127" s="1">
        <v>0</v>
      </c>
      <c r="T127" s="1">
        <v>0.201471276722753</v>
      </c>
      <c r="U127" s="1">
        <f t="shared" si="3"/>
        <v>0.402942553445506</v>
      </c>
      <c r="W127" t="s">
        <v>4</v>
      </c>
      <c r="X127">
        <v>0</v>
      </c>
      <c r="Y127" t="s">
        <v>5</v>
      </c>
      <c r="Z127">
        <v>125</v>
      </c>
      <c r="AA127" t="s">
        <v>6</v>
      </c>
      <c r="AB127" s="1">
        <v>0.19609380000000001</v>
      </c>
      <c r="AC127" t="s">
        <v>7</v>
      </c>
      <c r="AD127" s="1">
        <v>0.5</v>
      </c>
      <c r="AE127" t="s">
        <v>8</v>
      </c>
      <c r="AF127" s="1">
        <v>0</v>
      </c>
      <c r="AG127" s="1">
        <v>0.20144610604223101</v>
      </c>
      <c r="AH127" s="1">
        <f t="shared" si="4"/>
        <v>0.40289221208446202</v>
      </c>
      <c r="AJ127" t="s">
        <v>4</v>
      </c>
      <c r="AK127">
        <v>0</v>
      </c>
      <c r="AL127" t="s">
        <v>5</v>
      </c>
      <c r="AM127">
        <v>125</v>
      </c>
      <c r="AN127" t="s">
        <v>6</v>
      </c>
      <c r="AO127" s="1">
        <v>0.19609380000000001</v>
      </c>
      <c r="AP127" t="s">
        <v>7</v>
      </c>
      <c r="AQ127" s="1">
        <v>0.5</v>
      </c>
      <c r="AR127" t="s">
        <v>8</v>
      </c>
      <c r="AS127" s="1">
        <v>0</v>
      </c>
      <c r="AT127" s="1">
        <v>0.20139342925154599</v>
      </c>
      <c r="AU127" s="1">
        <f t="shared" si="5"/>
        <v>0.40278685850309198</v>
      </c>
    </row>
    <row r="128" spans="10:47">
      <c r="J128" t="s">
        <v>4</v>
      </c>
      <c r="K128">
        <v>0</v>
      </c>
      <c r="L128" t="s">
        <v>5</v>
      </c>
      <c r="M128">
        <v>126</v>
      </c>
      <c r="N128" t="s">
        <v>6</v>
      </c>
      <c r="O128" s="1">
        <v>0.19765630000000001</v>
      </c>
      <c r="P128" t="s">
        <v>7</v>
      </c>
      <c r="Q128" s="1">
        <v>0.5</v>
      </c>
      <c r="R128" t="s">
        <v>8</v>
      </c>
      <c r="S128" s="1">
        <v>0</v>
      </c>
      <c r="T128" s="1">
        <v>0.20150093606666999</v>
      </c>
      <c r="U128" s="1">
        <f t="shared" si="3"/>
        <v>0.40300187213333999</v>
      </c>
      <c r="W128" t="s">
        <v>4</v>
      </c>
      <c r="X128">
        <v>0</v>
      </c>
      <c r="Y128" t="s">
        <v>5</v>
      </c>
      <c r="Z128">
        <v>126</v>
      </c>
      <c r="AA128" t="s">
        <v>6</v>
      </c>
      <c r="AB128" s="1">
        <v>0.19765630000000001</v>
      </c>
      <c r="AC128" t="s">
        <v>7</v>
      </c>
      <c r="AD128" s="1">
        <v>0.5</v>
      </c>
      <c r="AE128" t="s">
        <v>8</v>
      </c>
      <c r="AF128" s="1">
        <v>0</v>
      </c>
      <c r="AG128" s="1">
        <v>0.20147144018634999</v>
      </c>
      <c r="AH128" s="1">
        <f t="shared" si="4"/>
        <v>0.40294288037269999</v>
      </c>
      <c r="AJ128" t="s">
        <v>4</v>
      </c>
      <c r="AK128">
        <v>0</v>
      </c>
      <c r="AL128" t="s">
        <v>5</v>
      </c>
      <c r="AM128">
        <v>126</v>
      </c>
      <c r="AN128" t="s">
        <v>6</v>
      </c>
      <c r="AO128" s="1">
        <v>0.19765630000000001</v>
      </c>
      <c r="AP128" t="s">
        <v>7</v>
      </c>
      <c r="AQ128" s="1">
        <v>0.5</v>
      </c>
      <c r="AR128" t="s">
        <v>8</v>
      </c>
      <c r="AS128" s="1">
        <v>0</v>
      </c>
      <c r="AT128" s="1">
        <v>0.20141613329588701</v>
      </c>
      <c r="AU128" s="1">
        <f t="shared" si="5"/>
        <v>0.40283226659177401</v>
      </c>
    </row>
    <row r="129" spans="10:47">
      <c r="J129" t="s">
        <v>4</v>
      </c>
      <c r="K129">
        <v>0</v>
      </c>
      <c r="L129" t="s">
        <v>5</v>
      </c>
      <c r="M129">
        <v>127</v>
      </c>
      <c r="N129" t="s">
        <v>6</v>
      </c>
      <c r="O129" s="1">
        <v>0.1992188</v>
      </c>
      <c r="P129" t="s">
        <v>7</v>
      </c>
      <c r="Q129" s="1">
        <v>0.5</v>
      </c>
      <c r="R129" t="s">
        <v>8</v>
      </c>
      <c r="S129" s="1">
        <v>0</v>
      </c>
      <c r="T129" s="1">
        <v>0.20153060459816899</v>
      </c>
      <c r="U129" s="1">
        <f t="shared" si="3"/>
        <v>0.40306120919633798</v>
      </c>
      <c r="W129" t="s">
        <v>4</v>
      </c>
      <c r="X129">
        <v>0</v>
      </c>
      <c r="Y129" t="s">
        <v>5</v>
      </c>
      <c r="Z129">
        <v>127</v>
      </c>
      <c r="AA129" t="s">
        <v>6</v>
      </c>
      <c r="AB129" s="1">
        <v>0.1992188</v>
      </c>
      <c r="AC129" t="s">
        <v>7</v>
      </c>
      <c r="AD129" s="1">
        <v>0.5</v>
      </c>
      <c r="AE129" t="s">
        <v>8</v>
      </c>
      <c r="AF129" s="1">
        <v>0</v>
      </c>
      <c r="AG129" s="1">
        <v>0.20149762045567299</v>
      </c>
      <c r="AH129" s="1">
        <f t="shared" si="4"/>
        <v>0.40299524091134598</v>
      </c>
      <c r="AJ129" t="s">
        <v>4</v>
      </c>
      <c r="AK129">
        <v>0</v>
      </c>
      <c r="AL129" t="s">
        <v>5</v>
      </c>
      <c r="AM129">
        <v>127</v>
      </c>
      <c r="AN129" t="s">
        <v>6</v>
      </c>
      <c r="AO129" s="1">
        <v>0.1992188</v>
      </c>
      <c r="AP129" t="s">
        <v>7</v>
      </c>
      <c r="AQ129" s="1">
        <v>0.5</v>
      </c>
      <c r="AR129" t="s">
        <v>8</v>
      </c>
      <c r="AS129" s="1">
        <v>0</v>
      </c>
      <c r="AT129" s="1">
        <v>0.20144067177887001</v>
      </c>
      <c r="AU129" s="1">
        <f t="shared" si="5"/>
        <v>0.40288134355774002</v>
      </c>
    </row>
    <row r="130" spans="10:47">
      <c r="J130" t="s">
        <v>4</v>
      </c>
      <c r="K130">
        <v>0</v>
      </c>
      <c r="L130" t="s">
        <v>5</v>
      </c>
      <c r="M130">
        <v>128</v>
      </c>
      <c r="N130" t="s">
        <v>6</v>
      </c>
      <c r="O130" s="1">
        <v>0.20078119999999999</v>
      </c>
      <c r="P130" t="s">
        <v>7</v>
      </c>
      <c r="Q130" s="1">
        <v>0.5</v>
      </c>
      <c r="R130" t="s">
        <v>8</v>
      </c>
      <c r="S130" s="1">
        <v>0</v>
      </c>
      <c r="T130" s="1">
        <v>0.201560279604173</v>
      </c>
      <c r="U130" s="1">
        <f t="shared" si="3"/>
        <v>0.403120559208346</v>
      </c>
      <c r="W130" t="s">
        <v>4</v>
      </c>
      <c r="X130">
        <v>0</v>
      </c>
      <c r="Y130" t="s">
        <v>5</v>
      </c>
      <c r="Z130">
        <v>128</v>
      </c>
      <c r="AA130" t="s">
        <v>6</v>
      </c>
      <c r="AB130" s="1">
        <v>0.20078119999999999</v>
      </c>
      <c r="AC130" t="s">
        <v>7</v>
      </c>
      <c r="AD130" s="1">
        <v>0.5</v>
      </c>
      <c r="AE130" t="s">
        <v>8</v>
      </c>
      <c r="AF130" s="1">
        <v>0</v>
      </c>
      <c r="AG130" s="1">
        <v>0.201530408860531</v>
      </c>
      <c r="AH130" s="1">
        <f t="shared" si="4"/>
        <v>0.403060817721062</v>
      </c>
      <c r="AJ130" t="s">
        <v>4</v>
      </c>
      <c r="AK130">
        <v>0</v>
      </c>
      <c r="AL130" t="s">
        <v>5</v>
      </c>
      <c r="AM130">
        <v>128</v>
      </c>
      <c r="AN130" t="s">
        <v>6</v>
      </c>
      <c r="AO130" s="1">
        <v>0.20078119999999999</v>
      </c>
      <c r="AP130" t="s">
        <v>7</v>
      </c>
      <c r="AQ130" s="1">
        <v>0.5</v>
      </c>
      <c r="AR130" t="s">
        <v>8</v>
      </c>
      <c r="AS130" s="1">
        <v>0</v>
      </c>
      <c r="AT130" s="1">
        <v>0.20148060293224901</v>
      </c>
      <c r="AU130" s="1">
        <f t="shared" si="5"/>
        <v>0.40296120586449802</v>
      </c>
    </row>
    <row r="131" spans="10:47">
      <c r="J131" t="s">
        <v>4</v>
      </c>
      <c r="K131">
        <v>0</v>
      </c>
      <c r="L131" t="s">
        <v>5</v>
      </c>
      <c r="M131">
        <v>129</v>
      </c>
      <c r="N131" t="s">
        <v>6</v>
      </c>
      <c r="O131" s="1">
        <v>0.20234369999999999</v>
      </c>
      <c r="P131" t="s">
        <v>7</v>
      </c>
      <c r="Q131" s="1">
        <v>0.5</v>
      </c>
      <c r="R131" t="s">
        <v>8</v>
      </c>
      <c r="S131" s="1">
        <v>0</v>
      </c>
      <c r="T131" s="1">
        <v>0.20158995839834901</v>
      </c>
      <c r="U131" s="1">
        <f t="shared" ref="U131:U194" si="6">T131*2</f>
        <v>0.40317991679669801</v>
      </c>
      <c r="W131" t="s">
        <v>4</v>
      </c>
      <c r="X131">
        <v>0</v>
      </c>
      <c r="Y131" t="s">
        <v>5</v>
      </c>
      <c r="Z131">
        <v>129</v>
      </c>
      <c r="AA131" t="s">
        <v>6</v>
      </c>
      <c r="AB131" s="1">
        <v>0.20234369999999999</v>
      </c>
      <c r="AC131" t="s">
        <v>7</v>
      </c>
      <c r="AD131" s="1">
        <v>0.5</v>
      </c>
      <c r="AE131" t="s">
        <v>8</v>
      </c>
      <c r="AF131" s="1">
        <v>0</v>
      </c>
      <c r="AG131" s="1">
        <v>0.20156885047702999</v>
      </c>
      <c r="AH131" s="1">
        <f t="shared" ref="AH131:AH194" si="7">AG131*2</f>
        <v>0.40313770095405999</v>
      </c>
      <c r="AJ131" t="s">
        <v>4</v>
      </c>
      <c r="AK131">
        <v>0</v>
      </c>
      <c r="AL131" t="s">
        <v>5</v>
      </c>
      <c r="AM131">
        <v>129</v>
      </c>
      <c r="AN131" t="s">
        <v>6</v>
      </c>
      <c r="AO131" s="1">
        <v>0.20234369999999999</v>
      </c>
      <c r="AP131" t="s">
        <v>7</v>
      </c>
      <c r="AQ131" s="1">
        <v>0.5</v>
      </c>
      <c r="AR131" t="s">
        <v>8</v>
      </c>
      <c r="AS131" s="1">
        <v>0</v>
      </c>
      <c r="AT131" s="1">
        <v>0.20153383445817</v>
      </c>
      <c r="AU131" s="1">
        <f t="shared" ref="AU131:AU194" si="8">AT131*2</f>
        <v>0.40306766891633999</v>
      </c>
    </row>
    <row r="132" spans="10:47">
      <c r="J132" t="s">
        <v>4</v>
      </c>
      <c r="K132">
        <v>0</v>
      </c>
      <c r="L132" t="s">
        <v>5</v>
      </c>
      <c r="M132">
        <v>130</v>
      </c>
      <c r="N132" t="s">
        <v>6</v>
      </c>
      <c r="O132" s="1">
        <v>0.20390630000000001</v>
      </c>
      <c r="P132" t="s">
        <v>7</v>
      </c>
      <c r="Q132" s="1">
        <v>0.5</v>
      </c>
      <c r="R132" t="s">
        <v>8</v>
      </c>
      <c r="S132" s="1">
        <v>0</v>
      </c>
      <c r="T132" s="1">
        <v>0.20161963832107099</v>
      </c>
      <c r="U132" s="1">
        <f t="shared" si="6"/>
        <v>0.40323927664214199</v>
      </c>
      <c r="W132" t="s">
        <v>4</v>
      </c>
      <c r="X132">
        <v>0</v>
      </c>
      <c r="Y132" t="s">
        <v>5</v>
      </c>
      <c r="Z132">
        <v>130</v>
      </c>
      <c r="AA132" t="s">
        <v>6</v>
      </c>
      <c r="AB132" s="1">
        <v>0.20390630000000001</v>
      </c>
      <c r="AC132" t="s">
        <v>7</v>
      </c>
      <c r="AD132" s="1">
        <v>0.5</v>
      </c>
      <c r="AE132" t="s">
        <v>8</v>
      </c>
      <c r="AF132" s="1">
        <v>0</v>
      </c>
      <c r="AG132" s="1">
        <v>0.20160678940649601</v>
      </c>
      <c r="AH132" s="1">
        <f t="shared" si="7"/>
        <v>0.40321357881299202</v>
      </c>
      <c r="AJ132" t="s">
        <v>4</v>
      </c>
      <c r="AK132">
        <v>0</v>
      </c>
      <c r="AL132" t="s">
        <v>5</v>
      </c>
      <c r="AM132">
        <v>130</v>
      </c>
      <c r="AN132" t="s">
        <v>6</v>
      </c>
      <c r="AO132" s="1">
        <v>0.20390630000000001</v>
      </c>
      <c r="AP132" t="s">
        <v>7</v>
      </c>
      <c r="AQ132" s="1">
        <v>0.5</v>
      </c>
      <c r="AR132" t="s">
        <v>8</v>
      </c>
      <c r="AS132" s="1">
        <v>0</v>
      </c>
      <c r="AT132" s="1">
        <v>0.20158595524828599</v>
      </c>
      <c r="AU132" s="1">
        <f t="shared" si="8"/>
        <v>0.40317191049657197</v>
      </c>
    </row>
    <row r="133" spans="10:47">
      <c r="J133" t="s">
        <v>4</v>
      </c>
      <c r="K133">
        <v>0</v>
      </c>
      <c r="L133" t="s">
        <v>5</v>
      </c>
      <c r="M133">
        <v>131</v>
      </c>
      <c r="N133" t="s">
        <v>6</v>
      </c>
      <c r="O133" s="1">
        <v>0.20546880000000001</v>
      </c>
      <c r="P133" t="s">
        <v>7</v>
      </c>
      <c r="Q133" s="1">
        <v>0.5</v>
      </c>
      <c r="R133" t="s">
        <v>8</v>
      </c>
      <c r="S133" s="1">
        <v>0</v>
      </c>
      <c r="T133" s="1">
        <v>0.201649316740244</v>
      </c>
      <c r="U133" s="1">
        <f t="shared" si="6"/>
        <v>0.403298633480488</v>
      </c>
      <c r="W133" t="s">
        <v>4</v>
      </c>
      <c r="X133">
        <v>0</v>
      </c>
      <c r="Y133" t="s">
        <v>5</v>
      </c>
      <c r="Z133">
        <v>131</v>
      </c>
      <c r="AA133" t="s">
        <v>6</v>
      </c>
      <c r="AB133" s="1">
        <v>0.20546880000000001</v>
      </c>
      <c r="AC133" t="s">
        <v>7</v>
      </c>
      <c r="AD133" s="1">
        <v>0.5</v>
      </c>
      <c r="AE133" t="s">
        <v>8</v>
      </c>
      <c r="AF133" s="1">
        <v>0</v>
      </c>
      <c r="AG133" s="1">
        <v>0.20164421615580699</v>
      </c>
      <c r="AH133" s="1">
        <f t="shared" si="7"/>
        <v>0.40328843231161399</v>
      </c>
      <c r="AJ133" t="s">
        <v>4</v>
      </c>
      <c r="AK133">
        <v>0</v>
      </c>
      <c r="AL133" t="s">
        <v>5</v>
      </c>
      <c r="AM133">
        <v>131</v>
      </c>
      <c r="AN133" t="s">
        <v>6</v>
      </c>
      <c r="AO133" s="1">
        <v>0.20546880000000001</v>
      </c>
      <c r="AP133" t="s">
        <v>7</v>
      </c>
      <c r="AQ133" s="1">
        <v>0.5</v>
      </c>
      <c r="AR133" t="s">
        <v>8</v>
      </c>
      <c r="AS133" s="1">
        <v>0</v>
      </c>
      <c r="AT133" s="1">
        <v>0.20163692788624399</v>
      </c>
      <c r="AU133" s="1">
        <f t="shared" si="8"/>
        <v>0.40327385577248798</v>
      </c>
    </row>
    <row r="134" spans="10:47">
      <c r="J134" t="s">
        <v>4</v>
      </c>
      <c r="K134">
        <v>0</v>
      </c>
      <c r="L134" t="s">
        <v>5</v>
      </c>
      <c r="M134">
        <v>132</v>
      </c>
      <c r="N134" t="s">
        <v>6</v>
      </c>
      <c r="O134" s="1">
        <v>0.2070312</v>
      </c>
      <c r="P134" t="s">
        <v>7</v>
      </c>
      <c r="Q134" s="1">
        <v>0.5</v>
      </c>
      <c r="R134" t="s">
        <v>8</v>
      </c>
      <c r="S134" s="1">
        <v>0</v>
      </c>
      <c r="T134" s="1">
        <v>0.20167899105106901</v>
      </c>
      <c r="U134" s="1">
        <f t="shared" si="6"/>
        <v>0.40335798210213802</v>
      </c>
      <c r="W134" t="s">
        <v>4</v>
      </c>
      <c r="X134">
        <v>0</v>
      </c>
      <c r="Y134" t="s">
        <v>5</v>
      </c>
      <c r="Z134">
        <v>132</v>
      </c>
      <c r="AA134" t="s">
        <v>6</v>
      </c>
      <c r="AB134" s="1">
        <v>0.2070312</v>
      </c>
      <c r="AC134" t="s">
        <v>7</v>
      </c>
      <c r="AD134" s="1">
        <v>0.5</v>
      </c>
      <c r="AE134" t="s">
        <v>8</v>
      </c>
      <c r="AF134" s="1">
        <v>0</v>
      </c>
      <c r="AG134" s="1">
        <v>0.201681121335401</v>
      </c>
      <c r="AH134" s="1">
        <f t="shared" si="7"/>
        <v>0.40336224267080201</v>
      </c>
      <c r="AJ134" t="s">
        <v>4</v>
      </c>
      <c r="AK134">
        <v>0</v>
      </c>
      <c r="AL134" t="s">
        <v>5</v>
      </c>
      <c r="AM134">
        <v>132</v>
      </c>
      <c r="AN134" t="s">
        <v>6</v>
      </c>
      <c r="AO134" s="1">
        <v>0.2070312</v>
      </c>
      <c r="AP134" t="s">
        <v>7</v>
      </c>
      <c r="AQ134" s="1">
        <v>0.5</v>
      </c>
      <c r="AR134" t="s">
        <v>8</v>
      </c>
      <c r="AS134" s="1">
        <v>0</v>
      </c>
      <c r="AT134" s="1">
        <v>0.20168671526645501</v>
      </c>
      <c r="AU134" s="1">
        <f t="shared" si="8"/>
        <v>0.40337343053291003</v>
      </c>
    </row>
    <row r="135" spans="10:47">
      <c r="J135" t="s">
        <v>4</v>
      </c>
      <c r="K135">
        <v>0</v>
      </c>
      <c r="L135" t="s">
        <v>5</v>
      </c>
      <c r="M135">
        <v>133</v>
      </c>
      <c r="N135" t="s">
        <v>6</v>
      </c>
      <c r="O135" s="1">
        <v>0.20859369999999999</v>
      </c>
      <c r="P135" t="s">
        <v>7</v>
      </c>
      <c r="Q135" s="1">
        <v>0.5</v>
      </c>
      <c r="R135" t="s">
        <v>8</v>
      </c>
      <c r="S135" s="1">
        <v>0</v>
      </c>
      <c r="T135" s="1">
        <v>0.201708658676785</v>
      </c>
      <c r="U135" s="1">
        <f t="shared" si="6"/>
        <v>0.40341731735357</v>
      </c>
      <c r="W135" t="s">
        <v>4</v>
      </c>
      <c r="X135">
        <v>0</v>
      </c>
      <c r="Y135" t="s">
        <v>5</v>
      </c>
      <c r="Z135">
        <v>133</v>
      </c>
      <c r="AA135" t="s">
        <v>6</v>
      </c>
      <c r="AB135" s="1">
        <v>0.20859369999999999</v>
      </c>
      <c r="AC135" t="s">
        <v>7</v>
      </c>
      <c r="AD135" s="1">
        <v>0.5</v>
      </c>
      <c r="AE135" t="s">
        <v>8</v>
      </c>
      <c r="AF135" s="1">
        <v>0</v>
      </c>
      <c r="AG135" s="1">
        <v>0.201717495664401</v>
      </c>
      <c r="AH135" s="1">
        <f t="shared" si="7"/>
        <v>0.40343499132880201</v>
      </c>
      <c r="AJ135" t="s">
        <v>4</v>
      </c>
      <c r="AK135">
        <v>0</v>
      </c>
      <c r="AL135" t="s">
        <v>5</v>
      </c>
      <c r="AM135">
        <v>133</v>
      </c>
      <c r="AN135" t="s">
        <v>6</v>
      </c>
      <c r="AO135" s="1">
        <v>0.20859369999999999</v>
      </c>
      <c r="AP135" t="s">
        <v>7</v>
      </c>
      <c r="AQ135" s="1">
        <v>0.5</v>
      </c>
      <c r="AR135" t="s">
        <v>8</v>
      </c>
      <c r="AS135" s="1">
        <v>0</v>
      </c>
      <c r="AT135" s="1">
        <v>0.20173528065452501</v>
      </c>
      <c r="AU135" s="1">
        <f t="shared" si="8"/>
        <v>0.40347056130905001</v>
      </c>
    </row>
    <row r="136" spans="10:47">
      <c r="J136" t="s">
        <v>4</v>
      </c>
      <c r="K136">
        <v>0</v>
      </c>
      <c r="L136" t="s">
        <v>5</v>
      </c>
      <c r="M136">
        <v>134</v>
      </c>
      <c r="N136" t="s">
        <v>6</v>
      </c>
      <c r="O136" s="1">
        <v>0.21015629999999999</v>
      </c>
      <c r="P136" t="s">
        <v>7</v>
      </c>
      <c r="Q136" s="1">
        <v>0.5</v>
      </c>
      <c r="R136" t="s">
        <v>8</v>
      </c>
      <c r="S136" s="1">
        <v>0</v>
      </c>
      <c r="T136" s="1">
        <v>0.201738317068892</v>
      </c>
      <c r="U136" s="1">
        <f t="shared" si="6"/>
        <v>0.40347663413778401</v>
      </c>
      <c r="W136" t="s">
        <v>4</v>
      </c>
      <c r="X136">
        <v>0</v>
      </c>
      <c r="Y136" t="s">
        <v>5</v>
      </c>
      <c r="Z136">
        <v>134</v>
      </c>
      <c r="AA136" t="s">
        <v>6</v>
      </c>
      <c r="AB136" s="1">
        <v>0.21015629999999999</v>
      </c>
      <c r="AC136" t="s">
        <v>7</v>
      </c>
      <c r="AD136" s="1">
        <v>0.5</v>
      </c>
      <c r="AE136" t="s">
        <v>8</v>
      </c>
      <c r="AF136" s="1">
        <v>0</v>
      </c>
      <c r="AG136" s="1">
        <v>0.201753329976114</v>
      </c>
      <c r="AH136" s="1">
        <f t="shared" si="7"/>
        <v>0.40350665995222801</v>
      </c>
      <c r="AJ136" t="s">
        <v>4</v>
      </c>
      <c r="AK136">
        <v>0</v>
      </c>
      <c r="AL136" t="s">
        <v>5</v>
      </c>
      <c r="AM136">
        <v>134</v>
      </c>
      <c r="AN136" t="s">
        <v>6</v>
      </c>
      <c r="AO136" s="1">
        <v>0.21015629999999999</v>
      </c>
      <c r="AP136" t="s">
        <v>7</v>
      </c>
      <c r="AQ136" s="1">
        <v>0.5</v>
      </c>
      <c r="AR136" t="s">
        <v>8</v>
      </c>
      <c r="AS136" s="1">
        <v>0</v>
      </c>
      <c r="AT136" s="1">
        <v>0.20178258774489299</v>
      </c>
      <c r="AU136" s="1">
        <f t="shared" si="8"/>
        <v>0.40356517548978599</v>
      </c>
    </row>
    <row r="137" spans="10:47">
      <c r="J137" t="s">
        <v>4</v>
      </c>
      <c r="K137">
        <v>0</v>
      </c>
      <c r="L137" t="s">
        <v>5</v>
      </c>
      <c r="M137">
        <v>135</v>
      </c>
      <c r="N137" t="s">
        <v>6</v>
      </c>
      <c r="O137" s="1">
        <v>0.21171880000000001</v>
      </c>
      <c r="P137" t="s">
        <v>7</v>
      </c>
      <c r="Q137" s="1">
        <v>0.5</v>
      </c>
      <c r="R137" t="s">
        <v>8</v>
      </c>
      <c r="S137" s="1">
        <v>0</v>
      </c>
      <c r="T137" s="1">
        <v>0.20176796370744299</v>
      </c>
      <c r="U137" s="1">
        <f t="shared" si="6"/>
        <v>0.40353592741488598</v>
      </c>
      <c r="W137" t="s">
        <v>4</v>
      </c>
      <c r="X137">
        <v>0</v>
      </c>
      <c r="Y137" t="s">
        <v>5</v>
      </c>
      <c r="Z137">
        <v>135</v>
      </c>
      <c r="AA137" t="s">
        <v>6</v>
      </c>
      <c r="AB137" s="1">
        <v>0.21171880000000001</v>
      </c>
      <c r="AC137" t="s">
        <v>7</v>
      </c>
      <c r="AD137" s="1">
        <v>0.5</v>
      </c>
      <c r="AE137" t="s">
        <v>8</v>
      </c>
      <c r="AF137" s="1">
        <v>0</v>
      </c>
      <c r="AG137" s="1">
        <v>0.20178861522338201</v>
      </c>
      <c r="AH137" s="1">
        <f t="shared" si="7"/>
        <v>0.40357723044676402</v>
      </c>
      <c r="AJ137" t="s">
        <v>4</v>
      </c>
      <c r="AK137">
        <v>0</v>
      </c>
      <c r="AL137" t="s">
        <v>5</v>
      </c>
      <c r="AM137">
        <v>135</v>
      </c>
      <c r="AN137" t="s">
        <v>6</v>
      </c>
      <c r="AO137" s="1">
        <v>0.21171880000000001</v>
      </c>
      <c r="AP137" t="s">
        <v>7</v>
      </c>
      <c r="AQ137" s="1">
        <v>0.5</v>
      </c>
      <c r="AR137" t="s">
        <v>8</v>
      </c>
      <c r="AS137" s="1">
        <v>0</v>
      </c>
      <c r="AT137" s="1">
        <v>0.20182860071919301</v>
      </c>
      <c r="AU137" s="1">
        <f t="shared" si="8"/>
        <v>0.40365720143838602</v>
      </c>
    </row>
    <row r="138" spans="10:47">
      <c r="J138" t="s">
        <v>4</v>
      </c>
      <c r="K138">
        <v>0</v>
      </c>
      <c r="L138" t="s">
        <v>5</v>
      </c>
      <c r="M138">
        <v>136</v>
      </c>
      <c r="N138" t="s">
        <v>6</v>
      </c>
      <c r="O138" s="1">
        <v>0.21328130000000001</v>
      </c>
      <c r="P138" t="s">
        <v>7</v>
      </c>
      <c r="Q138" s="1">
        <v>0.5</v>
      </c>
      <c r="R138" t="s">
        <v>8</v>
      </c>
      <c r="S138" s="1">
        <v>0</v>
      </c>
      <c r="T138" s="1">
        <v>0.20179759610141201</v>
      </c>
      <c r="U138" s="1">
        <f t="shared" si="6"/>
        <v>0.40359519220282403</v>
      </c>
      <c r="W138" t="s">
        <v>4</v>
      </c>
      <c r="X138">
        <v>0</v>
      </c>
      <c r="Y138" t="s">
        <v>5</v>
      </c>
      <c r="Z138">
        <v>136</v>
      </c>
      <c r="AA138" t="s">
        <v>6</v>
      </c>
      <c r="AB138" s="1">
        <v>0.21328130000000001</v>
      </c>
      <c r="AC138" t="s">
        <v>7</v>
      </c>
      <c r="AD138" s="1">
        <v>0.5</v>
      </c>
      <c r="AE138" t="s">
        <v>8</v>
      </c>
      <c r="AF138" s="1">
        <v>0</v>
      </c>
      <c r="AG138" s="1">
        <v>0.201823342483896</v>
      </c>
      <c r="AH138" s="1">
        <f t="shared" si="7"/>
        <v>0.40364668496779199</v>
      </c>
      <c r="AJ138" t="s">
        <v>4</v>
      </c>
      <c r="AK138">
        <v>0</v>
      </c>
      <c r="AL138" t="s">
        <v>5</v>
      </c>
      <c r="AM138">
        <v>136</v>
      </c>
      <c r="AN138" t="s">
        <v>6</v>
      </c>
      <c r="AO138" s="1">
        <v>0.21328130000000001</v>
      </c>
      <c r="AP138" t="s">
        <v>7</v>
      </c>
      <c r="AQ138" s="1">
        <v>0.5</v>
      </c>
      <c r="AR138" t="s">
        <v>8</v>
      </c>
      <c r="AS138" s="1">
        <v>0</v>
      </c>
      <c r="AT138" s="1">
        <v>0.20187328430629001</v>
      </c>
      <c r="AU138" s="1">
        <f t="shared" si="8"/>
        <v>0.40374656861258001</v>
      </c>
    </row>
    <row r="139" spans="10:47">
      <c r="J139" t="s">
        <v>4</v>
      </c>
      <c r="K139">
        <v>0</v>
      </c>
      <c r="L139" t="s">
        <v>5</v>
      </c>
      <c r="M139">
        <v>137</v>
      </c>
      <c r="N139" t="s">
        <v>6</v>
      </c>
      <c r="O139" s="1">
        <v>0.2148438</v>
      </c>
      <c r="P139" t="s">
        <v>7</v>
      </c>
      <c r="Q139" s="1">
        <v>0.5</v>
      </c>
      <c r="R139" t="s">
        <v>8</v>
      </c>
      <c r="S139" s="1">
        <v>0</v>
      </c>
      <c r="T139" s="1">
        <v>0.20182721178905599</v>
      </c>
      <c r="U139" s="1">
        <f t="shared" si="6"/>
        <v>0.40365442357811199</v>
      </c>
      <c r="W139" t="s">
        <v>4</v>
      </c>
      <c r="X139">
        <v>0</v>
      </c>
      <c r="Y139" t="s">
        <v>5</v>
      </c>
      <c r="Z139">
        <v>137</v>
      </c>
      <c r="AA139" t="s">
        <v>6</v>
      </c>
      <c r="AB139" s="1">
        <v>0.2148438</v>
      </c>
      <c r="AC139" t="s">
        <v>7</v>
      </c>
      <c r="AD139" s="1">
        <v>0.5</v>
      </c>
      <c r="AE139" t="s">
        <v>8</v>
      </c>
      <c r="AF139" s="1">
        <v>0</v>
      </c>
      <c r="AG139" s="1">
        <v>0.20185750296552199</v>
      </c>
      <c r="AH139" s="1">
        <f t="shared" si="7"/>
        <v>0.40371500593104398</v>
      </c>
      <c r="AJ139" t="s">
        <v>4</v>
      </c>
      <c r="AK139">
        <v>0</v>
      </c>
      <c r="AL139" t="s">
        <v>5</v>
      </c>
      <c r="AM139">
        <v>137</v>
      </c>
      <c r="AN139" t="s">
        <v>6</v>
      </c>
      <c r="AO139" s="1">
        <v>0.2148438</v>
      </c>
      <c r="AP139" t="s">
        <v>7</v>
      </c>
      <c r="AQ139" s="1">
        <v>0.5</v>
      </c>
      <c r="AR139" t="s">
        <v>8</v>
      </c>
      <c r="AS139" s="1">
        <v>0</v>
      </c>
      <c r="AT139" s="1">
        <v>0.201916603840746</v>
      </c>
      <c r="AU139" s="1">
        <f t="shared" si="8"/>
        <v>0.403833207681492</v>
      </c>
    </row>
    <row r="140" spans="10:47">
      <c r="J140" t="s">
        <v>4</v>
      </c>
      <c r="K140">
        <v>0</v>
      </c>
      <c r="L140" t="s">
        <v>5</v>
      </c>
      <c r="M140">
        <v>138</v>
      </c>
      <c r="N140" t="s">
        <v>6</v>
      </c>
      <c r="O140" s="1">
        <v>0.2164063</v>
      </c>
      <c r="P140" t="s">
        <v>7</v>
      </c>
      <c r="Q140" s="1">
        <v>0.5</v>
      </c>
      <c r="R140" t="s">
        <v>8</v>
      </c>
      <c r="S140" s="1">
        <v>0</v>
      </c>
      <c r="T140" s="1">
        <v>0.20185680833820599</v>
      </c>
      <c r="U140" s="1">
        <f t="shared" si="6"/>
        <v>0.40371361667641198</v>
      </c>
      <c r="W140" t="s">
        <v>4</v>
      </c>
      <c r="X140">
        <v>0</v>
      </c>
      <c r="Y140" t="s">
        <v>5</v>
      </c>
      <c r="Z140">
        <v>138</v>
      </c>
      <c r="AA140" t="s">
        <v>6</v>
      </c>
      <c r="AB140" s="1">
        <v>0.2164063</v>
      </c>
      <c r="AC140" t="s">
        <v>7</v>
      </c>
      <c r="AD140" s="1">
        <v>0.5</v>
      </c>
      <c r="AE140" t="s">
        <v>8</v>
      </c>
      <c r="AF140" s="1">
        <v>0</v>
      </c>
      <c r="AG140" s="1">
        <v>0.201891088011803</v>
      </c>
      <c r="AH140" s="1">
        <f t="shared" si="7"/>
        <v>0.403782176023606</v>
      </c>
      <c r="AJ140" t="s">
        <v>4</v>
      </c>
      <c r="AK140">
        <v>0</v>
      </c>
      <c r="AL140" t="s">
        <v>5</v>
      </c>
      <c r="AM140">
        <v>138</v>
      </c>
      <c r="AN140" t="s">
        <v>6</v>
      </c>
      <c r="AO140" s="1">
        <v>0.2164063</v>
      </c>
      <c r="AP140" t="s">
        <v>7</v>
      </c>
      <c r="AQ140" s="1">
        <v>0.5</v>
      </c>
      <c r="AR140" t="s">
        <v>8</v>
      </c>
      <c r="AS140" s="1">
        <v>0</v>
      </c>
      <c r="AT140" s="1">
        <v>0.20195852532359301</v>
      </c>
      <c r="AU140" s="1">
        <f t="shared" si="8"/>
        <v>0.40391705064718603</v>
      </c>
    </row>
    <row r="141" spans="10:47">
      <c r="J141" t="s">
        <v>4</v>
      </c>
      <c r="K141">
        <v>0</v>
      </c>
      <c r="L141" t="s">
        <v>5</v>
      </c>
      <c r="M141">
        <v>139</v>
      </c>
      <c r="N141" t="s">
        <v>6</v>
      </c>
      <c r="O141" s="1">
        <v>0.21796869999999999</v>
      </c>
      <c r="P141" t="s">
        <v>7</v>
      </c>
      <c r="Q141" s="1">
        <v>0.5</v>
      </c>
      <c r="R141" t="s">
        <v>8</v>
      </c>
      <c r="S141" s="1">
        <v>0</v>
      </c>
      <c r="T141" s="1">
        <v>0.20188638334661099</v>
      </c>
      <c r="U141" s="1">
        <f t="shared" si="6"/>
        <v>0.40377276669322198</v>
      </c>
      <c r="W141" t="s">
        <v>4</v>
      </c>
      <c r="X141">
        <v>0</v>
      </c>
      <c r="Y141" t="s">
        <v>5</v>
      </c>
      <c r="Z141">
        <v>139</v>
      </c>
      <c r="AA141" t="s">
        <v>6</v>
      </c>
      <c r="AB141" s="1">
        <v>0.21796869999999999</v>
      </c>
      <c r="AC141" t="s">
        <v>7</v>
      </c>
      <c r="AD141" s="1">
        <v>0.5</v>
      </c>
      <c r="AE141" t="s">
        <v>8</v>
      </c>
      <c r="AF141" s="1">
        <v>0</v>
      </c>
      <c r="AG141" s="1">
        <v>0.20192408910735901</v>
      </c>
      <c r="AH141" s="1">
        <f t="shared" si="7"/>
        <v>0.40384817821471802</v>
      </c>
      <c r="AJ141" t="s">
        <v>4</v>
      </c>
      <c r="AK141">
        <v>0</v>
      </c>
      <c r="AL141" t="s">
        <v>5</v>
      </c>
      <c r="AM141">
        <v>139</v>
      </c>
      <c r="AN141" t="s">
        <v>6</v>
      </c>
      <c r="AO141" s="1">
        <v>0.21796869999999999</v>
      </c>
      <c r="AP141" t="s">
        <v>7</v>
      </c>
      <c r="AQ141" s="1">
        <v>0.5</v>
      </c>
      <c r="AR141" t="s">
        <v>8</v>
      </c>
      <c r="AS141" s="1">
        <v>0</v>
      </c>
      <c r="AT141" s="1">
        <v>0.20199901548173399</v>
      </c>
      <c r="AU141" s="1">
        <f t="shared" si="8"/>
        <v>0.40399803096346798</v>
      </c>
    </row>
    <row r="142" spans="10:47">
      <c r="J142" t="s">
        <v>4</v>
      </c>
      <c r="K142">
        <v>0</v>
      </c>
      <c r="L142" t="s">
        <v>5</v>
      </c>
      <c r="M142">
        <v>140</v>
      </c>
      <c r="N142" t="s">
        <v>6</v>
      </c>
      <c r="O142" s="1">
        <v>0.21953130000000001</v>
      </c>
      <c r="P142" t="s">
        <v>7</v>
      </c>
      <c r="Q142" s="1">
        <v>0.5</v>
      </c>
      <c r="R142" t="s">
        <v>8</v>
      </c>
      <c r="S142" s="1">
        <v>0</v>
      </c>
      <c r="T142" s="1">
        <v>0.201918281732448</v>
      </c>
      <c r="U142" s="1">
        <f t="shared" si="6"/>
        <v>0.40383656346489599</v>
      </c>
      <c r="W142" t="s">
        <v>4</v>
      </c>
      <c r="X142">
        <v>0</v>
      </c>
      <c r="Y142" t="s">
        <v>5</v>
      </c>
      <c r="Z142">
        <v>140</v>
      </c>
      <c r="AA142" t="s">
        <v>6</v>
      </c>
      <c r="AB142" s="1">
        <v>0.21953130000000001</v>
      </c>
      <c r="AC142" t="s">
        <v>7</v>
      </c>
      <c r="AD142" s="1">
        <v>0.5</v>
      </c>
      <c r="AE142" t="s">
        <v>8</v>
      </c>
      <c r="AF142" s="1">
        <v>0</v>
      </c>
      <c r="AG142" s="1">
        <v>0.20195467623062799</v>
      </c>
      <c r="AH142" s="1">
        <f t="shared" si="7"/>
        <v>0.40390935246125598</v>
      </c>
      <c r="AJ142" t="s">
        <v>4</v>
      </c>
      <c r="AK142">
        <v>0</v>
      </c>
      <c r="AL142" t="s">
        <v>5</v>
      </c>
      <c r="AM142">
        <v>140</v>
      </c>
      <c r="AN142" t="s">
        <v>6</v>
      </c>
      <c r="AO142" s="1">
        <v>0.21953130000000001</v>
      </c>
      <c r="AP142" t="s">
        <v>7</v>
      </c>
      <c r="AQ142" s="1">
        <v>0.5</v>
      </c>
      <c r="AR142" t="s">
        <v>8</v>
      </c>
      <c r="AS142" s="1">
        <v>0</v>
      </c>
      <c r="AT142" s="1">
        <v>0.20202833368877299</v>
      </c>
      <c r="AU142" s="1">
        <f t="shared" si="8"/>
        <v>0.40405666737754597</v>
      </c>
    </row>
    <row r="143" spans="10:47">
      <c r="J143" t="s">
        <v>4</v>
      </c>
      <c r="K143">
        <v>0</v>
      </c>
      <c r="L143" t="s">
        <v>5</v>
      </c>
      <c r="M143">
        <v>141</v>
      </c>
      <c r="N143" t="s">
        <v>6</v>
      </c>
      <c r="O143" s="1">
        <v>0.22109380000000001</v>
      </c>
      <c r="P143" t="s">
        <v>7</v>
      </c>
      <c r="Q143" s="1">
        <v>0.5</v>
      </c>
      <c r="R143" t="s">
        <v>8</v>
      </c>
      <c r="S143" s="1">
        <v>0</v>
      </c>
      <c r="T143" s="1">
        <v>0.20195249333256199</v>
      </c>
      <c r="U143" s="1">
        <f t="shared" si="6"/>
        <v>0.40390498666512398</v>
      </c>
      <c r="W143" t="s">
        <v>4</v>
      </c>
      <c r="X143">
        <v>0</v>
      </c>
      <c r="Y143" t="s">
        <v>5</v>
      </c>
      <c r="Z143">
        <v>141</v>
      </c>
      <c r="AA143" t="s">
        <v>6</v>
      </c>
      <c r="AB143" s="1">
        <v>0.22109380000000001</v>
      </c>
      <c r="AC143" t="s">
        <v>7</v>
      </c>
      <c r="AD143" s="1">
        <v>0.5</v>
      </c>
      <c r="AE143" t="s">
        <v>8</v>
      </c>
      <c r="AF143" s="1">
        <v>0</v>
      </c>
      <c r="AG143" s="1">
        <v>0.20198339067995</v>
      </c>
      <c r="AH143" s="1">
        <f t="shared" si="7"/>
        <v>0.4039667813599</v>
      </c>
      <c r="AJ143" t="s">
        <v>4</v>
      </c>
      <c r="AK143">
        <v>0</v>
      </c>
      <c r="AL143" t="s">
        <v>5</v>
      </c>
      <c r="AM143">
        <v>141</v>
      </c>
      <c r="AN143" t="s">
        <v>6</v>
      </c>
      <c r="AO143" s="1">
        <v>0.22109380000000001</v>
      </c>
      <c r="AP143" t="s">
        <v>7</v>
      </c>
      <c r="AQ143" s="1">
        <v>0.5</v>
      </c>
      <c r="AR143" t="s">
        <v>8</v>
      </c>
      <c r="AS143" s="1">
        <v>0</v>
      </c>
      <c r="AT143" s="1">
        <v>0.202047769712453</v>
      </c>
      <c r="AU143" s="1">
        <f t="shared" si="8"/>
        <v>0.404095539424906</v>
      </c>
    </row>
    <row r="144" spans="10:47">
      <c r="J144" t="s">
        <v>4</v>
      </c>
      <c r="K144">
        <v>0</v>
      </c>
      <c r="L144" t="s">
        <v>5</v>
      </c>
      <c r="M144">
        <v>142</v>
      </c>
      <c r="N144" t="s">
        <v>6</v>
      </c>
      <c r="O144" s="1">
        <v>0.2226563</v>
      </c>
      <c r="P144" t="s">
        <v>7</v>
      </c>
      <c r="Q144" s="1">
        <v>0.5</v>
      </c>
      <c r="R144" t="s">
        <v>8</v>
      </c>
      <c r="S144" s="1">
        <v>0</v>
      </c>
      <c r="T144" s="1">
        <v>0.20198666400859799</v>
      </c>
      <c r="U144" s="1">
        <f t="shared" si="6"/>
        <v>0.40397332801719599</v>
      </c>
      <c r="W144" t="s">
        <v>4</v>
      </c>
      <c r="X144">
        <v>0</v>
      </c>
      <c r="Y144" t="s">
        <v>5</v>
      </c>
      <c r="Z144">
        <v>142</v>
      </c>
      <c r="AA144" t="s">
        <v>6</v>
      </c>
      <c r="AB144" s="1">
        <v>0.2226563</v>
      </c>
      <c r="AC144" t="s">
        <v>7</v>
      </c>
      <c r="AD144" s="1">
        <v>0.5</v>
      </c>
      <c r="AE144" t="s">
        <v>8</v>
      </c>
      <c r="AF144" s="1">
        <v>0</v>
      </c>
      <c r="AG144" s="1">
        <v>0.20201227619388401</v>
      </c>
      <c r="AH144" s="1">
        <f t="shared" si="7"/>
        <v>0.40402455238776802</v>
      </c>
      <c r="AJ144" t="s">
        <v>4</v>
      </c>
      <c r="AK144">
        <v>0</v>
      </c>
      <c r="AL144" t="s">
        <v>5</v>
      </c>
      <c r="AM144">
        <v>142</v>
      </c>
      <c r="AN144" t="s">
        <v>6</v>
      </c>
      <c r="AO144" s="1">
        <v>0.2226563</v>
      </c>
      <c r="AP144" t="s">
        <v>7</v>
      </c>
      <c r="AQ144" s="1">
        <v>0.5</v>
      </c>
      <c r="AR144" t="s">
        <v>8</v>
      </c>
      <c r="AS144" s="1">
        <v>0</v>
      </c>
      <c r="AT144" s="1">
        <v>0.202067571300522</v>
      </c>
      <c r="AU144" s="1">
        <f t="shared" si="8"/>
        <v>0.404135142601044</v>
      </c>
    </row>
    <row r="145" spans="10:47">
      <c r="J145" t="s">
        <v>4</v>
      </c>
      <c r="K145">
        <v>0</v>
      </c>
      <c r="L145" t="s">
        <v>5</v>
      </c>
      <c r="M145">
        <v>143</v>
      </c>
      <c r="N145" t="s">
        <v>6</v>
      </c>
      <c r="O145" s="1">
        <v>0.22421869999999999</v>
      </c>
      <c r="P145" t="s">
        <v>7</v>
      </c>
      <c r="Q145" s="1">
        <v>0.5</v>
      </c>
      <c r="R145" t="s">
        <v>8</v>
      </c>
      <c r="S145" s="1">
        <v>0</v>
      </c>
      <c r="T145" s="1">
        <v>0.20202078982395899</v>
      </c>
      <c r="U145" s="1">
        <f t="shared" si="6"/>
        <v>0.40404157964791798</v>
      </c>
      <c r="W145" t="s">
        <v>4</v>
      </c>
      <c r="X145">
        <v>0</v>
      </c>
      <c r="Y145" t="s">
        <v>5</v>
      </c>
      <c r="Z145">
        <v>143</v>
      </c>
      <c r="AA145" t="s">
        <v>6</v>
      </c>
      <c r="AB145" s="1">
        <v>0.22421869999999999</v>
      </c>
      <c r="AC145" t="s">
        <v>7</v>
      </c>
      <c r="AD145" s="1">
        <v>0.5</v>
      </c>
      <c r="AE145" t="s">
        <v>8</v>
      </c>
      <c r="AF145" s="1">
        <v>0</v>
      </c>
      <c r="AG145" s="1">
        <v>0.20204132962930499</v>
      </c>
      <c r="AH145" s="1">
        <f t="shared" si="7"/>
        <v>0.40408265925860998</v>
      </c>
      <c r="AJ145" t="s">
        <v>4</v>
      </c>
      <c r="AK145">
        <v>0</v>
      </c>
      <c r="AL145" t="s">
        <v>5</v>
      </c>
      <c r="AM145">
        <v>143</v>
      </c>
      <c r="AN145" t="s">
        <v>6</v>
      </c>
      <c r="AO145" s="1">
        <v>0.22421869999999999</v>
      </c>
      <c r="AP145" t="s">
        <v>7</v>
      </c>
      <c r="AQ145" s="1">
        <v>0.5</v>
      </c>
      <c r="AR145" t="s">
        <v>8</v>
      </c>
      <c r="AS145" s="1">
        <v>0</v>
      </c>
      <c r="AT145" s="1">
        <v>0.20208774081042399</v>
      </c>
      <c r="AU145" s="1">
        <f t="shared" si="8"/>
        <v>0.40417548162084799</v>
      </c>
    </row>
    <row r="146" spans="10:47">
      <c r="J146" t="s">
        <v>4</v>
      </c>
      <c r="K146">
        <v>0</v>
      </c>
      <c r="L146" t="s">
        <v>5</v>
      </c>
      <c r="M146">
        <v>144</v>
      </c>
      <c r="N146" t="s">
        <v>6</v>
      </c>
      <c r="O146" s="1">
        <v>0.22578129999999999</v>
      </c>
      <c r="P146" t="s">
        <v>7</v>
      </c>
      <c r="Q146" s="1">
        <v>0.5</v>
      </c>
      <c r="R146" t="s">
        <v>8</v>
      </c>
      <c r="S146" s="1">
        <v>0</v>
      </c>
      <c r="T146" s="1">
        <v>0.20205486687513299</v>
      </c>
      <c r="U146" s="1">
        <f t="shared" si="6"/>
        <v>0.40410973375026599</v>
      </c>
      <c r="W146" t="s">
        <v>4</v>
      </c>
      <c r="X146">
        <v>0</v>
      </c>
      <c r="Y146" t="s">
        <v>5</v>
      </c>
      <c r="Z146">
        <v>144</v>
      </c>
      <c r="AA146" t="s">
        <v>6</v>
      </c>
      <c r="AB146" s="1">
        <v>0.22578129999999999</v>
      </c>
      <c r="AC146" t="s">
        <v>7</v>
      </c>
      <c r="AD146" s="1">
        <v>0.5</v>
      </c>
      <c r="AE146" t="s">
        <v>8</v>
      </c>
      <c r="AF146" s="1">
        <v>0</v>
      </c>
      <c r="AG146" s="1">
        <v>0.20207054785782699</v>
      </c>
      <c r="AH146" s="1">
        <f t="shared" si="7"/>
        <v>0.40414109571565399</v>
      </c>
      <c r="AJ146" t="s">
        <v>4</v>
      </c>
      <c r="AK146">
        <v>0</v>
      </c>
      <c r="AL146" t="s">
        <v>5</v>
      </c>
      <c r="AM146">
        <v>144</v>
      </c>
      <c r="AN146" t="s">
        <v>6</v>
      </c>
      <c r="AO146" s="1">
        <v>0.22578129999999999</v>
      </c>
      <c r="AP146" t="s">
        <v>7</v>
      </c>
      <c r="AQ146" s="1">
        <v>0.5</v>
      </c>
      <c r="AR146" t="s">
        <v>8</v>
      </c>
      <c r="AS146" s="1">
        <v>0</v>
      </c>
      <c r="AT146" s="1">
        <v>0.20210828050068699</v>
      </c>
      <c r="AU146" s="1">
        <f t="shared" si="8"/>
        <v>0.40421656100137399</v>
      </c>
    </row>
    <row r="147" spans="10:47">
      <c r="J147" t="s">
        <v>4</v>
      </c>
      <c r="K147">
        <v>0</v>
      </c>
      <c r="L147" t="s">
        <v>5</v>
      </c>
      <c r="M147">
        <v>145</v>
      </c>
      <c r="N147" t="s">
        <v>6</v>
      </c>
      <c r="O147" s="1">
        <v>0.22734380000000001</v>
      </c>
      <c r="P147" t="s">
        <v>7</v>
      </c>
      <c r="Q147" s="1">
        <v>0.5</v>
      </c>
      <c r="R147" t="s">
        <v>8</v>
      </c>
      <c r="S147" s="1">
        <v>0</v>
      </c>
      <c r="T147" s="1">
        <v>0.20208889129229601</v>
      </c>
      <c r="U147" s="1">
        <f t="shared" si="6"/>
        <v>0.40417778258459203</v>
      </c>
      <c r="W147" t="s">
        <v>4</v>
      </c>
      <c r="X147">
        <v>0</v>
      </c>
      <c r="Y147" t="s">
        <v>5</v>
      </c>
      <c r="Z147">
        <v>145</v>
      </c>
      <c r="AA147" t="s">
        <v>6</v>
      </c>
      <c r="AB147" s="1">
        <v>0.22734380000000001</v>
      </c>
      <c r="AC147" t="s">
        <v>7</v>
      </c>
      <c r="AD147" s="1">
        <v>0.5</v>
      </c>
      <c r="AE147" t="s">
        <v>8</v>
      </c>
      <c r="AF147" s="1">
        <v>0</v>
      </c>
      <c r="AG147" s="1">
        <v>0.20209992776640701</v>
      </c>
      <c r="AH147" s="1">
        <f t="shared" si="7"/>
        <v>0.40419985553281401</v>
      </c>
      <c r="AJ147" t="s">
        <v>4</v>
      </c>
      <c r="AK147">
        <v>0</v>
      </c>
      <c r="AL147" t="s">
        <v>5</v>
      </c>
      <c r="AM147">
        <v>145</v>
      </c>
      <c r="AN147" t="s">
        <v>6</v>
      </c>
      <c r="AO147" s="1">
        <v>0.22734380000000001</v>
      </c>
      <c r="AP147" t="s">
        <v>7</v>
      </c>
      <c r="AQ147" s="1">
        <v>0.5</v>
      </c>
      <c r="AR147" t="s">
        <v>8</v>
      </c>
      <c r="AS147" s="1">
        <v>0</v>
      </c>
      <c r="AT147" s="1">
        <v>0.20212919254272699</v>
      </c>
      <c r="AU147" s="1">
        <f t="shared" si="8"/>
        <v>0.40425838508545398</v>
      </c>
    </row>
    <row r="148" spans="10:47">
      <c r="J148" t="s">
        <v>4</v>
      </c>
      <c r="K148">
        <v>0</v>
      </c>
      <c r="L148" t="s">
        <v>5</v>
      </c>
      <c r="M148">
        <v>146</v>
      </c>
      <c r="N148" t="s">
        <v>6</v>
      </c>
      <c r="O148" s="1">
        <v>0.22890630000000001</v>
      </c>
      <c r="P148" t="s">
        <v>7</v>
      </c>
      <c r="Q148" s="1">
        <v>0.5</v>
      </c>
      <c r="R148" t="s">
        <v>8</v>
      </c>
      <c r="S148" s="1">
        <v>0</v>
      </c>
      <c r="T148" s="1">
        <v>0.20212285923989801</v>
      </c>
      <c r="U148" s="1">
        <f t="shared" si="6"/>
        <v>0.40424571847979601</v>
      </c>
      <c r="W148" t="s">
        <v>4</v>
      </c>
      <c r="X148">
        <v>0</v>
      </c>
      <c r="Y148" t="s">
        <v>5</v>
      </c>
      <c r="Z148">
        <v>146</v>
      </c>
      <c r="AA148" t="s">
        <v>6</v>
      </c>
      <c r="AB148" s="1">
        <v>0.22890630000000001</v>
      </c>
      <c r="AC148" t="s">
        <v>7</v>
      </c>
      <c r="AD148" s="1">
        <v>0.5</v>
      </c>
      <c r="AE148" t="s">
        <v>8</v>
      </c>
      <c r="AF148" s="1">
        <v>0</v>
      </c>
      <c r="AG148" s="1">
        <v>0.202129466257643</v>
      </c>
      <c r="AH148" s="1">
        <f t="shared" si="7"/>
        <v>0.404258932515286</v>
      </c>
      <c r="AJ148" t="s">
        <v>4</v>
      </c>
      <c r="AK148">
        <v>0</v>
      </c>
      <c r="AL148" t="s">
        <v>5</v>
      </c>
      <c r="AM148">
        <v>146</v>
      </c>
      <c r="AN148" t="s">
        <v>6</v>
      </c>
      <c r="AO148" s="1">
        <v>0.22890630000000001</v>
      </c>
      <c r="AP148" t="s">
        <v>7</v>
      </c>
      <c r="AQ148" s="1">
        <v>0.5</v>
      </c>
      <c r="AR148" t="s">
        <v>8</v>
      </c>
      <c r="AS148" s="1">
        <v>0</v>
      </c>
      <c r="AT148" s="1">
        <v>0.202150479032217</v>
      </c>
      <c r="AU148" s="1">
        <f t="shared" si="8"/>
        <v>0.404300958064434</v>
      </c>
    </row>
    <row r="149" spans="10:47">
      <c r="J149" t="s">
        <v>4</v>
      </c>
      <c r="K149">
        <v>0</v>
      </c>
      <c r="L149" t="s">
        <v>5</v>
      </c>
      <c r="M149">
        <v>147</v>
      </c>
      <c r="N149" t="s">
        <v>6</v>
      </c>
      <c r="O149" s="1">
        <v>0.2304688</v>
      </c>
      <c r="P149" t="s">
        <v>7</v>
      </c>
      <c r="Q149" s="1">
        <v>0.5</v>
      </c>
      <c r="R149" t="s">
        <v>8</v>
      </c>
      <c r="S149" s="1">
        <v>0</v>
      </c>
      <c r="T149" s="1">
        <v>0.20215676691742701</v>
      </c>
      <c r="U149" s="1">
        <f t="shared" si="6"/>
        <v>0.40431353383485402</v>
      </c>
      <c r="W149" t="s">
        <v>4</v>
      </c>
      <c r="X149">
        <v>0</v>
      </c>
      <c r="Y149" t="s">
        <v>5</v>
      </c>
      <c r="Z149">
        <v>147</v>
      </c>
      <c r="AA149" t="s">
        <v>6</v>
      </c>
      <c r="AB149" s="1">
        <v>0.2304688</v>
      </c>
      <c r="AC149" t="s">
        <v>7</v>
      </c>
      <c r="AD149" s="1">
        <v>0.5</v>
      </c>
      <c r="AE149" t="s">
        <v>8</v>
      </c>
      <c r="AF149" s="1">
        <v>0</v>
      </c>
      <c r="AG149" s="1">
        <v>0.20215916025014</v>
      </c>
      <c r="AH149" s="1">
        <f t="shared" si="7"/>
        <v>0.40431832050027999</v>
      </c>
      <c r="AJ149" t="s">
        <v>4</v>
      </c>
      <c r="AK149">
        <v>0</v>
      </c>
      <c r="AL149" t="s">
        <v>5</v>
      </c>
      <c r="AM149">
        <v>147</v>
      </c>
      <c r="AN149" t="s">
        <v>6</v>
      </c>
      <c r="AO149" s="1">
        <v>0.2304688</v>
      </c>
      <c r="AP149" t="s">
        <v>7</v>
      </c>
      <c r="AQ149" s="1">
        <v>0.5</v>
      </c>
      <c r="AR149" t="s">
        <v>8</v>
      </c>
      <c r="AS149" s="1">
        <v>0</v>
      </c>
      <c r="AT149" s="1">
        <v>0.20217214200070599</v>
      </c>
      <c r="AU149" s="1">
        <f t="shared" si="8"/>
        <v>0.40434428400141198</v>
      </c>
    </row>
    <row r="150" spans="10:47">
      <c r="J150" t="s">
        <v>4</v>
      </c>
      <c r="K150">
        <v>0</v>
      </c>
      <c r="L150" t="s">
        <v>5</v>
      </c>
      <c r="M150">
        <v>148</v>
      </c>
      <c r="N150" t="s">
        <v>6</v>
      </c>
      <c r="O150" s="1">
        <v>0.2320313</v>
      </c>
      <c r="P150" t="s">
        <v>7</v>
      </c>
      <c r="Q150" s="1">
        <v>0.5</v>
      </c>
      <c r="R150" t="s">
        <v>8</v>
      </c>
      <c r="S150" s="1">
        <v>0</v>
      </c>
      <c r="T150" s="1">
        <v>0.20219061055962301</v>
      </c>
      <c r="U150" s="1">
        <f t="shared" si="6"/>
        <v>0.40438122111924601</v>
      </c>
      <c r="W150" t="s">
        <v>4</v>
      </c>
      <c r="X150">
        <v>0</v>
      </c>
      <c r="Y150" t="s">
        <v>5</v>
      </c>
      <c r="Z150">
        <v>148</v>
      </c>
      <c r="AA150" t="s">
        <v>6</v>
      </c>
      <c r="AB150" s="1">
        <v>0.2320313</v>
      </c>
      <c r="AC150" t="s">
        <v>7</v>
      </c>
      <c r="AD150" s="1">
        <v>0.5</v>
      </c>
      <c r="AE150" t="s">
        <v>8</v>
      </c>
      <c r="AF150" s="1">
        <v>0</v>
      </c>
      <c r="AG150" s="1">
        <v>0.20218900667897499</v>
      </c>
      <c r="AH150" s="1">
        <f t="shared" si="7"/>
        <v>0.40437801335794998</v>
      </c>
      <c r="AJ150" t="s">
        <v>4</v>
      </c>
      <c r="AK150">
        <v>0</v>
      </c>
      <c r="AL150" t="s">
        <v>5</v>
      </c>
      <c r="AM150">
        <v>148</v>
      </c>
      <c r="AN150" t="s">
        <v>6</v>
      </c>
      <c r="AO150" s="1">
        <v>0.2320313</v>
      </c>
      <c r="AP150" t="s">
        <v>7</v>
      </c>
      <c r="AQ150" s="1">
        <v>0.5</v>
      </c>
      <c r="AR150" t="s">
        <v>8</v>
      </c>
      <c r="AS150" s="1">
        <v>0</v>
      </c>
      <c r="AT150" s="1">
        <v>0.20219418342613399</v>
      </c>
      <c r="AU150" s="1">
        <f t="shared" si="8"/>
        <v>0.40438836685226798</v>
      </c>
    </row>
    <row r="151" spans="10:47">
      <c r="J151" t="s">
        <v>4</v>
      </c>
      <c r="K151">
        <v>0</v>
      </c>
      <c r="L151" t="s">
        <v>5</v>
      </c>
      <c r="M151">
        <v>149</v>
      </c>
      <c r="N151" t="s">
        <v>6</v>
      </c>
      <c r="O151" s="1">
        <v>0.23359369999999999</v>
      </c>
      <c r="P151" t="s">
        <v>7</v>
      </c>
      <c r="Q151" s="1">
        <v>0.5</v>
      </c>
      <c r="R151" t="s">
        <v>8</v>
      </c>
      <c r="S151" s="1">
        <v>0</v>
      </c>
      <c r="T151" s="1">
        <v>0.202224386437479</v>
      </c>
      <c r="U151" s="1">
        <f t="shared" si="6"/>
        <v>0.40444877287495801</v>
      </c>
      <c r="W151" t="s">
        <v>4</v>
      </c>
      <c r="X151">
        <v>0</v>
      </c>
      <c r="Y151" t="s">
        <v>5</v>
      </c>
      <c r="Z151">
        <v>149</v>
      </c>
      <c r="AA151" t="s">
        <v>6</v>
      </c>
      <c r="AB151" s="1">
        <v>0.23359369999999999</v>
      </c>
      <c r="AC151" t="s">
        <v>7</v>
      </c>
      <c r="AD151" s="1">
        <v>0.5</v>
      </c>
      <c r="AE151" t="s">
        <v>8</v>
      </c>
      <c r="AF151" s="1">
        <v>0</v>
      </c>
      <c r="AG151" s="1">
        <v>0.20221900249615099</v>
      </c>
      <c r="AH151" s="1">
        <f t="shared" si="7"/>
        <v>0.40443800499230198</v>
      </c>
      <c r="AJ151" t="s">
        <v>4</v>
      </c>
      <c r="AK151">
        <v>0</v>
      </c>
      <c r="AL151" t="s">
        <v>5</v>
      </c>
      <c r="AM151">
        <v>149</v>
      </c>
      <c r="AN151" t="s">
        <v>6</v>
      </c>
      <c r="AO151" s="1">
        <v>0.23359369999999999</v>
      </c>
      <c r="AP151" t="s">
        <v>7</v>
      </c>
      <c r="AQ151" s="1">
        <v>0.5</v>
      </c>
      <c r="AR151" t="s">
        <v>8</v>
      </c>
      <c r="AS151" s="1">
        <v>0</v>
      </c>
      <c r="AT151" s="1">
        <v>0.202216605243972</v>
      </c>
      <c r="AU151" s="1">
        <f t="shared" si="8"/>
        <v>0.40443321048794401</v>
      </c>
    </row>
    <row r="152" spans="10:47">
      <c r="J152" t="s">
        <v>4</v>
      </c>
      <c r="K152">
        <v>0</v>
      </c>
      <c r="L152" t="s">
        <v>5</v>
      </c>
      <c r="M152">
        <v>150</v>
      </c>
      <c r="N152" t="s">
        <v>6</v>
      </c>
      <c r="O152" s="1">
        <v>0.23515630000000001</v>
      </c>
      <c r="P152" t="s">
        <v>7</v>
      </c>
      <c r="Q152" s="1">
        <v>0.5</v>
      </c>
      <c r="R152" t="s">
        <v>8</v>
      </c>
      <c r="S152" s="1">
        <v>0</v>
      </c>
      <c r="T152" s="1">
        <v>0.20225809085850999</v>
      </c>
      <c r="U152" s="1">
        <f t="shared" si="6"/>
        <v>0.40451618171701997</v>
      </c>
      <c r="W152" t="s">
        <v>4</v>
      </c>
      <c r="X152">
        <v>0</v>
      </c>
      <c r="Y152" t="s">
        <v>5</v>
      </c>
      <c r="Z152">
        <v>150</v>
      </c>
      <c r="AA152" t="s">
        <v>6</v>
      </c>
      <c r="AB152" s="1">
        <v>0.23515630000000001</v>
      </c>
      <c r="AC152" t="s">
        <v>7</v>
      </c>
      <c r="AD152" s="1">
        <v>0.5</v>
      </c>
      <c r="AE152" t="s">
        <v>8</v>
      </c>
      <c r="AF152" s="1">
        <v>0</v>
      </c>
      <c r="AG152" s="1">
        <v>0.20224914467086499</v>
      </c>
      <c r="AH152" s="1">
        <f t="shared" si="7"/>
        <v>0.40449828934172999</v>
      </c>
      <c r="AJ152" t="s">
        <v>4</v>
      </c>
      <c r="AK152">
        <v>0</v>
      </c>
      <c r="AL152" t="s">
        <v>5</v>
      </c>
      <c r="AM152">
        <v>150</v>
      </c>
      <c r="AN152" t="s">
        <v>6</v>
      </c>
      <c r="AO152" s="1">
        <v>0.23515630000000001</v>
      </c>
      <c r="AP152" t="s">
        <v>7</v>
      </c>
      <c r="AQ152" s="1">
        <v>0.5</v>
      </c>
      <c r="AR152" t="s">
        <v>8</v>
      </c>
      <c r="AS152" s="1">
        <v>0</v>
      </c>
      <c r="AT152" s="1">
        <v>0.202239409358034</v>
      </c>
      <c r="AU152" s="1">
        <f t="shared" si="8"/>
        <v>0.404478818716068</v>
      </c>
    </row>
    <row r="153" spans="10:47">
      <c r="J153" t="s">
        <v>4</v>
      </c>
      <c r="K153">
        <v>0</v>
      </c>
      <c r="L153" t="s">
        <v>5</v>
      </c>
      <c r="M153">
        <v>151</v>
      </c>
      <c r="N153" t="s">
        <v>6</v>
      </c>
      <c r="O153" s="1">
        <v>0.23671880000000001</v>
      </c>
      <c r="P153" t="s">
        <v>7</v>
      </c>
      <c r="Q153" s="1">
        <v>0.5</v>
      </c>
      <c r="R153" t="s">
        <v>8</v>
      </c>
      <c r="S153" s="1">
        <v>0</v>
      </c>
      <c r="T153" s="1">
        <v>0.20229172016764099</v>
      </c>
      <c r="U153" s="1">
        <f t="shared" si="6"/>
        <v>0.40458344033528199</v>
      </c>
      <c r="W153" t="s">
        <v>4</v>
      </c>
      <c r="X153">
        <v>0</v>
      </c>
      <c r="Y153" t="s">
        <v>5</v>
      </c>
      <c r="Z153">
        <v>151</v>
      </c>
      <c r="AA153" t="s">
        <v>6</v>
      </c>
      <c r="AB153" s="1">
        <v>0.23671880000000001</v>
      </c>
      <c r="AC153" t="s">
        <v>7</v>
      </c>
      <c r="AD153" s="1">
        <v>0.5</v>
      </c>
      <c r="AE153" t="s">
        <v>8</v>
      </c>
      <c r="AF153" s="1">
        <v>0</v>
      </c>
      <c r="AG153" s="1">
        <v>0.202279430189785</v>
      </c>
      <c r="AH153" s="1">
        <f t="shared" si="7"/>
        <v>0.40455886037957001</v>
      </c>
      <c r="AJ153" t="s">
        <v>4</v>
      </c>
      <c r="AK153">
        <v>0</v>
      </c>
      <c r="AL153" t="s">
        <v>5</v>
      </c>
      <c r="AM153">
        <v>151</v>
      </c>
      <c r="AN153" t="s">
        <v>6</v>
      </c>
      <c r="AO153" s="1">
        <v>0.23671880000000001</v>
      </c>
      <c r="AP153" t="s">
        <v>7</v>
      </c>
      <c r="AQ153" s="1">
        <v>0.5</v>
      </c>
      <c r="AR153" t="s">
        <v>8</v>
      </c>
      <c r="AS153" s="1">
        <v>0</v>
      </c>
      <c r="AT153" s="1">
        <v>0.20226259765145299</v>
      </c>
      <c r="AU153" s="1">
        <f t="shared" si="8"/>
        <v>0.40452519530290598</v>
      </c>
    </row>
    <row r="154" spans="10:47">
      <c r="J154" t="s">
        <v>4</v>
      </c>
      <c r="K154">
        <v>0</v>
      </c>
      <c r="L154" t="s">
        <v>5</v>
      </c>
      <c r="M154">
        <v>152</v>
      </c>
      <c r="N154" t="s">
        <v>6</v>
      </c>
      <c r="O154" s="1">
        <v>0.2382812</v>
      </c>
      <c r="P154" t="s">
        <v>7</v>
      </c>
      <c r="Q154" s="1">
        <v>0.5</v>
      </c>
      <c r="R154" t="s">
        <v>8</v>
      </c>
      <c r="S154" s="1">
        <v>0</v>
      </c>
      <c r="T154" s="1">
        <v>0.20232527074753101</v>
      </c>
      <c r="U154" s="1">
        <f t="shared" si="6"/>
        <v>0.40465054149506202</v>
      </c>
      <c r="W154" t="s">
        <v>4</v>
      </c>
      <c r="X154">
        <v>0</v>
      </c>
      <c r="Y154" t="s">
        <v>5</v>
      </c>
      <c r="Z154">
        <v>152</v>
      </c>
      <c r="AA154" t="s">
        <v>6</v>
      </c>
      <c r="AB154" s="1">
        <v>0.2382812</v>
      </c>
      <c r="AC154" t="s">
        <v>7</v>
      </c>
      <c r="AD154" s="1">
        <v>0.5</v>
      </c>
      <c r="AE154" t="s">
        <v>8</v>
      </c>
      <c r="AF154" s="1">
        <v>0</v>
      </c>
      <c r="AG154" s="1">
        <v>0.202309856057833</v>
      </c>
      <c r="AH154" s="1">
        <f t="shared" si="7"/>
        <v>0.404619712115666</v>
      </c>
      <c r="AJ154" t="s">
        <v>4</v>
      </c>
      <c r="AK154">
        <v>0</v>
      </c>
      <c r="AL154" t="s">
        <v>5</v>
      </c>
      <c r="AM154">
        <v>152</v>
      </c>
      <c r="AN154" t="s">
        <v>6</v>
      </c>
      <c r="AO154" s="1">
        <v>0.2382812</v>
      </c>
      <c r="AP154" t="s">
        <v>7</v>
      </c>
      <c r="AQ154" s="1">
        <v>0.5</v>
      </c>
      <c r="AR154" t="s">
        <v>8</v>
      </c>
      <c r="AS154" s="1">
        <v>0</v>
      </c>
      <c r="AT154" s="1">
        <v>0.202286171994778</v>
      </c>
      <c r="AU154" s="1">
        <f t="shared" si="8"/>
        <v>0.40457234398955599</v>
      </c>
    </row>
    <row r="155" spans="10:47">
      <c r="J155" t="s">
        <v>4</v>
      </c>
      <c r="K155">
        <v>0</v>
      </c>
      <c r="L155" t="s">
        <v>5</v>
      </c>
      <c r="M155">
        <v>153</v>
      </c>
      <c r="N155" t="s">
        <v>6</v>
      </c>
      <c r="O155" s="1">
        <v>0.23984369999999999</v>
      </c>
      <c r="P155" t="s">
        <v>7</v>
      </c>
      <c r="Q155" s="1">
        <v>0.5</v>
      </c>
      <c r="R155" t="s">
        <v>8</v>
      </c>
      <c r="S155" s="1">
        <v>0</v>
      </c>
      <c r="T155" s="1">
        <v>0.20235873901926901</v>
      </c>
      <c r="U155" s="1">
        <f t="shared" si="6"/>
        <v>0.40471747803853803</v>
      </c>
      <c r="W155" t="s">
        <v>4</v>
      </c>
      <c r="X155">
        <v>0</v>
      </c>
      <c r="Y155" t="s">
        <v>5</v>
      </c>
      <c r="Z155">
        <v>153</v>
      </c>
      <c r="AA155" t="s">
        <v>6</v>
      </c>
      <c r="AB155" s="1">
        <v>0.23984369999999999</v>
      </c>
      <c r="AC155" t="s">
        <v>7</v>
      </c>
      <c r="AD155" s="1">
        <v>0.5</v>
      </c>
      <c r="AE155" t="s">
        <v>8</v>
      </c>
      <c r="AF155" s="1">
        <v>0</v>
      </c>
      <c r="AG155" s="1">
        <v>0.20234041929808</v>
      </c>
      <c r="AH155" s="1">
        <f t="shared" si="7"/>
        <v>0.40468083859616</v>
      </c>
      <c r="AJ155" t="s">
        <v>4</v>
      </c>
      <c r="AK155">
        <v>0</v>
      </c>
      <c r="AL155" t="s">
        <v>5</v>
      </c>
      <c r="AM155">
        <v>153</v>
      </c>
      <c r="AN155" t="s">
        <v>6</v>
      </c>
      <c r="AO155" s="1">
        <v>0.23984369999999999</v>
      </c>
      <c r="AP155" t="s">
        <v>7</v>
      </c>
      <c r="AQ155" s="1">
        <v>0.5</v>
      </c>
      <c r="AR155" t="s">
        <v>8</v>
      </c>
      <c r="AS155" s="1">
        <v>0</v>
      </c>
      <c r="AT155" s="1">
        <v>0.20231013425901301</v>
      </c>
      <c r="AU155" s="1">
        <f t="shared" si="8"/>
        <v>0.40462026851802602</v>
      </c>
    </row>
    <row r="156" spans="10:47">
      <c r="J156" t="s">
        <v>4</v>
      </c>
      <c r="K156">
        <v>0</v>
      </c>
      <c r="L156" t="s">
        <v>5</v>
      </c>
      <c r="M156">
        <v>154</v>
      </c>
      <c r="N156" t="s">
        <v>6</v>
      </c>
      <c r="O156" s="1">
        <v>0.24140629999999999</v>
      </c>
      <c r="P156" t="s">
        <v>7</v>
      </c>
      <c r="Q156" s="1">
        <v>0.5</v>
      </c>
      <c r="R156" t="s">
        <v>8</v>
      </c>
      <c r="S156" s="1">
        <v>0</v>
      </c>
      <c r="T156" s="1">
        <v>0.20239212144312901</v>
      </c>
      <c r="U156" s="1">
        <f t="shared" si="6"/>
        <v>0.40478424288625803</v>
      </c>
      <c r="W156" t="s">
        <v>4</v>
      </c>
      <c r="X156">
        <v>0</v>
      </c>
      <c r="Y156" t="s">
        <v>5</v>
      </c>
      <c r="Z156">
        <v>154</v>
      </c>
      <c r="AA156" t="s">
        <v>6</v>
      </c>
      <c r="AB156" s="1">
        <v>0.24140629999999999</v>
      </c>
      <c r="AC156" t="s">
        <v>7</v>
      </c>
      <c r="AD156" s="1">
        <v>0.5</v>
      </c>
      <c r="AE156" t="s">
        <v>8</v>
      </c>
      <c r="AF156" s="1">
        <v>0</v>
      </c>
      <c r="AG156" s="1">
        <v>0.202371116952345</v>
      </c>
      <c r="AH156" s="1">
        <f t="shared" si="7"/>
        <v>0.40474223390469</v>
      </c>
      <c r="AJ156" t="s">
        <v>4</v>
      </c>
      <c r="AK156">
        <v>0</v>
      </c>
      <c r="AL156" t="s">
        <v>5</v>
      </c>
      <c r="AM156">
        <v>154</v>
      </c>
      <c r="AN156" t="s">
        <v>6</v>
      </c>
      <c r="AO156" s="1">
        <v>0.24140629999999999</v>
      </c>
      <c r="AP156" t="s">
        <v>7</v>
      </c>
      <c r="AQ156" s="1">
        <v>0.5</v>
      </c>
      <c r="AR156" t="s">
        <v>8</v>
      </c>
      <c r="AS156" s="1">
        <v>0</v>
      </c>
      <c r="AT156" s="1">
        <v>0.20233448632342399</v>
      </c>
      <c r="AU156" s="1">
        <f t="shared" si="8"/>
        <v>0.40466897264684798</v>
      </c>
    </row>
    <row r="157" spans="10:47">
      <c r="J157" t="s">
        <v>4</v>
      </c>
      <c r="K157">
        <v>0</v>
      </c>
      <c r="L157" t="s">
        <v>5</v>
      </c>
      <c r="M157">
        <v>155</v>
      </c>
      <c r="N157" t="s">
        <v>6</v>
      </c>
      <c r="O157" s="1">
        <v>0.24296880000000001</v>
      </c>
      <c r="P157" t="s">
        <v>7</v>
      </c>
      <c r="Q157" s="1">
        <v>0.5</v>
      </c>
      <c r="R157" t="s">
        <v>8</v>
      </c>
      <c r="S157" s="1">
        <v>0</v>
      </c>
      <c r="T157" s="1">
        <v>0.202425414518938</v>
      </c>
      <c r="U157" s="1">
        <f t="shared" si="6"/>
        <v>0.404850829037876</v>
      </c>
      <c r="W157" t="s">
        <v>4</v>
      </c>
      <c r="X157">
        <v>0</v>
      </c>
      <c r="Y157" t="s">
        <v>5</v>
      </c>
      <c r="Z157">
        <v>155</v>
      </c>
      <c r="AA157" t="s">
        <v>6</v>
      </c>
      <c r="AB157" s="1">
        <v>0.24296880000000001</v>
      </c>
      <c r="AC157" t="s">
        <v>7</v>
      </c>
      <c r="AD157" s="1">
        <v>0.5</v>
      </c>
      <c r="AE157" t="s">
        <v>8</v>
      </c>
      <c r="AF157" s="1">
        <v>0</v>
      </c>
      <c r="AG157" s="1">
        <v>0.20240194608171899</v>
      </c>
      <c r="AH157" s="1">
        <f t="shared" si="7"/>
        <v>0.40480389216343798</v>
      </c>
      <c r="AJ157" t="s">
        <v>4</v>
      </c>
      <c r="AK157">
        <v>0</v>
      </c>
      <c r="AL157" t="s">
        <v>5</v>
      </c>
      <c r="AM157">
        <v>155</v>
      </c>
      <c r="AN157" t="s">
        <v>6</v>
      </c>
      <c r="AO157" s="1">
        <v>0.24296880000000001</v>
      </c>
      <c r="AP157" t="s">
        <v>7</v>
      </c>
      <c r="AQ157" s="1">
        <v>0.5</v>
      </c>
      <c r="AR157" t="s">
        <v>8</v>
      </c>
      <c r="AS157" s="1">
        <v>0</v>
      </c>
      <c r="AT157" s="1">
        <v>0.202359230085811</v>
      </c>
      <c r="AU157" s="1">
        <f t="shared" si="8"/>
        <v>0.404718460171622</v>
      </c>
    </row>
    <row r="158" spans="10:47">
      <c r="J158" t="s">
        <v>4</v>
      </c>
      <c r="K158">
        <v>0</v>
      </c>
      <c r="L158" t="s">
        <v>5</v>
      </c>
      <c r="M158">
        <v>156</v>
      </c>
      <c r="N158" t="s">
        <v>6</v>
      </c>
      <c r="O158" s="1">
        <v>0.24453130000000001</v>
      </c>
      <c r="P158" t="s">
        <v>7</v>
      </c>
      <c r="Q158" s="1">
        <v>0.5</v>
      </c>
      <c r="R158" t="s">
        <v>8</v>
      </c>
      <c r="S158" s="1">
        <v>0</v>
      </c>
      <c r="T158" s="1">
        <v>0.20245861478673699</v>
      </c>
      <c r="U158" s="1">
        <f t="shared" si="6"/>
        <v>0.40491722957347398</v>
      </c>
      <c r="W158" t="s">
        <v>4</v>
      </c>
      <c r="X158">
        <v>0</v>
      </c>
      <c r="Y158" t="s">
        <v>5</v>
      </c>
      <c r="Z158">
        <v>156</v>
      </c>
      <c r="AA158" t="s">
        <v>6</v>
      </c>
      <c r="AB158" s="1">
        <v>0.24453130000000001</v>
      </c>
      <c r="AC158" t="s">
        <v>7</v>
      </c>
      <c r="AD158" s="1">
        <v>0.5</v>
      </c>
      <c r="AE158" t="s">
        <v>8</v>
      </c>
      <c r="AF158" s="1">
        <v>0</v>
      </c>
      <c r="AG158" s="1">
        <v>0.20243290376662901</v>
      </c>
      <c r="AH158" s="1">
        <f t="shared" si="7"/>
        <v>0.40486580753325802</v>
      </c>
      <c r="AJ158" t="s">
        <v>4</v>
      </c>
      <c r="AK158">
        <v>0</v>
      </c>
      <c r="AL158" t="s">
        <v>5</v>
      </c>
      <c r="AM158">
        <v>156</v>
      </c>
      <c r="AN158" t="s">
        <v>6</v>
      </c>
      <c r="AO158" s="1">
        <v>0.24453130000000001</v>
      </c>
      <c r="AP158" t="s">
        <v>7</v>
      </c>
      <c r="AQ158" s="1">
        <v>0.5</v>
      </c>
      <c r="AR158" t="s">
        <v>8</v>
      </c>
      <c r="AS158" s="1">
        <v>0</v>
      </c>
      <c r="AT158" s="1">
        <v>0.20238436747230701</v>
      </c>
      <c r="AU158" s="1">
        <f t="shared" si="8"/>
        <v>0.40476873494461402</v>
      </c>
    </row>
    <row r="159" spans="10:47">
      <c r="J159" t="s">
        <v>4</v>
      </c>
      <c r="K159">
        <v>0</v>
      </c>
      <c r="L159" t="s">
        <v>5</v>
      </c>
      <c r="M159">
        <v>157</v>
      </c>
      <c r="N159" t="s">
        <v>6</v>
      </c>
      <c r="O159" s="1">
        <v>0.2460938</v>
      </c>
      <c r="P159" t="s">
        <v>7</v>
      </c>
      <c r="Q159" s="1">
        <v>0.5</v>
      </c>
      <c r="R159" t="s">
        <v>8</v>
      </c>
      <c r="S159" s="1">
        <v>0</v>
      </c>
      <c r="T159" s="1">
        <v>0.20249171882748901</v>
      </c>
      <c r="U159" s="1">
        <f t="shared" si="6"/>
        <v>0.40498343765497802</v>
      </c>
      <c r="W159" t="s">
        <v>4</v>
      </c>
      <c r="X159">
        <v>0</v>
      </c>
      <c r="Y159" t="s">
        <v>5</v>
      </c>
      <c r="Z159">
        <v>157</v>
      </c>
      <c r="AA159" t="s">
        <v>6</v>
      </c>
      <c r="AB159" s="1">
        <v>0.2460938</v>
      </c>
      <c r="AC159" t="s">
        <v>7</v>
      </c>
      <c r="AD159" s="1">
        <v>0.5</v>
      </c>
      <c r="AE159" t="s">
        <v>8</v>
      </c>
      <c r="AF159" s="1">
        <v>0</v>
      </c>
      <c r="AG159" s="1">
        <v>0.20246398710732799</v>
      </c>
      <c r="AH159" s="1">
        <f t="shared" si="7"/>
        <v>0.40492797421465598</v>
      </c>
      <c r="AJ159" t="s">
        <v>4</v>
      </c>
      <c r="AK159">
        <v>0</v>
      </c>
      <c r="AL159" t="s">
        <v>5</v>
      </c>
      <c r="AM159">
        <v>157</v>
      </c>
      <c r="AN159" t="s">
        <v>6</v>
      </c>
      <c r="AO159" s="1">
        <v>0.2460938</v>
      </c>
      <c r="AP159" t="s">
        <v>7</v>
      </c>
      <c r="AQ159" s="1">
        <v>0.5</v>
      </c>
      <c r="AR159" t="s">
        <v>8</v>
      </c>
      <c r="AS159" s="1">
        <v>0</v>
      </c>
      <c r="AT159" s="1">
        <v>0.20240990044561399</v>
      </c>
      <c r="AU159" s="1">
        <f t="shared" si="8"/>
        <v>0.40481980089122799</v>
      </c>
    </row>
    <row r="160" spans="10:47">
      <c r="J160" t="s">
        <v>4</v>
      </c>
      <c r="K160">
        <v>0</v>
      </c>
      <c r="L160" t="s">
        <v>5</v>
      </c>
      <c r="M160">
        <v>158</v>
      </c>
      <c r="N160" t="s">
        <v>6</v>
      </c>
      <c r="O160" s="1">
        <v>0.24765619999999999</v>
      </c>
      <c r="P160" t="s">
        <v>7</v>
      </c>
      <c r="Q160" s="1">
        <v>0.5</v>
      </c>
      <c r="R160" t="s">
        <v>8</v>
      </c>
      <c r="S160" s="1">
        <v>0</v>
      </c>
      <c r="T160" s="1">
        <v>0.202524723263591</v>
      </c>
      <c r="U160" s="1">
        <f t="shared" si="6"/>
        <v>0.405049446527182</v>
      </c>
      <c r="W160" t="s">
        <v>4</v>
      </c>
      <c r="X160">
        <v>0</v>
      </c>
      <c r="Y160" t="s">
        <v>5</v>
      </c>
      <c r="Z160">
        <v>158</v>
      </c>
      <c r="AA160" t="s">
        <v>6</v>
      </c>
      <c r="AB160" s="1">
        <v>0.24765619999999999</v>
      </c>
      <c r="AC160" t="s">
        <v>7</v>
      </c>
      <c r="AD160" s="1">
        <v>0.5</v>
      </c>
      <c r="AE160" t="s">
        <v>8</v>
      </c>
      <c r="AF160" s="1">
        <v>0</v>
      </c>
      <c r="AG160" s="1">
        <v>0.202495193224283</v>
      </c>
      <c r="AH160" s="1">
        <f t="shared" si="7"/>
        <v>0.404990386448566</v>
      </c>
      <c r="AJ160" t="s">
        <v>4</v>
      </c>
      <c r="AK160">
        <v>0</v>
      </c>
      <c r="AL160" t="s">
        <v>5</v>
      </c>
      <c r="AM160">
        <v>158</v>
      </c>
      <c r="AN160" t="s">
        <v>6</v>
      </c>
      <c r="AO160" s="1">
        <v>0.24765619999999999</v>
      </c>
      <c r="AP160" t="s">
        <v>7</v>
      </c>
      <c r="AQ160" s="1">
        <v>0.5</v>
      </c>
      <c r="AR160" t="s">
        <v>8</v>
      </c>
      <c r="AS160" s="1">
        <v>0</v>
      </c>
      <c r="AT160" s="1">
        <v>0.202435831015356</v>
      </c>
      <c r="AU160" s="1">
        <f t="shared" si="8"/>
        <v>0.40487166203071201</v>
      </c>
    </row>
    <row r="161" spans="10:47">
      <c r="J161" t="s">
        <v>4</v>
      </c>
      <c r="K161">
        <v>0</v>
      </c>
      <c r="L161" t="s">
        <v>5</v>
      </c>
      <c r="M161">
        <v>159</v>
      </c>
      <c r="N161" t="s">
        <v>6</v>
      </c>
      <c r="O161" s="1">
        <v>0.24921869999999999</v>
      </c>
      <c r="P161" t="s">
        <v>7</v>
      </c>
      <c r="Q161" s="1">
        <v>0.5</v>
      </c>
      <c r="R161" t="s">
        <v>8</v>
      </c>
      <c r="S161" s="1">
        <v>0</v>
      </c>
      <c r="T161" s="1">
        <v>0.20255762475941699</v>
      </c>
      <c r="U161" s="1">
        <f t="shared" si="6"/>
        <v>0.40511524951883399</v>
      </c>
      <c r="W161" t="s">
        <v>4</v>
      </c>
      <c r="X161">
        <v>0</v>
      </c>
      <c r="Y161" t="s">
        <v>5</v>
      </c>
      <c r="Z161">
        <v>159</v>
      </c>
      <c r="AA161" t="s">
        <v>6</v>
      </c>
      <c r="AB161" s="1">
        <v>0.24921869999999999</v>
      </c>
      <c r="AC161" t="s">
        <v>7</v>
      </c>
      <c r="AD161" s="1">
        <v>0.5</v>
      </c>
      <c r="AE161" t="s">
        <v>8</v>
      </c>
      <c r="AF161" s="1">
        <v>0</v>
      </c>
      <c r="AG161" s="1">
        <v>0.20252651925853299</v>
      </c>
      <c r="AH161" s="1">
        <f t="shared" si="7"/>
        <v>0.40505303851706598</v>
      </c>
      <c r="AJ161" t="s">
        <v>4</v>
      </c>
      <c r="AK161">
        <v>0</v>
      </c>
      <c r="AL161" t="s">
        <v>5</v>
      </c>
      <c r="AM161">
        <v>159</v>
      </c>
      <c r="AN161" t="s">
        <v>6</v>
      </c>
      <c r="AO161" s="1">
        <v>0.24921869999999999</v>
      </c>
      <c r="AP161" t="s">
        <v>7</v>
      </c>
      <c r="AQ161" s="1">
        <v>0.5</v>
      </c>
      <c r="AR161" t="s">
        <v>8</v>
      </c>
      <c r="AS161" s="1">
        <v>0</v>
      </c>
      <c r="AT161" s="1">
        <v>0.20246216124622299</v>
      </c>
      <c r="AU161" s="1">
        <f t="shared" si="8"/>
        <v>0.40492432249244598</v>
      </c>
    </row>
    <row r="162" spans="10:47">
      <c r="J162" t="s">
        <v>4</v>
      </c>
      <c r="K162">
        <v>0</v>
      </c>
      <c r="L162" t="s">
        <v>5</v>
      </c>
      <c r="M162">
        <v>160</v>
      </c>
      <c r="N162" t="s">
        <v>6</v>
      </c>
      <c r="O162" s="1">
        <v>0.25078129999999998</v>
      </c>
      <c r="P162" t="s">
        <v>7</v>
      </c>
      <c r="Q162" s="1">
        <v>0.5</v>
      </c>
      <c r="R162" t="s">
        <v>8</v>
      </c>
      <c r="S162" s="1">
        <v>0</v>
      </c>
      <c r="T162" s="1">
        <v>0.202591811857395</v>
      </c>
      <c r="U162" s="1">
        <f t="shared" si="6"/>
        <v>0.40518362371479</v>
      </c>
      <c r="W162" t="s">
        <v>4</v>
      </c>
      <c r="X162">
        <v>0</v>
      </c>
      <c r="Y162" t="s">
        <v>5</v>
      </c>
      <c r="Z162">
        <v>160</v>
      </c>
      <c r="AA162" t="s">
        <v>6</v>
      </c>
      <c r="AB162" s="1">
        <v>0.25078129999999998</v>
      </c>
      <c r="AC162" t="s">
        <v>7</v>
      </c>
      <c r="AD162" s="1">
        <v>0.5</v>
      </c>
      <c r="AE162" t="s">
        <v>8</v>
      </c>
      <c r="AF162" s="1">
        <v>0</v>
      </c>
      <c r="AG162" s="1">
        <v>0.202563426692034</v>
      </c>
      <c r="AH162" s="1">
        <f t="shared" si="7"/>
        <v>0.40512685338406801</v>
      </c>
      <c r="AJ162" t="s">
        <v>4</v>
      </c>
      <c r="AK162">
        <v>0</v>
      </c>
      <c r="AL162" t="s">
        <v>5</v>
      </c>
      <c r="AM162">
        <v>160</v>
      </c>
      <c r="AN162" t="s">
        <v>6</v>
      </c>
      <c r="AO162" s="1">
        <v>0.25078129999999998</v>
      </c>
      <c r="AP162" t="s">
        <v>7</v>
      </c>
      <c r="AQ162" s="1">
        <v>0.5</v>
      </c>
      <c r="AR162" t="s">
        <v>8</v>
      </c>
      <c r="AS162" s="1">
        <v>0</v>
      </c>
      <c r="AT162" s="1">
        <v>0.20250131498198401</v>
      </c>
      <c r="AU162" s="1">
        <f t="shared" si="8"/>
        <v>0.40500262996396802</v>
      </c>
    </row>
    <row r="163" spans="10:47">
      <c r="J163" t="s">
        <v>4</v>
      </c>
      <c r="K163">
        <v>0</v>
      </c>
      <c r="L163" t="s">
        <v>5</v>
      </c>
      <c r="M163">
        <v>161</v>
      </c>
      <c r="N163" t="s">
        <v>6</v>
      </c>
      <c r="O163" s="1">
        <v>0.2523437</v>
      </c>
      <c r="P163" t="s">
        <v>7</v>
      </c>
      <c r="Q163" s="1">
        <v>0.5</v>
      </c>
      <c r="R163" t="s">
        <v>8</v>
      </c>
      <c r="S163" s="1">
        <v>0</v>
      </c>
      <c r="T163" s="1">
        <v>0.20262733362573601</v>
      </c>
      <c r="U163" s="1">
        <f t="shared" si="6"/>
        <v>0.40525466725147202</v>
      </c>
      <c r="W163" t="s">
        <v>4</v>
      </c>
      <c r="X163">
        <v>0</v>
      </c>
      <c r="Y163" t="s">
        <v>5</v>
      </c>
      <c r="Z163">
        <v>161</v>
      </c>
      <c r="AA163" t="s">
        <v>6</v>
      </c>
      <c r="AB163" s="1">
        <v>0.2523437</v>
      </c>
      <c r="AC163" t="s">
        <v>7</v>
      </c>
      <c r="AD163" s="1">
        <v>0.5</v>
      </c>
      <c r="AE163" t="s">
        <v>8</v>
      </c>
      <c r="AF163" s="1">
        <v>0</v>
      </c>
      <c r="AG163" s="1">
        <v>0.202605620889203</v>
      </c>
      <c r="AH163" s="1">
        <f t="shared" si="7"/>
        <v>0.40521124177840601</v>
      </c>
      <c r="AJ163" t="s">
        <v>4</v>
      </c>
      <c r="AK163">
        <v>0</v>
      </c>
      <c r="AL163" t="s">
        <v>5</v>
      </c>
      <c r="AM163">
        <v>161</v>
      </c>
      <c r="AN163" t="s">
        <v>6</v>
      </c>
      <c r="AO163" s="1">
        <v>0.2523437</v>
      </c>
      <c r="AP163" t="s">
        <v>7</v>
      </c>
      <c r="AQ163" s="1">
        <v>0.5</v>
      </c>
      <c r="AR163" t="s">
        <v>8</v>
      </c>
      <c r="AS163" s="1">
        <v>0</v>
      </c>
      <c r="AT163" s="1">
        <v>0.20255273778670899</v>
      </c>
      <c r="AU163" s="1">
        <f t="shared" si="8"/>
        <v>0.40510547557341797</v>
      </c>
    </row>
    <row r="164" spans="10:47">
      <c r="J164" t="s">
        <v>4</v>
      </c>
      <c r="K164">
        <v>0</v>
      </c>
      <c r="L164" t="s">
        <v>5</v>
      </c>
      <c r="M164">
        <v>162</v>
      </c>
      <c r="N164" t="s">
        <v>6</v>
      </c>
      <c r="O164" s="1">
        <v>0.25390620000000003</v>
      </c>
      <c r="P164" t="s">
        <v>7</v>
      </c>
      <c r="Q164" s="1">
        <v>0.5</v>
      </c>
      <c r="R164" t="s">
        <v>8</v>
      </c>
      <c r="S164" s="1">
        <v>0</v>
      </c>
      <c r="T164" s="1">
        <v>0.20266281462543101</v>
      </c>
      <c r="U164" s="1">
        <f t="shared" si="6"/>
        <v>0.40532562925086202</v>
      </c>
      <c r="W164" t="s">
        <v>4</v>
      </c>
      <c r="X164">
        <v>0</v>
      </c>
      <c r="Y164" t="s">
        <v>5</v>
      </c>
      <c r="Z164">
        <v>162</v>
      </c>
      <c r="AA164" t="s">
        <v>6</v>
      </c>
      <c r="AB164" s="1">
        <v>0.25390620000000003</v>
      </c>
      <c r="AC164" t="s">
        <v>7</v>
      </c>
      <c r="AD164" s="1">
        <v>0.5</v>
      </c>
      <c r="AE164" t="s">
        <v>8</v>
      </c>
      <c r="AF164" s="1">
        <v>0</v>
      </c>
      <c r="AG164" s="1">
        <v>0.20264751423093599</v>
      </c>
      <c r="AH164" s="1">
        <f t="shared" si="7"/>
        <v>0.40529502846187199</v>
      </c>
      <c r="AJ164" t="s">
        <v>4</v>
      </c>
      <c r="AK164">
        <v>0</v>
      </c>
      <c r="AL164" t="s">
        <v>5</v>
      </c>
      <c r="AM164">
        <v>162</v>
      </c>
      <c r="AN164" t="s">
        <v>6</v>
      </c>
      <c r="AO164" s="1">
        <v>0.25390620000000003</v>
      </c>
      <c r="AP164" t="s">
        <v>7</v>
      </c>
      <c r="AQ164" s="1">
        <v>0.5</v>
      </c>
      <c r="AR164" t="s">
        <v>8</v>
      </c>
      <c r="AS164" s="1">
        <v>0</v>
      </c>
      <c r="AT164" s="1">
        <v>0.20260377977625699</v>
      </c>
      <c r="AU164" s="1">
        <f t="shared" si="8"/>
        <v>0.40520755955251397</v>
      </c>
    </row>
    <row r="165" spans="10:47">
      <c r="J165" t="s">
        <v>4</v>
      </c>
      <c r="K165">
        <v>0</v>
      </c>
      <c r="L165" t="s">
        <v>5</v>
      </c>
      <c r="M165">
        <v>163</v>
      </c>
      <c r="N165" t="s">
        <v>6</v>
      </c>
      <c r="O165" s="1">
        <v>0.2554688</v>
      </c>
      <c r="P165" t="s">
        <v>7</v>
      </c>
      <c r="Q165" s="1">
        <v>0.5</v>
      </c>
      <c r="R165" t="s">
        <v>8</v>
      </c>
      <c r="S165" s="1">
        <v>0</v>
      </c>
      <c r="T165" s="1">
        <v>0.202698249255786</v>
      </c>
      <c r="U165" s="1">
        <f t="shared" si="6"/>
        <v>0.405396498511572</v>
      </c>
      <c r="W165" t="s">
        <v>4</v>
      </c>
      <c r="X165">
        <v>0</v>
      </c>
      <c r="Y165" t="s">
        <v>5</v>
      </c>
      <c r="Z165">
        <v>163</v>
      </c>
      <c r="AA165" t="s">
        <v>6</v>
      </c>
      <c r="AB165" s="1">
        <v>0.2554688</v>
      </c>
      <c r="AC165" t="s">
        <v>7</v>
      </c>
      <c r="AD165" s="1">
        <v>0.5</v>
      </c>
      <c r="AE165" t="s">
        <v>8</v>
      </c>
      <c r="AF165" s="1">
        <v>0</v>
      </c>
      <c r="AG165" s="1">
        <v>0.20268910352491801</v>
      </c>
      <c r="AH165" s="1">
        <f t="shared" si="7"/>
        <v>0.40537820704983601</v>
      </c>
      <c r="AJ165" t="s">
        <v>4</v>
      </c>
      <c r="AK165">
        <v>0</v>
      </c>
      <c r="AL165" t="s">
        <v>5</v>
      </c>
      <c r="AM165">
        <v>163</v>
      </c>
      <c r="AN165" t="s">
        <v>6</v>
      </c>
      <c r="AO165" s="1">
        <v>0.2554688</v>
      </c>
      <c r="AP165" t="s">
        <v>7</v>
      </c>
      <c r="AQ165" s="1">
        <v>0.5</v>
      </c>
      <c r="AR165" t="s">
        <v>8</v>
      </c>
      <c r="AS165" s="1">
        <v>0</v>
      </c>
      <c r="AT165" s="1">
        <v>0.20265444160961901</v>
      </c>
      <c r="AU165" s="1">
        <f t="shared" si="8"/>
        <v>0.40530888321923803</v>
      </c>
    </row>
    <row r="166" spans="10:47">
      <c r="J166" t="s">
        <v>4</v>
      </c>
      <c r="K166">
        <v>0</v>
      </c>
      <c r="L166" t="s">
        <v>5</v>
      </c>
      <c r="M166">
        <v>164</v>
      </c>
      <c r="N166" t="s">
        <v>6</v>
      </c>
      <c r="O166" s="1">
        <v>0.25703120000000002</v>
      </c>
      <c r="P166" t="s">
        <v>7</v>
      </c>
      <c r="Q166" s="1">
        <v>0.5</v>
      </c>
      <c r="R166" t="s">
        <v>8</v>
      </c>
      <c r="S166" s="1">
        <v>0</v>
      </c>
      <c r="T166" s="1">
        <v>0.20273363196690999</v>
      </c>
      <c r="U166" s="1">
        <f t="shared" si="6"/>
        <v>0.40546726393381999</v>
      </c>
      <c r="W166" t="s">
        <v>4</v>
      </c>
      <c r="X166">
        <v>0</v>
      </c>
      <c r="Y166" t="s">
        <v>5</v>
      </c>
      <c r="Z166">
        <v>164</v>
      </c>
      <c r="AA166" t="s">
        <v>6</v>
      </c>
      <c r="AB166" s="1">
        <v>0.25703120000000002</v>
      </c>
      <c r="AC166" t="s">
        <v>7</v>
      </c>
      <c r="AD166" s="1">
        <v>0.5</v>
      </c>
      <c r="AE166" t="s">
        <v>8</v>
      </c>
      <c r="AF166" s="1">
        <v>0</v>
      </c>
      <c r="AG166" s="1">
        <v>0.20273038561766199</v>
      </c>
      <c r="AH166" s="1">
        <f t="shared" si="7"/>
        <v>0.40546077123532398</v>
      </c>
      <c r="AJ166" t="s">
        <v>4</v>
      </c>
      <c r="AK166">
        <v>0</v>
      </c>
      <c r="AL166" t="s">
        <v>5</v>
      </c>
      <c r="AM166">
        <v>164</v>
      </c>
      <c r="AN166" t="s">
        <v>6</v>
      </c>
      <c r="AO166" s="1">
        <v>0.25703120000000002</v>
      </c>
      <c r="AP166" t="s">
        <v>7</v>
      </c>
      <c r="AQ166" s="1">
        <v>0.5</v>
      </c>
      <c r="AR166" t="s">
        <v>8</v>
      </c>
      <c r="AS166" s="1">
        <v>0</v>
      </c>
      <c r="AT166" s="1">
        <v>0.20270472387541599</v>
      </c>
      <c r="AU166" s="1">
        <f t="shared" si="8"/>
        <v>0.40540944775083199</v>
      </c>
    </row>
    <row r="167" spans="10:47">
      <c r="J167" t="s">
        <v>4</v>
      </c>
      <c r="K167">
        <v>0</v>
      </c>
      <c r="L167" t="s">
        <v>5</v>
      </c>
      <c r="M167">
        <v>165</v>
      </c>
      <c r="N167" t="s">
        <v>6</v>
      </c>
      <c r="O167" s="1">
        <v>0.25859379999999998</v>
      </c>
      <c r="P167" t="s">
        <v>7</v>
      </c>
      <c r="Q167" s="1">
        <v>0.5</v>
      </c>
      <c r="R167" t="s">
        <v>8</v>
      </c>
      <c r="S167" s="1">
        <v>0</v>
      </c>
      <c r="T167" s="1">
        <v>0.20276895726119501</v>
      </c>
      <c r="U167" s="1">
        <f t="shared" si="6"/>
        <v>0.40553791452239002</v>
      </c>
      <c r="W167" t="s">
        <v>4</v>
      </c>
      <c r="X167">
        <v>0</v>
      </c>
      <c r="Y167" t="s">
        <v>5</v>
      </c>
      <c r="Z167">
        <v>165</v>
      </c>
      <c r="AA167" t="s">
        <v>6</v>
      </c>
      <c r="AB167" s="1">
        <v>0.25859379999999998</v>
      </c>
      <c r="AC167" t="s">
        <v>7</v>
      </c>
      <c r="AD167" s="1">
        <v>0.5</v>
      </c>
      <c r="AE167" t="s">
        <v>8</v>
      </c>
      <c r="AF167" s="1">
        <v>0</v>
      </c>
      <c r="AG167" s="1">
        <v>0.20277135739598001</v>
      </c>
      <c r="AH167" s="1">
        <f t="shared" si="7"/>
        <v>0.40554271479196002</v>
      </c>
      <c r="AJ167" t="s">
        <v>4</v>
      </c>
      <c r="AK167">
        <v>0</v>
      </c>
      <c r="AL167" t="s">
        <v>5</v>
      </c>
      <c r="AM167">
        <v>165</v>
      </c>
      <c r="AN167" t="s">
        <v>6</v>
      </c>
      <c r="AO167" s="1">
        <v>0.25859379999999998</v>
      </c>
      <c r="AP167" t="s">
        <v>7</v>
      </c>
      <c r="AQ167" s="1">
        <v>0.5</v>
      </c>
      <c r="AR167" t="s">
        <v>8</v>
      </c>
      <c r="AS167" s="1">
        <v>0</v>
      </c>
      <c r="AT167" s="1">
        <v>0.20275462710030201</v>
      </c>
      <c r="AU167" s="1">
        <f t="shared" si="8"/>
        <v>0.40550925420060402</v>
      </c>
    </row>
    <row r="168" spans="10:47">
      <c r="J168" t="s">
        <v>4</v>
      </c>
      <c r="K168">
        <v>0</v>
      </c>
      <c r="L168" t="s">
        <v>5</v>
      </c>
      <c r="M168">
        <v>166</v>
      </c>
      <c r="N168" t="s">
        <v>6</v>
      </c>
      <c r="O168" s="1">
        <v>0.2601562</v>
      </c>
      <c r="P168" t="s">
        <v>7</v>
      </c>
      <c r="Q168" s="1">
        <v>0.5</v>
      </c>
      <c r="R168" t="s">
        <v>8</v>
      </c>
      <c r="S168" s="1">
        <v>0</v>
      </c>
      <c r="T168" s="1">
        <v>0.20280421969469101</v>
      </c>
      <c r="U168" s="1">
        <f t="shared" si="6"/>
        <v>0.40560843938938201</v>
      </c>
      <c r="W168" t="s">
        <v>4</v>
      </c>
      <c r="X168">
        <v>0</v>
      </c>
      <c r="Y168" t="s">
        <v>5</v>
      </c>
      <c r="Z168">
        <v>166</v>
      </c>
      <c r="AA168" t="s">
        <v>6</v>
      </c>
      <c r="AB168" s="1">
        <v>0.2601562</v>
      </c>
      <c r="AC168" t="s">
        <v>7</v>
      </c>
      <c r="AD168" s="1">
        <v>0.5</v>
      </c>
      <c r="AE168" t="s">
        <v>8</v>
      </c>
      <c r="AF168" s="1">
        <v>0</v>
      </c>
      <c r="AG168" s="1">
        <v>0.202812015788391</v>
      </c>
      <c r="AH168" s="1">
        <f t="shared" si="7"/>
        <v>0.40562403157678201</v>
      </c>
      <c r="AJ168" t="s">
        <v>4</v>
      </c>
      <c r="AK168">
        <v>0</v>
      </c>
      <c r="AL168" t="s">
        <v>5</v>
      </c>
      <c r="AM168">
        <v>166</v>
      </c>
      <c r="AN168" t="s">
        <v>6</v>
      </c>
      <c r="AO168" s="1">
        <v>0.2601562</v>
      </c>
      <c r="AP168" t="s">
        <v>7</v>
      </c>
      <c r="AQ168" s="1">
        <v>0.5</v>
      </c>
      <c r="AR168" t="s">
        <v>8</v>
      </c>
      <c r="AS168" s="1">
        <v>0</v>
      </c>
      <c r="AT168" s="1">
        <v>0.20280415175864799</v>
      </c>
      <c r="AU168" s="1">
        <f t="shared" si="8"/>
        <v>0.40560830351729599</v>
      </c>
    </row>
    <row r="169" spans="10:47">
      <c r="J169" t="s">
        <v>4</v>
      </c>
      <c r="K169">
        <v>0</v>
      </c>
      <c r="L169" t="s">
        <v>5</v>
      </c>
      <c r="M169">
        <v>167</v>
      </c>
      <c r="N169" t="s">
        <v>6</v>
      </c>
      <c r="O169" s="1">
        <v>0.26171879999999997</v>
      </c>
      <c r="P169" t="s">
        <v>7</v>
      </c>
      <c r="Q169" s="1">
        <v>0.5</v>
      </c>
      <c r="R169" t="s">
        <v>8</v>
      </c>
      <c r="S169" s="1">
        <v>0</v>
      </c>
      <c r="T169" s="1">
        <v>0.202839413878668</v>
      </c>
      <c r="U169" s="1">
        <f t="shared" si="6"/>
        <v>0.40567882775733599</v>
      </c>
      <c r="W169" t="s">
        <v>4</v>
      </c>
      <c r="X169">
        <v>0</v>
      </c>
      <c r="Y169" t="s">
        <v>5</v>
      </c>
      <c r="Z169">
        <v>167</v>
      </c>
      <c r="AA169" t="s">
        <v>6</v>
      </c>
      <c r="AB169" s="1">
        <v>0.26171879999999997</v>
      </c>
      <c r="AC169" t="s">
        <v>7</v>
      </c>
      <c r="AD169" s="1">
        <v>0.5</v>
      </c>
      <c r="AE169" t="s">
        <v>8</v>
      </c>
      <c r="AF169" s="1">
        <v>0</v>
      </c>
      <c r="AG169" s="1">
        <v>0.20285235776660199</v>
      </c>
      <c r="AH169" s="1">
        <f t="shared" si="7"/>
        <v>0.40570471553320397</v>
      </c>
      <c r="AJ169" t="s">
        <v>4</v>
      </c>
      <c r="AK169">
        <v>0</v>
      </c>
      <c r="AL169" t="s">
        <v>5</v>
      </c>
      <c r="AM169">
        <v>167</v>
      </c>
      <c r="AN169" t="s">
        <v>6</v>
      </c>
      <c r="AO169" s="1">
        <v>0.26171879999999997</v>
      </c>
      <c r="AP169" t="s">
        <v>7</v>
      </c>
      <c r="AQ169" s="1">
        <v>0.5</v>
      </c>
      <c r="AR169" t="s">
        <v>8</v>
      </c>
      <c r="AS169" s="1">
        <v>0</v>
      </c>
      <c r="AT169" s="1">
        <v>0.202853298280049</v>
      </c>
      <c r="AU169" s="1">
        <f t="shared" si="8"/>
        <v>0.405706596560098</v>
      </c>
    </row>
    <row r="170" spans="10:47">
      <c r="J170" t="s">
        <v>4</v>
      </c>
      <c r="K170">
        <v>0</v>
      </c>
      <c r="L170" t="s">
        <v>5</v>
      </c>
      <c r="M170">
        <v>168</v>
      </c>
      <c r="N170" t="s">
        <v>6</v>
      </c>
      <c r="O170" s="1">
        <v>0.2632813</v>
      </c>
      <c r="P170" t="s">
        <v>7</v>
      </c>
      <c r="Q170" s="1">
        <v>0.5</v>
      </c>
      <c r="R170" t="s">
        <v>8</v>
      </c>
      <c r="S170" s="1">
        <v>0</v>
      </c>
      <c r="T170" s="1">
        <v>0.202874534480603</v>
      </c>
      <c r="U170" s="1">
        <f t="shared" si="6"/>
        <v>0.40574906896120599</v>
      </c>
      <c r="W170" t="s">
        <v>4</v>
      </c>
      <c r="X170">
        <v>0</v>
      </c>
      <c r="Y170" t="s">
        <v>5</v>
      </c>
      <c r="Z170">
        <v>168</v>
      </c>
      <c r="AA170" t="s">
        <v>6</v>
      </c>
      <c r="AB170" s="1">
        <v>0.2632813</v>
      </c>
      <c r="AC170" t="s">
        <v>7</v>
      </c>
      <c r="AD170" s="1">
        <v>0.5</v>
      </c>
      <c r="AE170" t="s">
        <v>8</v>
      </c>
      <c r="AF170" s="1">
        <v>0</v>
      </c>
      <c r="AG170" s="1">
        <v>0.20289238034697599</v>
      </c>
      <c r="AH170" s="1">
        <f t="shared" si="7"/>
        <v>0.40578476069395197</v>
      </c>
      <c r="AJ170" t="s">
        <v>4</v>
      </c>
      <c r="AK170">
        <v>0</v>
      </c>
      <c r="AL170" t="s">
        <v>5</v>
      </c>
      <c r="AM170">
        <v>168</v>
      </c>
      <c r="AN170" t="s">
        <v>6</v>
      </c>
      <c r="AO170" s="1">
        <v>0.2632813</v>
      </c>
      <c r="AP170" t="s">
        <v>7</v>
      </c>
      <c r="AQ170" s="1">
        <v>0.5</v>
      </c>
      <c r="AR170" t="s">
        <v>8</v>
      </c>
      <c r="AS170" s="1">
        <v>0</v>
      </c>
      <c r="AT170" s="1">
        <v>0.20290206705779401</v>
      </c>
      <c r="AU170" s="1">
        <f t="shared" si="8"/>
        <v>0.40580413411558802</v>
      </c>
    </row>
    <row r="171" spans="10:47">
      <c r="J171" t="s">
        <v>4</v>
      </c>
      <c r="K171">
        <v>0</v>
      </c>
      <c r="L171" t="s">
        <v>5</v>
      </c>
      <c r="M171">
        <v>169</v>
      </c>
      <c r="N171" t="s">
        <v>6</v>
      </c>
      <c r="O171" s="1">
        <v>0.26484370000000002</v>
      </c>
      <c r="P171" t="s">
        <v>7</v>
      </c>
      <c r="Q171" s="1">
        <v>0.5</v>
      </c>
      <c r="R171" t="s">
        <v>8</v>
      </c>
      <c r="S171" s="1">
        <v>0</v>
      </c>
      <c r="T171" s="1">
        <v>0.20290957622626299</v>
      </c>
      <c r="U171" s="1">
        <f t="shared" si="6"/>
        <v>0.40581915245252598</v>
      </c>
      <c r="W171" t="s">
        <v>4</v>
      </c>
      <c r="X171">
        <v>0</v>
      </c>
      <c r="Y171" t="s">
        <v>5</v>
      </c>
      <c r="Z171">
        <v>169</v>
      </c>
      <c r="AA171" t="s">
        <v>6</v>
      </c>
      <c r="AB171" s="1">
        <v>0.26484370000000002</v>
      </c>
      <c r="AC171" t="s">
        <v>7</v>
      </c>
      <c r="AD171" s="1">
        <v>0.5</v>
      </c>
      <c r="AE171" t="s">
        <v>8</v>
      </c>
      <c r="AF171" s="1">
        <v>0</v>
      </c>
      <c r="AG171" s="1">
        <v>0.20293208059197601</v>
      </c>
      <c r="AH171" s="1">
        <f t="shared" si="7"/>
        <v>0.40586416118395202</v>
      </c>
      <c r="AJ171" t="s">
        <v>4</v>
      </c>
      <c r="AK171">
        <v>0</v>
      </c>
      <c r="AL171" t="s">
        <v>5</v>
      </c>
      <c r="AM171">
        <v>169</v>
      </c>
      <c r="AN171" t="s">
        <v>6</v>
      </c>
      <c r="AO171" s="1">
        <v>0.26484370000000002</v>
      </c>
      <c r="AP171" t="s">
        <v>7</v>
      </c>
      <c r="AQ171" s="1">
        <v>0.5</v>
      </c>
      <c r="AR171" t="s">
        <v>8</v>
      </c>
      <c r="AS171" s="1">
        <v>0</v>
      </c>
      <c r="AT171" s="1">
        <v>0.202950458456922</v>
      </c>
      <c r="AU171" s="1">
        <f t="shared" si="8"/>
        <v>0.405900916913844</v>
      </c>
    </row>
    <row r="172" spans="10:47">
      <c r="J172" t="s">
        <v>4</v>
      </c>
      <c r="K172">
        <v>0</v>
      </c>
      <c r="L172" t="s">
        <v>5</v>
      </c>
      <c r="M172">
        <v>170</v>
      </c>
      <c r="N172" t="s">
        <v>6</v>
      </c>
      <c r="O172" s="1">
        <v>0.26640629999999998</v>
      </c>
      <c r="P172" t="s">
        <v>7</v>
      </c>
      <c r="Q172" s="1">
        <v>0.5</v>
      </c>
      <c r="R172" t="s">
        <v>8</v>
      </c>
      <c r="S172" s="1">
        <v>0</v>
      </c>
      <c r="T172" s="1">
        <v>0.20294453390047601</v>
      </c>
      <c r="U172" s="1">
        <f t="shared" si="6"/>
        <v>0.40588906780095202</v>
      </c>
      <c r="W172" t="s">
        <v>4</v>
      </c>
      <c r="X172">
        <v>0</v>
      </c>
      <c r="Y172" t="s">
        <v>5</v>
      </c>
      <c r="Z172">
        <v>170</v>
      </c>
      <c r="AA172" t="s">
        <v>6</v>
      </c>
      <c r="AB172" s="1">
        <v>0.26640629999999998</v>
      </c>
      <c r="AC172" t="s">
        <v>7</v>
      </c>
      <c r="AD172" s="1">
        <v>0.5</v>
      </c>
      <c r="AE172" t="s">
        <v>8</v>
      </c>
      <c r="AF172" s="1">
        <v>0</v>
      </c>
      <c r="AG172" s="1">
        <v>0.20297145561139701</v>
      </c>
      <c r="AH172" s="1">
        <f t="shared" si="7"/>
        <v>0.40594291122279402</v>
      </c>
      <c r="AJ172" t="s">
        <v>4</v>
      </c>
      <c r="AK172">
        <v>0</v>
      </c>
      <c r="AL172" t="s">
        <v>5</v>
      </c>
      <c r="AM172">
        <v>170</v>
      </c>
      <c r="AN172" t="s">
        <v>6</v>
      </c>
      <c r="AO172" s="1">
        <v>0.26640629999999998</v>
      </c>
      <c r="AP172" t="s">
        <v>7</v>
      </c>
      <c r="AQ172" s="1">
        <v>0.5</v>
      </c>
      <c r="AR172" t="s">
        <v>8</v>
      </c>
      <c r="AS172" s="1">
        <v>0</v>
      </c>
      <c r="AT172" s="1">
        <v>0.20299847282182901</v>
      </c>
      <c r="AU172" s="1">
        <f t="shared" si="8"/>
        <v>0.40599694564365801</v>
      </c>
    </row>
    <row r="173" spans="10:47">
      <c r="J173" t="s">
        <v>4</v>
      </c>
      <c r="K173">
        <v>0</v>
      </c>
      <c r="L173" t="s">
        <v>5</v>
      </c>
      <c r="M173">
        <v>171</v>
      </c>
      <c r="N173" t="s">
        <v>6</v>
      </c>
      <c r="O173" s="1">
        <v>0.2679687</v>
      </c>
      <c r="P173" t="s">
        <v>7</v>
      </c>
      <c r="Q173" s="1">
        <v>0.5</v>
      </c>
      <c r="R173" t="s">
        <v>8</v>
      </c>
      <c r="S173" s="1">
        <v>0</v>
      </c>
      <c r="T173" s="1">
        <v>0.202979402348896</v>
      </c>
      <c r="U173" s="1">
        <f t="shared" si="6"/>
        <v>0.405958804697792</v>
      </c>
      <c r="W173" t="s">
        <v>4</v>
      </c>
      <c r="X173">
        <v>0</v>
      </c>
      <c r="Y173" t="s">
        <v>5</v>
      </c>
      <c r="Z173">
        <v>171</v>
      </c>
      <c r="AA173" t="s">
        <v>6</v>
      </c>
      <c r="AB173" s="1">
        <v>0.2679687</v>
      </c>
      <c r="AC173" t="s">
        <v>7</v>
      </c>
      <c r="AD173" s="1">
        <v>0.5</v>
      </c>
      <c r="AE173" t="s">
        <v>8</v>
      </c>
      <c r="AF173" s="1">
        <v>0</v>
      </c>
      <c r="AG173" s="1">
        <v>0.20301050256400699</v>
      </c>
      <c r="AH173" s="1">
        <f t="shared" si="7"/>
        <v>0.40602100512801398</v>
      </c>
      <c r="AJ173" t="s">
        <v>4</v>
      </c>
      <c r="AK173">
        <v>0</v>
      </c>
      <c r="AL173" t="s">
        <v>5</v>
      </c>
      <c r="AM173">
        <v>171</v>
      </c>
      <c r="AN173" t="s">
        <v>6</v>
      </c>
      <c r="AO173" s="1">
        <v>0.2679687</v>
      </c>
      <c r="AP173" t="s">
        <v>7</v>
      </c>
      <c r="AQ173" s="1">
        <v>0.5</v>
      </c>
      <c r="AR173" t="s">
        <v>8</v>
      </c>
      <c r="AS173" s="1">
        <v>0</v>
      </c>
      <c r="AT173" s="1">
        <v>0.20304611048385901</v>
      </c>
      <c r="AU173" s="1">
        <f t="shared" si="8"/>
        <v>0.40609222096771802</v>
      </c>
    </row>
    <row r="174" spans="10:47">
      <c r="J174" t="s">
        <v>4</v>
      </c>
      <c r="K174">
        <v>0</v>
      </c>
      <c r="L174" t="s">
        <v>5</v>
      </c>
      <c r="M174">
        <v>172</v>
      </c>
      <c r="N174" t="s">
        <v>6</v>
      </c>
      <c r="O174" s="1">
        <v>0.26953120000000003</v>
      </c>
      <c r="P174" t="s">
        <v>7</v>
      </c>
      <c r="Q174" s="1">
        <v>0.5</v>
      </c>
      <c r="R174" t="s">
        <v>8</v>
      </c>
      <c r="S174" s="1">
        <v>0</v>
      </c>
      <c r="T174" s="1">
        <v>0.20301417647950401</v>
      </c>
      <c r="U174" s="1">
        <f t="shared" si="6"/>
        <v>0.40602835295900802</v>
      </c>
      <c r="W174" t="s">
        <v>4</v>
      </c>
      <c r="X174">
        <v>0</v>
      </c>
      <c r="Y174" t="s">
        <v>5</v>
      </c>
      <c r="Z174">
        <v>172</v>
      </c>
      <c r="AA174" t="s">
        <v>6</v>
      </c>
      <c r="AB174" s="1">
        <v>0.26953120000000003</v>
      </c>
      <c r="AC174" t="s">
        <v>7</v>
      </c>
      <c r="AD174" s="1">
        <v>0.5</v>
      </c>
      <c r="AE174" t="s">
        <v>8</v>
      </c>
      <c r="AF174" s="1">
        <v>0</v>
      </c>
      <c r="AG174" s="1">
        <v>0.203049218658897</v>
      </c>
      <c r="AH174" s="1">
        <f t="shared" si="7"/>
        <v>0.40609843731779399</v>
      </c>
      <c r="AJ174" t="s">
        <v>4</v>
      </c>
      <c r="AK174">
        <v>0</v>
      </c>
      <c r="AL174" t="s">
        <v>5</v>
      </c>
      <c r="AM174">
        <v>172</v>
      </c>
      <c r="AN174" t="s">
        <v>6</v>
      </c>
      <c r="AO174" s="1">
        <v>0.26953120000000003</v>
      </c>
      <c r="AP174" t="s">
        <v>7</v>
      </c>
      <c r="AQ174" s="1">
        <v>0.5</v>
      </c>
      <c r="AR174" t="s">
        <v>8</v>
      </c>
      <c r="AS174" s="1">
        <v>0</v>
      </c>
      <c r="AT174" s="1">
        <v>0.20309337176808701</v>
      </c>
      <c r="AU174" s="1">
        <f t="shared" si="8"/>
        <v>0.40618674353617401</v>
      </c>
    </row>
    <row r="175" spans="10:47">
      <c r="J175" t="s">
        <v>4</v>
      </c>
      <c r="K175">
        <v>0</v>
      </c>
      <c r="L175" t="s">
        <v>5</v>
      </c>
      <c r="M175">
        <v>173</v>
      </c>
      <c r="N175" t="s">
        <v>6</v>
      </c>
      <c r="O175" s="1">
        <v>0.2710938</v>
      </c>
      <c r="P175" t="s">
        <v>7</v>
      </c>
      <c r="Q175" s="1">
        <v>0.5</v>
      </c>
      <c r="R175" t="s">
        <v>8</v>
      </c>
      <c r="S175" s="1">
        <v>0</v>
      </c>
      <c r="T175" s="1">
        <v>0.20304885126368299</v>
      </c>
      <c r="U175" s="1">
        <f t="shared" si="6"/>
        <v>0.40609770252736599</v>
      </c>
      <c r="W175" t="s">
        <v>4</v>
      </c>
      <c r="X175">
        <v>0</v>
      </c>
      <c r="Y175" t="s">
        <v>5</v>
      </c>
      <c r="Z175">
        <v>173</v>
      </c>
      <c r="AA175" t="s">
        <v>6</v>
      </c>
      <c r="AB175" s="1">
        <v>0.2710938</v>
      </c>
      <c r="AC175" t="s">
        <v>7</v>
      </c>
      <c r="AD175" s="1">
        <v>0.5</v>
      </c>
      <c r="AE175" t="s">
        <v>8</v>
      </c>
      <c r="AF175" s="1">
        <v>0</v>
      </c>
      <c r="AG175" s="1">
        <v>0.20308760115657801</v>
      </c>
      <c r="AH175" s="1">
        <f t="shared" si="7"/>
        <v>0.40617520231315601</v>
      </c>
      <c r="AJ175" t="s">
        <v>4</v>
      </c>
      <c r="AK175">
        <v>0</v>
      </c>
      <c r="AL175" t="s">
        <v>5</v>
      </c>
      <c r="AM175">
        <v>173</v>
      </c>
      <c r="AN175" t="s">
        <v>6</v>
      </c>
      <c r="AO175" s="1">
        <v>0.2710938</v>
      </c>
      <c r="AP175" t="s">
        <v>7</v>
      </c>
      <c r="AQ175" s="1">
        <v>0.5</v>
      </c>
      <c r="AR175" t="s">
        <v>8</v>
      </c>
      <c r="AS175" s="1">
        <v>0</v>
      </c>
      <c r="AT175" s="1">
        <v>0.20314025700042199</v>
      </c>
      <c r="AU175" s="1">
        <f t="shared" si="8"/>
        <v>0.40628051400084397</v>
      </c>
    </row>
    <row r="176" spans="10:47">
      <c r="J176" t="s">
        <v>4</v>
      </c>
      <c r="K176">
        <v>0</v>
      </c>
      <c r="L176" t="s">
        <v>5</v>
      </c>
      <c r="M176">
        <v>174</v>
      </c>
      <c r="N176" t="s">
        <v>6</v>
      </c>
      <c r="O176" s="1">
        <v>0.27265620000000002</v>
      </c>
      <c r="P176" t="s">
        <v>7</v>
      </c>
      <c r="Q176" s="1">
        <v>0.5</v>
      </c>
      <c r="R176" t="s">
        <v>8</v>
      </c>
      <c r="S176" s="1">
        <v>0</v>
      </c>
      <c r="T176" s="1">
        <v>0.20308342173802901</v>
      </c>
      <c r="U176" s="1">
        <f t="shared" si="6"/>
        <v>0.40616684347605803</v>
      </c>
      <c r="W176" t="s">
        <v>4</v>
      </c>
      <c r="X176">
        <v>0</v>
      </c>
      <c r="Y176" t="s">
        <v>5</v>
      </c>
      <c r="Z176">
        <v>174</v>
      </c>
      <c r="AA176" t="s">
        <v>6</v>
      </c>
      <c r="AB176" s="1">
        <v>0.27265620000000002</v>
      </c>
      <c r="AC176" t="s">
        <v>7</v>
      </c>
      <c r="AD176" s="1">
        <v>0.5</v>
      </c>
      <c r="AE176" t="s">
        <v>8</v>
      </c>
      <c r="AF176" s="1">
        <v>0</v>
      </c>
      <c r="AG176" s="1">
        <v>0.20312564737071101</v>
      </c>
      <c r="AH176" s="1">
        <f t="shared" si="7"/>
        <v>0.40625129474142202</v>
      </c>
      <c r="AJ176" t="s">
        <v>4</v>
      </c>
      <c r="AK176">
        <v>0</v>
      </c>
      <c r="AL176" t="s">
        <v>5</v>
      </c>
      <c r="AM176">
        <v>174</v>
      </c>
      <c r="AN176" t="s">
        <v>6</v>
      </c>
      <c r="AO176" s="1">
        <v>0.27265620000000002</v>
      </c>
      <c r="AP176" t="s">
        <v>7</v>
      </c>
      <c r="AQ176" s="1">
        <v>0.5</v>
      </c>
      <c r="AR176" t="s">
        <v>8</v>
      </c>
      <c r="AS176" s="1">
        <v>0</v>
      </c>
      <c r="AT176" s="1">
        <v>0.203186766514871</v>
      </c>
      <c r="AU176" s="1">
        <f t="shared" si="8"/>
        <v>0.406373533029742</v>
      </c>
    </row>
    <row r="177" spans="10:47">
      <c r="J177" t="s">
        <v>4</v>
      </c>
      <c r="K177">
        <v>0</v>
      </c>
      <c r="L177" t="s">
        <v>5</v>
      </c>
      <c r="M177">
        <v>175</v>
      </c>
      <c r="N177" t="s">
        <v>6</v>
      </c>
      <c r="O177" s="1">
        <v>0.27421879999999998</v>
      </c>
      <c r="P177" t="s">
        <v>7</v>
      </c>
      <c r="Q177" s="1">
        <v>0.5</v>
      </c>
      <c r="R177" t="s">
        <v>8</v>
      </c>
      <c r="S177" s="1">
        <v>0</v>
      </c>
      <c r="T177" s="1">
        <v>0.203117883005553</v>
      </c>
      <c r="U177" s="1">
        <f t="shared" si="6"/>
        <v>0.406235766011106</v>
      </c>
      <c r="W177" t="s">
        <v>4</v>
      </c>
      <c r="X177">
        <v>0</v>
      </c>
      <c r="Y177" t="s">
        <v>5</v>
      </c>
      <c r="Z177">
        <v>175</v>
      </c>
      <c r="AA177" t="s">
        <v>6</v>
      </c>
      <c r="AB177" s="1">
        <v>0.27421879999999998</v>
      </c>
      <c r="AC177" t="s">
        <v>7</v>
      </c>
      <c r="AD177" s="1">
        <v>0.5</v>
      </c>
      <c r="AE177" t="s">
        <v>8</v>
      </c>
      <c r="AF177" s="1">
        <v>0</v>
      </c>
      <c r="AG177" s="1">
        <v>0.203163354669394</v>
      </c>
      <c r="AH177" s="1">
        <f t="shared" si="7"/>
        <v>0.40632670933878801</v>
      </c>
      <c r="AJ177" t="s">
        <v>4</v>
      </c>
      <c r="AK177">
        <v>0</v>
      </c>
      <c r="AL177" t="s">
        <v>5</v>
      </c>
      <c r="AM177">
        <v>175</v>
      </c>
      <c r="AN177" t="s">
        <v>6</v>
      </c>
      <c r="AO177" s="1">
        <v>0.27421879999999998</v>
      </c>
      <c r="AP177" t="s">
        <v>7</v>
      </c>
      <c r="AQ177" s="1">
        <v>0.5</v>
      </c>
      <c r="AR177" t="s">
        <v>8</v>
      </c>
      <c r="AS177" s="1">
        <v>0</v>
      </c>
      <c r="AT177" s="1">
        <v>0.203232900659127</v>
      </c>
      <c r="AU177" s="1">
        <f t="shared" si="8"/>
        <v>0.40646580131825399</v>
      </c>
    </row>
    <row r="178" spans="10:47">
      <c r="J178" t="s">
        <v>4</v>
      </c>
      <c r="K178">
        <v>0</v>
      </c>
      <c r="L178" t="s">
        <v>5</v>
      </c>
      <c r="M178">
        <v>176</v>
      </c>
      <c r="N178" t="s">
        <v>6</v>
      </c>
      <c r="O178" s="1">
        <v>0.2757812</v>
      </c>
      <c r="P178" t="s">
        <v>7</v>
      </c>
      <c r="Q178" s="1">
        <v>0.5</v>
      </c>
      <c r="R178" t="s">
        <v>8</v>
      </c>
      <c r="S178" s="1">
        <v>0</v>
      </c>
      <c r="T178" s="1">
        <v>0.203152230237167</v>
      </c>
      <c r="U178" s="1">
        <f t="shared" si="6"/>
        <v>0.40630446047433399</v>
      </c>
      <c r="W178" t="s">
        <v>4</v>
      </c>
      <c r="X178">
        <v>0</v>
      </c>
      <c r="Y178" t="s">
        <v>5</v>
      </c>
      <c r="Z178">
        <v>176</v>
      </c>
      <c r="AA178" t="s">
        <v>6</v>
      </c>
      <c r="AB178" s="1">
        <v>0.2757812</v>
      </c>
      <c r="AC178" t="s">
        <v>7</v>
      </c>
      <c r="AD178" s="1">
        <v>0.5</v>
      </c>
      <c r="AE178" t="s">
        <v>8</v>
      </c>
      <c r="AF178" s="1">
        <v>0</v>
      </c>
      <c r="AG178" s="1">
        <v>0.20320072047625501</v>
      </c>
      <c r="AH178" s="1">
        <f t="shared" si="7"/>
        <v>0.40640144095251002</v>
      </c>
      <c r="AJ178" t="s">
        <v>4</v>
      </c>
      <c r="AK178">
        <v>0</v>
      </c>
      <c r="AL178" t="s">
        <v>5</v>
      </c>
      <c r="AM178">
        <v>176</v>
      </c>
      <c r="AN178" t="s">
        <v>6</v>
      </c>
      <c r="AO178" s="1">
        <v>0.2757812</v>
      </c>
      <c r="AP178" t="s">
        <v>7</v>
      </c>
      <c r="AQ178" s="1">
        <v>0.5</v>
      </c>
      <c r="AR178" t="s">
        <v>8</v>
      </c>
      <c r="AS178" s="1">
        <v>0</v>
      </c>
      <c r="AT178" s="1">
        <v>0.20327865980131199</v>
      </c>
      <c r="AU178" s="1">
        <f t="shared" si="8"/>
        <v>0.40655731960262398</v>
      </c>
    </row>
    <row r="179" spans="10:47">
      <c r="J179" t="s">
        <v>4</v>
      </c>
      <c r="K179">
        <v>0</v>
      </c>
      <c r="L179" t="s">
        <v>5</v>
      </c>
      <c r="M179">
        <v>177</v>
      </c>
      <c r="N179" t="s">
        <v>6</v>
      </c>
      <c r="O179" s="1">
        <v>0.27734379999999997</v>
      </c>
      <c r="P179" t="s">
        <v>7</v>
      </c>
      <c r="Q179" s="1">
        <v>0.5</v>
      </c>
      <c r="R179" t="s">
        <v>8</v>
      </c>
      <c r="S179" s="1">
        <v>0</v>
      </c>
      <c r="T179" s="1">
        <v>0.20318645867331001</v>
      </c>
      <c r="U179" s="1">
        <f t="shared" si="6"/>
        <v>0.40637291734662001</v>
      </c>
      <c r="W179" t="s">
        <v>4</v>
      </c>
      <c r="X179">
        <v>0</v>
      </c>
      <c r="Y179" t="s">
        <v>5</v>
      </c>
      <c r="Z179">
        <v>177</v>
      </c>
      <c r="AA179" t="s">
        <v>6</v>
      </c>
      <c r="AB179" s="1">
        <v>0.27734379999999997</v>
      </c>
      <c r="AC179" t="s">
        <v>7</v>
      </c>
      <c r="AD179" s="1">
        <v>0.5</v>
      </c>
      <c r="AE179" t="s">
        <v>8</v>
      </c>
      <c r="AF179" s="1">
        <v>0</v>
      </c>
      <c r="AG179" s="1">
        <v>0.20323774227206201</v>
      </c>
      <c r="AH179" s="1">
        <f t="shared" si="7"/>
        <v>0.40647548454412402</v>
      </c>
      <c r="AJ179" t="s">
        <v>4</v>
      </c>
      <c r="AK179">
        <v>0</v>
      </c>
      <c r="AL179" t="s">
        <v>5</v>
      </c>
      <c r="AM179">
        <v>177</v>
      </c>
      <c r="AN179" t="s">
        <v>6</v>
      </c>
      <c r="AO179" s="1">
        <v>0.27734379999999997</v>
      </c>
      <c r="AP179" t="s">
        <v>7</v>
      </c>
      <c r="AQ179" s="1">
        <v>0.5</v>
      </c>
      <c r="AR179" t="s">
        <v>8</v>
      </c>
      <c r="AS179" s="1">
        <v>0</v>
      </c>
      <c r="AT179" s="1">
        <v>0.20332404433523801</v>
      </c>
      <c r="AU179" s="1">
        <f t="shared" si="8"/>
        <v>0.40664808867047603</v>
      </c>
    </row>
    <row r="180" spans="10:47">
      <c r="J180" t="s">
        <v>4</v>
      </c>
      <c r="K180">
        <v>0</v>
      </c>
      <c r="L180" t="s">
        <v>5</v>
      </c>
      <c r="M180">
        <v>178</v>
      </c>
      <c r="N180" t="s">
        <v>6</v>
      </c>
      <c r="O180" s="1">
        <v>0.2789063</v>
      </c>
      <c r="P180" t="s">
        <v>7</v>
      </c>
      <c r="Q180" s="1">
        <v>0.5</v>
      </c>
      <c r="R180" t="s">
        <v>8</v>
      </c>
      <c r="S180" s="1">
        <v>0</v>
      </c>
      <c r="T180" s="1">
        <v>0.20322056362496699</v>
      </c>
      <c r="U180" s="1">
        <f t="shared" si="6"/>
        <v>0.40644112724993398</v>
      </c>
      <c r="W180" t="s">
        <v>4</v>
      </c>
      <c r="X180">
        <v>0</v>
      </c>
      <c r="Y180" t="s">
        <v>5</v>
      </c>
      <c r="Z180">
        <v>178</v>
      </c>
      <c r="AA180" t="s">
        <v>6</v>
      </c>
      <c r="AB180" s="1">
        <v>0.2789063</v>
      </c>
      <c r="AC180" t="s">
        <v>7</v>
      </c>
      <c r="AD180" s="1">
        <v>0.5</v>
      </c>
      <c r="AE180" t="s">
        <v>8</v>
      </c>
      <c r="AF180" s="1">
        <v>0</v>
      </c>
      <c r="AG180" s="1">
        <v>0.20327441759589299</v>
      </c>
      <c r="AH180" s="1">
        <f t="shared" si="7"/>
        <v>0.40654883519178597</v>
      </c>
      <c r="AJ180" t="s">
        <v>4</v>
      </c>
      <c r="AK180">
        <v>0</v>
      </c>
      <c r="AL180" t="s">
        <v>5</v>
      </c>
      <c r="AM180">
        <v>178</v>
      </c>
      <c r="AN180" t="s">
        <v>6</v>
      </c>
      <c r="AO180" s="1">
        <v>0.2789063</v>
      </c>
      <c r="AP180" t="s">
        <v>7</v>
      </c>
      <c r="AQ180" s="1">
        <v>0.5</v>
      </c>
      <c r="AR180" t="s">
        <v>8</v>
      </c>
      <c r="AS180" s="1">
        <v>0</v>
      </c>
      <c r="AT180" s="1">
        <v>0.20336905468722499</v>
      </c>
      <c r="AU180" s="1">
        <f t="shared" si="8"/>
        <v>0.40673810937444999</v>
      </c>
    </row>
    <row r="181" spans="10:47">
      <c r="J181" t="s">
        <v>4</v>
      </c>
      <c r="K181">
        <v>0</v>
      </c>
      <c r="L181" t="s">
        <v>5</v>
      </c>
      <c r="M181">
        <v>179</v>
      </c>
      <c r="N181" t="s">
        <v>6</v>
      </c>
      <c r="O181" s="1">
        <v>0.28046870000000002</v>
      </c>
      <c r="P181" t="s">
        <v>7</v>
      </c>
      <c r="Q181" s="1">
        <v>0.5</v>
      </c>
      <c r="R181" t="s">
        <v>8</v>
      </c>
      <c r="S181" s="1">
        <v>0</v>
      </c>
      <c r="T181" s="1">
        <v>0.20325454047554201</v>
      </c>
      <c r="U181" s="1">
        <f t="shared" si="6"/>
        <v>0.40650908095108401</v>
      </c>
      <c r="W181" t="s">
        <v>4</v>
      </c>
      <c r="X181">
        <v>0</v>
      </c>
      <c r="Y181" t="s">
        <v>5</v>
      </c>
      <c r="Z181">
        <v>179</v>
      </c>
      <c r="AA181" t="s">
        <v>6</v>
      </c>
      <c r="AB181" s="1">
        <v>0.28046870000000002</v>
      </c>
      <c r="AC181" t="s">
        <v>7</v>
      </c>
      <c r="AD181" s="1">
        <v>0.5</v>
      </c>
      <c r="AE181" t="s">
        <v>8</v>
      </c>
      <c r="AF181" s="1">
        <v>0</v>
      </c>
      <c r="AG181" s="1">
        <v>0.203310744046616</v>
      </c>
      <c r="AH181" s="1">
        <f t="shared" si="7"/>
        <v>0.40662148809323201</v>
      </c>
      <c r="AJ181" t="s">
        <v>4</v>
      </c>
      <c r="AK181">
        <v>0</v>
      </c>
      <c r="AL181" t="s">
        <v>5</v>
      </c>
      <c r="AM181">
        <v>179</v>
      </c>
      <c r="AN181" t="s">
        <v>6</v>
      </c>
      <c r="AO181" s="1">
        <v>0.28046870000000002</v>
      </c>
      <c r="AP181" t="s">
        <v>7</v>
      </c>
      <c r="AQ181" s="1">
        <v>0.5</v>
      </c>
      <c r="AR181" t="s">
        <v>8</v>
      </c>
      <c r="AS181" s="1">
        <v>0</v>
      </c>
      <c r="AT181" s="1">
        <v>0.20341369132090201</v>
      </c>
      <c r="AU181" s="1">
        <f t="shared" si="8"/>
        <v>0.40682738264180401</v>
      </c>
    </row>
    <row r="182" spans="10:47">
      <c r="J182" t="s">
        <v>4</v>
      </c>
      <c r="K182">
        <v>0</v>
      </c>
      <c r="L182" t="s">
        <v>5</v>
      </c>
      <c r="M182">
        <v>180</v>
      </c>
      <c r="N182" t="s">
        <v>6</v>
      </c>
      <c r="O182" s="1">
        <v>0.28203129999999998</v>
      </c>
      <c r="P182" t="s">
        <v>7</v>
      </c>
      <c r="Q182" s="1">
        <v>0.5</v>
      </c>
      <c r="R182" t="s">
        <v>8</v>
      </c>
      <c r="S182" s="1">
        <v>0</v>
      </c>
      <c r="T182" s="1">
        <v>0.203291749429237</v>
      </c>
      <c r="U182" s="1">
        <f t="shared" si="6"/>
        <v>0.406583498858474</v>
      </c>
      <c r="W182" t="s">
        <v>4</v>
      </c>
      <c r="X182">
        <v>0</v>
      </c>
      <c r="Y182" t="s">
        <v>5</v>
      </c>
      <c r="Z182">
        <v>180</v>
      </c>
      <c r="AA182" t="s">
        <v>6</v>
      </c>
      <c r="AB182" s="1">
        <v>0.28203129999999998</v>
      </c>
      <c r="AC182" t="s">
        <v>7</v>
      </c>
      <c r="AD182" s="1">
        <v>0.5</v>
      </c>
      <c r="AE182" t="s">
        <v>8</v>
      </c>
      <c r="AF182" s="1">
        <v>0</v>
      </c>
      <c r="AG182" s="1">
        <v>0.20334039148283301</v>
      </c>
      <c r="AH182" s="1">
        <f t="shared" si="7"/>
        <v>0.40668078296566601</v>
      </c>
      <c r="AJ182" t="s">
        <v>4</v>
      </c>
      <c r="AK182">
        <v>0</v>
      </c>
      <c r="AL182" t="s">
        <v>5</v>
      </c>
      <c r="AM182">
        <v>180</v>
      </c>
      <c r="AN182" t="s">
        <v>6</v>
      </c>
      <c r="AO182" s="1">
        <v>0.28203129999999998</v>
      </c>
      <c r="AP182" t="s">
        <v>7</v>
      </c>
      <c r="AQ182" s="1">
        <v>0.5</v>
      </c>
      <c r="AR182" t="s">
        <v>8</v>
      </c>
      <c r="AS182" s="1">
        <v>0</v>
      </c>
      <c r="AT182" s="1">
        <v>0.20343866084963999</v>
      </c>
      <c r="AU182" s="1">
        <f t="shared" si="8"/>
        <v>0.40687732169927998</v>
      </c>
    </row>
    <row r="183" spans="10:47">
      <c r="J183" t="s">
        <v>4</v>
      </c>
      <c r="K183">
        <v>0</v>
      </c>
      <c r="L183" t="s">
        <v>5</v>
      </c>
      <c r="M183">
        <v>181</v>
      </c>
      <c r="N183" t="s">
        <v>6</v>
      </c>
      <c r="O183" s="1">
        <v>0.2835937</v>
      </c>
      <c r="P183" t="s">
        <v>7</v>
      </c>
      <c r="Q183" s="1">
        <v>0.5</v>
      </c>
      <c r="R183" t="s">
        <v>8</v>
      </c>
      <c r="S183" s="1">
        <v>0</v>
      </c>
      <c r="T183" s="1">
        <v>0.20333207868739001</v>
      </c>
      <c r="U183" s="1">
        <f t="shared" si="6"/>
        <v>0.40666415737478001</v>
      </c>
      <c r="W183" t="s">
        <v>4</v>
      </c>
      <c r="X183">
        <v>0</v>
      </c>
      <c r="Y183" t="s">
        <v>5</v>
      </c>
      <c r="Z183">
        <v>181</v>
      </c>
      <c r="AA183" t="s">
        <v>6</v>
      </c>
      <c r="AB183" s="1">
        <v>0.2835937</v>
      </c>
      <c r="AC183" t="s">
        <v>7</v>
      </c>
      <c r="AD183" s="1">
        <v>0.5</v>
      </c>
      <c r="AE183" t="s">
        <v>8</v>
      </c>
      <c r="AF183" s="1">
        <v>0</v>
      </c>
      <c r="AG183" s="1">
        <v>0.203363890581052</v>
      </c>
      <c r="AH183" s="1">
        <f t="shared" si="7"/>
        <v>0.40672778116210401</v>
      </c>
      <c r="AJ183" t="s">
        <v>4</v>
      </c>
      <c r="AK183">
        <v>0</v>
      </c>
      <c r="AL183" t="s">
        <v>5</v>
      </c>
      <c r="AM183">
        <v>181</v>
      </c>
      <c r="AN183" t="s">
        <v>6</v>
      </c>
      <c r="AO183" s="1">
        <v>0.2835937</v>
      </c>
      <c r="AP183" t="s">
        <v>7</v>
      </c>
      <c r="AQ183" s="1">
        <v>0.5</v>
      </c>
      <c r="AR183" t="s">
        <v>8</v>
      </c>
      <c r="AS183" s="1">
        <v>0</v>
      </c>
      <c r="AT183" s="1">
        <v>0.20344435493745999</v>
      </c>
      <c r="AU183" s="1">
        <f t="shared" si="8"/>
        <v>0.40688870987491998</v>
      </c>
    </row>
    <row r="184" spans="10:47">
      <c r="J184" t="s">
        <v>4</v>
      </c>
      <c r="K184">
        <v>0</v>
      </c>
      <c r="L184" t="s">
        <v>5</v>
      </c>
      <c r="M184">
        <v>182</v>
      </c>
      <c r="N184" t="s">
        <v>6</v>
      </c>
      <c r="O184" s="1">
        <v>0.28515620000000003</v>
      </c>
      <c r="P184" t="s">
        <v>7</v>
      </c>
      <c r="Q184" s="1">
        <v>0.5</v>
      </c>
      <c r="R184" t="s">
        <v>8</v>
      </c>
      <c r="S184" s="1">
        <v>0</v>
      </c>
      <c r="T184" s="1">
        <v>0.20337211231701999</v>
      </c>
      <c r="U184" s="1">
        <f t="shared" si="6"/>
        <v>0.40674422463403997</v>
      </c>
      <c r="W184" t="s">
        <v>4</v>
      </c>
      <c r="X184">
        <v>0</v>
      </c>
      <c r="Y184" t="s">
        <v>5</v>
      </c>
      <c r="Z184">
        <v>182</v>
      </c>
      <c r="AA184" t="s">
        <v>6</v>
      </c>
      <c r="AB184" s="1">
        <v>0.28515620000000003</v>
      </c>
      <c r="AC184" t="s">
        <v>7</v>
      </c>
      <c r="AD184" s="1">
        <v>0.5</v>
      </c>
      <c r="AE184" t="s">
        <v>8</v>
      </c>
      <c r="AF184" s="1">
        <v>0</v>
      </c>
      <c r="AG184" s="1">
        <v>0.20338777248757001</v>
      </c>
      <c r="AH184" s="1">
        <f t="shared" si="7"/>
        <v>0.40677554497514001</v>
      </c>
      <c r="AJ184" t="s">
        <v>4</v>
      </c>
      <c r="AK184">
        <v>0</v>
      </c>
      <c r="AL184" t="s">
        <v>5</v>
      </c>
      <c r="AM184">
        <v>182</v>
      </c>
      <c r="AN184" t="s">
        <v>6</v>
      </c>
      <c r="AO184" s="1">
        <v>0.28515620000000003</v>
      </c>
      <c r="AP184" t="s">
        <v>7</v>
      </c>
      <c r="AQ184" s="1">
        <v>0.5</v>
      </c>
      <c r="AR184" t="s">
        <v>8</v>
      </c>
      <c r="AS184" s="1">
        <v>0</v>
      </c>
      <c r="AT184" s="1">
        <v>0.20345019091473299</v>
      </c>
      <c r="AU184" s="1">
        <f t="shared" si="8"/>
        <v>0.40690038182946597</v>
      </c>
    </row>
    <row r="185" spans="10:47">
      <c r="J185" t="s">
        <v>4</v>
      </c>
      <c r="K185">
        <v>0</v>
      </c>
      <c r="L185" t="s">
        <v>5</v>
      </c>
      <c r="M185">
        <v>183</v>
      </c>
      <c r="N185" t="s">
        <v>6</v>
      </c>
      <c r="O185" s="1">
        <v>0.28671869999999999</v>
      </c>
      <c r="P185" t="s">
        <v>7</v>
      </c>
      <c r="Q185" s="1">
        <v>0.5</v>
      </c>
      <c r="R185" t="s">
        <v>8</v>
      </c>
      <c r="S185" s="1">
        <v>0</v>
      </c>
      <c r="T185" s="1">
        <v>0.20341184271335</v>
      </c>
      <c r="U185" s="1">
        <f t="shared" si="6"/>
        <v>0.4068236854267</v>
      </c>
      <c r="W185" t="s">
        <v>4</v>
      </c>
      <c r="X185">
        <v>0</v>
      </c>
      <c r="Y185" t="s">
        <v>5</v>
      </c>
      <c r="Z185">
        <v>183</v>
      </c>
      <c r="AA185" t="s">
        <v>6</v>
      </c>
      <c r="AB185" s="1">
        <v>0.28671869999999999</v>
      </c>
      <c r="AC185" t="s">
        <v>7</v>
      </c>
      <c r="AD185" s="1">
        <v>0.5</v>
      </c>
      <c r="AE185" t="s">
        <v>8</v>
      </c>
      <c r="AF185" s="1">
        <v>0</v>
      </c>
      <c r="AG185" s="1">
        <v>0.203412017694997</v>
      </c>
      <c r="AH185" s="1">
        <f t="shared" si="7"/>
        <v>0.40682403538999401</v>
      </c>
      <c r="AJ185" t="s">
        <v>4</v>
      </c>
      <c r="AK185">
        <v>0</v>
      </c>
      <c r="AL185" t="s">
        <v>5</v>
      </c>
      <c r="AM185">
        <v>183</v>
      </c>
      <c r="AN185" t="s">
        <v>6</v>
      </c>
      <c r="AO185" s="1">
        <v>0.28671869999999999</v>
      </c>
      <c r="AP185" t="s">
        <v>7</v>
      </c>
      <c r="AQ185" s="1">
        <v>0.5</v>
      </c>
      <c r="AR185" t="s">
        <v>8</v>
      </c>
      <c r="AS185" s="1">
        <v>0</v>
      </c>
      <c r="AT185" s="1">
        <v>0.20345612214348399</v>
      </c>
      <c r="AU185" s="1">
        <f t="shared" si="8"/>
        <v>0.40691224428696798</v>
      </c>
    </row>
    <row r="186" spans="10:47">
      <c r="J186" t="s">
        <v>4</v>
      </c>
      <c r="K186">
        <v>0</v>
      </c>
      <c r="L186" t="s">
        <v>5</v>
      </c>
      <c r="M186">
        <v>184</v>
      </c>
      <c r="N186" t="s">
        <v>6</v>
      </c>
      <c r="O186" s="1">
        <v>0.28828120000000002</v>
      </c>
      <c r="P186" t="s">
        <v>7</v>
      </c>
      <c r="Q186" s="1">
        <v>0.5</v>
      </c>
      <c r="R186" t="s">
        <v>8</v>
      </c>
      <c r="S186" s="1">
        <v>0</v>
      </c>
      <c r="T186" s="1">
        <v>0.20345126233167399</v>
      </c>
      <c r="U186" s="1">
        <f t="shared" si="6"/>
        <v>0.40690252466334798</v>
      </c>
      <c r="W186" t="s">
        <v>4</v>
      </c>
      <c r="X186">
        <v>0</v>
      </c>
      <c r="Y186" t="s">
        <v>5</v>
      </c>
      <c r="Z186">
        <v>184</v>
      </c>
      <c r="AA186" t="s">
        <v>6</v>
      </c>
      <c r="AB186" s="1">
        <v>0.28828120000000002</v>
      </c>
      <c r="AC186" t="s">
        <v>7</v>
      </c>
      <c r="AD186" s="1">
        <v>0.5</v>
      </c>
      <c r="AE186" t="s">
        <v>8</v>
      </c>
      <c r="AF186" s="1">
        <v>0</v>
      </c>
      <c r="AG186" s="1">
        <v>0.20343660691999099</v>
      </c>
      <c r="AH186" s="1">
        <f t="shared" si="7"/>
        <v>0.40687321383998198</v>
      </c>
      <c r="AJ186" t="s">
        <v>4</v>
      </c>
      <c r="AK186">
        <v>0</v>
      </c>
      <c r="AL186" t="s">
        <v>5</v>
      </c>
      <c r="AM186">
        <v>184</v>
      </c>
      <c r="AN186" t="s">
        <v>6</v>
      </c>
      <c r="AO186" s="1">
        <v>0.28828120000000002</v>
      </c>
      <c r="AP186" t="s">
        <v>7</v>
      </c>
      <c r="AQ186" s="1">
        <v>0.5</v>
      </c>
      <c r="AR186" t="s">
        <v>8</v>
      </c>
      <c r="AS186" s="1">
        <v>0</v>
      </c>
      <c r="AT186" s="1">
        <v>0.20346210311292101</v>
      </c>
      <c r="AU186" s="1">
        <f t="shared" si="8"/>
        <v>0.40692420622584202</v>
      </c>
    </row>
    <row r="187" spans="10:47">
      <c r="J187" t="s">
        <v>4</v>
      </c>
      <c r="K187">
        <v>0</v>
      </c>
      <c r="L187" t="s">
        <v>5</v>
      </c>
      <c r="M187">
        <v>185</v>
      </c>
      <c r="N187" t="s">
        <v>6</v>
      </c>
      <c r="O187" s="1">
        <v>0.28984379999999998</v>
      </c>
      <c r="P187" t="s">
        <v>7</v>
      </c>
      <c r="Q187" s="1">
        <v>0.5</v>
      </c>
      <c r="R187" t="s">
        <v>8</v>
      </c>
      <c r="S187" s="1">
        <v>0</v>
      </c>
      <c r="T187" s="1">
        <v>0.20349036369127499</v>
      </c>
      <c r="U187" s="1">
        <f t="shared" si="6"/>
        <v>0.40698072738254998</v>
      </c>
      <c r="W187" t="s">
        <v>4</v>
      </c>
      <c r="X187">
        <v>0</v>
      </c>
      <c r="Y187" t="s">
        <v>5</v>
      </c>
      <c r="Z187">
        <v>185</v>
      </c>
      <c r="AA187" t="s">
        <v>6</v>
      </c>
      <c r="AB187" s="1">
        <v>0.28984379999999998</v>
      </c>
      <c r="AC187" t="s">
        <v>7</v>
      </c>
      <c r="AD187" s="1">
        <v>0.5</v>
      </c>
      <c r="AE187" t="s">
        <v>8</v>
      </c>
      <c r="AF187" s="1">
        <v>0</v>
      </c>
      <c r="AG187" s="1">
        <v>0.20346152110028301</v>
      </c>
      <c r="AH187" s="1">
        <f t="shared" si="7"/>
        <v>0.40692304220056602</v>
      </c>
      <c r="AJ187" t="s">
        <v>4</v>
      </c>
      <c r="AK187">
        <v>0</v>
      </c>
      <c r="AL187" t="s">
        <v>5</v>
      </c>
      <c r="AM187">
        <v>185</v>
      </c>
      <c r="AN187" t="s">
        <v>6</v>
      </c>
      <c r="AO187" s="1">
        <v>0.28984379999999998</v>
      </c>
      <c r="AP187" t="s">
        <v>7</v>
      </c>
      <c r="AQ187" s="1">
        <v>0.5</v>
      </c>
      <c r="AR187" t="s">
        <v>8</v>
      </c>
      <c r="AS187" s="1">
        <v>0</v>
      </c>
      <c r="AT187" s="1">
        <v>0.20346808954978801</v>
      </c>
      <c r="AU187" s="1">
        <f t="shared" si="8"/>
        <v>0.40693617909957602</v>
      </c>
    </row>
    <row r="188" spans="10:47">
      <c r="J188" t="s">
        <v>4</v>
      </c>
      <c r="K188">
        <v>0</v>
      </c>
      <c r="L188" t="s">
        <v>5</v>
      </c>
      <c r="M188">
        <v>186</v>
      </c>
      <c r="N188" t="s">
        <v>6</v>
      </c>
      <c r="O188" s="1">
        <v>0.2914062</v>
      </c>
      <c r="P188" t="s">
        <v>7</v>
      </c>
      <c r="Q188" s="1">
        <v>0.5</v>
      </c>
      <c r="R188" t="s">
        <v>8</v>
      </c>
      <c r="S188" s="1">
        <v>0</v>
      </c>
      <c r="T188" s="1">
        <v>0.20352913937898401</v>
      </c>
      <c r="U188" s="1">
        <f t="shared" si="6"/>
        <v>0.40705827875796802</v>
      </c>
      <c r="W188" t="s">
        <v>4</v>
      </c>
      <c r="X188">
        <v>0</v>
      </c>
      <c r="Y188" t="s">
        <v>5</v>
      </c>
      <c r="Z188">
        <v>186</v>
      </c>
      <c r="AA188" t="s">
        <v>6</v>
      </c>
      <c r="AB188" s="1">
        <v>0.2914062</v>
      </c>
      <c r="AC188" t="s">
        <v>7</v>
      </c>
      <c r="AD188" s="1">
        <v>0.5</v>
      </c>
      <c r="AE188" t="s">
        <v>8</v>
      </c>
      <c r="AF188" s="1">
        <v>0</v>
      </c>
      <c r="AG188" s="1">
        <v>0.20348674139153</v>
      </c>
      <c r="AH188" s="1">
        <f t="shared" si="7"/>
        <v>0.40697348278306</v>
      </c>
      <c r="AJ188" t="s">
        <v>4</v>
      </c>
      <c r="AK188">
        <v>0</v>
      </c>
      <c r="AL188" t="s">
        <v>5</v>
      </c>
      <c r="AM188">
        <v>186</v>
      </c>
      <c r="AN188" t="s">
        <v>6</v>
      </c>
      <c r="AO188" s="1">
        <v>0.2914062</v>
      </c>
      <c r="AP188" t="s">
        <v>7</v>
      </c>
      <c r="AQ188" s="1">
        <v>0.5</v>
      </c>
      <c r="AR188" t="s">
        <v>8</v>
      </c>
      <c r="AS188" s="1">
        <v>0</v>
      </c>
      <c r="AT188" s="1">
        <v>0.20347403852989401</v>
      </c>
      <c r="AU188" s="1">
        <f t="shared" si="8"/>
        <v>0.40694807705978803</v>
      </c>
    </row>
    <row r="189" spans="10:47">
      <c r="J189" t="s">
        <v>4</v>
      </c>
      <c r="K189">
        <v>0</v>
      </c>
      <c r="L189" t="s">
        <v>5</v>
      </c>
      <c r="M189">
        <v>187</v>
      </c>
      <c r="N189" t="s">
        <v>6</v>
      </c>
      <c r="O189" s="1">
        <v>0.29296879999999997</v>
      </c>
      <c r="P189" t="s">
        <v>7</v>
      </c>
      <c r="Q189" s="1">
        <v>0.5</v>
      </c>
      <c r="R189" t="s">
        <v>8</v>
      </c>
      <c r="S189" s="1">
        <v>0</v>
      </c>
      <c r="T189" s="1">
        <v>0.20356758205317499</v>
      </c>
      <c r="U189" s="1">
        <f t="shared" si="6"/>
        <v>0.40713516410634998</v>
      </c>
      <c r="W189" t="s">
        <v>4</v>
      </c>
      <c r="X189">
        <v>0</v>
      </c>
      <c r="Y189" t="s">
        <v>5</v>
      </c>
      <c r="Z189">
        <v>187</v>
      </c>
      <c r="AA189" t="s">
        <v>6</v>
      </c>
      <c r="AB189" s="1">
        <v>0.29296879999999997</v>
      </c>
      <c r="AC189" t="s">
        <v>7</v>
      </c>
      <c r="AD189" s="1">
        <v>0.5</v>
      </c>
      <c r="AE189" t="s">
        <v>8</v>
      </c>
      <c r="AF189" s="1">
        <v>0</v>
      </c>
      <c r="AG189" s="1">
        <v>0.203512249164258</v>
      </c>
      <c r="AH189" s="1">
        <f t="shared" si="7"/>
        <v>0.407024498328516</v>
      </c>
      <c r="AJ189" t="s">
        <v>4</v>
      </c>
      <c r="AK189">
        <v>0</v>
      </c>
      <c r="AL189" t="s">
        <v>5</v>
      </c>
      <c r="AM189">
        <v>187</v>
      </c>
      <c r="AN189" t="s">
        <v>6</v>
      </c>
      <c r="AO189" s="1">
        <v>0.29296879999999997</v>
      </c>
      <c r="AP189" t="s">
        <v>7</v>
      </c>
      <c r="AQ189" s="1">
        <v>0.5</v>
      </c>
      <c r="AR189" t="s">
        <v>8</v>
      </c>
      <c r="AS189" s="1">
        <v>0</v>
      </c>
      <c r="AT189" s="1">
        <v>0.20347990858755499</v>
      </c>
      <c r="AU189" s="1">
        <f t="shared" si="8"/>
        <v>0.40695981717510998</v>
      </c>
    </row>
    <row r="190" spans="10:47">
      <c r="J190" t="s">
        <v>4</v>
      </c>
      <c r="K190">
        <v>0</v>
      </c>
      <c r="L190" t="s">
        <v>5</v>
      </c>
      <c r="M190">
        <v>188</v>
      </c>
      <c r="N190" t="s">
        <v>6</v>
      </c>
      <c r="O190" s="1">
        <v>0.2945313</v>
      </c>
      <c r="P190" t="s">
        <v>7</v>
      </c>
      <c r="Q190" s="1">
        <v>0.5</v>
      </c>
      <c r="R190" t="s">
        <v>8</v>
      </c>
      <c r="S190" s="1">
        <v>0</v>
      </c>
      <c r="T190" s="1">
        <v>0.20360568444713101</v>
      </c>
      <c r="U190" s="1">
        <f t="shared" si="6"/>
        <v>0.40721136889426202</v>
      </c>
      <c r="W190" t="s">
        <v>4</v>
      </c>
      <c r="X190">
        <v>0</v>
      </c>
      <c r="Y190" t="s">
        <v>5</v>
      </c>
      <c r="Z190">
        <v>188</v>
      </c>
      <c r="AA190" t="s">
        <v>6</v>
      </c>
      <c r="AB190" s="1">
        <v>0.2945313</v>
      </c>
      <c r="AC190" t="s">
        <v>7</v>
      </c>
      <c r="AD190" s="1">
        <v>0.5</v>
      </c>
      <c r="AE190" t="s">
        <v>8</v>
      </c>
      <c r="AF190" s="1">
        <v>0</v>
      </c>
      <c r="AG190" s="1">
        <v>0.20353802600100501</v>
      </c>
      <c r="AH190" s="1">
        <f t="shared" si="7"/>
        <v>0.40707605200201002</v>
      </c>
      <c r="AJ190" t="s">
        <v>4</v>
      </c>
      <c r="AK190">
        <v>0</v>
      </c>
      <c r="AL190" t="s">
        <v>5</v>
      </c>
      <c r="AM190">
        <v>188</v>
      </c>
      <c r="AN190" t="s">
        <v>6</v>
      </c>
      <c r="AO190" s="1">
        <v>0.2945313</v>
      </c>
      <c r="AP190" t="s">
        <v>7</v>
      </c>
      <c r="AQ190" s="1">
        <v>0.5</v>
      </c>
      <c r="AR190" t="s">
        <v>8</v>
      </c>
      <c r="AS190" s="1">
        <v>0</v>
      </c>
      <c r="AT190" s="1">
        <v>0.203485659826183</v>
      </c>
      <c r="AU190" s="1">
        <f t="shared" si="8"/>
        <v>0.40697131965236599</v>
      </c>
    </row>
    <row r="191" spans="10:47">
      <c r="J191" t="s">
        <v>4</v>
      </c>
      <c r="K191">
        <v>0</v>
      </c>
      <c r="L191" t="s">
        <v>5</v>
      </c>
      <c r="M191">
        <v>189</v>
      </c>
      <c r="N191" t="s">
        <v>6</v>
      </c>
      <c r="O191" s="1">
        <v>0.29609370000000002</v>
      </c>
      <c r="P191" t="s">
        <v>7</v>
      </c>
      <c r="Q191" s="1">
        <v>0.5</v>
      </c>
      <c r="R191" t="s">
        <v>8</v>
      </c>
      <c r="S191" s="1">
        <v>0</v>
      </c>
      <c r="T191" s="1">
        <v>0.20364343937326501</v>
      </c>
      <c r="U191" s="1">
        <f t="shared" si="6"/>
        <v>0.40728687874653002</v>
      </c>
      <c r="W191" t="s">
        <v>4</v>
      </c>
      <c r="X191">
        <v>0</v>
      </c>
      <c r="Y191" t="s">
        <v>5</v>
      </c>
      <c r="Z191">
        <v>189</v>
      </c>
      <c r="AA191" t="s">
        <v>6</v>
      </c>
      <c r="AB191" s="1">
        <v>0.29609370000000002</v>
      </c>
      <c r="AC191" t="s">
        <v>7</v>
      </c>
      <c r="AD191" s="1">
        <v>0.5</v>
      </c>
      <c r="AE191" t="s">
        <v>8</v>
      </c>
      <c r="AF191" s="1">
        <v>0</v>
      </c>
      <c r="AG191" s="1">
        <v>0.20356405369346001</v>
      </c>
      <c r="AH191" s="1">
        <f t="shared" si="7"/>
        <v>0.40712810738692001</v>
      </c>
      <c r="AJ191" t="s">
        <v>4</v>
      </c>
      <c r="AK191">
        <v>0</v>
      </c>
      <c r="AL191" t="s">
        <v>5</v>
      </c>
      <c r="AM191">
        <v>189</v>
      </c>
      <c r="AN191" t="s">
        <v>6</v>
      </c>
      <c r="AO191" s="1">
        <v>0.29609370000000002</v>
      </c>
      <c r="AP191" t="s">
        <v>7</v>
      </c>
      <c r="AQ191" s="1">
        <v>0.5</v>
      </c>
      <c r="AR191" t="s">
        <v>8</v>
      </c>
      <c r="AS191" s="1">
        <v>0</v>
      </c>
      <c r="AT191" s="1">
        <v>0.20349125403027901</v>
      </c>
      <c r="AU191" s="1">
        <f t="shared" si="8"/>
        <v>0.40698250806055802</v>
      </c>
    </row>
    <row r="192" spans="10:47">
      <c r="J192" t="s">
        <v>4</v>
      </c>
      <c r="K192">
        <v>0</v>
      </c>
      <c r="L192" t="s">
        <v>5</v>
      </c>
      <c r="M192">
        <v>190</v>
      </c>
      <c r="N192" t="s">
        <v>6</v>
      </c>
      <c r="O192" s="1">
        <v>0.29765629999999998</v>
      </c>
      <c r="P192" t="s">
        <v>7</v>
      </c>
      <c r="Q192" s="1">
        <v>0.5</v>
      </c>
      <c r="R192" t="s">
        <v>8</v>
      </c>
      <c r="S192" s="1">
        <v>0</v>
      </c>
      <c r="T192" s="1">
        <v>0.203680839726464</v>
      </c>
      <c r="U192" s="1">
        <f t="shared" si="6"/>
        <v>0.407361679452928</v>
      </c>
      <c r="W192" t="s">
        <v>4</v>
      </c>
      <c r="X192">
        <v>0</v>
      </c>
      <c r="Y192" t="s">
        <v>5</v>
      </c>
      <c r="Z192">
        <v>190</v>
      </c>
      <c r="AA192" t="s">
        <v>6</v>
      </c>
      <c r="AB192" s="1">
        <v>0.29765629999999998</v>
      </c>
      <c r="AC192" t="s">
        <v>7</v>
      </c>
      <c r="AD192" s="1">
        <v>0.5</v>
      </c>
      <c r="AE192" t="s">
        <v>8</v>
      </c>
      <c r="AF192" s="1">
        <v>0</v>
      </c>
      <c r="AG192" s="1">
        <v>0.203590314239292</v>
      </c>
      <c r="AH192" s="1">
        <f t="shared" si="7"/>
        <v>0.40718062847858399</v>
      </c>
      <c r="AJ192" t="s">
        <v>4</v>
      </c>
      <c r="AK192">
        <v>0</v>
      </c>
      <c r="AL192" t="s">
        <v>5</v>
      </c>
      <c r="AM192">
        <v>190</v>
      </c>
      <c r="AN192" t="s">
        <v>6</v>
      </c>
      <c r="AO192" s="1">
        <v>0.29765629999999998</v>
      </c>
      <c r="AP192" t="s">
        <v>7</v>
      </c>
      <c r="AQ192" s="1">
        <v>0.5</v>
      </c>
      <c r="AR192" t="s">
        <v>8</v>
      </c>
      <c r="AS192" s="1">
        <v>0</v>
      </c>
      <c r="AT192" s="1">
        <v>0.203496654774563</v>
      </c>
      <c r="AU192" s="1">
        <f t="shared" si="8"/>
        <v>0.40699330954912599</v>
      </c>
    </row>
    <row r="193" spans="10:47">
      <c r="J193" t="s">
        <v>4</v>
      </c>
      <c r="K193">
        <v>0</v>
      </c>
      <c r="L193" t="s">
        <v>5</v>
      </c>
      <c r="M193">
        <v>191</v>
      </c>
      <c r="N193" t="s">
        <v>6</v>
      </c>
      <c r="O193" s="1">
        <v>0.2992187</v>
      </c>
      <c r="P193" t="s">
        <v>7</v>
      </c>
      <c r="Q193" s="1">
        <v>0.5</v>
      </c>
      <c r="R193" t="s">
        <v>8</v>
      </c>
      <c r="S193" s="1">
        <v>0</v>
      </c>
      <c r="T193" s="1">
        <v>0.20371787848808501</v>
      </c>
      <c r="U193" s="1">
        <f t="shared" si="6"/>
        <v>0.40743575697617002</v>
      </c>
      <c r="W193" t="s">
        <v>4</v>
      </c>
      <c r="X193">
        <v>0</v>
      </c>
      <c r="Y193" t="s">
        <v>5</v>
      </c>
      <c r="Z193">
        <v>191</v>
      </c>
      <c r="AA193" t="s">
        <v>6</v>
      </c>
      <c r="AB193" s="1">
        <v>0.2992187</v>
      </c>
      <c r="AC193" t="s">
        <v>7</v>
      </c>
      <c r="AD193" s="1">
        <v>0.5</v>
      </c>
      <c r="AE193" t="s">
        <v>8</v>
      </c>
      <c r="AF193" s="1">
        <v>0</v>
      </c>
      <c r="AG193" s="1">
        <v>0.20361678983968001</v>
      </c>
      <c r="AH193" s="1">
        <f t="shared" si="7"/>
        <v>0.40723357967936002</v>
      </c>
      <c r="AJ193" t="s">
        <v>4</v>
      </c>
      <c r="AK193">
        <v>0</v>
      </c>
      <c r="AL193" t="s">
        <v>5</v>
      </c>
      <c r="AM193">
        <v>191</v>
      </c>
      <c r="AN193" t="s">
        <v>6</v>
      </c>
      <c r="AO193" s="1">
        <v>0.2992187</v>
      </c>
      <c r="AP193" t="s">
        <v>7</v>
      </c>
      <c r="AQ193" s="1">
        <v>0.5</v>
      </c>
      <c r="AR193" t="s">
        <v>8</v>
      </c>
      <c r="AS193" s="1">
        <v>0</v>
      </c>
      <c r="AT193" s="1">
        <v>0.20350182753646301</v>
      </c>
      <c r="AU193" s="1">
        <f t="shared" si="8"/>
        <v>0.40700365507292602</v>
      </c>
    </row>
    <row r="194" spans="10:47">
      <c r="J194" t="s">
        <v>4</v>
      </c>
      <c r="K194">
        <v>0</v>
      </c>
      <c r="L194" t="s">
        <v>5</v>
      </c>
      <c r="M194">
        <v>192</v>
      </c>
      <c r="N194" t="s">
        <v>6</v>
      </c>
      <c r="O194" s="1">
        <v>0.30078120000000003</v>
      </c>
      <c r="P194" t="s">
        <v>7</v>
      </c>
      <c r="Q194" s="1">
        <v>0.5</v>
      </c>
      <c r="R194" t="s">
        <v>8</v>
      </c>
      <c r="S194" s="1">
        <v>0</v>
      </c>
      <c r="T194" s="1">
        <v>0.203754548729767</v>
      </c>
      <c r="U194" s="1">
        <f t="shared" si="6"/>
        <v>0.40750909745953401</v>
      </c>
      <c r="W194" t="s">
        <v>4</v>
      </c>
      <c r="X194">
        <v>0</v>
      </c>
      <c r="Y194" t="s">
        <v>5</v>
      </c>
      <c r="Z194">
        <v>192</v>
      </c>
      <c r="AA194" t="s">
        <v>6</v>
      </c>
      <c r="AB194" s="1">
        <v>0.30078120000000003</v>
      </c>
      <c r="AC194" t="s">
        <v>7</v>
      </c>
      <c r="AD194" s="1">
        <v>0.5</v>
      </c>
      <c r="AE194" t="s">
        <v>8</v>
      </c>
      <c r="AF194" s="1">
        <v>0</v>
      </c>
      <c r="AG194" s="1">
        <v>0.203662294231095</v>
      </c>
      <c r="AH194" s="1">
        <f t="shared" si="7"/>
        <v>0.40732458846219</v>
      </c>
      <c r="AJ194" t="s">
        <v>4</v>
      </c>
      <c r="AK194">
        <v>0</v>
      </c>
      <c r="AL194" t="s">
        <v>5</v>
      </c>
      <c r="AM194">
        <v>192</v>
      </c>
      <c r="AN194" t="s">
        <v>6</v>
      </c>
      <c r="AO194" s="1">
        <v>0.30078120000000003</v>
      </c>
      <c r="AP194" t="s">
        <v>7</v>
      </c>
      <c r="AQ194" s="1">
        <v>0.5</v>
      </c>
      <c r="AR194" t="s">
        <v>8</v>
      </c>
      <c r="AS194" s="1">
        <v>0</v>
      </c>
      <c r="AT194" s="1">
        <v>0.20354044903924901</v>
      </c>
      <c r="AU194" s="1">
        <f t="shared" si="8"/>
        <v>0.40708089807849801</v>
      </c>
    </row>
    <row r="195" spans="10:47">
      <c r="J195" t="s">
        <v>4</v>
      </c>
      <c r="K195">
        <v>0</v>
      </c>
      <c r="L195" t="s">
        <v>5</v>
      </c>
      <c r="M195">
        <v>193</v>
      </c>
      <c r="N195" t="s">
        <v>6</v>
      </c>
      <c r="O195" s="1">
        <v>0.30234369999999999</v>
      </c>
      <c r="P195" t="s">
        <v>7</v>
      </c>
      <c r="Q195" s="1">
        <v>0.5</v>
      </c>
      <c r="R195" t="s">
        <v>8</v>
      </c>
      <c r="S195" s="1">
        <v>0</v>
      </c>
      <c r="T195" s="1">
        <v>0.20379084361692801</v>
      </c>
      <c r="U195" s="1">
        <f t="shared" ref="U195:U258" si="9">T195*2</f>
        <v>0.40758168723385602</v>
      </c>
      <c r="W195" t="s">
        <v>4</v>
      </c>
      <c r="X195">
        <v>0</v>
      </c>
      <c r="Y195" t="s">
        <v>5</v>
      </c>
      <c r="Z195">
        <v>193</v>
      </c>
      <c r="AA195" t="s">
        <v>6</v>
      </c>
      <c r="AB195" s="1">
        <v>0.30234369999999999</v>
      </c>
      <c r="AC195" t="s">
        <v>7</v>
      </c>
      <c r="AD195" s="1">
        <v>0.5</v>
      </c>
      <c r="AE195" t="s">
        <v>8</v>
      </c>
      <c r="AF195" s="1">
        <v>0</v>
      </c>
      <c r="AG195" s="1">
        <v>0.20372580653037201</v>
      </c>
      <c r="AH195" s="1">
        <f t="shared" ref="AH195:AH258" si="10">AG195*2</f>
        <v>0.40745161306074401</v>
      </c>
      <c r="AJ195" t="s">
        <v>4</v>
      </c>
      <c r="AK195">
        <v>0</v>
      </c>
      <c r="AL195" t="s">
        <v>5</v>
      </c>
      <c r="AM195">
        <v>193</v>
      </c>
      <c r="AN195" t="s">
        <v>6</v>
      </c>
      <c r="AO195" s="1">
        <v>0.30234369999999999</v>
      </c>
      <c r="AP195" t="s">
        <v>7</v>
      </c>
      <c r="AQ195" s="1">
        <v>0.5</v>
      </c>
      <c r="AR195" t="s">
        <v>8</v>
      </c>
      <c r="AS195" s="1">
        <v>0</v>
      </c>
      <c r="AT195" s="1">
        <v>0.203612253604536</v>
      </c>
      <c r="AU195" s="1">
        <f t="shared" ref="AU195:AU258" si="11">AT195*2</f>
        <v>0.407224507209072</v>
      </c>
    </row>
    <row r="196" spans="10:47">
      <c r="J196" t="s">
        <v>4</v>
      </c>
      <c r="K196">
        <v>0</v>
      </c>
      <c r="L196" t="s">
        <v>5</v>
      </c>
      <c r="M196">
        <v>194</v>
      </c>
      <c r="N196" t="s">
        <v>6</v>
      </c>
      <c r="O196" s="1">
        <v>0.30390620000000002</v>
      </c>
      <c r="P196" t="s">
        <v>7</v>
      </c>
      <c r="Q196" s="1">
        <v>0.5</v>
      </c>
      <c r="R196" t="s">
        <v>8</v>
      </c>
      <c r="S196" s="1">
        <v>0</v>
      </c>
      <c r="T196" s="1">
        <v>0.20382675641279399</v>
      </c>
      <c r="U196" s="1">
        <f t="shared" si="9"/>
        <v>0.40765351282558798</v>
      </c>
      <c r="W196" t="s">
        <v>4</v>
      </c>
      <c r="X196">
        <v>0</v>
      </c>
      <c r="Y196" t="s">
        <v>5</v>
      </c>
      <c r="Z196">
        <v>194</v>
      </c>
      <c r="AA196" t="s">
        <v>6</v>
      </c>
      <c r="AB196" s="1">
        <v>0.30390620000000002</v>
      </c>
      <c r="AC196" t="s">
        <v>7</v>
      </c>
      <c r="AD196" s="1">
        <v>0.5</v>
      </c>
      <c r="AE196" t="s">
        <v>8</v>
      </c>
      <c r="AF196" s="1">
        <v>0</v>
      </c>
      <c r="AG196" s="1">
        <v>0.20378808958533301</v>
      </c>
      <c r="AH196" s="1">
        <f t="shared" si="10"/>
        <v>0.40757617917066602</v>
      </c>
      <c r="AJ196" t="s">
        <v>4</v>
      </c>
      <c r="AK196">
        <v>0</v>
      </c>
      <c r="AL196" t="s">
        <v>5</v>
      </c>
      <c r="AM196">
        <v>194</v>
      </c>
      <c r="AN196" t="s">
        <v>6</v>
      </c>
      <c r="AO196" s="1">
        <v>0.30390620000000002</v>
      </c>
      <c r="AP196" t="s">
        <v>7</v>
      </c>
      <c r="AQ196" s="1">
        <v>0.5</v>
      </c>
      <c r="AR196" t="s">
        <v>8</v>
      </c>
      <c r="AS196" s="1">
        <v>0</v>
      </c>
      <c r="AT196" s="1">
        <v>0.203683468098207</v>
      </c>
      <c r="AU196" s="1">
        <f t="shared" si="11"/>
        <v>0.40736693619641401</v>
      </c>
    </row>
    <row r="197" spans="10:47">
      <c r="J197" t="s">
        <v>4</v>
      </c>
      <c r="K197">
        <v>0</v>
      </c>
      <c r="L197" t="s">
        <v>5</v>
      </c>
      <c r="M197">
        <v>195</v>
      </c>
      <c r="N197" t="s">
        <v>6</v>
      </c>
      <c r="O197" s="1">
        <v>0.30546879999999998</v>
      </c>
      <c r="P197" t="s">
        <v>7</v>
      </c>
      <c r="Q197" s="1">
        <v>0.5</v>
      </c>
      <c r="R197" t="s">
        <v>8</v>
      </c>
      <c r="S197" s="1">
        <v>0</v>
      </c>
      <c r="T197" s="1">
        <v>0.203862280482142</v>
      </c>
      <c r="U197" s="1">
        <f t="shared" si="9"/>
        <v>0.407724560964284</v>
      </c>
      <c r="W197" t="s">
        <v>4</v>
      </c>
      <c r="X197">
        <v>0</v>
      </c>
      <c r="Y197" t="s">
        <v>5</v>
      </c>
      <c r="Z197">
        <v>195</v>
      </c>
      <c r="AA197" t="s">
        <v>6</v>
      </c>
      <c r="AB197" s="1">
        <v>0.30546879999999998</v>
      </c>
      <c r="AC197" t="s">
        <v>7</v>
      </c>
      <c r="AD197" s="1">
        <v>0.5</v>
      </c>
      <c r="AE197" t="s">
        <v>8</v>
      </c>
      <c r="AF197" s="1">
        <v>0</v>
      </c>
      <c r="AG197" s="1">
        <v>0.203849157112832</v>
      </c>
      <c r="AH197" s="1">
        <f t="shared" si="10"/>
        <v>0.40769831422566399</v>
      </c>
      <c r="AJ197" t="s">
        <v>4</v>
      </c>
      <c r="AK197">
        <v>0</v>
      </c>
      <c r="AL197" t="s">
        <v>5</v>
      </c>
      <c r="AM197">
        <v>195</v>
      </c>
      <c r="AN197" t="s">
        <v>6</v>
      </c>
      <c r="AO197" s="1">
        <v>0.30546879999999998</v>
      </c>
      <c r="AP197" t="s">
        <v>7</v>
      </c>
      <c r="AQ197" s="1">
        <v>0.5</v>
      </c>
      <c r="AR197" t="s">
        <v>8</v>
      </c>
      <c r="AS197" s="1">
        <v>0</v>
      </c>
      <c r="AT197" s="1">
        <v>0.20375414074214501</v>
      </c>
      <c r="AU197" s="1">
        <f t="shared" si="11"/>
        <v>0.40750828148429002</v>
      </c>
    </row>
    <row r="198" spans="10:47">
      <c r="J198" t="s">
        <v>4</v>
      </c>
      <c r="K198">
        <v>0</v>
      </c>
      <c r="L198" t="s">
        <v>5</v>
      </c>
      <c r="M198">
        <v>196</v>
      </c>
      <c r="N198" t="s">
        <v>6</v>
      </c>
      <c r="O198" s="1">
        <v>0.30703130000000001</v>
      </c>
      <c r="P198" t="s">
        <v>7</v>
      </c>
      <c r="Q198" s="1">
        <v>0.5</v>
      </c>
      <c r="R198" t="s">
        <v>8</v>
      </c>
      <c r="S198" s="1">
        <v>0</v>
      </c>
      <c r="T198" s="1">
        <v>0.203897409294862</v>
      </c>
      <c r="U198" s="1">
        <f t="shared" si="9"/>
        <v>0.407794818589724</v>
      </c>
      <c r="W198" t="s">
        <v>4</v>
      </c>
      <c r="X198">
        <v>0</v>
      </c>
      <c r="Y198" t="s">
        <v>5</v>
      </c>
      <c r="Z198">
        <v>196</v>
      </c>
      <c r="AA198" t="s">
        <v>6</v>
      </c>
      <c r="AB198" s="1">
        <v>0.30703130000000001</v>
      </c>
      <c r="AC198" t="s">
        <v>7</v>
      </c>
      <c r="AD198" s="1">
        <v>0.5</v>
      </c>
      <c r="AE198" t="s">
        <v>8</v>
      </c>
      <c r="AF198" s="1">
        <v>0</v>
      </c>
      <c r="AG198" s="1">
        <v>0.20390902276272599</v>
      </c>
      <c r="AH198" s="1">
        <f t="shared" si="10"/>
        <v>0.40781804552545198</v>
      </c>
      <c r="AJ198" t="s">
        <v>4</v>
      </c>
      <c r="AK198">
        <v>0</v>
      </c>
      <c r="AL198" t="s">
        <v>5</v>
      </c>
      <c r="AM198">
        <v>196</v>
      </c>
      <c r="AN198" t="s">
        <v>6</v>
      </c>
      <c r="AO198" s="1">
        <v>0.30703130000000001</v>
      </c>
      <c r="AP198" t="s">
        <v>7</v>
      </c>
      <c r="AQ198" s="1">
        <v>0.5</v>
      </c>
      <c r="AR198" t="s">
        <v>8</v>
      </c>
      <c r="AS198" s="1">
        <v>0</v>
      </c>
      <c r="AT198" s="1">
        <v>0.20382431890974101</v>
      </c>
      <c r="AU198" s="1">
        <f t="shared" si="11"/>
        <v>0.40764863781948202</v>
      </c>
    </row>
    <row r="199" spans="10:47">
      <c r="J199" t="s">
        <v>4</v>
      </c>
      <c r="K199">
        <v>0</v>
      </c>
      <c r="L199" t="s">
        <v>5</v>
      </c>
      <c r="M199">
        <v>197</v>
      </c>
      <c r="N199" t="s">
        <v>6</v>
      </c>
      <c r="O199" s="1">
        <v>0.30859379999999997</v>
      </c>
      <c r="P199" t="s">
        <v>7</v>
      </c>
      <c r="Q199" s="1">
        <v>0.5</v>
      </c>
      <c r="R199" t="s">
        <v>8</v>
      </c>
      <c r="S199" s="1">
        <v>0</v>
      </c>
      <c r="T199" s="1">
        <v>0.203932136430201</v>
      </c>
      <c r="U199" s="1">
        <f t="shared" si="9"/>
        <v>0.407864272860402</v>
      </c>
      <c r="W199" t="s">
        <v>4</v>
      </c>
      <c r="X199">
        <v>0</v>
      </c>
      <c r="Y199" t="s">
        <v>5</v>
      </c>
      <c r="Z199">
        <v>197</v>
      </c>
      <c r="AA199" t="s">
        <v>6</v>
      </c>
      <c r="AB199" s="1">
        <v>0.30859379999999997</v>
      </c>
      <c r="AC199" t="s">
        <v>7</v>
      </c>
      <c r="AD199" s="1">
        <v>0.5</v>
      </c>
      <c r="AE199" t="s">
        <v>8</v>
      </c>
      <c r="AF199" s="1">
        <v>0</v>
      </c>
      <c r="AG199" s="1">
        <v>0.203967700137167</v>
      </c>
      <c r="AH199" s="1">
        <f t="shared" si="10"/>
        <v>0.407935400274334</v>
      </c>
      <c r="AJ199" t="s">
        <v>4</v>
      </c>
      <c r="AK199">
        <v>0</v>
      </c>
      <c r="AL199" t="s">
        <v>5</v>
      </c>
      <c r="AM199">
        <v>197</v>
      </c>
      <c r="AN199" t="s">
        <v>6</v>
      </c>
      <c r="AO199" s="1">
        <v>0.30859379999999997</v>
      </c>
      <c r="AP199" t="s">
        <v>7</v>
      </c>
      <c r="AQ199" s="1">
        <v>0.5</v>
      </c>
      <c r="AR199" t="s">
        <v>8</v>
      </c>
      <c r="AS199" s="1">
        <v>0</v>
      </c>
      <c r="AT199" s="1">
        <v>0.20389404948263901</v>
      </c>
      <c r="AU199" s="1">
        <f t="shared" si="11"/>
        <v>0.40778809896527801</v>
      </c>
    </row>
    <row r="200" spans="10:47">
      <c r="J200" t="s">
        <v>4</v>
      </c>
      <c r="K200">
        <v>0</v>
      </c>
      <c r="L200" t="s">
        <v>5</v>
      </c>
      <c r="M200">
        <v>198</v>
      </c>
      <c r="N200" t="s">
        <v>6</v>
      </c>
      <c r="O200" s="1">
        <v>0.31015619999999999</v>
      </c>
      <c r="P200" t="s">
        <v>7</v>
      </c>
      <c r="Q200" s="1">
        <v>0.5</v>
      </c>
      <c r="R200" t="s">
        <v>8</v>
      </c>
      <c r="S200" s="1">
        <v>0</v>
      </c>
      <c r="T200" s="1">
        <v>0.203966455579907</v>
      </c>
      <c r="U200" s="1">
        <f t="shared" si="9"/>
        <v>0.407932911159814</v>
      </c>
      <c r="W200" t="s">
        <v>4</v>
      </c>
      <c r="X200">
        <v>0</v>
      </c>
      <c r="Y200" t="s">
        <v>5</v>
      </c>
      <c r="Z200">
        <v>198</v>
      </c>
      <c r="AA200" t="s">
        <v>6</v>
      </c>
      <c r="AB200" s="1">
        <v>0.31015619999999999</v>
      </c>
      <c r="AC200" t="s">
        <v>7</v>
      </c>
      <c r="AD200" s="1">
        <v>0.5</v>
      </c>
      <c r="AE200" t="s">
        <v>8</v>
      </c>
      <c r="AF200" s="1">
        <v>0</v>
      </c>
      <c r="AG200" s="1">
        <v>0.20402520280957101</v>
      </c>
      <c r="AH200" s="1">
        <f t="shared" si="10"/>
        <v>0.40805040561914202</v>
      </c>
      <c r="AJ200" t="s">
        <v>4</v>
      </c>
      <c r="AK200">
        <v>0</v>
      </c>
      <c r="AL200" t="s">
        <v>5</v>
      </c>
      <c r="AM200">
        <v>198</v>
      </c>
      <c r="AN200" t="s">
        <v>6</v>
      </c>
      <c r="AO200" s="1">
        <v>0.31015619999999999</v>
      </c>
      <c r="AP200" t="s">
        <v>7</v>
      </c>
      <c r="AQ200" s="1">
        <v>0.5</v>
      </c>
      <c r="AR200" t="s">
        <v>8</v>
      </c>
      <c r="AS200" s="1">
        <v>0</v>
      </c>
      <c r="AT200" s="1">
        <v>0.20396337921229399</v>
      </c>
      <c r="AU200" s="1">
        <f t="shared" si="11"/>
        <v>0.40792675842458798</v>
      </c>
    </row>
    <row r="201" spans="10:47">
      <c r="J201" t="s">
        <v>4</v>
      </c>
      <c r="K201">
        <v>0</v>
      </c>
      <c r="L201" t="s">
        <v>5</v>
      </c>
      <c r="M201">
        <v>199</v>
      </c>
      <c r="N201" t="s">
        <v>6</v>
      </c>
      <c r="O201" s="1">
        <v>0.31171870000000002</v>
      </c>
      <c r="P201" t="s">
        <v>7</v>
      </c>
      <c r="Q201" s="1">
        <v>0.5</v>
      </c>
      <c r="R201" t="s">
        <v>8</v>
      </c>
      <c r="S201" s="1">
        <v>0</v>
      </c>
      <c r="T201" s="1">
        <v>0.20400036055259199</v>
      </c>
      <c r="U201" s="1">
        <f t="shared" si="9"/>
        <v>0.40800072110518398</v>
      </c>
      <c r="W201" t="s">
        <v>4</v>
      </c>
      <c r="X201">
        <v>0</v>
      </c>
      <c r="Y201" t="s">
        <v>5</v>
      </c>
      <c r="Z201">
        <v>199</v>
      </c>
      <c r="AA201" t="s">
        <v>6</v>
      </c>
      <c r="AB201" s="1">
        <v>0.31171870000000002</v>
      </c>
      <c r="AC201" t="s">
        <v>7</v>
      </c>
      <c r="AD201" s="1">
        <v>0.5</v>
      </c>
      <c r="AE201" t="s">
        <v>8</v>
      </c>
      <c r="AF201" s="1">
        <v>0</v>
      </c>
      <c r="AG201" s="1">
        <v>0.20408154434367801</v>
      </c>
      <c r="AH201" s="1">
        <f t="shared" si="10"/>
        <v>0.40816308868735601</v>
      </c>
      <c r="AJ201" t="s">
        <v>4</v>
      </c>
      <c r="AK201">
        <v>0</v>
      </c>
      <c r="AL201" t="s">
        <v>5</v>
      </c>
      <c r="AM201">
        <v>199</v>
      </c>
      <c r="AN201" t="s">
        <v>6</v>
      </c>
      <c r="AO201" s="1">
        <v>0.31171870000000002</v>
      </c>
      <c r="AP201" t="s">
        <v>7</v>
      </c>
      <c r="AQ201" s="1">
        <v>0.5</v>
      </c>
      <c r="AR201" t="s">
        <v>8</v>
      </c>
      <c r="AS201" s="1">
        <v>0</v>
      </c>
      <c r="AT201" s="1">
        <v>0.20403235507780801</v>
      </c>
      <c r="AU201" s="1">
        <f t="shared" si="11"/>
        <v>0.40806471015561602</v>
      </c>
    </row>
    <row r="202" spans="10:47">
      <c r="J202" t="s">
        <v>4</v>
      </c>
      <c r="K202">
        <v>0</v>
      </c>
      <c r="L202" t="s">
        <v>5</v>
      </c>
      <c r="M202">
        <v>200</v>
      </c>
      <c r="N202" t="s">
        <v>6</v>
      </c>
      <c r="O202" s="1">
        <v>0.31328129999999998</v>
      </c>
      <c r="P202" t="s">
        <v>7</v>
      </c>
      <c r="Q202" s="1">
        <v>0.5</v>
      </c>
      <c r="R202" t="s">
        <v>8</v>
      </c>
      <c r="S202" s="1">
        <v>0</v>
      </c>
      <c r="T202" s="1">
        <v>0.2040335030762</v>
      </c>
      <c r="U202" s="1">
        <f t="shared" si="9"/>
        <v>0.40806700615239999</v>
      </c>
      <c r="W202" t="s">
        <v>4</v>
      </c>
      <c r="X202">
        <v>0</v>
      </c>
      <c r="Y202" t="s">
        <v>5</v>
      </c>
      <c r="Z202">
        <v>200</v>
      </c>
      <c r="AA202" t="s">
        <v>6</v>
      </c>
      <c r="AB202" s="1">
        <v>0.31328129999999998</v>
      </c>
      <c r="AC202" t="s">
        <v>7</v>
      </c>
      <c r="AD202" s="1">
        <v>0.5</v>
      </c>
      <c r="AE202" t="s">
        <v>8</v>
      </c>
      <c r="AF202" s="1">
        <v>0</v>
      </c>
      <c r="AG202" s="1">
        <v>0.204121148955971</v>
      </c>
      <c r="AH202" s="1">
        <f t="shared" si="10"/>
        <v>0.408242297911942</v>
      </c>
      <c r="AJ202" t="s">
        <v>4</v>
      </c>
      <c r="AK202">
        <v>0</v>
      </c>
      <c r="AL202" t="s">
        <v>5</v>
      </c>
      <c r="AM202">
        <v>200</v>
      </c>
      <c r="AN202" t="s">
        <v>6</v>
      </c>
      <c r="AO202" s="1">
        <v>0.31328129999999998</v>
      </c>
      <c r="AP202" t="s">
        <v>7</v>
      </c>
      <c r="AQ202" s="1">
        <v>0.5</v>
      </c>
      <c r="AR202" t="s">
        <v>8</v>
      </c>
      <c r="AS202" s="1">
        <v>0</v>
      </c>
      <c r="AT202" s="1">
        <v>0.204084065742627</v>
      </c>
      <c r="AU202" s="1">
        <f t="shared" si="11"/>
        <v>0.40816813148525399</v>
      </c>
    </row>
    <row r="203" spans="10:47">
      <c r="J203" t="s">
        <v>4</v>
      </c>
      <c r="K203">
        <v>0</v>
      </c>
      <c r="L203" t="s">
        <v>5</v>
      </c>
      <c r="M203">
        <v>201</v>
      </c>
      <c r="N203" t="s">
        <v>6</v>
      </c>
      <c r="O203" s="1">
        <v>0.3148437</v>
      </c>
      <c r="P203" t="s">
        <v>7</v>
      </c>
      <c r="Q203" s="1">
        <v>0.5</v>
      </c>
      <c r="R203" t="s">
        <v>8</v>
      </c>
      <c r="S203" s="1">
        <v>0</v>
      </c>
      <c r="T203" s="1">
        <v>0.20406607918978101</v>
      </c>
      <c r="U203" s="1">
        <f t="shared" si="9"/>
        <v>0.40813215837956202</v>
      </c>
      <c r="W203" t="s">
        <v>4</v>
      </c>
      <c r="X203">
        <v>0</v>
      </c>
      <c r="Y203" t="s">
        <v>5</v>
      </c>
      <c r="Z203">
        <v>201</v>
      </c>
      <c r="AA203" t="s">
        <v>6</v>
      </c>
      <c r="AB203" s="1">
        <v>0.3148437</v>
      </c>
      <c r="AC203" t="s">
        <v>7</v>
      </c>
      <c r="AD203" s="1">
        <v>0.5</v>
      </c>
      <c r="AE203" t="s">
        <v>8</v>
      </c>
      <c r="AF203" s="1">
        <v>0</v>
      </c>
      <c r="AG203" s="1">
        <v>0.20414478560284199</v>
      </c>
      <c r="AH203" s="1">
        <f t="shared" si="10"/>
        <v>0.40828957120568399</v>
      </c>
      <c r="AJ203" t="s">
        <v>4</v>
      </c>
      <c r="AK203">
        <v>0</v>
      </c>
      <c r="AL203" t="s">
        <v>5</v>
      </c>
      <c r="AM203">
        <v>201</v>
      </c>
      <c r="AN203" t="s">
        <v>6</v>
      </c>
      <c r="AO203" s="1">
        <v>0.3148437</v>
      </c>
      <c r="AP203" t="s">
        <v>7</v>
      </c>
      <c r="AQ203" s="1">
        <v>0.5</v>
      </c>
      <c r="AR203" t="s">
        <v>8</v>
      </c>
      <c r="AS203" s="1">
        <v>0</v>
      </c>
      <c r="AT203" s="1">
        <v>0.20411865376572699</v>
      </c>
      <c r="AU203" s="1">
        <f t="shared" si="11"/>
        <v>0.40823730753145399</v>
      </c>
    </row>
    <row r="204" spans="10:47">
      <c r="J204" t="s">
        <v>4</v>
      </c>
      <c r="K204">
        <v>0</v>
      </c>
      <c r="L204" t="s">
        <v>5</v>
      </c>
      <c r="M204">
        <v>202</v>
      </c>
      <c r="N204" t="s">
        <v>6</v>
      </c>
      <c r="O204" s="1">
        <v>0.31640620000000003</v>
      </c>
      <c r="P204" t="s">
        <v>7</v>
      </c>
      <c r="Q204" s="1">
        <v>0.5</v>
      </c>
      <c r="R204" t="s">
        <v>8</v>
      </c>
      <c r="S204" s="1">
        <v>0</v>
      </c>
      <c r="T204" s="1">
        <v>0.204098503398326</v>
      </c>
      <c r="U204" s="1">
        <f t="shared" si="9"/>
        <v>0.408197006796652</v>
      </c>
      <c r="W204" t="s">
        <v>4</v>
      </c>
      <c r="X204">
        <v>0</v>
      </c>
      <c r="Y204" t="s">
        <v>5</v>
      </c>
      <c r="Z204">
        <v>202</v>
      </c>
      <c r="AA204" t="s">
        <v>6</v>
      </c>
      <c r="AB204" s="1">
        <v>0.31640620000000003</v>
      </c>
      <c r="AC204" t="s">
        <v>7</v>
      </c>
      <c r="AD204" s="1">
        <v>0.5</v>
      </c>
      <c r="AE204" t="s">
        <v>8</v>
      </c>
      <c r="AF204" s="1">
        <v>0</v>
      </c>
      <c r="AG204" s="1">
        <v>0.204168343547175</v>
      </c>
      <c r="AH204" s="1">
        <f t="shared" si="10"/>
        <v>0.40833668709435</v>
      </c>
      <c r="AJ204" t="s">
        <v>4</v>
      </c>
      <c r="AK204">
        <v>0</v>
      </c>
      <c r="AL204" t="s">
        <v>5</v>
      </c>
      <c r="AM204">
        <v>202</v>
      </c>
      <c r="AN204" t="s">
        <v>6</v>
      </c>
      <c r="AO204" s="1">
        <v>0.31640620000000003</v>
      </c>
      <c r="AP204" t="s">
        <v>7</v>
      </c>
      <c r="AQ204" s="1">
        <v>0.5</v>
      </c>
      <c r="AR204" t="s">
        <v>8</v>
      </c>
      <c r="AS204" s="1">
        <v>0</v>
      </c>
      <c r="AT204" s="1">
        <v>0.204153108816826</v>
      </c>
      <c r="AU204" s="1">
        <f t="shared" si="11"/>
        <v>0.40830621763365199</v>
      </c>
    </row>
    <row r="205" spans="10:47">
      <c r="J205" t="s">
        <v>4</v>
      </c>
      <c r="K205">
        <v>0</v>
      </c>
      <c r="L205" t="s">
        <v>5</v>
      </c>
      <c r="M205">
        <v>203</v>
      </c>
      <c r="N205" t="s">
        <v>6</v>
      </c>
      <c r="O205" s="1">
        <v>0.3179688</v>
      </c>
      <c r="P205" t="s">
        <v>7</v>
      </c>
      <c r="Q205" s="1">
        <v>0.5</v>
      </c>
      <c r="R205" t="s">
        <v>8</v>
      </c>
      <c r="S205" s="1">
        <v>0</v>
      </c>
      <c r="T205" s="1">
        <v>0.204130763625027</v>
      </c>
      <c r="U205" s="1">
        <f t="shared" si="9"/>
        <v>0.40826152725005399</v>
      </c>
      <c r="W205" t="s">
        <v>4</v>
      </c>
      <c r="X205">
        <v>0</v>
      </c>
      <c r="Y205" t="s">
        <v>5</v>
      </c>
      <c r="Z205">
        <v>203</v>
      </c>
      <c r="AA205" t="s">
        <v>6</v>
      </c>
      <c r="AB205" s="1">
        <v>0.3179688</v>
      </c>
      <c r="AC205" t="s">
        <v>7</v>
      </c>
      <c r="AD205" s="1">
        <v>0.5</v>
      </c>
      <c r="AE205" t="s">
        <v>8</v>
      </c>
      <c r="AF205" s="1">
        <v>0</v>
      </c>
      <c r="AG205" s="1">
        <v>0.20419180539079099</v>
      </c>
      <c r="AH205" s="1">
        <f t="shared" si="10"/>
        <v>0.40838361078158197</v>
      </c>
      <c r="AJ205" t="s">
        <v>4</v>
      </c>
      <c r="AK205">
        <v>0</v>
      </c>
      <c r="AL205" t="s">
        <v>5</v>
      </c>
      <c r="AM205">
        <v>203</v>
      </c>
      <c r="AN205" t="s">
        <v>6</v>
      </c>
      <c r="AO205" s="1">
        <v>0.3179688</v>
      </c>
      <c r="AP205" t="s">
        <v>7</v>
      </c>
      <c r="AQ205" s="1">
        <v>0.5</v>
      </c>
      <c r="AR205" t="s">
        <v>8</v>
      </c>
      <c r="AS205" s="1">
        <v>0</v>
      </c>
      <c r="AT205" s="1">
        <v>0.20418740828718099</v>
      </c>
      <c r="AU205" s="1">
        <f t="shared" si="11"/>
        <v>0.40837481657436198</v>
      </c>
    </row>
    <row r="206" spans="10:47">
      <c r="J206" t="s">
        <v>4</v>
      </c>
      <c r="K206">
        <v>0</v>
      </c>
      <c r="L206" t="s">
        <v>5</v>
      </c>
      <c r="M206">
        <v>204</v>
      </c>
      <c r="N206" t="s">
        <v>6</v>
      </c>
      <c r="O206" s="1">
        <v>0.31953120000000002</v>
      </c>
      <c r="P206" t="s">
        <v>7</v>
      </c>
      <c r="Q206" s="1">
        <v>0.5</v>
      </c>
      <c r="R206" t="s">
        <v>8</v>
      </c>
      <c r="S206" s="1">
        <v>0</v>
      </c>
      <c r="T206" s="1">
        <v>0.204162847897329</v>
      </c>
      <c r="U206" s="1">
        <f t="shared" si="9"/>
        <v>0.40832569579465799</v>
      </c>
      <c r="W206" t="s">
        <v>4</v>
      </c>
      <c r="X206">
        <v>0</v>
      </c>
      <c r="Y206" t="s">
        <v>5</v>
      </c>
      <c r="Z206">
        <v>204</v>
      </c>
      <c r="AA206" t="s">
        <v>6</v>
      </c>
      <c r="AB206" s="1">
        <v>0.31953120000000002</v>
      </c>
      <c r="AC206" t="s">
        <v>7</v>
      </c>
      <c r="AD206" s="1">
        <v>0.5</v>
      </c>
      <c r="AE206" t="s">
        <v>8</v>
      </c>
      <c r="AF206" s="1">
        <v>0</v>
      </c>
      <c r="AG206" s="1">
        <v>0.204215153922507</v>
      </c>
      <c r="AH206" s="1">
        <f t="shared" si="10"/>
        <v>0.408430307845014</v>
      </c>
      <c r="AJ206" t="s">
        <v>4</v>
      </c>
      <c r="AK206">
        <v>0</v>
      </c>
      <c r="AL206" t="s">
        <v>5</v>
      </c>
      <c r="AM206">
        <v>204</v>
      </c>
      <c r="AN206" t="s">
        <v>6</v>
      </c>
      <c r="AO206" s="1">
        <v>0.31953120000000002</v>
      </c>
      <c r="AP206" t="s">
        <v>7</v>
      </c>
      <c r="AQ206" s="1">
        <v>0.5</v>
      </c>
      <c r="AR206" t="s">
        <v>8</v>
      </c>
      <c r="AS206" s="1">
        <v>0</v>
      </c>
      <c r="AT206" s="1">
        <v>0.204221529743665</v>
      </c>
      <c r="AU206" s="1">
        <f t="shared" si="11"/>
        <v>0.40844305948733001</v>
      </c>
    </row>
    <row r="207" spans="10:47">
      <c r="J207" t="s">
        <v>4</v>
      </c>
      <c r="K207">
        <v>0</v>
      </c>
      <c r="L207" t="s">
        <v>5</v>
      </c>
      <c r="M207">
        <v>205</v>
      </c>
      <c r="N207" t="s">
        <v>6</v>
      </c>
      <c r="O207" s="1">
        <v>0.32109379999999998</v>
      </c>
      <c r="P207" t="s">
        <v>7</v>
      </c>
      <c r="Q207" s="1">
        <v>0.5</v>
      </c>
      <c r="R207" t="s">
        <v>8</v>
      </c>
      <c r="S207" s="1">
        <v>0</v>
      </c>
      <c r="T207" s="1">
        <v>0.204194744360568</v>
      </c>
      <c r="U207" s="1">
        <f t="shared" si="9"/>
        <v>0.40838948872113601</v>
      </c>
      <c r="W207" t="s">
        <v>4</v>
      </c>
      <c r="X207">
        <v>0</v>
      </c>
      <c r="Y207" t="s">
        <v>5</v>
      </c>
      <c r="Z207">
        <v>205</v>
      </c>
      <c r="AA207" t="s">
        <v>6</v>
      </c>
      <c r="AB207" s="1">
        <v>0.32109379999999998</v>
      </c>
      <c r="AC207" t="s">
        <v>7</v>
      </c>
      <c r="AD207" s="1">
        <v>0.5</v>
      </c>
      <c r="AE207" t="s">
        <v>8</v>
      </c>
      <c r="AF207" s="1">
        <v>0</v>
      </c>
      <c r="AG207" s="1">
        <v>0.20423837214499499</v>
      </c>
      <c r="AH207" s="1">
        <f t="shared" si="10"/>
        <v>0.40847674428998998</v>
      </c>
      <c r="AJ207" t="s">
        <v>4</v>
      </c>
      <c r="AK207">
        <v>0</v>
      </c>
      <c r="AL207" t="s">
        <v>5</v>
      </c>
      <c r="AM207">
        <v>205</v>
      </c>
      <c r="AN207" t="s">
        <v>6</v>
      </c>
      <c r="AO207" s="1">
        <v>0.32109379999999998</v>
      </c>
      <c r="AP207" t="s">
        <v>7</v>
      </c>
      <c r="AQ207" s="1">
        <v>0.5</v>
      </c>
      <c r="AR207" t="s">
        <v>8</v>
      </c>
      <c r="AS207" s="1">
        <v>0</v>
      </c>
      <c r="AT207" s="1">
        <v>0.20425545098662601</v>
      </c>
      <c r="AU207" s="1">
        <f t="shared" si="11"/>
        <v>0.40851090197325202</v>
      </c>
    </row>
    <row r="208" spans="10:47">
      <c r="J208" t="s">
        <v>4</v>
      </c>
      <c r="K208">
        <v>0</v>
      </c>
      <c r="L208" t="s">
        <v>5</v>
      </c>
      <c r="M208">
        <v>206</v>
      </c>
      <c r="N208" t="s">
        <v>6</v>
      </c>
      <c r="O208" s="1">
        <v>0.3226562</v>
      </c>
      <c r="P208" t="s">
        <v>7</v>
      </c>
      <c r="Q208" s="1">
        <v>0.5</v>
      </c>
      <c r="R208" t="s">
        <v>8</v>
      </c>
      <c r="S208" s="1">
        <v>0</v>
      </c>
      <c r="T208" s="1">
        <v>0.20422644129131101</v>
      </c>
      <c r="U208" s="1">
        <f t="shared" si="9"/>
        <v>0.40845288258262202</v>
      </c>
      <c r="W208" t="s">
        <v>4</v>
      </c>
      <c r="X208">
        <v>0</v>
      </c>
      <c r="Y208" t="s">
        <v>5</v>
      </c>
      <c r="Z208">
        <v>206</v>
      </c>
      <c r="AA208" t="s">
        <v>6</v>
      </c>
      <c r="AB208" s="1">
        <v>0.3226562</v>
      </c>
      <c r="AC208" t="s">
        <v>7</v>
      </c>
      <c r="AD208" s="1">
        <v>0.5</v>
      </c>
      <c r="AE208" t="s">
        <v>8</v>
      </c>
      <c r="AF208" s="1">
        <v>0</v>
      </c>
      <c r="AG208" s="1">
        <v>0.20426144330120999</v>
      </c>
      <c r="AH208" s="1">
        <f t="shared" si="10"/>
        <v>0.40852288660241998</v>
      </c>
      <c r="AJ208" t="s">
        <v>4</v>
      </c>
      <c r="AK208">
        <v>0</v>
      </c>
      <c r="AL208" t="s">
        <v>5</v>
      </c>
      <c r="AM208">
        <v>206</v>
      </c>
      <c r="AN208" t="s">
        <v>6</v>
      </c>
      <c r="AO208" s="1">
        <v>0.3226562</v>
      </c>
      <c r="AP208" t="s">
        <v>7</v>
      </c>
      <c r="AQ208" s="1">
        <v>0.5</v>
      </c>
      <c r="AR208" t="s">
        <v>8</v>
      </c>
      <c r="AS208" s="1">
        <v>0</v>
      </c>
      <c r="AT208" s="1">
        <v>0.20428915010829099</v>
      </c>
      <c r="AU208" s="1">
        <f t="shared" si="11"/>
        <v>0.40857830021658198</v>
      </c>
    </row>
    <row r="209" spans="10:47">
      <c r="J209" t="s">
        <v>4</v>
      </c>
      <c r="K209">
        <v>0</v>
      </c>
      <c r="L209" t="s">
        <v>5</v>
      </c>
      <c r="M209">
        <v>207</v>
      </c>
      <c r="N209" t="s">
        <v>6</v>
      </c>
      <c r="O209" s="1">
        <v>0.32421879999999997</v>
      </c>
      <c r="P209" t="s">
        <v>7</v>
      </c>
      <c r="Q209" s="1">
        <v>0.5</v>
      </c>
      <c r="R209" t="s">
        <v>8</v>
      </c>
      <c r="S209" s="1">
        <v>0</v>
      </c>
      <c r="T209" s="1">
        <v>0.20425792711106799</v>
      </c>
      <c r="U209" s="1">
        <f t="shared" si="9"/>
        <v>0.40851585422213599</v>
      </c>
      <c r="W209" t="s">
        <v>4</v>
      </c>
      <c r="X209">
        <v>0</v>
      </c>
      <c r="Y209" t="s">
        <v>5</v>
      </c>
      <c r="Z209">
        <v>207</v>
      </c>
      <c r="AA209" t="s">
        <v>6</v>
      </c>
      <c r="AB209" s="1">
        <v>0.32421879999999997</v>
      </c>
      <c r="AC209" t="s">
        <v>7</v>
      </c>
      <c r="AD209" s="1">
        <v>0.5</v>
      </c>
      <c r="AE209" t="s">
        <v>8</v>
      </c>
      <c r="AF209" s="1">
        <v>0</v>
      </c>
      <c r="AG209" s="1">
        <v>0.20428435090147401</v>
      </c>
      <c r="AH209" s="1">
        <f t="shared" si="10"/>
        <v>0.40856870180294802</v>
      </c>
      <c r="AJ209" t="s">
        <v>4</v>
      </c>
      <c r="AK209">
        <v>0</v>
      </c>
      <c r="AL209" t="s">
        <v>5</v>
      </c>
      <c r="AM209">
        <v>207</v>
      </c>
      <c r="AN209" t="s">
        <v>6</v>
      </c>
      <c r="AO209" s="1">
        <v>0.32421879999999997</v>
      </c>
      <c r="AP209" t="s">
        <v>7</v>
      </c>
      <c r="AQ209" s="1">
        <v>0.5</v>
      </c>
      <c r="AR209" t="s">
        <v>8</v>
      </c>
      <c r="AS209" s="1">
        <v>0</v>
      </c>
      <c r="AT209" s="1">
        <v>0.20432260555128701</v>
      </c>
      <c r="AU209" s="1">
        <f t="shared" si="11"/>
        <v>0.40864521110257401</v>
      </c>
    </row>
    <row r="210" spans="10:47">
      <c r="J210" t="s">
        <v>4</v>
      </c>
      <c r="K210">
        <v>0</v>
      </c>
      <c r="L210" t="s">
        <v>5</v>
      </c>
      <c r="M210">
        <v>208</v>
      </c>
      <c r="N210" t="s">
        <v>6</v>
      </c>
      <c r="O210" s="1">
        <v>0.3257813</v>
      </c>
      <c r="P210" t="s">
        <v>7</v>
      </c>
      <c r="Q210" s="1">
        <v>0.5</v>
      </c>
      <c r="R210" t="s">
        <v>8</v>
      </c>
      <c r="S210" s="1">
        <v>0</v>
      </c>
      <c r="T210" s="1">
        <v>0.204289190399361</v>
      </c>
      <c r="U210" s="1">
        <f t="shared" si="9"/>
        <v>0.408578380798722</v>
      </c>
      <c r="W210" t="s">
        <v>4</v>
      </c>
      <c r="X210">
        <v>0</v>
      </c>
      <c r="Y210" t="s">
        <v>5</v>
      </c>
      <c r="Z210">
        <v>208</v>
      </c>
      <c r="AA210" t="s">
        <v>6</v>
      </c>
      <c r="AB210" s="1">
        <v>0.3257813</v>
      </c>
      <c r="AC210" t="s">
        <v>7</v>
      </c>
      <c r="AD210" s="1">
        <v>0.5</v>
      </c>
      <c r="AE210" t="s">
        <v>8</v>
      </c>
      <c r="AF210" s="1">
        <v>0</v>
      </c>
      <c r="AG210" s="1">
        <v>0.20430707875008</v>
      </c>
      <c r="AH210" s="1">
        <f t="shared" si="10"/>
        <v>0.40861415750016</v>
      </c>
      <c r="AJ210" t="s">
        <v>4</v>
      </c>
      <c r="AK210">
        <v>0</v>
      </c>
      <c r="AL210" t="s">
        <v>5</v>
      </c>
      <c r="AM210">
        <v>208</v>
      </c>
      <c r="AN210" t="s">
        <v>6</v>
      </c>
      <c r="AO210" s="1">
        <v>0.3257813</v>
      </c>
      <c r="AP210" t="s">
        <v>7</v>
      </c>
      <c r="AQ210" s="1">
        <v>0.5</v>
      </c>
      <c r="AR210" t="s">
        <v>8</v>
      </c>
      <c r="AS210" s="1">
        <v>0</v>
      </c>
      <c r="AT210" s="1">
        <v>0.20435579616619701</v>
      </c>
      <c r="AU210" s="1">
        <f t="shared" si="11"/>
        <v>0.40871159233239401</v>
      </c>
    </row>
    <row r="211" spans="10:47">
      <c r="J211" t="s">
        <v>4</v>
      </c>
      <c r="K211">
        <v>0</v>
      </c>
      <c r="L211" t="s">
        <v>5</v>
      </c>
      <c r="M211">
        <v>209</v>
      </c>
      <c r="N211" t="s">
        <v>6</v>
      </c>
      <c r="O211" s="1">
        <v>0.32734370000000002</v>
      </c>
      <c r="P211" t="s">
        <v>7</v>
      </c>
      <c r="Q211" s="1">
        <v>0.5</v>
      </c>
      <c r="R211" t="s">
        <v>8</v>
      </c>
      <c r="S211" s="1">
        <v>0</v>
      </c>
      <c r="T211" s="1">
        <v>0.20432021990780699</v>
      </c>
      <c r="U211" s="1">
        <f t="shared" si="9"/>
        <v>0.40864043981561399</v>
      </c>
      <c r="W211" t="s">
        <v>4</v>
      </c>
      <c r="X211">
        <v>0</v>
      </c>
      <c r="Y211" t="s">
        <v>5</v>
      </c>
      <c r="Z211">
        <v>209</v>
      </c>
      <c r="AA211" t="s">
        <v>6</v>
      </c>
      <c r="AB211" s="1">
        <v>0.32734370000000002</v>
      </c>
      <c r="AC211" t="s">
        <v>7</v>
      </c>
      <c r="AD211" s="1">
        <v>0.5</v>
      </c>
      <c r="AE211" t="s">
        <v>8</v>
      </c>
      <c r="AF211" s="1">
        <v>0</v>
      </c>
      <c r="AG211" s="1">
        <v>0.20432961097213201</v>
      </c>
      <c r="AH211" s="1">
        <f t="shared" si="10"/>
        <v>0.40865922194426402</v>
      </c>
      <c r="AJ211" t="s">
        <v>4</v>
      </c>
      <c r="AK211">
        <v>0</v>
      </c>
      <c r="AL211" t="s">
        <v>5</v>
      </c>
      <c r="AM211">
        <v>209</v>
      </c>
      <c r="AN211" t="s">
        <v>6</v>
      </c>
      <c r="AO211" s="1">
        <v>0.32734370000000002</v>
      </c>
      <c r="AP211" t="s">
        <v>7</v>
      </c>
      <c r="AQ211" s="1">
        <v>0.5</v>
      </c>
      <c r="AR211" t="s">
        <v>8</v>
      </c>
      <c r="AS211" s="1">
        <v>0</v>
      </c>
      <c r="AT211" s="1">
        <v>0.204388701269972</v>
      </c>
      <c r="AU211" s="1">
        <f t="shared" si="11"/>
        <v>0.40877740253994399</v>
      </c>
    </row>
    <row r="212" spans="10:47">
      <c r="J212" t="s">
        <v>4</v>
      </c>
      <c r="K212">
        <v>0</v>
      </c>
      <c r="L212" t="s">
        <v>5</v>
      </c>
      <c r="M212">
        <v>210</v>
      </c>
      <c r="N212" t="s">
        <v>6</v>
      </c>
      <c r="O212" s="1">
        <v>0.32890629999999998</v>
      </c>
      <c r="P212" t="s">
        <v>7</v>
      </c>
      <c r="Q212" s="1">
        <v>0.5</v>
      </c>
      <c r="R212" t="s">
        <v>8</v>
      </c>
      <c r="S212" s="1">
        <v>0</v>
      </c>
      <c r="T212" s="1">
        <v>0.204351004573327</v>
      </c>
      <c r="U212" s="1">
        <f t="shared" si="9"/>
        <v>0.408702009146654</v>
      </c>
      <c r="W212" t="s">
        <v>4</v>
      </c>
      <c r="X212">
        <v>0</v>
      </c>
      <c r="Y212" t="s">
        <v>5</v>
      </c>
      <c r="Z212">
        <v>210</v>
      </c>
      <c r="AA212" t="s">
        <v>6</v>
      </c>
      <c r="AB212" s="1">
        <v>0.32890629999999998</v>
      </c>
      <c r="AC212" t="s">
        <v>7</v>
      </c>
      <c r="AD212" s="1">
        <v>0.5</v>
      </c>
      <c r="AE212" t="s">
        <v>8</v>
      </c>
      <c r="AF212" s="1">
        <v>0</v>
      </c>
      <c r="AG212" s="1">
        <v>0.20435193204069099</v>
      </c>
      <c r="AH212" s="1">
        <f t="shared" si="10"/>
        <v>0.40870386408138198</v>
      </c>
      <c r="AJ212" t="s">
        <v>4</v>
      </c>
      <c r="AK212">
        <v>0</v>
      </c>
      <c r="AL212" t="s">
        <v>5</v>
      </c>
      <c r="AM212">
        <v>210</v>
      </c>
      <c r="AN212" t="s">
        <v>6</v>
      </c>
      <c r="AO212" s="1">
        <v>0.32890629999999998</v>
      </c>
      <c r="AP212" t="s">
        <v>7</v>
      </c>
      <c r="AQ212" s="1">
        <v>0.5</v>
      </c>
      <c r="AR212" t="s">
        <v>8</v>
      </c>
      <c r="AS212" s="1">
        <v>0</v>
      </c>
      <c r="AT212" s="1">
        <v>0.204421300705041</v>
      </c>
      <c r="AU212" s="1">
        <f t="shared" si="11"/>
        <v>0.408842601410082</v>
      </c>
    </row>
    <row r="213" spans="10:47">
      <c r="J213" t="s">
        <v>4</v>
      </c>
      <c r="K213">
        <v>0</v>
      </c>
      <c r="L213" t="s">
        <v>5</v>
      </c>
      <c r="M213">
        <v>211</v>
      </c>
      <c r="N213" t="s">
        <v>6</v>
      </c>
      <c r="O213" s="1">
        <v>0.3304687</v>
      </c>
      <c r="P213" t="s">
        <v>7</v>
      </c>
      <c r="Q213" s="1">
        <v>0.5</v>
      </c>
      <c r="R213" t="s">
        <v>8</v>
      </c>
      <c r="S213" s="1">
        <v>0</v>
      </c>
      <c r="T213" s="1">
        <v>0.20438153353192201</v>
      </c>
      <c r="U213" s="1">
        <f t="shared" si="9"/>
        <v>0.40876306706384402</v>
      </c>
      <c r="W213" t="s">
        <v>4</v>
      </c>
      <c r="X213">
        <v>0</v>
      </c>
      <c r="Y213" t="s">
        <v>5</v>
      </c>
      <c r="Z213">
        <v>211</v>
      </c>
      <c r="AA213" t="s">
        <v>6</v>
      </c>
      <c r="AB213" s="1">
        <v>0.3304687</v>
      </c>
      <c r="AC213" t="s">
        <v>7</v>
      </c>
      <c r="AD213" s="1">
        <v>0.5</v>
      </c>
      <c r="AE213" t="s">
        <v>8</v>
      </c>
      <c r="AF213" s="1">
        <v>0</v>
      </c>
      <c r="AG213" s="1">
        <v>0.20437402680355499</v>
      </c>
      <c r="AH213" s="1">
        <f t="shared" si="10"/>
        <v>0.40874805360710997</v>
      </c>
      <c r="AJ213" t="s">
        <v>4</v>
      </c>
      <c r="AK213">
        <v>0</v>
      </c>
      <c r="AL213" t="s">
        <v>5</v>
      </c>
      <c r="AM213">
        <v>211</v>
      </c>
      <c r="AN213" t="s">
        <v>6</v>
      </c>
      <c r="AO213" s="1">
        <v>0.3304687</v>
      </c>
      <c r="AP213" t="s">
        <v>7</v>
      </c>
      <c r="AQ213" s="1">
        <v>0.5</v>
      </c>
      <c r="AR213" t="s">
        <v>8</v>
      </c>
      <c r="AS213" s="1">
        <v>0</v>
      </c>
      <c r="AT213" s="1">
        <v>0.20445357489598801</v>
      </c>
      <c r="AU213" s="1">
        <f t="shared" si="11"/>
        <v>0.40890714979197601</v>
      </c>
    </row>
    <row r="214" spans="10:47">
      <c r="J214" t="s">
        <v>4</v>
      </c>
      <c r="K214">
        <v>0</v>
      </c>
      <c r="L214" t="s">
        <v>5</v>
      </c>
      <c r="M214">
        <v>212</v>
      </c>
      <c r="N214" t="s">
        <v>6</v>
      </c>
      <c r="O214" s="1">
        <v>0.33203120000000003</v>
      </c>
      <c r="P214" t="s">
        <v>7</v>
      </c>
      <c r="Q214" s="1">
        <v>0.5</v>
      </c>
      <c r="R214" t="s">
        <v>8</v>
      </c>
      <c r="S214" s="1">
        <v>0</v>
      </c>
      <c r="T214" s="1">
        <v>0.20441179613243399</v>
      </c>
      <c r="U214" s="1">
        <f t="shared" si="9"/>
        <v>0.40882359226486797</v>
      </c>
      <c r="W214" t="s">
        <v>4</v>
      </c>
      <c r="X214">
        <v>0</v>
      </c>
      <c r="Y214" t="s">
        <v>5</v>
      </c>
      <c r="Z214">
        <v>212</v>
      </c>
      <c r="AA214" t="s">
        <v>6</v>
      </c>
      <c r="AB214" s="1">
        <v>0.33203120000000003</v>
      </c>
      <c r="AC214" t="s">
        <v>7</v>
      </c>
      <c r="AD214" s="1">
        <v>0.5</v>
      </c>
      <c r="AE214" t="s">
        <v>8</v>
      </c>
      <c r="AF214" s="1">
        <v>0</v>
      </c>
      <c r="AG214" s="1">
        <v>0.20439588051063901</v>
      </c>
      <c r="AH214" s="1">
        <f t="shared" si="10"/>
        <v>0.40879176102127801</v>
      </c>
      <c r="AJ214" t="s">
        <v>4</v>
      </c>
      <c r="AK214">
        <v>0</v>
      </c>
      <c r="AL214" t="s">
        <v>5</v>
      </c>
      <c r="AM214">
        <v>212</v>
      </c>
      <c r="AN214" t="s">
        <v>6</v>
      </c>
      <c r="AO214" s="1">
        <v>0.33203120000000003</v>
      </c>
      <c r="AP214" t="s">
        <v>7</v>
      </c>
      <c r="AQ214" s="1">
        <v>0.5</v>
      </c>
      <c r="AR214" t="s">
        <v>8</v>
      </c>
      <c r="AS214" s="1">
        <v>0</v>
      </c>
      <c r="AT214" s="1">
        <v>0.204485504908335</v>
      </c>
      <c r="AU214" s="1">
        <f t="shared" si="11"/>
        <v>0.40897100981667001</v>
      </c>
    </row>
    <row r="215" spans="10:47">
      <c r="J215" t="s">
        <v>4</v>
      </c>
      <c r="K215">
        <v>0</v>
      </c>
      <c r="L215" t="s">
        <v>5</v>
      </c>
      <c r="M215">
        <v>213</v>
      </c>
      <c r="N215" t="s">
        <v>6</v>
      </c>
      <c r="O215" s="1">
        <v>0.3335938</v>
      </c>
      <c r="P215" t="s">
        <v>7</v>
      </c>
      <c r="Q215" s="1">
        <v>0.5</v>
      </c>
      <c r="R215" t="s">
        <v>8</v>
      </c>
      <c r="S215" s="1">
        <v>0</v>
      </c>
      <c r="T215" s="1">
        <v>0.20444178194985299</v>
      </c>
      <c r="U215" s="1">
        <f t="shared" si="9"/>
        <v>0.40888356389970598</v>
      </c>
      <c r="W215" t="s">
        <v>4</v>
      </c>
      <c r="X215">
        <v>0</v>
      </c>
      <c r="Y215" t="s">
        <v>5</v>
      </c>
      <c r="Z215">
        <v>213</v>
      </c>
      <c r="AA215" t="s">
        <v>6</v>
      </c>
      <c r="AB215" s="1">
        <v>0.3335938</v>
      </c>
      <c r="AC215" t="s">
        <v>7</v>
      </c>
      <c r="AD215" s="1">
        <v>0.5</v>
      </c>
      <c r="AE215" t="s">
        <v>8</v>
      </c>
      <c r="AF215" s="1">
        <v>0</v>
      </c>
      <c r="AG215" s="1">
        <v>0.20441747884049999</v>
      </c>
      <c r="AH215" s="1">
        <f t="shared" si="10"/>
        <v>0.40883495768099998</v>
      </c>
      <c r="AJ215" t="s">
        <v>4</v>
      </c>
      <c r="AK215">
        <v>0</v>
      </c>
      <c r="AL215" t="s">
        <v>5</v>
      </c>
      <c r="AM215">
        <v>213</v>
      </c>
      <c r="AN215" t="s">
        <v>6</v>
      </c>
      <c r="AO215" s="1">
        <v>0.3335938</v>
      </c>
      <c r="AP215" t="s">
        <v>7</v>
      </c>
      <c r="AQ215" s="1">
        <v>0.5</v>
      </c>
      <c r="AR215" t="s">
        <v>8</v>
      </c>
      <c r="AS215" s="1">
        <v>0</v>
      </c>
      <c r="AT215" s="1">
        <v>0.204517072506574</v>
      </c>
      <c r="AU215" s="1">
        <f t="shared" si="11"/>
        <v>0.409034145013148</v>
      </c>
    </row>
    <row r="216" spans="10:47">
      <c r="J216" t="s">
        <v>4</v>
      </c>
      <c r="K216">
        <v>0</v>
      </c>
      <c r="L216" t="s">
        <v>5</v>
      </c>
      <c r="M216">
        <v>214</v>
      </c>
      <c r="N216" t="s">
        <v>6</v>
      </c>
      <c r="O216" s="1">
        <v>0.33515620000000002</v>
      </c>
      <c r="P216" t="s">
        <v>7</v>
      </c>
      <c r="Q216" s="1">
        <v>0.5</v>
      </c>
      <c r="R216" t="s">
        <v>8</v>
      </c>
      <c r="S216" s="1">
        <v>0</v>
      </c>
      <c r="T216" s="1">
        <v>0.20447148079946301</v>
      </c>
      <c r="U216" s="1">
        <f t="shared" si="9"/>
        <v>0.40894296159892601</v>
      </c>
      <c r="W216" t="s">
        <v>4</v>
      </c>
      <c r="X216">
        <v>0</v>
      </c>
      <c r="Y216" t="s">
        <v>5</v>
      </c>
      <c r="Z216">
        <v>214</v>
      </c>
      <c r="AA216" t="s">
        <v>6</v>
      </c>
      <c r="AB216" s="1">
        <v>0.33515620000000002</v>
      </c>
      <c r="AC216" t="s">
        <v>7</v>
      </c>
      <c r="AD216" s="1">
        <v>0.5</v>
      </c>
      <c r="AE216" t="s">
        <v>8</v>
      </c>
      <c r="AF216" s="1">
        <v>0</v>
      </c>
      <c r="AG216" s="1">
        <v>0.204438807927941</v>
      </c>
      <c r="AH216" s="1">
        <f t="shared" si="10"/>
        <v>0.408877615855882</v>
      </c>
      <c r="AJ216" t="s">
        <v>4</v>
      </c>
      <c r="AK216">
        <v>0</v>
      </c>
      <c r="AL216" t="s">
        <v>5</v>
      </c>
      <c r="AM216">
        <v>214</v>
      </c>
      <c r="AN216" t="s">
        <v>6</v>
      </c>
      <c r="AO216" s="1">
        <v>0.33515620000000002</v>
      </c>
      <c r="AP216" t="s">
        <v>7</v>
      </c>
      <c r="AQ216" s="1">
        <v>0.5</v>
      </c>
      <c r="AR216" t="s">
        <v>8</v>
      </c>
      <c r="AS216" s="1">
        <v>0</v>
      </c>
      <c r="AT216" s="1">
        <v>0.204548260211696</v>
      </c>
      <c r="AU216" s="1">
        <f t="shared" si="11"/>
        <v>0.40909652042339201</v>
      </c>
    </row>
    <row r="217" spans="10:47">
      <c r="J217" t="s">
        <v>4</v>
      </c>
      <c r="K217">
        <v>0</v>
      </c>
      <c r="L217" t="s">
        <v>5</v>
      </c>
      <c r="M217">
        <v>215</v>
      </c>
      <c r="N217" t="s">
        <v>6</v>
      </c>
      <c r="O217" s="1">
        <v>0.33671879999999998</v>
      </c>
      <c r="P217" t="s">
        <v>7</v>
      </c>
      <c r="Q217" s="1">
        <v>0.5</v>
      </c>
      <c r="R217" t="s">
        <v>8</v>
      </c>
      <c r="S217" s="1">
        <v>0</v>
      </c>
      <c r="T217" s="1">
        <v>0.20450088275029299</v>
      </c>
      <c r="U217" s="1">
        <f t="shared" si="9"/>
        <v>0.40900176550058598</v>
      </c>
      <c r="W217" t="s">
        <v>4</v>
      </c>
      <c r="X217">
        <v>0</v>
      </c>
      <c r="Y217" t="s">
        <v>5</v>
      </c>
      <c r="Z217">
        <v>215</v>
      </c>
      <c r="AA217" t="s">
        <v>6</v>
      </c>
      <c r="AB217" s="1">
        <v>0.33671879999999998</v>
      </c>
      <c r="AC217" t="s">
        <v>7</v>
      </c>
      <c r="AD217" s="1">
        <v>0.5</v>
      </c>
      <c r="AE217" t="s">
        <v>8</v>
      </c>
      <c r="AF217" s="1">
        <v>0</v>
      </c>
      <c r="AG217" s="1">
        <v>0.20445985439130299</v>
      </c>
      <c r="AH217" s="1">
        <f t="shared" si="10"/>
        <v>0.40891970878260597</v>
      </c>
      <c r="AJ217" t="s">
        <v>4</v>
      </c>
      <c r="AK217">
        <v>0</v>
      </c>
      <c r="AL217" t="s">
        <v>5</v>
      </c>
      <c r="AM217">
        <v>215</v>
      </c>
      <c r="AN217" t="s">
        <v>6</v>
      </c>
      <c r="AO217" s="1">
        <v>0.33671879999999998</v>
      </c>
      <c r="AP217" t="s">
        <v>7</v>
      </c>
      <c r="AQ217" s="1">
        <v>0.5</v>
      </c>
      <c r="AR217" t="s">
        <v>8</v>
      </c>
      <c r="AS217" s="1">
        <v>0</v>
      </c>
      <c r="AT217" s="1">
        <v>0.204579051359739</v>
      </c>
      <c r="AU217" s="1">
        <f t="shared" si="11"/>
        <v>0.409158102719478</v>
      </c>
    </row>
    <row r="218" spans="10:47">
      <c r="J218" t="s">
        <v>4</v>
      </c>
      <c r="K218">
        <v>0</v>
      </c>
      <c r="L218" t="s">
        <v>5</v>
      </c>
      <c r="M218">
        <v>216</v>
      </c>
      <c r="N218" t="s">
        <v>6</v>
      </c>
      <c r="O218" s="1">
        <v>0.3382812</v>
      </c>
      <c r="P218" t="s">
        <v>7</v>
      </c>
      <c r="Q218" s="1">
        <v>0.5</v>
      </c>
      <c r="R218" t="s">
        <v>8</v>
      </c>
      <c r="S218" s="1">
        <v>0</v>
      </c>
      <c r="T218" s="1">
        <v>0.20452997813894599</v>
      </c>
      <c r="U218" s="1">
        <f t="shared" si="9"/>
        <v>0.40905995627789199</v>
      </c>
      <c r="W218" t="s">
        <v>4</v>
      </c>
      <c r="X218">
        <v>0</v>
      </c>
      <c r="Y218" t="s">
        <v>5</v>
      </c>
      <c r="Z218">
        <v>216</v>
      </c>
      <c r="AA218" t="s">
        <v>6</v>
      </c>
      <c r="AB218" s="1">
        <v>0.3382812</v>
      </c>
      <c r="AC218" t="s">
        <v>7</v>
      </c>
      <c r="AD218" s="1">
        <v>0.5</v>
      </c>
      <c r="AE218" t="s">
        <v>8</v>
      </c>
      <c r="AF218" s="1">
        <v>0</v>
      </c>
      <c r="AG218" s="1">
        <v>0.20448060535923299</v>
      </c>
      <c r="AH218" s="1">
        <f t="shared" si="10"/>
        <v>0.40896121071846597</v>
      </c>
      <c r="AJ218" t="s">
        <v>4</v>
      </c>
      <c r="AK218">
        <v>0</v>
      </c>
      <c r="AL218" t="s">
        <v>5</v>
      </c>
      <c r="AM218">
        <v>216</v>
      </c>
      <c r="AN218" t="s">
        <v>6</v>
      </c>
      <c r="AO218" s="1">
        <v>0.3382812</v>
      </c>
      <c r="AP218" t="s">
        <v>7</v>
      </c>
      <c r="AQ218" s="1">
        <v>0.5</v>
      </c>
      <c r="AR218" t="s">
        <v>8</v>
      </c>
      <c r="AS218" s="1">
        <v>0</v>
      </c>
      <c r="AT218" s="1">
        <v>0.20460943015909899</v>
      </c>
      <c r="AU218" s="1">
        <f t="shared" si="11"/>
        <v>0.40921886031819799</v>
      </c>
    </row>
    <row r="219" spans="10:47">
      <c r="J219" t="s">
        <v>4</v>
      </c>
      <c r="K219">
        <v>0</v>
      </c>
      <c r="L219" t="s">
        <v>5</v>
      </c>
      <c r="M219">
        <v>217</v>
      </c>
      <c r="N219" t="s">
        <v>6</v>
      </c>
      <c r="O219" s="1">
        <v>0.33984379999999997</v>
      </c>
      <c r="P219" t="s">
        <v>7</v>
      </c>
      <c r="Q219" s="1">
        <v>0.5</v>
      </c>
      <c r="R219" t="s">
        <v>8</v>
      </c>
      <c r="S219" s="1">
        <v>0</v>
      </c>
      <c r="T219" s="1">
        <v>0.20455875758370001</v>
      </c>
      <c r="U219" s="1">
        <f t="shared" si="9"/>
        <v>0.40911751516740003</v>
      </c>
      <c r="W219" t="s">
        <v>4</v>
      </c>
      <c r="X219">
        <v>0</v>
      </c>
      <c r="Y219" t="s">
        <v>5</v>
      </c>
      <c r="Z219">
        <v>217</v>
      </c>
      <c r="AA219" t="s">
        <v>6</v>
      </c>
      <c r="AB219" s="1">
        <v>0.33984379999999997</v>
      </c>
      <c r="AC219" t="s">
        <v>7</v>
      </c>
      <c r="AD219" s="1">
        <v>0.5</v>
      </c>
      <c r="AE219" t="s">
        <v>8</v>
      </c>
      <c r="AF219" s="1">
        <v>0</v>
      </c>
      <c r="AG219" s="1">
        <v>0.20450104849862399</v>
      </c>
      <c r="AH219" s="1">
        <f t="shared" si="10"/>
        <v>0.40900209699724799</v>
      </c>
      <c r="AJ219" t="s">
        <v>4</v>
      </c>
      <c r="AK219">
        <v>0</v>
      </c>
      <c r="AL219" t="s">
        <v>5</v>
      </c>
      <c r="AM219">
        <v>217</v>
      </c>
      <c r="AN219" t="s">
        <v>6</v>
      </c>
      <c r="AO219" s="1">
        <v>0.33984379999999997</v>
      </c>
      <c r="AP219" t="s">
        <v>7</v>
      </c>
      <c r="AQ219" s="1">
        <v>0.5</v>
      </c>
      <c r="AR219" t="s">
        <v>8</v>
      </c>
      <c r="AS219" s="1">
        <v>0</v>
      </c>
      <c r="AT219" s="1">
        <v>0.204639381748694</v>
      </c>
      <c r="AU219" s="1">
        <f t="shared" si="11"/>
        <v>0.40927876349738801</v>
      </c>
    </row>
    <row r="220" spans="10:47">
      <c r="J220" t="s">
        <v>4</v>
      </c>
      <c r="K220">
        <v>0</v>
      </c>
      <c r="L220" t="s">
        <v>5</v>
      </c>
      <c r="M220">
        <v>218</v>
      </c>
      <c r="N220" t="s">
        <v>6</v>
      </c>
      <c r="O220" s="1">
        <v>0.34140619999999999</v>
      </c>
      <c r="P220" t="s">
        <v>7</v>
      </c>
      <c r="Q220" s="1">
        <v>0.5</v>
      </c>
      <c r="R220" t="s">
        <v>8</v>
      </c>
      <c r="S220" s="1">
        <v>0</v>
      </c>
      <c r="T220" s="1">
        <v>0.204587211997667</v>
      </c>
      <c r="U220" s="1">
        <f t="shared" si="9"/>
        <v>0.40917442399533399</v>
      </c>
      <c r="W220" t="s">
        <v>4</v>
      </c>
      <c r="X220">
        <v>0</v>
      </c>
      <c r="Y220" t="s">
        <v>5</v>
      </c>
      <c r="Z220">
        <v>218</v>
      </c>
      <c r="AA220" t="s">
        <v>6</v>
      </c>
      <c r="AB220" s="1">
        <v>0.34140619999999999</v>
      </c>
      <c r="AC220" t="s">
        <v>7</v>
      </c>
      <c r="AD220" s="1">
        <v>0.5</v>
      </c>
      <c r="AE220" t="s">
        <v>8</v>
      </c>
      <c r="AF220" s="1">
        <v>0</v>
      </c>
      <c r="AG220" s="1">
        <v>0.20452117204134301</v>
      </c>
      <c r="AH220" s="1">
        <f t="shared" si="10"/>
        <v>0.40904234408268603</v>
      </c>
      <c r="AJ220" t="s">
        <v>4</v>
      </c>
      <c r="AK220">
        <v>0</v>
      </c>
      <c r="AL220" t="s">
        <v>5</v>
      </c>
      <c r="AM220">
        <v>218</v>
      </c>
      <c r="AN220" t="s">
        <v>6</v>
      </c>
      <c r="AO220" s="1">
        <v>0.34140619999999999</v>
      </c>
      <c r="AP220" t="s">
        <v>7</v>
      </c>
      <c r="AQ220" s="1">
        <v>0.5</v>
      </c>
      <c r="AR220" t="s">
        <v>8</v>
      </c>
      <c r="AS220" s="1">
        <v>0</v>
      </c>
      <c r="AT220" s="1">
        <v>0.20466889225547599</v>
      </c>
      <c r="AU220" s="1">
        <f t="shared" si="11"/>
        <v>0.40933778451095199</v>
      </c>
    </row>
    <row r="221" spans="10:47">
      <c r="J221" t="s">
        <v>4</v>
      </c>
      <c r="K221">
        <v>0</v>
      </c>
      <c r="L221" t="s">
        <v>5</v>
      </c>
      <c r="M221">
        <v>219</v>
      </c>
      <c r="N221" t="s">
        <v>6</v>
      </c>
      <c r="O221" s="1">
        <v>0.34296870000000002</v>
      </c>
      <c r="P221" t="s">
        <v>7</v>
      </c>
      <c r="Q221" s="1">
        <v>0.5</v>
      </c>
      <c r="R221" t="s">
        <v>8</v>
      </c>
      <c r="S221" s="1">
        <v>0</v>
      </c>
      <c r="T221" s="1">
        <v>0.20461533260340201</v>
      </c>
      <c r="U221" s="1">
        <f t="shared" si="9"/>
        <v>0.40923066520680401</v>
      </c>
      <c r="W221" t="s">
        <v>4</v>
      </c>
      <c r="X221">
        <v>0</v>
      </c>
      <c r="Y221" t="s">
        <v>5</v>
      </c>
      <c r="Z221">
        <v>219</v>
      </c>
      <c r="AA221" t="s">
        <v>6</v>
      </c>
      <c r="AB221" s="1">
        <v>0.34296870000000002</v>
      </c>
      <c r="AC221" t="s">
        <v>7</v>
      </c>
      <c r="AD221" s="1">
        <v>0.5</v>
      </c>
      <c r="AE221" t="s">
        <v>8</v>
      </c>
      <c r="AF221" s="1">
        <v>0</v>
      </c>
      <c r="AG221" s="1">
        <v>0.20454096481226999</v>
      </c>
      <c r="AH221" s="1">
        <f t="shared" si="10"/>
        <v>0.40908192962453999</v>
      </c>
      <c r="AJ221" t="s">
        <v>4</v>
      </c>
      <c r="AK221">
        <v>0</v>
      </c>
      <c r="AL221" t="s">
        <v>5</v>
      </c>
      <c r="AM221">
        <v>219</v>
      </c>
      <c r="AN221" t="s">
        <v>6</v>
      </c>
      <c r="AO221" s="1">
        <v>0.34296870000000002</v>
      </c>
      <c r="AP221" t="s">
        <v>7</v>
      </c>
      <c r="AQ221" s="1">
        <v>0.5</v>
      </c>
      <c r="AR221" t="s">
        <v>8</v>
      </c>
      <c r="AS221" s="1">
        <v>0</v>
      </c>
      <c r="AT221" s="1">
        <v>0.204697948852501</v>
      </c>
      <c r="AU221" s="1">
        <f t="shared" si="11"/>
        <v>0.40939589770500201</v>
      </c>
    </row>
    <row r="222" spans="10:47">
      <c r="J222" t="s">
        <v>4</v>
      </c>
      <c r="K222">
        <v>0</v>
      </c>
      <c r="L222" t="s">
        <v>5</v>
      </c>
      <c r="M222">
        <v>220</v>
      </c>
      <c r="N222" t="s">
        <v>6</v>
      </c>
      <c r="O222" s="1">
        <v>0.34453129999999998</v>
      </c>
      <c r="P222" t="s">
        <v>7</v>
      </c>
      <c r="Q222" s="1">
        <v>0.5</v>
      </c>
      <c r="R222" t="s">
        <v>8</v>
      </c>
      <c r="S222" s="1">
        <v>0</v>
      </c>
      <c r="T222" s="1">
        <v>0.20464851343524501</v>
      </c>
      <c r="U222" s="1">
        <f t="shared" si="9"/>
        <v>0.40929702687049002</v>
      </c>
      <c r="W222" t="s">
        <v>4</v>
      </c>
      <c r="X222">
        <v>0</v>
      </c>
      <c r="Y222" t="s">
        <v>5</v>
      </c>
      <c r="Z222">
        <v>220</v>
      </c>
      <c r="AA222" t="s">
        <v>6</v>
      </c>
      <c r="AB222" s="1">
        <v>0.34453129999999998</v>
      </c>
      <c r="AC222" t="s">
        <v>7</v>
      </c>
      <c r="AD222" s="1">
        <v>0.5</v>
      </c>
      <c r="AE222" t="s">
        <v>8</v>
      </c>
      <c r="AF222" s="1">
        <v>0</v>
      </c>
      <c r="AG222" s="1">
        <v>0.20457491538669501</v>
      </c>
      <c r="AH222" s="1">
        <f t="shared" si="10"/>
        <v>0.40914983077339001</v>
      </c>
      <c r="AJ222" t="s">
        <v>4</v>
      </c>
      <c r="AK222">
        <v>0</v>
      </c>
      <c r="AL222" t="s">
        <v>5</v>
      </c>
      <c r="AM222">
        <v>220</v>
      </c>
      <c r="AN222" t="s">
        <v>6</v>
      </c>
      <c r="AO222" s="1">
        <v>0.34453129999999998</v>
      </c>
      <c r="AP222" t="s">
        <v>7</v>
      </c>
      <c r="AQ222" s="1">
        <v>0.5</v>
      </c>
      <c r="AR222" t="s">
        <v>8</v>
      </c>
      <c r="AS222" s="1">
        <v>0</v>
      </c>
      <c r="AT222" s="1">
        <v>0.204723306340443</v>
      </c>
      <c r="AU222" s="1">
        <f t="shared" si="11"/>
        <v>0.409446612680886</v>
      </c>
    </row>
    <row r="223" spans="10:47">
      <c r="J223" t="s">
        <v>4</v>
      </c>
      <c r="K223">
        <v>0</v>
      </c>
      <c r="L223" t="s">
        <v>5</v>
      </c>
      <c r="M223">
        <v>221</v>
      </c>
      <c r="N223" t="s">
        <v>6</v>
      </c>
      <c r="O223" s="1">
        <v>0.3460937</v>
      </c>
      <c r="P223" t="s">
        <v>7</v>
      </c>
      <c r="Q223" s="1">
        <v>0.5</v>
      </c>
      <c r="R223" t="s">
        <v>8</v>
      </c>
      <c r="S223" s="1">
        <v>0</v>
      </c>
      <c r="T223" s="1">
        <v>0.20468616962010799</v>
      </c>
      <c r="U223" s="1">
        <f t="shared" si="9"/>
        <v>0.40937233924021599</v>
      </c>
      <c r="W223" t="s">
        <v>4</v>
      </c>
      <c r="X223">
        <v>0</v>
      </c>
      <c r="Y223" t="s">
        <v>5</v>
      </c>
      <c r="Z223">
        <v>221</v>
      </c>
      <c r="AA223" t="s">
        <v>6</v>
      </c>
      <c r="AB223" s="1">
        <v>0.3460937</v>
      </c>
      <c r="AC223" t="s">
        <v>7</v>
      </c>
      <c r="AD223" s="1">
        <v>0.5</v>
      </c>
      <c r="AE223" t="s">
        <v>8</v>
      </c>
      <c r="AF223" s="1">
        <v>0</v>
      </c>
      <c r="AG223" s="1">
        <v>0.204622627549157</v>
      </c>
      <c r="AH223" s="1">
        <f t="shared" si="10"/>
        <v>0.409245255098314</v>
      </c>
      <c r="AJ223" t="s">
        <v>4</v>
      </c>
      <c r="AK223">
        <v>0</v>
      </c>
      <c r="AL223" t="s">
        <v>5</v>
      </c>
      <c r="AM223">
        <v>221</v>
      </c>
      <c r="AN223" t="s">
        <v>6</v>
      </c>
      <c r="AO223" s="1">
        <v>0.3460937</v>
      </c>
      <c r="AP223" t="s">
        <v>7</v>
      </c>
      <c r="AQ223" s="1">
        <v>0.5</v>
      </c>
      <c r="AR223" t="s">
        <v>8</v>
      </c>
      <c r="AS223" s="1">
        <v>0</v>
      </c>
      <c r="AT223" s="1">
        <v>0.204744542273951</v>
      </c>
      <c r="AU223" s="1">
        <f t="shared" si="11"/>
        <v>0.409489084547902</v>
      </c>
    </row>
    <row r="224" spans="10:47">
      <c r="J224" t="s">
        <v>4</v>
      </c>
      <c r="K224">
        <v>0</v>
      </c>
      <c r="L224" t="s">
        <v>5</v>
      </c>
      <c r="M224">
        <v>222</v>
      </c>
      <c r="N224" t="s">
        <v>6</v>
      </c>
      <c r="O224" s="1">
        <v>0.34765629999999997</v>
      </c>
      <c r="P224" t="s">
        <v>7</v>
      </c>
      <c r="Q224" s="1">
        <v>0.5</v>
      </c>
      <c r="R224" t="s">
        <v>8</v>
      </c>
      <c r="S224" s="1">
        <v>0</v>
      </c>
      <c r="T224" s="1">
        <v>0.204722647010256</v>
      </c>
      <c r="U224" s="1">
        <f t="shared" si="9"/>
        <v>0.409445294020512</v>
      </c>
      <c r="W224" t="s">
        <v>4</v>
      </c>
      <c r="X224">
        <v>0</v>
      </c>
      <c r="Y224" t="s">
        <v>5</v>
      </c>
      <c r="Z224">
        <v>222</v>
      </c>
      <c r="AA224" t="s">
        <v>6</v>
      </c>
      <c r="AB224" s="1">
        <v>0.34765629999999997</v>
      </c>
      <c r="AC224" t="s">
        <v>7</v>
      </c>
      <c r="AD224" s="1">
        <v>0.5</v>
      </c>
      <c r="AE224" t="s">
        <v>8</v>
      </c>
      <c r="AF224" s="1">
        <v>0</v>
      </c>
      <c r="AG224" s="1">
        <v>0.204669430650051</v>
      </c>
      <c r="AH224" s="1">
        <f t="shared" si="10"/>
        <v>0.409338861300102</v>
      </c>
      <c r="AJ224" t="s">
        <v>4</v>
      </c>
      <c r="AK224">
        <v>0</v>
      </c>
      <c r="AL224" t="s">
        <v>5</v>
      </c>
      <c r="AM224">
        <v>222</v>
      </c>
      <c r="AN224" t="s">
        <v>6</v>
      </c>
      <c r="AO224" s="1">
        <v>0.34765629999999997</v>
      </c>
      <c r="AP224" t="s">
        <v>7</v>
      </c>
      <c r="AQ224" s="1">
        <v>0.5</v>
      </c>
      <c r="AR224" t="s">
        <v>8</v>
      </c>
      <c r="AS224" s="1">
        <v>0</v>
      </c>
      <c r="AT224" s="1">
        <v>0.20476470263458199</v>
      </c>
      <c r="AU224" s="1">
        <f t="shared" si="11"/>
        <v>0.40952940526916398</v>
      </c>
    </row>
    <row r="225" spans="10:47">
      <c r="J225" t="s">
        <v>4</v>
      </c>
      <c r="K225">
        <v>0</v>
      </c>
      <c r="L225" t="s">
        <v>5</v>
      </c>
      <c r="M225">
        <v>223</v>
      </c>
      <c r="N225" t="s">
        <v>6</v>
      </c>
      <c r="O225" s="1">
        <v>0.3492188</v>
      </c>
      <c r="P225" t="s">
        <v>7</v>
      </c>
      <c r="Q225" s="1">
        <v>0.5</v>
      </c>
      <c r="R225" t="s">
        <v>8</v>
      </c>
      <c r="S225" s="1">
        <v>0</v>
      </c>
      <c r="T225" s="1">
        <v>0.20475792979642901</v>
      </c>
      <c r="U225" s="1">
        <f t="shared" si="9"/>
        <v>0.40951585959285802</v>
      </c>
      <c r="W225" t="s">
        <v>4</v>
      </c>
      <c r="X225">
        <v>0</v>
      </c>
      <c r="Y225" t="s">
        <v>5</v>
      </c>
      <c r="Z225">
        <v>223</v>
      </c>
      <c r="AA225" t="s">
        <v>6</v>
      </c>
      <c r="AB225" s="1">
        <v>0.3492188</v>
      </c>
      <c r="AC225" t="s">
        <v>7</v>
      </c>
      <c r="AD225" s="1">
        <v>0.5</v>
      </c>
      <c r="AE225" t="s">
        <v>8</v>
      </c>
      <c r="AF225" s="1">
        <v>0</v>
      </c>
      <c r="AG225" s="1">
        <v>0.204715311183678</v>
      </c>
      <c r="AH225" s="1">
        <f t="shared" si="10"/>
        <v>0.409430622367356</v>
      </c>
      <c r="AJ225" t="s">
        <v>4</v>
      </c>
      <c r="AK225">
        <v>0</v>
      </c>
      <c r="AL225" t="s">
        <v>5</v>
      </c>
      <c r="AM225">
        <v>223</v>
      </c>
      <c r="AN225" t="s">
        <v>6</v>
      </c>
      <c r="AO225" s="1">
        <v>0.3492188</v>
      </c>
      <c r="AP225" t="s">
        <v>7</v>
      </c>
      <c r="AQ225" s="1">
        <v>0.5</v>
      </c>
      <c r="AR225" t="s">
        <v>8</v>
      </c>
      <c r="AS225" s="1">
        <v>0</v>
      </c>
      <c r="AT225" s="1">
        <v>0.204783767136793</v>
      </c>
      <c r="AU225" s="1">
        <f t="shared" si="11"/>
        <v>0.409567534273586</v>
      </c>
    </row>
    <row r="226" spans="10:47">
      <c r="J226" t="s">
        <v>4</v>
      </c>
      <c r="K226">
        <v>0</v>
      </c>
      <c r="L226" t="s">
        <v>5</v>
      </c>
      <c r="M226">
        <v>224</v>
      </c>
      <c r="N226" t="s">
        <v>6</v>
      </c>
      <c r="O226" s="1">
        <v>0.35078120000000002</v>
      </c>
      <c r="P226" t="s">
        <v>7</v>
      </c>
      <c r="Q226" s="1">
        <v>0.5</v>
      </c>
      <c r="R226" t="s">
        <v>8</v>
      </c>
      <c r="S226" s="1">
        <v>0</v>
      </c>
      <c r="T226" s="1">
        <v>0.20479200217128199</v>
      </c>
      <c r="U226" s="1">
        <f t="shared" si="9"/>
        <v>0.40958400434256398</v>
      </c>
      <c r="W226" t="s">
        <v>4</v>
      </c>
      <c r="X226">
        <v>0</v>
      </c>
      <c r="Y226" t="s">
        <v>5</v>
      </c>
      <c r="Z226">
        <v>224</v>
      </c>
      <c r="AA226" t="s">
        <v>6</v>
      </c>
      <c r="AB226" s="1">
        <v>0.35078120000000002</v>
      </c>
      <c r="AC226" t="s">
        <v>7</v>
      </c>
      <c r="AD226" s="1">
        <v>0.5</v>
      </c>
      <c r="AE226" t="s">
        <v>8</v>
      </c>
      <c r="AF226" s="1">
        <v>0</v>
      </c>
      <c r="AG226" s="1">
        <v>0.20476025528820899</v>
      </c>
      <c r="AH226" s="1">
        <f t="shared" si="10"/>
        <v>0.40952051057641797</v>
      </c>
      <c r="AJ226" t="s">
        <v>4</v>
      </c>
      <c r="AK226">
        <v>0</v>
      </c>
      <c r="AL226" t="s">
        <v>5</v>
      </c>
      <c r="AM226">
        <v>224</v>
      </c>
      <c r="AN226" t="s">
        <v>6</v>
      </c>
      <c r="AO226" s="1">
        <v>0.35078120000000002</v>
      </c>
      <c r="AP226" t="s">
        <v>7</v>
      </c>
      <c r="AQ226" s="1">
        <v>0.5</v>
      </c>
      <c r="AR226" t="s">
        <v>8</v>
      </c>
      <c r="AS226" s="1">
        <v>0</v>
      </c>
      <c r="AT226" s="1">
        <v>0.20480171506046499</v>
      </c>
      <c r="AU226" s="1">
        <f t="shared" si="11"/>
        <v>0.40960343012092998</v>
      </c>
    </row>
    <row r="227" spans="10:47">
      <c r="J227" t="s">
        <v>4</v>
      </c>
      <c r="K227">
        <v>0</v>
      </c>
      <c r="L227" t="s">
        <v>5</v>
      </c>
      <c r="M227">
        <v>225</v>
      </c>
      <c r="N227" t="s">
        <v>6</v>
      </c>
      <c r="O227" s="1">
        <v>0.35234379999999998</v>
      </c>
      <c r="P227" t="s">
        <v>7</v>
      </c>
      <c r="Q227" s="1">
        <v>0.5</v>
      </c>
      <c r="R227" t="s">
        <v>8</v>
      </c>
      <c r="S227" s="1">
        <v>0</v>
      </c>
      <c r="T227" s="1">
        <v>0.204824848378406</v>
      </c>
      <c r="U227" s="1">
        <f t="shared" si="9"/>
        <v>0.40964969675681201</v>
      </c>
      <c r="W227" t="s">
        <v>4</v>
      </c>
      <c r="X227">
        <v>0</v>
      </c>
      <c r="Y227" t="s">
        <v>5</v>
      </c>
      <c r="Z227">
        <v>225</v>
      </c>
      <c r="AA227" t="s">
        <v>6</v>
      </c>
      <c r="AB227" s="1">
        <v>0.35234379999999998</v>
      </c>
      <c r="AC227" t="s">
        <v>7</v>
      </c>
      <c r="AD227" s="1">
        <v>0.5</v>
      </c>
      <c r="AE227" t="s">
        <v>8</v>
      </c>
      <c r="AF227" s="1">
        <v>0</v>
      </c>
      <c r="AG227" s="1">
        <v>0.20480424878644199</v>
      </c>
      <c r="AH227" s="1">
        <f t="shared" si="10"/>
        <v>0.40960849757288398</v>
      </c>
      <c r="AJ227" t="s">
        <v>4</v>
      </c>
      <c r="AK227">
        <v>0</v>
      </c>
      <c r="AL227" t="s">
        <v>5</v>
      </c>
      <c r="AM227">
        <v>225</v>
      </c>
      <c r="AN227" t="s">
        <v>6</v>
      </c>
      <c r="AO227" s="1">
        <v>0.35234379999999998</v>
      </c>
      <c r="AP227" t="s">
        <v>7</v>
      </c>
      <c r="AQ227" s="1">
        <v>0.5</v>
      </c>
      <c r="AR227" t="s">
        <v>8</v>
      </c>
      <c r="AS227" s="1">
        <v>0</v>
      </c>
      <c r="AT227" s="1">
        <v>0.204818525260439</v>
      </c>
      <c r="AU227" s="1">
        <f t="shared" si="11"/>
        <v>0.40963705052087801</v>
      </c>
    </row>
    <row r="228" spans="10:47">
      <c r="J228" t="s">
        <v>4</v>
      </c>
      <c r="K228">
        <v>0</v>
      </c>
      <c r="L228" t="s">
        <v>5</v>
      </c>
      <c r="M228">
        <v>226</v>
      </c>
      <c r="N228" t="s">
        <v>6</v>
      </c>
      <c r="O228" s="1">
        <v>0.3539062</v>
      </c>
      <c r="P228" t="s">
        <v>7</v>
      </c>
      <c r="Q228" s="1">
        <v>0.5</v>
      </c>
      <c r="R228" t="s">
        <v>8</v>
      </c>
      <c r="S228" s="1">
        <v>0</v>
      </c>
      <c r="T228" s="1">
        <v>0.20485645276110001</v>
      </c>
      <c r="U228" s="1">
        <f t="shared" si="9"/>
        <v>0.40971290552220002</v>
      </c>
      <c r="W228" t="s">
        <v>4</v>
      </c>
      <c r="X228">
        <v>0</v>
      </c>
      <c r="Y228" t="s">
        <v>5</v>
      </c>
      <c r="Z228">
        <v>226</v>
      </c>
      <c r="AA228" t="s">
        <v>6</v>
      </c>
      <c r="AB228" s="1">
        <v>0.3539062</v>
      </c>
      <c r="AC228" t="s">
        <v>7</v>
      </c>
      <c r="AD228" s="1">
        <v>0.5</v>
      </c>
      <c r="AE228" t="s">
        <v>8</v>
      </c>
      <c r="AF228" s="1">
        <v>0</v>
      </c>
      <c r="AG228" s="1">
        <v>0.204847277226093</v>
      </c>
      <c r="AH228" s="1">
        <f t="shared" si="10"/>
        <v>0.409694554452186</v>
      </c>
      <c r="AJ228" t="s">
        <v>4</v>
      </c>
      <c r="AK228">
        <v>0</v>
      </c>
      <c r="AL228" t="s">
        <v>5</v>
      </c>
      <c r="AM228">
        <v>226</v>
      </c>
      <c r="AN228" t="s">
        <v>6</v>
      </c>
      <c r="AO228" s="1">
        <v>0.3539062</v>
      </c>
      <c r="AP228" t="s">
        <v>7</v>
      </c>
      <c r="AQ228" s="1">
        <v>0.5</v>
      </c>
      <c r="AR228" t="s">
        <v>8</v>
      </c>
      <c r="AS228" s="1">
        <v>0</v>
      </c>
      <c r="AT228" s="1">
        <v>0.204834176175373</v>
      </c>
      <c r="AU228" s="1">
        <f t="shared" si="11"/>
        <v>0.409668352350746</v>
      </c>
    </row>
    <row r="229" spans="10:47">
      <c r="J229" t="s">
        <v>4</v>
      </c>
      <c r="K229">
        <v>0</v>
      </c>
      <c r="L229" t="s">
        <v>5</v>
      </c>
      <c r="M229">
        <v>227</v>
      </c>
      <c r="N229" t="s">
        <v>6</v>
      </c>
      <c r="O229" s="1">
        <v>0.35546879999999997</v>
      </c>
      <c r="P229" t="s">
        <v>7</v>
      </c>
      <c r="Q229" s="1">
        <v>0.5</v>
      </c>
      <c r="R229" t="s">
        <v>8</v>
      </c>
      <c r="S229" s="1">
        <v>0</v>
      </c>
      <c r="T229" s="1">
        <v>0.20488679981160901</v>
      </c>
      <c r="U229" s="1">
        <f t="shared" si="9"/>
        <v>0.40977359962321802</v>
      </c>
      <c r="W229" t="s">
        <v>4</v>
      </c>
      <c r="X229">
        <v>0</v>
      </c>
      <c r="Y229" t="s">
        <v>5</v>
      </c>
      <c r="Z229">
        <v>227</v>
      </c>
      <c r="AA229" t="s">
        <v>6</v>
      </c>
      <c r="AB229" s="1">
        <v>0.35546879999999997</v>
      </c>
      <c r="AC229" t="s">
        <v>7</v>
      </c>
      <c r="AD229" s="1">
        <v>0.5</v>
      </c>
      <c r="AE229" t="s">
        <v>8</v>
      </c>
      <c r="AF229" s="1">
        <v>0</v>
      </c>
      <c r="AG229" s="1">
        <v>0.204889325920453</v>
      </c>
      <c r="AH229" s="1">
        <f t="shared" si="10"/>
        <v>0.40977865184090601</v>
      </c>
      <c r="AJ229" t="s">
        <v>4</v>
      </c>
      <c r="AK229">
        <v>0</v>
      </c>
      <c r="AL229" t="s">
        <v>5</v>
      </c>
      <c r="AM229">
        <v>227</v>
      </c>
      <c r="AN229" t="s">
        <v>6</v>
      </c>
      <c r="AO229" s="1">
        <v>0.35546879999999997</v>
      </c>
      <c r="AP229" t="s">
        <v>7</v>
      </c>
      <c r="AQ229" s="1">
        <v>0.5</v>
      </c>
      <c r="AR229" t="s">
        <v>8</v>
      </c>
      <c r="AS229" s="1">
        <v>0</v>
      </c>
      <c r="AT229" s="1">
        <v>0.20484864583547999</v>
      </c>
      <c r="AU229" s="1">
        <f t="shared" si="11"/>
        <v>0.40969729167095997</v>
      </c>
    </row>
    <row r="230" spans="10:47">
      <c r="J230" t="s">
        <v>4</v>
      </c>
      <c r="K230">
        <v>0</v>
      </c>
      <c r="L230" t="s">
        <v>5</v>
      </c>
      <c r="M230">
        <v>228</v>
      </c>
      <c r="N230" t="s">
        <v>6</v>
      </c>
      <c r="O230" s="1">
        <v>0.3570313</v>
      </c>
      <c r="P230" t="s">
        <v>7</v>
      </c>
      <c r="Q230" s="1">
        <v>0.5</v>
      </c>
      <c r="R230" t="s">
        <v>8</v>
      </c>
      <c r="S230" s="1">
        <v>0</v>
      </c>
      <c r="T230" s="1">
        <v>0.20491587421953</v>
      </c>
      <c r="U230" s="1">
        <f t="shared" si="9"/>
        <v>0.40983174843906001</v>
      </c>
      <c r="W230" t="s">
        <v>4</v>
      </c>
      <c r="X230">
        <v>0</v>
      </c>
      <c r="Y230" t="s">
        <v>5</v>
      </c>
      <c r="Z230">
        <v>228</v>
      </c>
      <c r="AA230" t="s">
        <v>6</v>
      </c>
      <c r="AB230" s="1">
        <v>0.3570313</v>
      </c>
      <c r="AC230" t="s">
        <v>7</v>
      </c>
      <c r="AD230" s="1">
        <v>0.5</v>
      </c>
      <c r="AE230" t="s">
        <v>8</v>
      </c>
      <c r="AF230" s="1">
        <v>0</v>
      </c>
      <c r="AG230" s="1">
        <v>0.20493037998907199</v>
      </c>
      <c r="AH230" s="1">
        <f t="shared" si="10"/>
        <v>0.40986075997814397</v>
      </c>
      <c r="AJ230" t="s">
        <v>4</v>
      </c>
      <c r="AK230">
        <v>0</v>
      </c>
      <c r="AL230" t="s">
        <v>5</v>
      </c>
      <c r="AM230">
        <v>228</v>
      </c>
      <c r="AN230" t="s">
        <v>6</v>
      </c>
      <c r="AO230" s="1">
        <v>0.3570313</v>
      </c>
      <c r="AP230" t="s">
        <v>7</v>
      </c>
      <c r="AQ230" s="1">
        <v>0.5</v>
      </c>
      <c r="AR230" t="s">
        <v>8</v>
      </c>
      <c r="AS230" s="1">
        <v>0</v>
      </c>
      <c r="AT230" s="1">
        <v>0.20486191187182101</v>
      </c>
      <c r="AU230" s="1">
        <f t="shared" si="11"/>
        <v>0.40972382374364202</v>
      </c>
    </row>
    <row r="231" spans="10:47">
      <c r="J231" t="s">
        <v>4</v>
      </c>
      <c r="K231">
        <v>0</v>
      </c>
      <c r="L231" t="s">
        <v>5</v>
      </c>
      <c r="M231">
        <v>229</v>
      </c>
      <c r="N231" t="s">
        <v>6</v>
      </c>
      <c r="O231" s="1">
        <v>0.35859370000000002</v>
      </c>
      <c r="P231" t="s">
        <v>7</v>
      </c>
      <c r="Q231" s="1">
        <v>0.5</v>
      </c>
      <c r="R231" t="s">
        <v>8</v>
      </c>
      <c r="S231" s="1">
        <v>0</v>
      </c>
      <c r="T231" s="1">
        <v>0.204943660921661</v>
      </c>
      <c r="U231" s="1">
        <f t="shared" si="9"/>
        <v>0.40988732184332199</v>
      </c>
      <c r="W231" t="s">
        <v>4</v>
      </c>
      <c r="X231">
        <v>0</v>
      </c>
      <c r="Y231" t="s">
        <v>5</v>
      </c>
      <c r="Z231">
        <v>229</v>
      </c>
      <c r="AA231" t="s">
        <v>6</v>
      </c>
      <c r="AB231" s="1">
        <v>0.35859370000000002</v>
      </c>
      <c r="AC231" t="s">
        <v>7</v>
      </c>
      <c r="AD231" s="1">
        <v>0.5</v>
      </c>
      <c r="AE231" t="s">
        <v>8</v>
      </c>
      <c r="AF231" s="1">
        <v>0</v>
      </c>
      <c r="AG231" s="1">
        <v>0.204970424398636</v>
      </c>
      <c r="AH231" s="1">
        <f t="shared" si="10"/>
        <v>0.40994084879727199</v>
      </c>
      <c r="AJ231" t="s">
        <v>4</v>
      </c>
      <c r="AK231">
        <v>0</v>
      </c>
      <c r="AL231" t="s">
        <v>5</v>
      </c>
      <c r="AM231">
        <v>229</v>
      </c>
      <c r="AN231" t="s">
        <v>6</v>
      </c>
      <c r="AO231" s="1">
        <v>0.35859370000000002</v>
      </c>
      <c r="AP231" t="s">
        <v>7</v>
      </c>
      <c r="AQ231" s="1">
        <v>0.5</v>
      </c>
      <c r="AR231" t="s">
        <v>8</v>
      </c>
      <c r="AS231" s="1">
        <v>0</v>
      </c>
      <c r="AT231" s="1">
        <v>0.20487395152488699</v>
      </c>
      <c r="AU231" s="1">
        <f t="shared" si="11"/>
        <v>0.40974790304977399</v>
      </c>
    </row>
    <row r="232" spans="10:47">
      <c r="J232" t="s">
        <v>4</v>
      </c>
      <c r="K232">
        <v>0</v>
      </c>
      <c r="L232" t="s">
        <v>5</v>
      </c>
      <c r="M232">
        <v>230</v>
      </c>
      <c r="N232" t="s">
        <v>6</v>
      </c>
      <c r="O232" s="1">
        <v>0.36015629999999998</v>
      </c>
      <c r="P232" t="s">
        <v>7</v>
      </c>
      <c r="Q232" s="1">
        <v>0.5</v>
      </c>
      <c r="R232" t="s">
        <v>8</v>
      </c>
      <c r="S232" s="1">
        <v>0</v>
      </c>
      <c r="T232" s="1">
        <v>0.20497014515057399</v>
      </c>
      <c r="U232" s="1">
        <f t="shared" si="9"/>
        <v>0.40994029030114798</v>
      </c>
      <c r="W232" t="s">
        <v>4</v>
      </c>
      <c r="X232">
        <v>0</v>
      </c>
      <c r="Y232" t="s">
        <v>5</v>
      </c>
      <c r="Z232">
        <v>230</v>
      </c>
      <c r="AA232" t="s">
        <v>6</v>
      </c>
      <c r="AB232" s="1">
        <v>0.36015629999999998</v>
      </c>
      <c r="AC232" t="s">
        <v>7</v>
      </c>
      <c r="AD232" s="1">
        <v>0.5</v>
      </c>
      <c r="AE232" t="s">
        <v>8</v>
      </c>
      <c r="AF232" s="1">
        <v>0</v>
      </c>
      <c r="AG232" s="1">
        <v>0.20500944400392199</v>
      </c>
      <c r="AH232" s="1">
        <f t="shared" si="10"/>
        <v>0.41001888800784397</v>
      </c>
      <c r="AJ232" t="s">
        <v>4</v>
      </c>
      <c r="AK232">
        <v>0</v>
      </c>
      <c r="AL232" t="s">
        <v>5</v>
      </c>
      <c r="AM232">
        <v>230</v>
      </c>
      <c r="AN232" t="s">
        <v>6</v>
      </c>
      <c r="AO232" s="1">
        <v>0.36015629999999998</v>
      </c>
      <c r="AP232" t="s">
        <v>7</v>
      </c>
      <c r="AQ232" s="1">
        <v>0.5</v>
      </c>
      <c r="AR232" t="s">
        <v>8</v>
      </c>
      <c r="AS232" s="1">
        <v>0</v>
      </c>
      <c r="AT232" s="1">
        <v>0.20488474165443099</v>
      </c>
      <c r="AU232" s="1">
        <f t="shared" si="11"/>
        <v>0.40976948330886198</v>
      </c>
    </row>
    <row r="233" spans="10:47">
      <c r="J233" t="s">
        <v>4</v>
      </c>
      <c r="K233">
        <v>0</v>
      </c>
      <c r="L233" t="s">
        <v>5</v>
      </c>
      <c r="M233">
        <v>231</v>
      </c>
      <c r="N233" t="s">
        <v>6</v>
      </c>
      <c r="O233" s="1">
        <v>0.3617187</v>
      </c>
      <c r="P233" t="s">
        <v>7</v>
      </c>
      <c r="Q233" s="1">
        <v>0.5</v>
      </c>
      <c r="R233" t="s">
        <v>8</v>
      </c>
      <c r="S233" s="1">
        <v>0</v>
      </c>
      <c r="T233" s="1">
        <v>0.20499531248393901</v>
      </c>
      <c r="U233" s="1">
        <f t="shared" si="9"/>
        <v>0.40999062496787803</v>
      </c>
      <c r="W233" t="s">
        <v>4</v>
      </c>
      <c r="X233">
        <v>0</v>
      </c>
      <c r="Y233" t="s">
        <v>5</v>
      </c>
      <c r="Z233">
        <v>231</v>
      </c>
      <c r="AA233" t="s">
        <v>6</v>
      </c>
      <c r="AB233" s="1">
        <v>0.3617187</v>
      </c>
      <c r="AC233" t="s">
        <v>7</v>
      </c>
      <c r="AD233" s="1">
        <v>0.5</v>
      </c>
      <c r="AE233" t="s">
        <v>8</v>
      </c>
      <c r="AF233" s="1">
        <v>0</v>
      </c>
      <c r="AG233" s="1">
        <v>0.20504742358865299</v>
      </c>
      <c r="AH233" s="1">
        <f t="shared" si="10"/>
        <v>0.41009484717730599</v>
      </c>
      <c r="AJ233" t="s">
        <v>4</v>
      </c>
      <c r="AK233">
        <v>0</v>
      </c>
      <c r="AL233" t="s">
        <v>5</v>
      </c>
      <c r="AM233">
        <v>231</v>
      </c>
      <c r="AN233" t="s">
        <v>6</v>
      </c>
      <c r="AO233" s="1">
        <v>0.3617187</v>
      </c>
      <c r="AP233" t="s">
        <v>7</v>
      </c>
      <c r="AQ233" s="1">
        <v>0.5</v>
      </c>
      <c r="AR233" t="s">
        <v>8</v>
      </c>
      <c r="AS233" s="1">
        <v>0</v>
      </c>
      <c r="AT233" s="1">
        <v>0.20489425874758799</v>
      </c>
      <c r="AU233" s="1">
        <f t="shared" si="11"/>
        <v>0.40978851749517597</v>
      </c>
    </row>
    <row r="234" spans="10:47">
      <c r="J234" t="s">
        <v>4</v>
      </c>
      <c r="K234">
        <v>0</v>
      </c>
      <c r="L234" t="s">
        <v>5</v>
      </c>
      <c r="M234">
        <v>232</v>
      </c>
      <c r="N234" t="s">
        <v>6</v>
      </c>
      <c r="O234" s="1">
        <v>0.36328120000000003</v>
      </c>
      <c r="P234" t="s">
        <v>7</v>
      </c>
      <c r="Q234" s="1">
        <v>0.5</v>
      </c>
      <c r="R234" t="s">
        <v>8</v>
      </c>
      <c r="S234" s="1">
        <v>0</v>
      </c>
      <c r="T234" s="1">
        <v>0.20501914889397899</v>
      </c>
      <c r="U234" s="1">
        <f t="shared" si="9"/>
        <v>0.41003829778795797</v>
      </c>
      <c r="W234" t="s">
        <v>4</v>
      </c>
      <c r="X234">
        <v>0</v>
      </c>
      <c r="Y234" t="s">
        <v>5</v>
      </c>
      <c r="Z234">
        <v>232</v>
      </c>
      <c r="AA234" t="s">
        <v>6</v>
      </c>
      <c r="AB234" s="1">
        <v>0.36328120000000003</v>
      </c>
      <c r="AC234" t="s">
        <v>7</v>
      </c>
      <c r="AD234" s="1">
        <v>0.5</v>
      </c>
      <c r="AE234" t="s">
        <v>8</v>
      </c>
      <c r="AF234" s="1">
        <v>0</v>
      </c>
      <c r="AG234" s="1">
        <v>0.205084347906831</v>
      </c>
      <c r="AH234" s="1">
        <f t="shared" si="10"/>
        <v>0.410168695813662</v>
      </c>
      <c r="AJ234" t="s">
        <v>4</v>
      </c>
      <c r="AK234">
        <v>0</v>
      </c>
      <c r="AL234" t="s">
        <v>5</v>
      </c>
      <c r="AM234">
        <v>232</v>
      </c>
      <c r="AN234" t="s">
        <v>6</v>
      </c>
      <c r="AO234" s="1">
        <v>0.36328120000000003</v>
      </c>
      <c r="AP234" t="s">
        <v>7</v>
      </c>
      <c r="AQ234" s="1">
        <v>0.5</v>
      </c>
      <c r="AR234" t="s">
        <v>8</v>
      </c>
      <c r="AS234" s="1">
        <v>0</v>
      </c>
      <c r="AT234" s="1">
        <v>0.20490247892748301</v>
      </c>
      <c r="AU234" s="1">
        <f t="shared" si="11"/>
        <v>0.40980495785496601</v>
      </c>
    </row>
    <row r="235" spans="10:47">
      <c r="J235" t="s">
        <v>4</v>
      </c>
      <c r="K235">
        <v>0</v>
      </c>
      <c r="L235" t="s">
        <v>5</v>
      </c>
      <c r="M235">
        <v>233</v>
      </c>
      <c r="N235" t="s">
        <v>6</v>
      </c>
      <c r="O235" s="1">
        <v>0.3648438</v>
      </c>
      <c r="P235" t="s">
        <v>7</v>
      </c>
      <c r="Q235" s="1">
        <v>0.5</v>
      </c>
      <c r="R235" t="s">
        <v>8</v>
      </c>
      <c r="S235" s="1">
        <v>0</v>
      </c>
      <c r="T235" s="1">
        <v>0.20504164079618001</v>
      </c>
      <c r="U235" s="1">
        <f t="shared" si="9"/>
        <v>0.41008328159236002</v>
      </c>
      <c r="W235" t="s">
        <v>4</v>
      </c>
      <c r="X235">
        <v>0</v>
      </c>
      <c r="Y235" t="s">
        <v>5</v>
      </c>
      <c r="Z235">
        <v>233</v>
      </c>
      <c r="AA235" t="s">
        <v>6</v>
      </c>
      <c r="AB235" s="1">
        <v>0.3648438</v>
      </c>
      <c r="AC235" t="s">
        <v>7</v>
      </c>
      <c r="AD235" s="1">
        <v>0.5</v>
      </c>
      <c r="AE235" t="s">
        <v>8</v>
      </c>
      <c r="AF235" s="1">
        <v>0</v>
      </c>
      <c r="AG235" s="1">
        <v>0.205120201723379</v>
      </c>
      <c r="AH235" s="1">
        <f t="shared" si="10"/>
        <v>0.410240403446758</v>
      </c>
      <c r="AJ235" t="s">
        <v>4</v>
      </c>
      <c r="AK235">
        <v>0</v>
      </c>
      <c r="AL235" t="s">
        <v>5</v>
      </c>
      <c r="AM235">
        <v>233</v>
      </c>
      <c r="AN235" t="s">
        <v>6</v>
      </c>
      <c r="AO235" s="1">
        <v>0.3648438</v>
      </c>
      <c r="AP235" t="s">
        <v>7</v>
      </c>
      <c r="AQ235" s="1">
        <v>0.5</v>
      </c>
      <c r="AR235" t="s">
        <v>8</v>
      </c>
      <c r="AS235" s="1">
        <v>0</v>
      </c>
      <c r="AT235" s="1">
        <v>0.204909377963572</v>
      </c>
      <c r="AU235" s="1">
        <f t="shared" si="11"/>
        <v>0.40981875592714401</v>
      </c>
    </row>
    <row r="236" spans="10:47">
      <c r="J236" t="s">
        <v>4</v>
      </c>
      <c r="K236">
        <v>0</v>
      </c>
      <c r="L236" t="s">
        <v>5</v>
      </c>
      <c r="M236">
        <v>234</v>
      </c>
      <c r="N236" t="s">
        <v>6</v>
      </c>
      <c r="O236" s="1">
        <v>0.36640620000000002</v>
      </c>
      <c r="P236" t="s">
        <v>7</v>
      </c>
      <c r="Q236" s="1">
        <v>0.5</v>
      </c>
      <c r="R236" t="s">
        <v>8</v>
      </c>
      <c r="S236" s="1">
        <v>0</v>
      </c>
      <c r="T236" s="1">
        <v>0.20506277509916701</v>
      </c>
      <c r="U236" s="1">
        <f t="shared" si="9"/>
        <v>0.41012555019833402</v>
      </c>
      <c r="W236" t="s">
        <v>4</v>
      </c>
      <c r="X236">
        <v>0</v>
      </c>
      <c r="Y236" t="s">
        <v>5</v>
      </c>
      <c r="Z236">
        <v>234</v>
      </c>
      <c r="AA236" t="s">
        <v>6</v>
      </c>
      <c r="AB236" s="1">
        <v>0.36640620000000002</v>
      </c>
      <c r="AC236" t="s">
        <v>7</v>
      </c>
      <c r="AD236" s="1">
        <v>0.5</v>
      </c>
      <c r="AE236" t="s">
        <v>8</v>
      </c>
      <c r="AF236" s="1">
        <v>0</v>
      </c>
      <c r="AG236" s="1">
        <v>0.205154969855915</v>
      </c>
      <c r="AH236" s="1">
        <f t="shared" si="10"/>
        <v>0.41030993971183</v>
      </c>
      <c r="AJ236" t="s">
        <v>4</v>
      </c>
      <c r="AK236">
        <v>0</v>
      </c>
      <c r="AL236" t="s">
        <v>5</v>
      </c>
      <c r="AM236">
        <v>234</v>
      </c>
      <c r="AN236" t="s">
        <v>6</v>
      </c>
      <c r="AO236" s="1">
        <v>0.36640620000000002</v>
      </c>
      <c r="AP236" t="s">
        <v>7</v>
      </c>
      <c r="AQ236" s="1">
        <v>0.5</v>
      </c>
      <c r="AR236" t="s">
        <v>8</v>
      </c>
      <c r="AS236" s="1">
        <v>0</v>
      </c>
      <c r="AT236" s="1">
        <v>0.20491493127931601</v>
      </c>
      <c r="AU236" s="1">
        <f t="shared" si="11"/>
        <v>0.40982986255863202</v>
      </c>
    </row>
    <row r="237" spans="10:47">
      <c r="J237" t="s">
        <v>4</v>
      </c>
      <c r="K237">
        <v>0</v>
      </c>
      <c r="L237" t="s">
        <v>5</v>
      </c>
      <c r="M237">
        <v>235</v>
      </c>
      <c r="N237" t="s">
        <v>6</v>
      </c>
      <c r="O237" s="1">
        <v>0.36796879999999998</v>
      </c>
      <c r="P237" t="s">
        <v>7</v>
      </c>
      <c r="Q237" s="1">
        <v>0.5</v>
      </c>
      <c r="R237" t="s">
        <v>8</v>
      </c>
      <c r="S237" s="1">
        <v>0</v>
      </c>
      <c r="T237" s="1">
        <v>0.20508253925381301</v>
      </c>
      <c r="U237" s="1">
        <f t="shared" si="9"/>
        <v>0.41016507850762601</v>
      </c>
      <c r="W237" t="s">
        <v>4</v>
      </c>
      <c r="X237">
        <v>0</v>
      </c>
      <c r="Y237" t="s">
        <v>5</v>
      </c>
      <c r="Z237">
        <v>235</v>
      </c>
      <c r="AA237" t="s">
        <v>6</v>
      </c>
      <c r="AB237" s="1">
        <v>0.36796879999999998</v>
      </c>
      <c r="AC237" t="s">
        <v>7</v>
      </c>
      <c r="AD237" s="1">
        <v>0.5</v>
      </c>
      <c r="AE237" t="s">
        <v>8</v>
      </c>
      <c r="AF237" s="1">
        <v>0</v>
      </c>
      <c r="AG237" s="1">
        <v>0.20518863721619399</v>
      </c>
      <c r="AH237" s="1">
        <f t="shared" si="10"/>
        <v>0.41037727443238797</v>
      </c>
      <c r="AJ237" t="s">
        <v>4</v>
      </c>
      <c r="AK237">
        <v>0</v>
      </c>
      <c r="AL237" t="s">
        <v>5</v>
      </c>
      <c r="AM237">
        <v>235</v>
      </c>
      <c r="AN237" t="s">
        <v>6</v>
      </c>
      <c r="AO237" s="1">
        <v>0.36796879999999998</v>
      </c>
      <c r="AP237" t="s">
        <v>7</v>
      </c>
      <c r="AQ237" s="1">
        <v>0.5</v>
      </c>
      <c r="AR237" t="s">
        <v>8</v>
      </c>
      <c r="AS237" s="1">
        <v>0</v>
      </c>
      <c r="AT237" s="1">
        <v>0.20491911396322399</v>
      </c>
      <c r="AU237" s="1">
        <f t="shared" si="11"/>
        <v>0.40983822792644797</v>
      </c>
    </row>
    <row r="238" spans="10:47">
      <c r="J238" t="s">
        <v>4</v>
      </c>
      <c r="K238">
        <v>0</v>
      </c>
      <c r="L238" t="s">
        <v>5</v>
      </c>
      <c r="M238">
        <v>236</v>
      </c>
      <c r="N238" t="s">
        <v>6</v>
      </c>
      <c r="O238" s="1">
        <v>0.3695312</v>
      </c>
      <c r="P238" t="s">
        <v>7</v>
      </c>
      <c r="Q238" s="1">
        <v>0.5</v>
      </c>
      <c r="R238" t="s">
        <v>8</v>
      </c>
      <c r="S238" s="1">
        <v>0</v>
      </c>
      <c r="T238" s="1">
        <v>0.20510092130259899</v>
      </c>
      <c r="U238" s="1">
        <f t="shared" si="9"/>
        <v>0.41020184260519799</v>
      </c>
      <c r="W238" t="s">
        <v>4</v>
      </c>
      <c r="X238">
        <v>0</v>
      </c>
      <c r="Y238" t="s">
        <v>5</v>
      </c>
      <c r="Z238">
        <v>236</v>
      </c>
      <c r="AA238" t="s">
        <v>6</v>
      </c>
      <c r="AB238" s="1">
        <v>0.3695312</v>
      </c>
      <c r="AC238" t="s">
        <v>7</v>
      </c>
      <c r="AD238" s="1">
        <v>0.5</v>
      </c>
      <c r="AE238" t="s">
        <v>8</v>
      </c>
      <c r="AF238" s="1">
        <v>0</v>
      </c>
      <c r="AG238" s="1">
        <v>0.20522118885101401</v>
      </c>
      <c r="AH238" s="1">
        <f t="shared" si="10"/>
        <v>0.41044237770202802</v>
      </c>
      <c r="AJ238" t="s">
        <v>4</v>
      </c>
      <c r="AK238">
        <v>0</v>
      </c>
      <c r="AL238" t="s">
        <v>5</v>
      </c>
      <c r="AM238">
        <v>236</v>
      </c>
      <c r="AN238" t="s">
        <v>6</v>
      </c>
      <c r="AO238" s="1">
        <v>0.3695312</v>
      </c>
      <c r="AP238" t="s">
        <v>7</v>
      </c>
      <c r="AQ238" s="1">
        <v>0.5</v>
      </c>
      <c r="AR238" t="s">
        <v>8</v>
      </c>
      <c r="AS238" s="1">
        <v>0</v>
      </c>
      <c r="AT238" s="1">
        <v>0.20492190077622999</v>
      </c>
      <c r="AU238" s="1">
        <f t="shared" si="11"/>
        <v>0.40984380155245997</v>
      </c>
    </row>
    <row r="239" spans="10:47">
      <c r="J239" t="s">
        <v>4</v>
      </c>
      <c r="K239">
        <v>0</v>
      </c>
      <c r="L239" t="s">
        <v>5</v>
      </c>
      <c r="M239">
        <v>237</v>
      </c>
      <c r="N239" t="s">
        <v>6</v>
      </c>
      <c r="O239" s="1">
        <v>0.37109379999999997</v>
      </c>
      <c r="P239" t="s">
        <v>7</v>
      </c>
      <c r="Q239" s="1">
        <v>0.5</v>
      </c>
      <c r="R239" t="s">
        <v>8</v>
      </c>
      <c r="S239" s="1">
        <v>0</v>
      </c>
      <c r="T239" s="1">
        <v>0.20511790992947601</v>
      </c>
      <c r="U239" s="1">
        <f t="shared" si="9"/>
        <v>0.41023581985895202</v>
      </c>
      <c r="W239" t="s">
        <v>4</v>
      </c>
      <c r="X239">
        <v>0</v>
      </c>
      <c r="Y239" t="s">
        <v>5</v>
      </c>
      <c r="Z239">
        <v>237</v>
      </c>
      <c r="AA239" t="s">
        <v>6</v>
      </c>
      <c r="AB239" s="1">
        <v>0.37109379999999997</v>
      </c>
      <c r="AC239" t="s">
        <v>7</v>
      </c>
      <c r="AD239" s="1">
        <v>0.5</v>
      </c>
      <c r="AE239" t="s">
        <v>8</v>
      </c>
      <c r="AF239" s="1">
        <v>0</v>
      </c>
      <c r="AG239" s="1">
        <v>0.20525260998413999</v>
      </c>
      <c r="AH239" s="1">
        <f t="shared" si="10"/>
        <v>0.41050521996827999</v>
      </c>
      <c r="AJ239" t="s">
        <v>4</v>
      </c>
      <c r="AK239">
        <v>0</v>
      </c>
      <c r="AL239" t="s">
        <v>5</v>
      </c>
      <c r="AM239">
        <v>237</v>
      </c>
      <c r="AN239" t="s">
        <v>6</v>
      </c>
      <c r="AO239" s="1">
        <v>0.37109379999999997</v>
      </c>
      <c r="AP239" t="s">
        <v>7</v>
      </c>
      <c r="AQ239" s="1">
        <v>0.5</v>
      </c>
      <c r="AR239" t="s">
        <v>8</v>
      </c>
      <c r="AS239" s="1">
        <v>0</v>
      </c>
      <c r="AT239" s="1">
        <v>0.20492326616120801</v>
      </c>
      <c r="AU239" s="1">
        <f t="shared" si="11"/>
        <v>0.40984653232241602</v>
      </c>
    </row>
    <row r="240" spans="10:47">
      <c r="J240" t="s">
        <v>4</v>
      </c>
      <c r="K240">
        <v>0</v>
      </c>
      <c r="L240" t="s">
        <v>5</v>
      </c>
      <c r="M240">
        <v>238</v>
      </c>
      <c r="N240" t="s">
        <v>6</v>
      </c>
      <c r="O240" s="1">
        <v>0.37265619999999999</v>
      </c>
      <c r="P240" t="s">
        <v>7</v>
      </c>
      <c r="Q240" s="1">
        <v>0.5</v>
      </c>
      <c r="R240" t="s">
        <v>8</v>
      </c>
      <c r="S240" s="1">
        <v>0</v>
      </c>
      <c r="T240" s="1">
        <v>0.20513349450860799</v>
      </c>
      <c r="U240" s="1">
        <f t="shared" si="9"/>
        <v>0.41026698901721598</v>
      </c>
      <c r="W240" t="s">
        <v>4</v>
      </c>
      <c r="X240">
        <v>0</v>
      </c>
      <c r="Y240" t="s">
        <v>5</v>
      </c>
      <c r="Z240">
        <v>238</v>
      </c>
      <c r="AA240" t="s">
        <v>6</v>
      </c>
      <c r="AB240" s="1">
        <v>0.37265619999999999</v>
      </c>
      <c r="AC240" t="s">
        <v>7</v>
      </c>
      <c r="AD240" s="1">
        <v>0.5</v>
      </c>
      <c r="AE240" t="s">
        <v>8</v>
      </c>
      <c r="AF240" s="1">
        <v>0</v>
      </c>
      <c r="AG240" s="1">
        <v>0.205282886057816</v>
      </c>
      <c r="AH240" s="1">
        <f t="shared" si="10"/>
        <v>0.410565772115632</v>
      </c>
      <c r="AJ240" t="s">
        <v>4</v>
      </c>
      <c r="AK240">
        <v>0</v>
      </c>
      <c r="AL240" t="s">
        <v>5</v>
      </c>
      <c r="AM240">
        <v>238</v>
      </c>
      <c r="AN240" t="s">
        <v>6</v>
      </c>
      <c r="AO240" s="1">
        <v>0.37265619999999999</v>
      </c>
      <c r="AP240" t="s">
        <v>7</v>
      </c>
      <c r="AQ240" s="1">
        <v>0.5</v>
      </c>
      <c r="AR240" t="s">
        <v>8</v>
      </c>
      <c r="AS240" s="1">
        <v>0</v>
      </c>
      <c r="AT240" s="1">
        <v>0.20492318425409101</v>
      </c>
      <c r="AU240" s="1">
        <f t="shared" si="11"/>
        <v>0.40984636850818201</v>
      </c>
    </row>
    <row r="241" spans="10:47">
      <c r="J241" t="s">
        <v>4</v>
      </c>
      <c r="K241">
        <v>0</v>
      </c>
      <c r="L241" t="s">
        <v>5</v>
      </c>
      <c r="M241">
        <v>239</v>
      </c>
      <c r="N241" t="s">
        <v>6</v>
      </c>
      <c r="O241" s="1">
        <v>0.37421870000000002</v>
      </c>
      <c r="P241" t="s">
        <v>7</v>
      </c>
      <c r="Q241" s="1">
        <v>0.5</v>
      </c>
      <c r="R241" t="s">
        <v>8</v>
      </c>
      <c r="S241" s="1">
        <v>0</v>
      </c>
      <c r="T241" s="1">
        <v>0.20514766515465299</v>
      </c>
      <c r="U241" s="1">
        <f t="shared" si="9"/>
        <v>0.41029533030930598</v>
      </c>
      <c r="W241" t="s">
        <v>4</v>
      </c>
      <c r="X241">
        <v>0</v>
      </c>
      <c r="Y241" t="s">
        <v>5</v>
      </c>
      <c r="Z241">
        <v>239</v>
      </c>
      <c r="AA241" t="s">
        <v>6</v>
      </c>
      <c r="AB241" s="1">
        <v>0.37421870000000002</v>
      </c>
      <c r="AC241" t="s">
        <v>7</v>
      </c>
      <c r="AD241" s="1">
        <v>0.5</v>
      </c>
      <c r="AE241" t="s">
        <v>8</v>
      </c>
      <c r="AF241" s="1">
        <v>0</v>
      </c>
      <c r="AG241" s="1">
        <v>0.20531200277457901</v>
      </c>
      <c r="AH241" s="1">
        <f t="shared" si="10"/>
        <v>0.41062400554915801</v>
      </c>
      <c r="AJ241" t="s">
        <v>4</v>
      </c>
      <c r="AK241">
        <v>0</v>
      </c>
      <c r="AL241" t="s">
        <v>5</v>
      </c>
      <c r="AM241">
        <v>239</v>
      </c>
      <c r="AN241" t="s">
        <v>6</v>
      </c>
      <c r="AO241" s="1">
        <v>0.37421870000000002</v>
      </c>
      <c r="AP241" t="s">
        <v>7</v>
      </c>
      <c r="AQ241" s="1">
        <v>0.5</v>
      </c>
      <c r="AR241" t="s">
        <v>8</v>
      </c>
      <c r="AS241" s="1">
        <v>0</v>
      </c>
      <c r="AT241" s="1">
        <v>0.204921628891191</v>
      </c>
      <c r="AU241" s="1">
        <f t="shared" si="11"/>
        <v>0.40984325778238201</v>
      </c>
    </row>
    <row r="242" spans="10:47">
      <c r="J242" t="s">
        <v>4</v>
      </c>
      <c r="K242">
        <v>0</v>
      </c>
      <c r="L242" t="s">
        <v>5</v>
      </c>
      <c r="M242">
        <v>240</v>
      </c>
      <c r="N242" t="s">
        <v>6</v>
      </c>
      <c r="O242" s="1">
        <v>0.37578129999999998</v>
      </c>
      <c r="P242" t="s">
        <v>7</v>
      </c>
      <c r="Q242" s="1">
        <v>0.5</v>
      </c>
      <c r="R242" t="s">
        <v>8</v>
      </c>
      <c r="S242" s="1">
        <v>0</v>
      </c>
      <c r="T242" s="1">
        <v>0.20515437326450101</v>
      </c>
      <c r="U242" s="1">
        <f t="shared" si="9"/>
        <v>0.41030874652900201</v>
      </c>
      <c r="W242" t="s">
        <v>4</v>
      </c>
      <c r="X242">
        <v>0</v>
      </c>
      <c r="Y242" t="s">
        <v>5</v>
      </c>
      <c r="Z242">
        <v>240</v>
      </c>
      <c r="AA242" t="s">
        <v>6</v>
      </c>
      <c r="AB242" s="1">
        <v>0.37578129999999998</v>
      </c>
      <c r="AC242" t="s">
        <v>7</v>
      </c>
      <c r="AD242" s="1">
        <v>0.5</v>
      </c>
      <c r="AE242" t="s">
        <v>8</v>
      </c>
      <c r="AF242" s="1">
        <v>0</v>
      </c>
      <c r="AG242" s="1">
        <v>0.20531157170671399</v>
      </c>
      <c r="AH242" s="1">
        <f t="shared" si="10"/>
        <v>0.41062314341342798</v>
      </c>
      <c r="AJ242" t="s">
        <v>4</v>
      </c>
      <c r="AK242">
        <v>0</v>
      </c>
      <c r="AL242" t="s">
        <v>5</v>
      </c>
      <c r="AM242">
        <v>240</v>
      </c>
      <c r="AN242" t="s">
        <v>6</v>
      </c>
      <c r="AO242" s="1">
        <v>0.37578129999999998</v>
      </c>
      <c r="AP242" t="s">
        <v>7</v>
      </c>
      <c r="AQ242" s="1">
        <v>0.5</v>
      </c>
      <c r="AR242" t="s">
        <v>8</v>
      </c>
      <c r="AS242" s="1">
        <v>0</v>
      </c>
      <c r="AT242" s="1">
        <v>0.204946964393806</v>
      </c>
      <c r="AU242" s="1">
        <f t="shared" si="11"/>
        <v>0.40989392878761199</v>
      </c>
    </row>
    <row r="243" spans="10:47">
      <c r="J243" t="s">
        <v>4</v>
      </c>
      <c r="K243">
        <v>0</v>
      </c>
      <c r="L243" t="s">
        <v>5</v>
      </c>
      <c r="M243">
        <v>241</v>
      </c>
      <c r="N243" t="s">
        <v>6</v>
      </c>
      <c r="O243" s="1">
        <v>0.3773437</v>
      </c>
      <c r="P243" t="s">
        <v>7</v>
      </c>
      <c r="Q243" s="1">
        <v>0.5</v>
      </c>
      <c r="R243" t="s">
        <v>8</v>
      </c>
      <c r="S243" s="1">
        <v>0</v>
      </c>
      <c r="T243" s="1">
        <v>0.20515432845134801</v>
      </c>
      <c r="U243" s="1">
        <f t="shared" si="9"/>
        <v>0.41030865690269602</v>
      </c>
      <c r="W243" t="s">
        <v>4</v>
      </c>
      <c r="X243">
        <v>0</v>
      </c>
      <c r="Y243" t="s">
        <v>5</v>
      </c>
      <c r="Z243">
        <v>241</v>
      </c>
      <c r="AA243" t="s">
        <v>6</v>
      </c>
      <c r="AB243" s="1">
        <v>0.3773437</v>
      </c>
      <c r="AC243" t="s">
        <v>7</v>
      </c>
      <c r="AD243" s="1">
        <v>0.5</v>
      </c>
      <c r="AE243" t="s">
        <v>8</v>
      </c>
      <c r="AF243" s="1">
        <v>0</v>
      </c>
      <c r="AG243" s="1">
        <v>0.20528134880627499</v>
      </c>
      <c r="AH243" s="1">
        <f t="shared" si="10"/>
        <v>0.41056269761254999</v>
      </c>
      <c r="AJ243" t="s">
        <v>4</v>
      </c>
      <c r="AK243">
        <v>0</v>
      </c>
      <c r="AL243" t="s">
        <v>5</v>
      </c>
      <c r="AM243">
        <v>241</v>
      </c>
      <c r="AN243" t="s">
        <v>6</v>
      </c>
      <c r="AO243" s="1">
        <v>0.3773437</v>
      </c>
      <c r="AP243" t="s">
        <v>7</v>
      </c>
      <c r="AQ243" s="1">
        <v>0.5</v>
      </c>
      <c r="AR243" t="s">
        <v>8</v>
      </c>
      <c r="AS243" s="1">
        <v>0</v>
      </c>
      <c r="AT243" s="1">
        <v>0.20499985331367199</v>
      </c>
      <c r="AU243" s="1">
        <f t="shared" si="11"/>
        <v>0.40999970662734397</v>
      </c>
    </row>
    <row r="244" spans="10:47">
      <c r="J244" t="s">
        <v>4</v>
      </c>
      <c r="K244">
        <v>0</v>
      </c>
      <c r="L244" t="s">
        <v>5</v>
      </c>
      <c r="M244">
        <v>242</v>
      </c>
      <c r="N244" t="s">
        <v>6</v>
      </c>
      <c r="O244" s="1">
        <v>0.37890620000000003</v>
      </c>
      <c r="P244" t="s">
        <v>7</v>
      </c>
      <c r="Q244" s="1">
        <v>0.5</v>
      </c>
      <c r="R244" t="s">
        <v>8</v>
      </c>
      <c r="S244" s="1">
        <v>0</v>
      </c>
      <c r="T244" s="1">
        <v>0.20515383717774299</v>
      </c>
      <c r="U244" s="1">
        <f t="shared" si="9"/>
        <v>0.41030767435548599</v>
      </c>
      <c r="W244" t="s">
        <v>4</v>
      </c>
      <c r="X244">
        <v>0</v>
      </c>
      <c r="Y244" t="s">
        <v>5</v>
      </c>
      <c r="Z244">
        <v>242</v>
      </c>
      <c r="AA244" t="s">
        <v>6</v>
      </c>
      <c r="AB244" s="1">
        <v>0.37890620000000003</v>
      </c>
      <c r="AC244" t="s">
        <v>7</v>
      </c>
      <c r="AD244" s="1">
        <v>0.5</v>
      </c>
      <c r="AE244" t="s">
        <v>8</v>
      </c>
      <c r="AF244" s="1">
        <v>0</v>
      </c>
      <c r="AG244" s="1">
        <v>0.20524958752417799</v>
      </c>
      <c r="AH244" s="1">
        <f t="shared" si="10"/>
        <v>0.41049917504835598</v>
      </c>
      <c r="AJ244" t="s">
        <v>4</v>
      </c>
      <c r="AK244">
        <v>0</v>
      </c>
      <c r="AL244" t="s">
        <v>5</v>
      </c>
      <c r="AM244">
        <v>242</v>
      </c>
      <c r="AN244" t="s">
        <v>6</v>
      </c>
      <c r="AO244" s="1">
        <v>0.37890620000000003</v>
      </c>
      <c r="AP244" t="s">
        <v>7</v>
      </c>
      <c r="AQ244" s="1">
        <v>0.5</v>
      </c>
      <c r="AR244" t="s">
        <v>8</v>
      </c>
      <c r="AS244" s="1">
        <v>0</v>
      </c>
      <c r="AT244" s="1">
        <v>0.205052190090421</v>
      </c>
      <c r="AU244" s="1">
        <f t="shared" si="11"/>
        <v>0.410104380180842</v>
      </c>
    </row>
    <row r="245" spans="10:47">
      <c r="J245" t="s">
        <v>4</v>
      </c>
      <c r="K245">
        <v>0</v>
      </c>
      <c r="L245" t="s">
        <v>5</v>
      </c>
      <c r="M245">
        <v>243</v>
      </c>
      <c r="N245" t="s">
        <v>6</v>
      </c>
      <c r="O245" s="1">
        <v>0.38046869999999999</v>
      </c>
      <c r="P245" t="s">
        <v>7</v>
      </c>
      <c r="Q245" s="1">
        <v>0.5</v>
      </c>
      <c r="R245" t="s">
        <v>8</v>
      </c>
      <c r="S245" s="1">
        <v>0</v>
      </c>
      <c r="T245" s="1">
        <v>0.20515286522652801</v>
      </c>
      <c r="U245" s="1">
        <f t="shared" si="9"/>
        <v>0.41030573045305602</v>
      </c>
      <c r="W245" t="s">
        <v>4</v>
      </c>
      <c r="X245">
        <v>0</v>
      </c>
      <c r="Y245" t="s">
        <v>5</v>
      </c>
      <c r="Z245">
        <v>243</v>
      </c>
      <c r="AA245" t="s">
        <v>6</v>
      </c>
      <c r="AB245" s="1">
        <v>0.38046869999999999</v>
      </c>
      <c r="AC245" t="s">
        <v>7</v>
      </c>
      <c r="AD245" s="1">
        <v>0.5</v>
      </c>
      <c r="AE245" t="s">
        <v>8</v>
      </c>
      <c r="AF245" s="1">
        <v>0</v>
      </c>
      <c r="AG245" s="1">
        <v>0.20521625930045101</v>
      </c>
      <c r="AH245" s="1">
        <f t="shared" si="10"/>
        <v>0.41043251860090202</v>
      </c>
      <c r="AJ245" t="s">
        <v>4</v>
      </c>
      <c r="AK245">
        <v>0</v>
      </c>
      <c r="AL245" t="s">
        <v>5</v>
      </c>
      <c r="AM245">
        <v>243</v>
      </c>
      <c r="AN245" t="s">
        <v>6</v>
      </c>
      <c r="AO245" s="1">
        <v>0.38046869999999999</v>
      </c>
      <c r="AP245" t="s">
        <v>7</v>
      </c>
      <c r="AQ245" s="1">
        <v>0.5</v>
      </c>
      <c r="AR245" t="s">
        <v>8</v>
      </c>
      <c r="AS245" s="1">
        <v>0</v>
      </c>
      <c r="AT245" s="1">
        <v>0.205103984767672</v>
      </c>
      <c r="AU245" s="1">
        <f t="shared" si="11"/>
        <v>0.410207969535344</v>
      </c>
    </row>
    <row r="246" spans="10:47">
      <c r="J246" t="s">
        <v>4</v>
      </c>
      <c r="K246">
        <v>0</v>
      </c>
      <c r="L246" t="s">
        <v>5</v>
      </c>
      <c r="M246">
        <v>244</v>
      </c>
      <c r="N246" t="s">
        <v>6</v>
      </c>
      <c r="O246" s="1">
        <v>0.38203120000000002</v>
      </c>
      <c r="P246" t="s">
        <v>7</v>
      </c>
      <c r="Q246" s="1">
        <v>0.5</v>
      </c>
      <c r="R246" t="s">
        <v>8</v>
      </c>
      <c r="S246" s="1">
        <v>0</v>
      </c>
      <c r="T246" s="1">
        <v>0.20515137831990099</v>
      </c>
      <c r="U246" s="1">
        <f t="shared" si="9"/>
        <v>0.41030275663980198</v>
      </c>
      <c r="W246" t="s">
        <v>4</v>
      </c>
      <c r="X246">
        <v>0</v>
      </c>
      <c r="Y246" t="s">
        <v>5</v>
      </c>
      <c r="Z246">
        <v>244</v>
      </c>
      <c r="AA246" t="s">
        <v>6</v>
      </c>
      <c r="AB246" s="1">
        <v>0.38203120000000002</v>
      </c>
      <c r="AC246" t="s">
        <v>7</v>
      </c>
      <c r="AD246" s="1">
        <v>0.5</v>
      </c>
      <c r="AE246" t="s">
        <v>8</v>
      </c>
      <c r="AF246" s="1">
        <v>0</v>
      </c>
      <c r="AG246" s="1">
        <v>0.20518133694723201</v>
      </c>
      <c r="AH246" s="1">
        <f t="shared" si="10"/>
        <v>0.41036267389446401</v>
      </c>
      <c r="AJ246" t="s">
        <v>4</v>
      </c>
      <c r="AK246">
        <v>0</v>
      </c>
      <c r="AL246" t="s">
        <v>5</v>
      </c>
      <c r="AM246">
        <v>244</v>
      </c>
      <c r="AN246" t="s">
        <v>6</v>
      </c>
      <c r="AO246" s="1">
        <v>0.38203120000000002</v>
      </c>
      <c r="AP246" t="s">
        <v>7</v>
      </c>
      <c r="AQ246" s="1">
        <v>0.5</v>
      </c>
      <c r="AR246" t="s">
        <v>8</v>
      </c>
      <c r="AS246" s="1">
        <v>0</v>
      </c>
      <c r="AT246" s="1">
        <v>0.205155249205414</v>
      </c>
      <c r="AU246" s="1">
        <f t="shared" si="11"/>
        <v>0.41031049841082801</v>
      </c>
    </row>
    <row r="247" spans="10:47">
      <c r="J247" t="s">
        <v>4</v>
      </c>
      <c r="K247">
        <v>0</v>
      </c>
      <c r="L247" t="s">
        <v>5</v>
      </c>
      <c r="M247">
        <v>245</v>
      </c>
      <c r="N247" t="s">
        <v>6</v>
      </c>
      <c r="O247" s="1">
        <v>0.38359379999999998</v>
      </c>
      <c r="P247" t="s">
        <v>7</v>
      </c>
      <c r="Q247" s="1">
        <v>0.5</v>
      </c>
      <c r="R247" t="s">
        <v>8</v>
      </c>
      <c r="S247" s="1">
        <v>0</v>
      </c>
      <c r="T247" s="1">
        <v>0.20514934233489701</v>
      </c>
      <c r="U247" s="1">
        <f t="shared" si="9"/>
        <v>0.41029868466979402</v>
      </c>
      <c r="W247" t="s">
        <v>4</v>
      </c>
      <c r="X247">
        <v>0</v>
      </c>
      <c r="Y247" t="s">
        <v>5</v>
      </c>
      <c r="Z247">
        <v>245</v>
      </c>
      <c r="AA247" t="s">
        <v>6</v>
      </c>
      <c r="AB247" s="1">
        <v>0.38359379999999998</v>
      </c>
      <c r="AC247" t="s">
        <v>7</v>
      </c>
      <c r="AD247" s="1">
        <v>0.5</v>
      </c>
      <c r="AE247" t="s">
        <v>8</v>
      </c>
      <c r="AF247" s="1">
        <v>0</v>
      </c>
      <c r="AG247" s="1">
        <v>0.20514479510485401</v>
      </c>
      <c r="AH247" s="1">
        <f t="shared" si="10"/>
        <v>0.41028959020970801</v>
      </c>
      <c r="AJ247" t="s">
        <v>4</v>
      </c>
      <c r="AK247">
        <v>0</v>
      </c>
      <c r="AL247" t="s">
        <v>5</v>
      </c>
      <c r="AM247">
        <v>245</v>
      </c>
      <c r="AN247" t="s">
        <v>6</v>
      </c>
      <c r="AO247" s="1">
        <v>0.38359379999999998</v>
      </c>
      <c r="AP247" t="s">
        <v>7</v>
      </c>
      <c r="AQ247" s="1">
        <v>0.5</v>
      </c>
      <c r="AR247" t="s">
        <v>8</v>
      </c>
      <c r="AS247" s="1">
        <v>0</v>
      </c>
      <c r="AT247" s="1">
        <v>0.20520599734127601</v>
      </c>
      <c r="AU247" s="1">
        <f t="shared" si="11"/>
        <v>0.41041199468255202</v>
      </c>
    </row>
    <row r="248" spans="10:47">
      <c r="J248" t="s">
        <v>4</v>
      </c>
      <c r="K248">
        <v>0</v>
      </c>
      <c r="L248" t="s">
        <v>5</v>
      </c>
      <c r="M248">
        <v>246</v>
      </c>
      <c r="N248" t="s">
        <v>6</v>
      </c>
      <c r="O248" s="1">
        <v>0.3851562</v>
      </c>
      <c r="P248" t="s">
        <v>7</v>
      </c>
      <c r="Q248" s="1">
        <v>0.5</v>
      </c>
      <c r="R248" t="s">
        <v>8</v>
      </c>
      <c r="S248" s="1">
        <v>0</v>
      </c>
      <c r="T248" s="1">
        <v>0.20514672351921301</v>
      </c>
      <c r="U248" s="1">
        <f t="shared" si="9"/>
        <v>0.41029344703842602</v>
      </c>
      <c r="W248" t="s">
        <v>4</v>
      </c>
      <c r="X248">
        <v>0</v>
      </c>
      <c r="Y248" t="s">
        <v>5</v>
      </c>
      <c r="Z248">
        <v>246</v>
      </c>
      <c r="AA248" t="s">
        <v>6</v>
      </c>
      <c r="AB248" s="1">
        <v>0.3851562</v>
      </c>
      <c r="AC248" t="s">
        <v>7</v>
      </c>
      <c r="AD248" s="1">
        <v>0.5</v>
      </c>
      <c r="AE248" t="s">
        <v>8</v>
      </c>
      <c r="AF248" s="1">
        <v>0</v>
      </c>
      <c r="AG248" s="1">
        <v>0.20510661069858699</v>
      </c>
      <c r="AH248" s="1">
        <f t="shared" si="10"/>
        <v>0.41021322139717398</v>
      </c>
      <c r="AJ248" t="s">
        <v>4</v>
      </c>
      <c r="AK248">
        <v>0</v>
      </c>
      <c r="AL248" t="s">
        <v>5</v>
      </c>
      <c r="AM248">
        <v>246</v>
      </c>
      <c r="AN248" t="s">
        <v>6</v>
      </c>
      <c r="AO248" s="1">
        <v>0.3851562</v>
      </c>
      <c r="AP248" t="s">
        <v>7</v>
      </c>
      <c r="AQ248" s="1">
        <v>0.5</v>
      </c>
      <c r="AR248" t="s">
        <v>8</v>
      </c>
      <c r="AS248" s="1">
        <v>0</v>
      </c>
      <c r="AT248" s="1">
        <v>0.20525624545372301</v>
      </c>
      <c r="AU248" s="1">
        <f t="shared" si="11"/>
        <v>0.41051249090744601</v>
      </c>
    </row>
    <row r="249" spans="10:47">
      <c r="J249" t="s">
        <v>4</v>
      </c>
      <c r="K249">
        <v>0</v>
      </c>
      <c r="L249" t="s">
        <v>5</v>
      </c>
      <c r="M249">
        <v>247</v>
      </c>
      <c r="N249" t="s">
        <v>6</v>
      </c>
      <c r="O249" s="1">
        <v>0.38671879999999997</v>
      </c>
      <c r="P249" t="s">
        <v>7</v>
      </c>
      <c r="Q249" s="1">
        <v>0.5</v>
      </c>
      <c r="R249" t="s">
        <v>8</v>
      </c>
      <c r="S249" s="1">
        <v>0</v>
      </c>
      <c r="T249" s="1">
        <v>0.20514348870796001</v>
      </c>
      <c r="U249" s="1">
        <f t="shared" si="9"/>
        <v>0.41028697741592002</v>
      </c>
      <c r="W249" t="s">
        <v>4</v>
      </c>
      <c r="X249">
        <v>0</v>
      </c>
      <c r="Y249" t="s">
        <v>5</v>
      </c>
      <c r="Z249">
        <v>247</v>
      </c>
      <c r="AA249" t="s">
        <v>6</v>
      </c>
      <c r="AB249" s="1">
        <v>0.38671879999999997</v>
      </c>
      <c r="AC249" t="s">
        <v>7</v>
      </c>
      <c r="AD249" s="1">
        <v>0.5</v>
      </c>
      <c r="AE249" t="s">
        <v>8</v>
      </c>
      <c r="AF249" s="1">
        <v>0</v>
      </c>
      <c r="AG249" s="1">
        <v>0.20506676339584001</v>
      </c>
      <c r="AH249" s="1">
        <f t="shared" si="10"/>
        <v>0.41013352679168003</v>
      </c>
      <c r="AJ249" t="s">
        <v>4</v>
      </c>
      <c r="AK249">
        <v>0</v>
      </c>
      <c r="AL249" t="s">
        <v>5</v>
      </c>
      <c r="AM249">
        <v>247</v>
      </c>
      <c r="AN249" t="s">
        <v>6</v>
      </c>
      <c r="AO249" s="1">
        <v>0.38671879999999997</v>
      </c>
      <c r="AP249" t="s">
        <v>7</v>
      </c>
      <c r="AQ249" s="1">
        <v>0.5</v>
      </c>
      <c r="AR249" t="s">
        <v>8</v>
      </c>
      <c r="AS249" s="1">
        <v>0</v>
      </c>
      <c r="AT249" s="1">
        <v>0.20530601242312599</v>
      </c>
      <c r="AU249" s="1">
        <f t="shared" si="11"/>
        <v>0.41061202484625198</v>
      </c>
    </row>
    <row r="250" spans="10:47">
      <c r="J250" t="s">
        <v>4</v>
      </c>
      <c r="K250">
        <v>0</v>
      </c>
      <c r="L250" t="s">
        <v>5</v>
      </c>
      <c r="M250">
        <v>248</v>
      </c>
      <c r="N250" t="s">
        <v>6</v>
      </c>
      <c r="O250" s="1">
        <v>0.3882813</v>
      </c>
      <c r="P250" t="s">
        <v>7</v>
      </c>
      <c r="Q250" s="1">
        <v>0.5</v>
      </c>
      <c r="R250" t="s">
        <v>8</v>
      </c>
      <c r="S250" s="1">
        <v>0</v>
      </c>
      <c r="T250" s="1">
        <v>0.20513960554003299</v>
      </c>
      <c r="U250" s="1">
        <f t="shared" si="9"/>
        <v>0.41027921108006599</v>
      </c>
      <c r="W250" t="s">
        <v>4</v>
      </c>
      <c r="X250">
        <v>0</v>
      </c>
      <c r="Y250" t="s">
        <v>5</v>
      </c>
      <c r="Z250">
        <v>248</v>
      </c>
      <c r="AA250" t="s">
        <v>6</v>
      </c>
      <c r="AB250" s="1">
        <v>0.3882813</v>
      </c>
      <c r="AC250" t="s">
        <v>7</v>
      </c>
      <c r="AD250" s="1">
        <v>0.5</v>
      </c>
      <c r="AE250" t="s">
        <v>8</v>
      </c>
      <c r="AF250" s="1">
        <v>0</v>
      </c>
      <c r="AG250" s="1">
        <v>0.20502523606310499</v>
      </c>
      <c r="AH250" s="1">
        <f t="shared" si="10"/>
        <v>0.41005047212620999</v>
      </c>
      <c r="AJ250" t="s">
        <v>4</v>
      </c>
      <c r="AK250">
        <v>0</v>
      </c>
      <c r="AL250" t="s">
        <v>5</v>
      </c>
      <c r="AM250">
        <v>248</v>
      </c>
      <c r="AN250" t="s">
        <v>6</v>
      </c>
      <c r="AO250" s="1">
        <v>0.3882813</v>
      </c>
      <c r="AP250" t="s">
        <v>7</v>
      </c>
      <c r="AQ250" s="1">
        <v>0.5</v>
      </c>
      <c r="AR250" t="s">
        <v>8</v>
      </c>
      <c r="AS250" s="1">
        <v>0</v>
      </c>
      <c r="AT250" s="1">
        <v>0.20535531999363599</v>
      </c>
      <c r="AU250" s="1">
        <f t="shared" si="11"/>
        <v>0.41071063998727197</v>
      </c>
    </row>
    <row r="251" spans="10:47">
      <c r="J251" t="s">
        <v>4</v>
      </c>
      <c r="K251">
        <v>0</v>
      </c>
      <c r="L251" t="s">
        <v>5</v>
      </c>
      <c r="M251">
        <v>249</v>
      </c>
      <c r="N251" t="s">
        <v>6</v>
      </c>
      <c r="O251" s="1">
        <v>0.38984370000000002</v>
      </c>
      <c r="P251" t="s">
        <v>7</v>
      </c>
      <c r="Q251" s="1">
        <v>0.5</v>
      </c>
      <c r="R251" t="s">
        <v>8</v>
      </c>
      <c r="S251" s="1">
        <v>0</v>
      </c>
      <c r="T251" s="1">
        <v>0.20513504267632299</v>
      </c>
      <c r="U251" s="1">
        <f t="shared" si="9"/>
        <v>0.41027008535264597</v>
      </c>
      <c r="W251" t="s">
        <v>4</v>
      </c>
      <c r="X251">
        <v>0</v>
      </c>
      <c r="Y251" t="s">
        <v>5</v>
      </c>
      <c r="Z251">
        <v>249</v>
      </c>
      <c r="AA251" t="s">
        <v>6</v>
      </c>
      <c r="AB251" s="1">
        <v>0.38984370000000002</v>
      </c>
      <c r="AC251" t="s">
        <v>7</v>
      </c>
      <c r="AD251" s="1">
        <v>0.5</v>
      </c>
      <c r="AE251" t="s">
        <v>8</v>
      </c>
      <c r="AF251" s="1">
        <v>0</v>
      </c>
      <c r="AG251" s="1">
        <v>0.20498201522440099</v>
      </c>
      <c r="AH251" s="1">
        <f t="shared" si="10"/>
        <v>0.40996403044880197</v>
      </c>
      <c r="AJ251" t="s">
        <v>4</v>
      </c>
      <c r="AK251">
        <v>0</v>
      </c>
      <c r="AL251" t="s">
        <v>5</v>
      </c>
      <c r="AM251">
        <v>249</v>
      </c>
      <c r="AN251" t="s">
        <v>6</v>
      </c>
      <c r="AO251" s="1">
        <v>0.38984370000000002</v>
      </c>
      <c r="AP251" t="s">
        <v>7</v>
      </c>
      <c r="AQ251" s="1">
        <v>0.5</v>
      </c>
      <c r="AR251" t="s">
        <v>8</v>
      </c>
      <c r="AS251" s="1">
        <v>0</v>
      </c>
      <c r="AT251" s="1">
        <v>0.205404193035957</v>
      </c>
      <c r="AU251" s="1">
        <f t="shared" si="11"/>
        <v>0.410808386071914</v>
      </c>
    </row>
    <row r="252" spans="10:47">
      <c r="J252" t="s">
        <v>4</v>
      </c>
      <c r="K252">
        <v>0</v>
      </c>
      <c r="L252" t="s">
        <v>5</v>
      </c>
      <c r="M252">
        <v>250</v>
      </c>
      <c r="N252" t="s">
        <v>6</v>
      </c>
      <c r="O252" s="1">
        <v>0.39140629999999998</v>
      </c>
      <c r="P252" t="s">
        <v>7</v>
      </c>
      <c r="Q252" s="1">
        <v>0.5</v>
      </c>
      <c r="R252" t="s">
        <v>8</v>
      </c>
      <c r="S252" s="1">
        <v>0</v>
      </c>
      <c r="T252" s="1">
        <v>0.205129770017381</v>
      </c>
      <c r="U252" s="1">
        <f t="shared" si="9"/>
        <v>0.410259540034762</v>
      </c>
      <c r="W252" t="s">
        <v>4</v>
      </c>
      <c r="X252">
        <v>0</v>
      </c>
      <c r="Y252" t="s">
        <v>5</v>
      </c>
      <c r="Z252">
        <v>250</v>
      </c>
      <c r="AA252" t="s">
        <v>6</v>
      </c>
      <c r="AB252" s="1">
        <v>0.39140629999999998</v>
      </c>
      <c r="AC252" t="s">
        <v>7</v>
      </c>
      <c r="AD252" s="1">
        <v>0.5</v>
      </c>
      <c r="AE252" t="s">
        <v>8</v>
      </c>
      <c r="AF252" s="1">
        <v>0</v>
      </c>
      <c r="AG252" s="1">
        <v>0.20493709151900399</v>
      </c>
      <c r="AH252" s="1">
        <f t="shared" si="10"/>
        <v>0.40987418303800799</v>
      </c>
      <c r="AJ252" t="s">
        <v>4</v>
      </c>
      <c r="AK252">
        <v>0</v>
      </c>
      <c r="AL252" t="s">
        <v>5</v>
      </c>
      <c r="AM252">
        <v>250</v>
      </c>
      <c r="AN252" t="s">
        <v>6</v>
      </c>
      <c r="AO252" s="1">
        <v>0.39140629999999998</v>
      </c>
      <c r="AP252" t="s">
        <v>7</v>
      </c>
      <c r="AQ252" s="1">
        <v>0.5</v>
      </c>
      <c r="AR252" t="s">
        <v>8</v>
      </c>
      <c r="AS252" s="1">
        <v>0</v>
      </c>
      <c r="AT252" s="1">
        <v>0.20545265980868599</v>
      </c>
      <c r="AU252" s="1">
        <f t="shared" si="11"/>
        <v>0.41090531961737198</v>
      </c>
    </row>
    <row r="253" spans="10:47">
      <c r="J253" t="s">
        <v>4</v>
      </c>
      <c r="K253">
        <v>0</v>
      </c>
      <c r="L253" t="s">
        <v>5</v>
      </c>
      <c r="M253">
        <v>251</v>
      </c>
      <c r="N253" t="s">
        <v>6</v>
      </c>
      <c r="O253" s="1">
        <v>0.3929687</v>
      </c>
      <c r="P253" t="s">
        <v>7</v>
      </c>
      <c r="Q253" s="1">
        <v>0.5</v>
      </c>
      <c r="R253" t="s">
        <v>8</v>
      </c>
      <c r="S253" s="1">
        <v>0</v>
      </c>
      <c r="T253" s="1">
        <v>0.20512375892198101</v>
      </c>
      <c r="U253" s="1">
        <f t="shared" si="9"/>
        <v>0.41024751784396202</v>
      </c>
      <c r="W253" t="s">
        <v>4</v>
      </c>
      <c r="X253">
        <v>0</v>
      </c>
      <c r="Y253" t="s">
        <v>5</v>
      </c>
      <c r="Z253">
        <v>251</v>
      </c>
      <c r="AA253" t="s">
        <v>6</v>
      </c>
      <c r="AB253" s="1">
        <v>0.3929687</v>
      </c>
      <c r="AC253" t="s">
        <v>7</v>
      </c>
      <c r="AD253" s="1">
        <v>0.5</v>
      </c>
      <c r="AE253" t="s">
        <v>8</v>
      </c>
      <c r="AF253" s="1">
        <v>0</v>
      </c>
      <c r="AG253" s="1">
        <v>0.204890460159981</v>
      </c>
      <c r="AH253" s="1">
        <f t="shared" si="10"/>
        <v>0.40978092031996199</v>
      </c>
      <c r="AJ253" t="s">
        <v>4</v>
      </c>
      <c r="AK253">
        <v>0</v>
      </c>
      <c r="AL253" t="s">
        <v>5</v>
      </c>
      <c r="AM253">
        <v>251</v>
      </c>
      <c r="AN253" t="s">
        <v>6</v>
      </c>
      <c r="AO253" s="1">
        <v>0.3929687</v>
      </c>
      <c r="AP253" t="s">
        <v>7</v>
      </c>
      <c r="AQ253" s="1">
        <v>0.5</v>
      </c>
      <c r="AR253" t="s">
        <v>8</v>
      </c>
      <c r="AS253" s="1">
        <v>0</v>
      </c>
      <c r="AT253" s="1">
        <v>0.20550075222028599</v>
      </c>
      <c r="AU253" s="1">
        <f t="shared" si="11"/>
        <v>0.41100150444057199</v>
      </c>
    </row>
    <row r="254" spans="10:47">
      <c r="J254" t="s">
        <v>4</v>
      </c>
      <c r="K254">
        <v>0</v>
      </c>
      <c r="L254" t="s">
        <v>5</v>
      </c>
      <c r="M254">
        <v>252</v>
      </c>
      <c r="N254" t="s">
        <v>6</v>
      </c>
      <c r="O254" s="1">
        <v>0.39453120000000003</v>
      </c>
      <c r="P254" t="s">
        <v>7</v>
      </c>
      <c r="Q254" s="1">
        <v>0.5</v>
      </c>
      <c r="R254" t="s">
        <v>8</v>
      </c>
      <c r="S254" s="1">
        <v>0</v>
      </c>
      <c r="T254" s="1">
        <v>0.20511698242659801</v>
      </c>
      <c r="U254" s="1">
        <f t="shared" si="9"/>
        <v>0.41023396485319602</v>
      </c>
      <c r="W254" t="s">
        <v>4</v>
      </c>
      <c r="X254">
        <v>0</v>
      </c>
      <c r="Y254" t="s">
        <v>5</v>
      </c>
      <c r="Z254">
        <v>252</v>
      </c>
      <c r="AA254" t="s">
        <v>6</v>
      </c>
      <c r="AB254" s="1">
        <v>0.39453120000000003</v>
      </c>
      <c r="AC254" t="s">
        <v>7</v>
      </c>
      <c r="AD254" s="1">
        <v>0.5</v>
      </c>
      <c r="AE254" t="s">
        <v>8</v>
      </c>
      <c r="AF254" s="1">
        <v>0</v>
      </c>
      <c r="AG254" s="1">
        <v>0.20484212139358299</v>
      </c>
      <c r="AH254" s="1">
        <f t="shared" si="10"/>
        <v>0.40968424278716598</v>
      </c>
      <c r="AJ254" t="s">
        <v>4</v>
      </c>
      <c r="AK254">
        <v>0</v>
      </c>
      <c r="AL254" t="s">
        <v>5</v>
      </c>
      <c r="AM254">
        <v>252</v>
      </c>
      <c r="AN254" t="s">
        <v>6</v>
      </c>
      <c r="AO254" s="1">
        <v>0.39453120000000003</v>
      </c>
      <c r="AP254" t="s">
        <v>7</v>
      </c>
      <c r="AQ254" s="1">
        <v>0.5</v>
      </c>
      <c r="AR254" t="s">
        <v>8</v>
      </c>
      <c r="AS254" s="1">
        <v>0</v>
      </c>
      <c r="AT254" s="1">
        <v>0.20554850609006201</v>
      </c>
      <c r="AU254" s="1">
        <f t="shared" si="11"/>
        <v>0.41109701218012401</v>
      </c>
    </row>
    <row r="255" spans="10:47">
      <c r="J255" t="s">
        <v>4</v>
      </c>
      <c r="K255">
        <v>0</v>
      </c>
      <c r="L255" t="s">
        <v>5</v>
      </c>
      <c r="M255">
        <v>253</v>
      </c>
      <c r="N255" t="s">
        <v>6</v>
      </c>
      <c r="O255" s="1">
        <v>0.3960938</v>
      </c>
      <c r="P255" t="s">
        <v>7</v>
      </c>
      <c r="Q255" s="1">
        <v>0.5</v>
      </c>
      <c r="R255" t="s">
        <v>8</v>
      </c>
      <c r="S255" s="1">
        <v>0</v>
      </c>
      <c r="T255" s="1">
        <v>0.20510941546435399</v>
      </c>
      <c r="U255" s="1">
        <f t="shared" si="9"/>
        <v>0.41021883092870798</v>
      </c>
      <c r="W255" t="s">
        <v>4</v>
      </c>
      <c r="X255">
        <v>0</v>
      </c>
      <c r="Y255" t="s">
        <v>5</v>
      </c>
      <c r="Z255">
        <v>253</v>
      </c>
      <c r="AA255" t="s">
        <v>6</v>
      </c>
      <c r="AB255" s="1">
        <v>0.3960938</v>
      </c>
      <c r="AC255" t="s">
        <v>7</v>
      </c>
      <c r="AD255" s="1">
        <v>0.5</v>
      </c>
      <c r="AE255" t="s">
        <v>8</v>
      </c>
      <c r="AF255" s="1">
        <v>0</v>
      </c>
      <c r="AG255" s="1">
        <v>0.20479208095770199</v>
      </c>
      <c r="AH255" s="1">
        <f t="shared" si="10"/>
        <v>0.40958416191540398</v>
      </c>
      <c r="AJ255" t="s">
        <v>4</v>
      </c>
      <c r="AK255">
        <v>0</v>
      </c>
      <c r="AL255" t="s">
        <v>5</v>
      </c>
      <c r="AM255">
        <v>253</v>
      </c>
      <c r="AN255" t="s">
        <v>6</v>
      </c>
      <c r="AO255" s="1">
        <v>0.3960938</v>
      </c>
      <c r="AP255" t="s">
        <v>7</v>
      </c>
      <c r="AQ255" s="1">
        <v>0.5</v>
      </c>
      <c r="AR255" t="s">
        <v>8</v>
      </c>
      <c r="AS255" s="1">
        <v>0</v>
      </c>
      <c r="AT255" s="1">
        <v>0.20559596141129799</v>
      </c>
      <c r="AU255" s="1">
        <f t="shared" si="11"/>
        <v>0.41119192282259598</v>
      </c>
    </row>
    <row r="256" spans="10:47">
      <c r="J256" t="s">
        <v>4</v>
      </c>
      <c r="K256">
        <v>0</v>
      </c>
      <c r="L256" t="s">
        <v>5</v>
      </c>
      <c r="M256">
        <v>254</v>
      </c>
      <c r="N256" t="s">
        <v>6</v>
      </c>
      <c r="O256" s="1">
        <v>0.39765620000000002</v>
      </c>
      <c r="P256" t="s">
        <v>7</v>
      </c>
      <c r="Q256" s="1">
        <v>0.5</v>
      </c>
      <c r="R256" t="s">
        <v>8</v>
      </c>
      <c r="S256" s="1">
        <v>0</v>
      </c>
      <c r="T256" s="1">
        <v>0.20510103508577901</v>
      </c>
      <c r="U256" s="1">
        <f t="shared" si="9"/>
        <v>0.41020207017155802</v>
      </c>
      <c r="W256" t="s">
        <v>4</v>
      </c>
      <c r="X256">
        <v>0</v>
      </c>
      <c r="Y256" t="s">
        <v>5</v>
      </c>
      <c r="Z256">
        <v>254</v>
      </c>
      <c r="AA256" t="s">
        <v>6</v>
      </c>
      <c r="AB256" s="1">
        <v>0.39765620000000002</v>
      </c>
      <c r="AC256" t="s">
        <v>7</v>
      </c>
      <c r="AD256" s="1">
        <v>0.5</v>
      </c>
      <c r="AE256" t="s">
        <v>8</v>
      </c>
      <c r="AF256" s="1">
        <v>0</v>
      </c>
      <c r="AG256" s="1">
        <v>0.20474035054205</v>
      </c>
      <c r="AH256" s="1">
        <f t="shared" si="10"/>
        <v>0.40948070108410001</v>
      </c>
      <c r="AJ256" t="s">
        <v>4</v>
      </c>
      <c r="AK256">
        <v>0</v>
      </c>
      <c r="AL256" t="s">
        <v>5</v>
      </c>
      <c r="AM256">
        <v>254</v>
      </c>
      <c r="AN256" t="s">
        <v>6</v>
      </c>
      <c r="AO256" s="1">
        <v>0.39765620000000002</v>
      </c>
      <c r="AP256" t="s">
        <v>7</v>
      </c>
      <c r="AQ256" s="1">
        <v>0.5</v>
      </c>
      <c r="AR256" t="s">
        <v>8</v>
      </c>
      <c r="AS256" s="1">
        <v>0</v>
      </c>
      <c r="AT256" s="1">
        <v>0.20564316261114601</v>
      </c>
      <c r="AU256" s="1">
        <f t="shared" si="11"/>
        <v>0.41128632522229203</v>
      </c>
    </row>
    <row r="257" spans="10:47">
      <c r="J257" t="s">
        <v>4</v>
      </c>
      <c r="K257">
        <v>0</v>
      </c>
      <c r="L257" t="s">
        <v>5</v>
      </c>
      <c r="M257">
        <v>255</v>
      </c>
      <c r="N257" t="s">
        <v>6</v>
      </c>
      <c r="O257" s="1">
        <v>0.39921879999999998</v>
      </c>
      <c r="P257" t="s">
        <v>7</v>
      </c>
      <c r="Q257" s="1">
        <v>0.5</v>
      </c>
      <c r="R257" t="s">
        <v>8</v>
      </c>
      <c r="S257" s="1">
        <v>0</v>
      </c>
      <c r="T257" s="1">
        <v>0.20509182067925799</v>
      </c>
      <c r="U257" s="1">
        <f t="shared" si="9"/>
        <v>0.41018364135851598</v>
      </c>
      <c r="W257" t="s">
        <v>4</v>
      </c>
      <c r="X257">
        <v>0</v>
      </c>
      <c r="Y257" t="s">
        <v>5</v>
      </c>
      <c r="Z257">
        <v>255</v>
      </c>
      <c r="AA257" t="s">
        <v>6</v>
      </c>
      <c r="AB257" s="1">
        <v>0.39921879999999998</v>
      </c>
      <c r="AC257" t="s">
        <v>7</v>
      </c>
      <c r="AD257" s="1">
        <v>0.5</v>
      </c>
      <c r="AE257" t="s">
        <v>8</v>
      </c>
      <c r="AF257" s="1">
        <v>0</v>
      </c>
      <c r="AG257" s="1">
        <v>0.204686948248443</v>
      </c>
      <c r="AH257" s="1">
        <f t="shared" si="10"/>
        <v>0.40937389649688599</v>
      </c>
      <c r="AJ257" t="s">
        <v>4</v>
      </c>
      <c r="AK257">
        <v>0</v>
      </c>
      <c r="AL257" t="s">
        <v>5</v>
      </c>
      <c r="AM257">
        <v>255</v>
      </c>
      <c r="AN257" t="s">
        <v>6</v>
      </c>
      <c r="AO257" s="1">
        <v>0.39921879999999998</v>
      </c>
      <c r="AP257" t="s">
        <v>7</v>
      </c>
      <c r="AQ257" s="1">
        <v>0.5</v>
      </c>
      <c r="AR257" t="s">
        <v>8</v>
      </c>
      <c r="AS257" s="1">
        <v>0</v>
      </c>
      <c r="AT257" s="1">
        <v>0.205690158814161</v>
      </c>
      <c r="AU257" s="1">
        <f t="shared" si="11"/>
        <v>0.411380317628322</v>
      </c>
    </row>
    <row r="258" spans="10:47">
      <c r="J258" t="s">
        <v>4</v>
      </c>
      <c r="K258">
        <v>0</v>
      </c>
      <c r="L258" t="s">
        <v>5</v>
      </c>
      <c r="M258">
        <v>256</v>
      </c>
      <c r="N258" t="s">
        <v>6</v>
      </c>
      <c r="O258" s="1">
        <v>0.4007812</v>
      </c>
      <c r="P258" t="s">
        <v>7</v>
      </c>
      <c r="Q258" s="1">
        <v>0.5</v>
      </c>
      <c r="R258" t="s">
        <v>8</v>
      </c>
      <c r="S258" s="1">
        <v>0</v>
      </c>
      <c r="T258" s="1">
        <v>0.20508175419209301</v>
      </c>
      <c r="U258" s="1">
        <f t="shared" si="9"/>
        <v>0.41016350838418603</v>
      </c>
      <c r="W258" t="s">
        <v>4</v>
      </c>
      <c r="X258">
        <v>0</v>
      </c>
      <c r="Y258" t="s">
        <v>5</v>
      </c>
      <c r="Z258">
        <v>256</v>
      </c>
      <c r="AA258" t="s">
        <v>6</v>
      </c>
      <c r="AB258" s="1">
        <v>0.4007812</v>
      </c>
      <c r="AC258" t="s">
        <v>7</v>
      </c>
      <c r="AD258" s="1">
        <v>0.5</v>
      </c>
      <c r="AE258" t="s">
        <v>8</v>
      </c>
      <c r="AF258" s="1">
        <v>0</v>
      </c>
      <c r="AG258" s="1">
        <v>0.20473781076181299</v>
      </c>
      <c r="AH258" s="1">
        <f t="shared" si="10"/>
        <v>0.40947562152362599</v>
      </c>
      <c r="AJ258" t="s">
        <v>4</v>
      </c>
      <c r="AK258">
        <v>0</v>
      </c>
      <c r="AL258" t="s">
        <v>5</v>
      </c>
      <c r="AM258">
        <v>256</v>
      </c>
      <c r="AN258" t="s">
        <v>6</v>
      </c>
      <c r="AO258" s="1">
        <v>0.4007812</v>
      </c>
      <c r="AP258" t="s">
        <v>7</v>
      </c>
      <c r="AQ258" s="1">
        <v>0.5</v>
      </c>
      <c r="AR258" t="s">
        <v>8</v>
      </c>
      <c r="AS258" s="1">
        <v>0</v>
      </c>
      <c r="AT258" s="1">
        <v>0.20557530294531401</v>
      </c>
      <c r="AU258" s="1">
        <f t="shared" si="11"/>
        <v>0.41115060589062802</v>
      </c>
    </row>
    <row r="259" spans="10:47">
      <c r="J259" t="s">
        <v>4</v>
      </c>
      <c r="K259">
        <v>0</v>
      </c>
      <c r="L259" t="s">
        <v>5</v>
      </c>
      <c r="M259">
        <v>257</v>
      </c>
      <c r="N259" t="s">
        <v>6</v>
      </c>
      <c r="O259" s="1">
        <v>0.40234379999999997</v>
      </c>
      <c r="P259" t="s">
        <v>7</v>
      </c>
      <c r="Q259" s="1">
        <v>0.5</v>
      </c>
      <c r="R259" t="s">
        <v>8</v>
      </c>
      <c r="S259" s="1">
        <v>0</v>
      </c>
      <c r="T259" s="1">
        <v>0.20507082035276999</v>
      </c>
      <c r="U259" s="1">
        <f t="shared" ref="U259:U321" si="12">T259*2</f>
        <v>0.41014164070553999</v>
      </c>
      <c r="W259" t="s">
        <v>4</v>
      </c>
      <c r="X259">
        <v>0</v>
      </c>
      <c r="Y259" t="s">
        <v>5</v>
      </c>
      <c r="Z259">
        <v>257</v>
      </c>
      <c r="AA259" t="s">
        <v>6</v>
      </c>
      <c r="AB259" s="1">
        <v>0.40234379999999997</v>
      </c>
      <c r="AC259" t="s">
        <v>7</v>
      </c>
      <c r="AD259" s="1">
        <v>0.5</v>
      </c>
      <c r="AE259" t="s">
        <v>8</v>
      </c>
      <c r="AF259" s="1">
        <v>0</v>
      </c>
      <c r="AG259" s="1">
        <v>0.20489736751542301</v>
      </c>
      <c r="AH259" s="1">
        <f t="shared" ref="AH259:AH321" si="13">AG259*2</f>
        <v>0.40979473503084601</v>
      </c>
      <c r="AJ259" t="s">
        <v>4</v>
      </c>
      <c r="AK259">
        <v>0</v>
      </c>
      <c r="AL259" t="s">
        <v>5</v>
      </c>
      <c r="AM259">
        <v>257</v>
      </c>
      <c r="AN259" t="s">
        <v>6</v>
      </c>
      <c r="AO259" s="1">
        <v>0.40234379999999997</v>
      </c>
      <c r="AP259" t="s">
        <v>7</v>
      </c>
      <c r="AQ259" s="1">
        <v>0.5</v>
      </c>
      <c r="AR259" t="s">
        <v>8</v>
      </c>
      <c r="AS259" s="1">
        <v>0</v>
      </c>
      <c r="AT259" s="1">
        <v>0.20529739788010101</v>
      </c>
      <c r="AU259" s="1">
        <f t="shared" ref="AU259:AU321" si="14">AT259*2</f>
        <v>0.41059479576020202</v>
      </c>
    </row>
    <row r="260" spans="10:47">
      <c r="J260" t="s">
        <v>4</v>
      </c>
      <c r="K260">
        <v>0</v>
      </c>
      <c r="L260" t="s">
        <v>5</v>
      </c>
      <c r="M260">
        <v>258</v>
      </c>
      <c r="N260" t="s">
        <v>6</v>
      </c>
      <c r="O260" s="1">
        <v>0.40390619999999999</v>
      </c>
      <c r="P260" t="s">
        <v>7</v>
      </c>
      <c r="Q260" s="1">
        <v>0.5</v>
      </c>
      <c r="R260" t="s">
        <v>8</v>
      </c>
      <c r="S260" s="1">
        <v>0</v>
      </c>
      <c r="T260" s="1">
        <v>0.20505900689232201</v>
      </c>
      <c r="U260" s="1">
        <f t="shared" si="12"/>
        <v>0.41011801378464402</v>
      </c>
      <c r="W260" t="s">
        <v>4</v>
      </c>
      <c r="X260">
        <v>0</v>
      </c>
      <c r="Y260" t="s">
        <v>5</v>
      </c>
      <c r="Z260">
        <v>258</v>
      </c>
      <c r="AA260" t="s">
        <v>6</v>
      </c>
      <c r="AB260" s="1">
        <v>0.40390619999999999</v>
      </c>
      <c r="AC260" t="s">
        <v>7</v>
      </c>
      <c r="AD260" s="1">
        <v>0.5</v>
      </c>
      <c r="AE260" t="s">
        <v>8</v>
      </c>
      <c r="AF260" s="1">
        <v>0</v>
      </c>
      <c r="AG260" s="1">
        <v>0.20506141279029799</v>
      </c>
      <c r="AH260" s="1">
        <f t="shared" si="13"/>
        <v>0.41012282558059598</v>
      </c>
      <c r="AJ260" t="s">
        <v>4</v>
      </c>
      <c r="AK260">
        <v>0</v>
      </c>
      <c r="AL260" t="s">
        <v>5</v>
      </c>
      <c r="AM260">
        <v>258</v>
      </c>
      <c r="AN260" t="s">
        <v>6</v>
      </c>
      <c r="AO260" s="1">
        <v>0.40390619999999999</v>
      </c>
      <c r="AP260" t="s">
        <v>7</v>
      </c>
      <c r="AQ260" s="1">
        <v>0.5</v>
      </c>
      <c r="AR260" t="s">
        <v>8</v>
      </c>
      <c r="AS260" s="1">
        <v>0</v>
      </c>
      <c r="AT260" s="1">
        <v>0.20501739230083399</v>
      </c>
      <c r="AU260" s="1">
        <f t="shared" si="14"/>
        <v>0.41003478460166798</v>
      </c>
    </row>
    <row r="261" spans="10:47">
      <c r="J261" t="s">
        <v>4</v>
      </c>
      <c r="K261">
        <v>0</v>
      </c>
      <c r="L261" t="s">
        <v>5</v>
      </c>
      <c r="M261">
        <v>259</v>
      </c>
      <c r="N261" t="s">
        <v>6</v>
      </c>
      <c r="O261" s="1">
        <v>0.40546870000000002</v>
      </c>
      <c r="P261" t="s">
        <v>7</v>
      </c>
      <c r="Q261" s="1">
        <v>0.5</v>
      </c>
      <c r="R261" t="s">
        <v>8</v>
      </c>
      <c r="S261" s="1">
        <v>0</v>
      </c>
      <c r="T261" s="1">
        <v>0.205046304767799</v>
      </c>
      <c r="U261" s="1">
        <f t="shared" si="12"/>
        <v>0.41009260953559801</v>
      </c>
      <c r="W261" t="s">
        <v>4</v>
      </c>
      <c r="X261">
        <v>0</v>
      </c>
      <c r="Y261" t="s">
        <v>5</v>
      </c>
      <c r="Z261">
        <v>259</v>
      </c>
      <c r="AA261" t="s">
        <v>6</v>
      </c>
      <c r="AB261" s="1">
        <v>0.40546870000000002</v>
      </c>
      <c r="AC261" t="s">
        <v>7</v>
      </c>
      <c r="AD261" s="1">
        <v>0.5</v>
      </c>
      <c r="AE261" t="s">
        <v>8</v>
      </c>
      <c r="AF261" s="1">
        <v>0</v>
      </c>
      <c r="AG261" s="1">
        <v>0.205229795106908</v>
      </c>
      <c r="AH261" s="1">
        <f t="shared" si="13"/>
        <v>0.41045959021381601</v>
      </c>
      <c r="AJ261" t="s">
        <v>4</v>
      </c>
      <c r="AK261">
        <v>0</v>
      </c>
      <c r="AL261" t="s">
        <v>5</v>
      </c>
      <c r="AM261">
        <v>259</v>
      </c>
      <c r="AN261" t="s">
        <v>6</v>
      </c>
      <c r="AO261" s="1">
        <v>0.40546870000000002</v>
      </c>
      <c r="AP261" t="s">
        <v>7</v>
      </c>
      <c r="AQ261" s="1">
        <v>0.5</v>
      </c>
      <c r="AR261" t="s">
        <v>8</v>
      </c>
      <c r="AS261" s="1">
        <v>0</v>
      </c>
      <c r="AT261" s="1">
        <v>0.204734970640226</v>
      </c>
      <c r="AU261" s="1">
        <f t="shared" si="14"/>
        <v>0.409469941280452</v>
      </c>
    </row>
    <row r="262" spans="10:47">
      <c r="J262" t="s">
        <v>4</v>
      </c>
      <c r="K262">
        <v>0</v>
      </c>
      <c r="L262" t="s">
        <v>5</v>
      </c>
      <c r="M262">
        <v>260</v>
      </c>
      <c r="N262" t="s">
        <v>6</v>
      </c>
      <c r="O262" s="1">
        <v>0.40703129999999998</v>
      </c>
      <c r="P262" t="s">
        <v>7</v>
      </c>
      <c r="Q262" s="1">
        <v>0.5</v>
      </c>
      <c r="R262" t="s">
        <v>8</v>
      </c>
      <c r="S262" s="1">
        <v>0</v>
      </c>
      <c r="T262" s="1">
        <v>0.205035292237986</v>
      </c>
      <c r="U262" s="1">
        <f t="shared" si="12"/>
        <v>0.410070584475972</v>
      </c>
      <c r="W262" t="s">
        <v>4</v>
      </c>
      <c r="X262">
        <v>0</v>
      </c>
      <c r="Y262" t="s">
        <v>5</v>
      </c>
      <c r="Z262">
        <v>260</v>
      </c>
      <c r="AA262" t="s">
        <v>6</v>
      </c>
      <c r="AB262" s="1">
        <v>0.40703129999999998</v>
      </c>
      <c r="AC262" t="s">
        <v>7</v>
      </c>
      <c r="AD262" s="1">
        <v>0.5</v>
      </c>
      <c r="AE262" t="s">
        <v>8</v>
      </c>
      <c r="AF262" s="1">
        <v>0</v>
      </c>
      <c r="AG262" s="1">
        <v>0.20530473319970799</v>
      </c>
      <c r="AH262" s="1">
        <f t="shared" si="13"/>
        <v>0.41060946639941598</v>
      </c>
      <c r="AJ262" t="s">
        <v>4</v>
      </c>
      <c r="AK262">
        <v>0</v>
      </c>
      <c r="AL262" t="s">
        <v>5</v>
      </c>
      <c r="AM262">
        <v>260</v>
      </c>
      <c r="AN262" t="s">
        <v>6</v>
      </c>
      <c r="AO262" s="1">
        <v>0.40703129999999998</v>
      </c>
      <c r="AP262" t="s">
        <v>7</v>
      </c>
      <c r="AQ262" s="1">
        <v>0.5</v>
      </c>
      <c r="AR262" t="s">
        <v>8</v>
      </c>
      <c r="AS262" s="1">
        <v>0</v>
      </c>
      <c r="AT262" s="1">
        <v>0.204603599034309</v>
      </c>
      <c r="AU262" s="1">
        <f t="shared" si="14"/>
        <v>0.40920719806861799</v>
      </c>
    </row>
    <row r="263" spans="10:47">
      <c r="J263" t="s">
        <v>4</v>
      </c>
      <c r="K263">
        <v>0</v>
      </c>
      <c r="L263" t="s">
        <v>5</v>
      </c>
      <c r="M263">
        <v>261</v>
      </c>
      <c r="N263" t="s">
        <v>6</v>
      </c>
      <c r="O263" s="1">
        <v>0.4085937</v>
      </c>
      <c r="P263" t="s">
        <v>7</v>
      </c>
      <c r="Q263" s="1">
        <v>0.5</v>
      </c>
      <c r="R263" t="s">
        <v>8</v>
      </c>
      <c r="S263" s="1">
        <v>0</v>
      </c>
      <c r="T263" s="1">
        <v>0.205023404469031</v>
      </c>
      <c r="U263" s="1">
        <f t="shared" si="12"/>
        <v>0.410046808938062</v>
      </c>
      <c r="W263" t="s">
        <v>4</v>
      </c>
      <c r="X263">
        <v>0</v>
      </c>
      <c r="Y263" t="s">
        <v>5</v>
      </c>
      <c r="Z263">
        <v>261</v>
      </c>
      <c r="AA263" t="s">
        <v>6</v>
      </c>
      <c r="AB263" s="1">
        <v>0.4085937</v>
      </c>
      <c r="AC263" t="s">
        <v>7</v>
      </c>
      <c r="AD263" s="1">
        <v>0.5</v>
      </c>
      <c r="AE263" t="s">
        <v>8</v>
      </c>
      <c r="AF263" s="1">
        <v>0</v>
      </c>
      <c r="AG263" s="1">
        <v>0.205279496632574</v>
      </c>
      <c r="AH263" s="1">
        <f t="shared" si="13"/>
        <v>0.410558993265148</v>
      </c>
      <c r="AJ263" t="s">
        <v>4</v>
      </c>
      <c r="AK263">
        <v>0</v>
      </c>
      <c r="AL263" t="s">
        <v>5</v>
      </c>
      <c r="AM263">
        <v>261</v>
      </c>
      <c r="AN263" t="s">
        <v>6</v>
      </c>
      <c r="AO263" s="1">
        <v>0.4085937</v>
      </c>
      <c r="AP263" t="s">
        <v>7</v>
      </c>
      <c r="AQ263" s="1">
        <v>0.5</v>
      </c>
      <c r="AR263" t="s">
        <v>8</v>
      </c>
      <c r="AS263" s="1">
        <v>0</v>
      </c>
      <c r="AT263" s="1">
        <v>0.20462186201721999</v>
      </c>
      <c r="AU263" s="1">
        <f t="shared" si="14"/>
        <v>0.40924372403443998</v>
      </c>
    </row>
    <row r="264" spans="10:47">
      <c r="J264" t="s">
        <v>4</v>
      </c>
      <c r="K264">
        <v>0</v>
      </c>
      <c r="L264" t="s">
        <v>5</v>
      </c>
      <c r="M264">
        <v>262</v>
      </c>
      <c r="N264" t="s">
        <v>6</v>
      </c>
      <c r="O264" s="1">
        <v>0.41015620000000003</v>
      </c>
      <c r="P264" t="s">
        <v>7</v>
      </c>
      <c r="Q264" s="1">
        <v>0.5</v>
      </c>
      <c r="R264" t="s">
        <v>8</v>
      </c>
      <c r="S264" s="1">
        <v>0</v>
      </c>
      <c r="T264" s="1">
        <v>0.20500696446293301</v>
      </c>
      <c r="U264" s="1">
        <f t="shared" si="12"/>
        <v>0.41001392892586602</v>
      </c>
      <c r="W264" t="s">
        <v>4</v>
      </c>
      <c r="X264">
        <v>0</v>
      </c>
      <c r="Y264" t="s">
        <v>5</v>
      </c>
      <c r="Z264">
        <v>262</v>
      </c>
      <c r="AA264" t="s">
        <v>6</v>
      </c>
      <c r="AB264" s="1">
        <v>0.41015620000000003</v>
      </c>
      <c r="AC264" t="s">
        <v>7</v>
      </c>
      <c r="AD264" s="1">
        <v>0.5</v>
      </c>
      <c r="AE264" t="s">
        <v>8</v>
      </c>
      <c r="AF264" s="1">
        <v>0</v>
      </c>
      <c r="AG264" s="1">
        <v>0.20524893605876099</v>
      </c>
      <c r="AH264" s="1">
        <f t="shared" si="13"/>
        <v>0.41049787211752198</v>
      </c>
      <c r="AJ264" t="s">
        <v>4</v>
      </c>
      <c r="AK264">
        <v>0</v>
      </c>
      <c r="AL264" t="s">
        <v>5</v>
      </c>
      <c r="AM264">
        <v>262</v>
      </c>
      <c r="AN264" t="s">
        <v>6</v>
      </c>
      <c r="AO264" s="1">
        <v>0.41015620000000003</v>
      </c>
      <c r="AP264" t="s">
        <v>7</v>
      </c>
      <c r="AQ264" s="1">
        <v>0.5</v>
      </c>
      <c r="AR264" t="s">
        <v>8</v>
      </c>
      <c r="AS264" s="1">
        <v>0</v>
      </c>
      <c r="AT264" s="1">
        <v>0.20463544153104099</v>
      </c>
      <c r="AU264" s="1">
        <f t="shared" si="14"/>
        <v>0.40927088306208198</v>
      </c>
    </row>
    <row r="265" spans="10:47">
      <c r="J265" t="s">
        <v>4</v>
      </c>
      <c r="K265">
        <v>0</v>
      </c>
      <c r="L265" t="s">
        <v>5</v>
      </c>
      <c r="M265">
        <v>263</v>
      </c>
      <c r="N265" t="s">
        <v>6</v>
      </c>
      <c r="O265" s="1">
        <v>0.4117188</v>
      </c>
      <c r="P265" t="s">
        <v>7</v>
      </c>
      <c r="Q265" s="1">
        <v>0.5</v>
      </c>
      <c r="R265" t="s">
        <v>8</v>
      </c>
      <c r="S265" s="1">
        <v>0</v>
      </c>
      <c r="T265" s="1">
        <v>0.20498592191541601</v>
      </c>
      <c r="U265" s="1">
        <f t="shared" si="12"/>
        <v>0.40997184383083202</v>
      </c>
      <c r="W265" t="s">
        <v>4</v>
      </c>
      <c r="X265">
        <v>0</v>
      </c>
      <c r="Y265" t="s">
        <v>5</v>
      </c>
      <c r="Z265">
        <v>263</v>
      </c>
      <c r="AA265" t="s">
        <v>6</v>
      </c>
      <c r="AB265" s="1">
        <v>0.4117188</v>
      </c>
      <c r="AC265" t="s">
        <v>7</v>
      </c>
      <c r="AD265" s="1">
        <v>0.5</v>
      </c>
      <c r="AE265" t="s">
        <v>8</v>
      </c>
      <c r="AF265" s="1">
        <v>0</v>
      </c>
      <c r="AG265" s="1">
        <v>0.20521301059170299</v>
      </c>
      <c r="AH265" s="1">
        <f t="shared" si="13"/>
        <v>0.41042602118340599</v>
      </c>
      <c r="AJ265" t="s">
        <v>4</v>
      </c>
      <c r="AK265">
        <v>0</v>
      </c>
      <c r="AL265" t="s">
        <v>5</v>
      </c>
      <c r="AM265">
        <v>263</v>
      </c>
      <c r="AN265" t="s">
        <v>6</v>
      </c>
      <c r="AO265" s="1">
        <v>0.4117188</v>
      </c>
      <c r="AP265" t="s">
        <v>7</v>
      </c>
      <c r="AQ265" s="1">
        <v>0.5</v>
      </c>
      <c r="AR265" t="s">
        <v>8</v>
      </c>
      <c r="AS265" s="1">
        <v>0</v>
      </c>
      <c r="AT265" s="1">
        <v>0.20464431831545099</v>
      </c>
      <c r="AU265" s="1">
        <f t="shared" si="14"/>
        <v>0.40928863663090198</v>
      </c>
    </row>
    <row r="266" spans="10:47">
      <c r="J266" t="s">
        <v>4</v>
      </c>
      <c r="K266">
        <v>0</v>
      </c>
      <c r="L266" t="s">
        <v>5</v>
      </c>
      <c r="M266">
        <v>264</v>
      </c>
      <c r="N266" t="s">
        <v>6</v>
      </c>
      <c r="O266" s="1">
        <v>0.41328130000000002</v>
      </c>
      <c r="P266" t="s">
        <v>7</v>
      </c>
      <c r="Q266" s="1">
        <v>0.5</v>
      </c>
      <c r="R266" t="s">
        <v>8</v>
      </c>
      <c r="S266" s="1">
        <v>0</v>
      </c>
      <c r="T266" s="1">
        <v>0.204960223923943</v>
      </c>
      <c r="U266" s="1">
        <f t="shared" si="12"/>
        <v>0.409920447847886</v>
      </c>
      <c r="W266" t="s">
        <v>4</v>
      </c>
      <c r="X266">
        <v>0</v>
      </c>
      <c r="Y266" t="s">
        <v>5</v>
      </c>
      <c r="Z266">
        <v>264</v>
      </c>
      <c r="AA266" t="s">
        <v>6</v>
      </c>
      <c r="AB266" s="1">
        <v>0.41328130000000002</v>
      </c>
      <c r="AC266" t="s">
        <v>7</v>
      </c>
      <c r="AD266" s="1">
        <v>0.5</v>
      </c>
      <c r="AE266" t="s">
        <v>8</v>
      </c>
      <c r="AF266" s="1">
        <v>0</v>
      </c>
      <c r="AG266" s="1">
        <v>0.20517167815128301</v>
      </c>
      <c r="AH266" s="1">
        <f t="shared" si="13"/>
        <v>0.41034335630256602</v>
      </c>
      <c r="AJ266" t="s">
        <v>4</v>
      </c>
      <c r="AK266">
        <v>0</v>
      </c>
      <c r="AL266" t="s">
        <v>5</v>
      </c>
      <c r="AM266">
        <v>264</v>
      </c>
      <c r="AN266" t="s">
        <v>6</v>
      </c>
      <c r="AO266" s="1">
        <v>0.41328130000000002</v>
      </c>
      <c r="AP266" t="s">
        <v>7</v>
      </c>
      <c r="AQ266" s="1">
        <v>0.5</v>
      </c>
      <c r="AR266" t="s">
        <v>8</v>
      </c>
      <c r="AS266" s="1">
        <v>0</v>
      </c>
      <c r="AT266" s="1">
        <v>0.20464847206226999</v>
      </c>
      <c r="AU266" s="1">
        <f t="shared" si="14"/>
        <v>0.40929694412453999</v>
      </c>
    </row>
    <row r="267" spans="10:47">
      <c r="J267" t="s">
        <v>4</v>
      </c>
      <c r="K267">
        <v>0</v>
      </c>
      <c r="L267" t="s">
        <v>5</v>
      </c>
      <c r="M267">
        <v>265</v>
      </c>
      <c r="N267" t="s">
        <v>6</v>
      </c>
      <c r="O267" s="1">
        <v>0.41484379999999998</v>
      </c>
      <c r="P267" t="s">
        <v>7</v>
      </c>
      <c r="Q267" s="1">
        <v>0.5</v>
      </c>
      <c r="R267" t="s">
        <v>8</v>
      </c>
      <c r="S267" s="1">
        <v>0</v>
      </c>
      <c r="T267" s="1">
        <v>0.20492981581681799</v>
      </c>
      <c r="U267" s="1">
        <f t="shared" si="12"/>
        <v>0.40985963163363598</v>
      </c>
      <c r="W267" t="s">
        <v>4</v>
      </c>
      <c r="X267">
        <v>0</v>
      </c>
      <c r="Y267" t="s">
        <v>5</v>
      </c>
      <c r="Z267">
        <v>265</v>
      </c>
      <c r="AA267" t="s">
        <v>6</v>
      </c>
      <c r="AB267" s="1">
        <v>0.41484379999999998</v>
      </c>
      <c r="AC267" t="s">
        <v>7</v>
      </c>
      <c r="AD267" s="1">
        <v>0.5</v>
      </c>
      <c r="AE267" t="s">
        <v>8</v>
      </c>
      <c r="AF267" s="1">
        <v>0</v>
      </c>
      <c r="AG267" s="1">
        <v>0.20512489638520701</v>
      </c>
      <c r="AH267" s="1">
        <f t="shared" si="13"/>
        <v>0.41024979277041401</v>
      </c>
      <c r="AJ267" t="s">
        <v>4</v>
      </c>
      <c r="AK267">
        <v>0</v>
      </c>
      <c r="AL267" t="s">
        <v>5</v>
      </c>
      <c r="AM267">
        <v>265</v>
      </c>
      <c r="AN267" t="s">
        <v>6</v>
      </c>
      <c r="AO267" s="1">
        <v>0.41484379999999998</v>
      </c>
      <c r="AP267" t="s">
        <v>7</v>
      </c>
      <c r="AQ267" s="1">
        <v>0.5</v>
      </c>
      <c r="AR267" t="s">
        <v>8</v>
      </c>
      <c r="AS267" s="1">
        <v>0</v>
      </c>
      <c r="AT267" s="1">
        <v>0.204647882254818</v>
      </c>
      <c r="AU267" s="1">
        <f t="shared" si="14"/>
        <v>0.40929576450963601</v>
      </c>
    </row>
    <row r="268" spans="10:47">
      <c r="J268" t="s">
        <v>4</v>
      </c>
      <c r="K268">
        <v>0</v>
      </c>
      <c r="L268" t="s">
        <v>5</v>
      </c>
      <c r="M268">
        <v>266</v>
      </c>
      <c r="N268" t="s">
        <v>6</v>
      </c>
      <c r="O268" s="1">
        <v>0.4164062</v>
      </c>
      <c r="P268" t="s">
        <v>7</v>
      </c>
      <c r="Q268" s="1">
        <v>0.5</v>
      </c>
      <c r="R268" t="s">
        <v>8</v>
      </c>
      <c r="S268" s="1">
        <v>0</v>
      </c>
      <c r="T268" s="1">
        <v>0.204894641981614</v>
      </c>
      <c r="U268" s="1">
        <f t="shared" si="12"/>
        <v>0.409789283963228</v>
      </c>
      <c r="W268" t="s">
        <v>4</v>
      </c>
      <c r="X268">
        <v>0</v>
      </c>
      <c r="Y268" t="s">
        <v>5</v>
      </c>
      <c r="Z268">
        <v>266</v>
      </c>
      <c r="AA268" t="s">
        <v>6</v>
      </c>
      <c r="AB268" s="1">
        <v>0.4164062</v>
      </c>
      <c r="AC268" t="s">
        <v>7</v>
      </c>
      <c r="AD268" s="1">
        <v>0.5</v>
      </c>
      <c r="AE268" t="s">
        <v>8</v>
      </c>
      <c r="AF268" s="1">
        <v>0</v>
      </c>
      <c r="AG268" s="1">
        <v>0.205072623590275</v>
      </c>
      <c r="AH268" s="1">
        <f t="shared" si="13"/>
        <v>0.41014524718055001</v>
      </c>
      <c r="AJ268" t="s">
        <v>4</v>
      </c>
      <c r="AK268">
        <v>0</v>
      </c>
      <c r="AL268" t="s">
        <v>5</v>
      </c>
      <c r="AM268">
        <v>266</v>
      </c>
      <c r="AN268" t="s">
        <v>6</v>
      </c>
      <c r="AO268" s="1">
        <v>0.4164062</v>
      </c>
      <c r="AP268" t="s">
        <v>7</v>
      </c>
      <c r="AQ268" s="1">
        <v>0.5</v>
      </c>
      <c r="AR268" t="s">
        <v>8</v>
      </c>
      <c r="AS268" s="1">
        <v>0</v>
      </c>
      <c r="AT268" s="1">
        <v>0.20464252901093699</v>
      </c>
      <c r="AU268" s="1">
        <f t="shared" si="14"/>
        <v>0.40928505802187398</v>
      </c>
    </row>
    <row r="269" spans="10:47">
      <c r="J269" t="s">
        <v>4</v>
      </c>
      <c r="K269">
        <v>0</v>
      </c>
      <c r="L269" t="s">
        <v>5</v>
      </c>
      <c r="M269">
        <v>267</v>
      </c>
      <c r="N269" t="s">
        <v>6</v>
      </c>
      <c r="O269" s="1">
        <v>0.41796879999999997</v>
      </c>
      <c r="P269" t="s">
        <v>7</v>
      </c>
      <c r="Q269" s="1">
        <v>0.5</v>
      </c>
      <c r="R269" t="s">
        <v>8</v>
      </c>
      <c r="S269" s="1">
        <v>0</v>
      </c>
      <c r="T269" s="1">
        <v>0.204854646694835</v>
      </c>
      <c r="U269" s="1">
        <f t="shared" si="12"/>
        <v>0.40970929338966999</v>
      </c>
      <c r="W269" t="s">
        <v>4</v>
      </c>
      <c r="X269">
        <v>0</v>
      </c>
      <c r="Y269" t="s">
        <v>5</v>
      </c>
      <c r="Z269">
        <v>267</v>
      </c>
      <c r="AA269" t="s">
        <v>6</v>
      </c>
      <c r="AB269" s="1">
        <v>0.41796879999999997</v>
      </c>
      <c r="AC269" t="s">
        <v>7</v>
      </c>
      <c r="AD269" s="1">
        <v>0.5</v>
      </c>
      <c r="AE269" t="s">
        <v>8</v>
      </c>
      <c r="AF269" s="1">
        <v>0</v>
      </c>
      <c r="AG269" s="1">
        <v>0.20501481963322399</v>
      </c>
      <c r="AH269" s="1">
        <f t="shared" si="13"/>
        <v>0.41002963926644798</v>
      </c>
      <c r="AJ269" t="s">
        <v>4</v>
      </c>
      <c r="AK269">
        <v>0</v>
      </c>
      <c r="AL269" t="s">
        <v>5</v>
      </c>
      <c r="AM269">
        <v>267</v>
      </c>
      <c r="AN269" t="s">
        <v>6</v>
      </c>
      <c r="AO269" s="1">
        <v>0.41796879999999997</v>
      </c>
      <c r="AP269" t="s">
        <v>7</v>
      </c>
      <c r="AQ269" s="1">
        <v>0.5</v>
      </c>
      <c r="AR269" t="s">
        <v>8</v>
      </c>
      <c r="AS269" s="1">
        <v>0</v>
      </c>
      <c r="AT269" s="1">
        <v>0.204632393921272</v>
      </c>
      <c r="AU269" s="1">
        <f t="shared" si="14"/>
        <v>0.409264787842544</v>
      </c>
    </row>
    <row r="270" spans="10:47">
      <c r="J270" t="s">
        <v>4</v>
      </c>
      <c r="K270">
        <v>0</v>
      </c>
      <c r="L270" t="s">
        <v>5</v>
      </c>
      <c r="M270">
        <v>268</v>
      </c>
      <c r="N270" t="s">
        <v>6</v>
      </c>
      <c r="O270" s="1">
        <v>0.4195313</v>
      </c>
      <c r="P270" t="s">
        <v>7</v>
      </c>
      <c r="Q270" s="1">
        <v>0.5</v>
      </c>
      <c r="R270" t="s">
        <v>8</v>
      </c>
      <c r="S270" s="1">
        <v>0</v>
      </c>
      <c r="T270" s="1">
        <v>0.20480977495042599</v>
      </c>
      <c r="U270" s="1">
        <f t="shared" si="12"/>
        <v>0.40961954990085198</v>
      </c>
      <c r="W270" t="s">
        <v>4</v>
      </c>
      <c r="X270">
        <v>0</v>
      </c>
      <c r="Y270" t="s">
        <v>5</v>
      </c>
      <c r="Z270">
        <v>268</v>
      </c>
      <c r="AA270" t="s">
        <v>6</v>
      </c>
      <c r="AB270" s="1">
        <v>0.4195313</v>
      </c>
      <c r="AC270" t="s">
        <v>7</v>
      </c>
      <c r="AD270" s="1">
        <v>0.5</v>
      </c>
      <c r="AE270" t="s">
        <v>8</v>
      </c>
      <c r="AF270" s="1">
        <v>0</v>
      </c>
      <c r="AG270" s="1">
        <v>0.204951446871488</v>
      </c>
      <c r="AH270" s="1">
        <f t="shared" si="13"/>
        <v>0.409902893742976</v>
      </c>
      <c r="AJ270" t="s">
        <v>4</v>
      </c>
      <c r="AK270">
        <v>0</v>
      </c>
      <c r="AL270" t="s">
        <v>5</v>
      </c>
      <c r="AM270">
        <v>268</v>
      </c>
      <c r="AN270" t="s">
        <v>6</v>
      </c>
      <c r="AO270" s="1">
        <v>0.4195313</v>
      </c>
      <c r="AP270" t="s">
        <v>7</v>
      </c>
      <c r="AQ270" s="1">
        <v>0.5</v>
      </c>
      <c r="AR270" t="s">
        <v>8</v>
      </c>
      <c r="AS270" s="1">
        <v>0</v>
      </c>
      <c r="AT270" s="1">
        <v>0.20461746089282301</v>
      </c>
      <c r="AU270" s="1">
        <f t="shared" si="14"/>
        <v>0.40923492178564602</v>
      </c>
    </row>
    <row r="271" spans="10:47">
      <c r="J271" t="s">
        <v>4</v>
      </c>
      <c r="K271">
        <v>0</v>
      </c>
      <c r="L271" t="s">
        <v>5</v>
      </c>
      <c r="M271">
        <v>269</v>
      </c>
      <c r="N271" t="s">
        <v>6</v>
      </c>
      <c r="O271" s="1">
        <v>0.42109370000000002</v>
      </c>
      <c r="P271" t="s">
        <v>7</v>
      </c>
      <c r="Q271" s="1">
        <v>0.5</v>
      </c>
      <c r="R271" t="s">
        <v>8</v>
      </c>
      <c r="S271" s="1">
        <v>0</v>
      </c>
      <c r="T271" s="1">
        <v>0.20475997329017501</v>
      </c>
      <c r="U271" s="1">
        <f t="shared" si="12"/>
        <v>0.40951994658035001</v>
      </c>
      <c r="W271" t="s">
        <v>4</v>
      </c>
      <c r="X271">
        <v>0</v>
      </c>
      <c r="Y271" t="s">
        <v>5</v>
      </c>
      <c r="Z271">
        <v>269</v>
      </c>
      <c r="AA271" t="s">
        <v>6</v>
      </c>
      <c r="AB271" s="1">
        <v>0.42109370000000002</v>
      </c>
      <c r="AC271" t="s">
        <v>7</v>
      </c>
      <c r="AD271" s="1">
        <v>0.5</v>
      </c>
      <c r="AE271" t="s">
        <v>8</v>
      </c>
      <c r="AF271" s="1">
        <v>0</v>
      </c>
      <c r="AG271" s="1">
        <v>0.204882471073633</v>
      </c>
      <c r="AH271" s="1">
        <f t="shared" si="13"/>
        <v>0.409764942147266</v>
      </c>
      <c r="AJ271" t="s">
        <v>4</v>
      </c>
      <c r="AK271">
        <v>0</v>
      </c>
      <c r="AL271" t="s">
        <v>5</v>
      </c>
      <c r="AM271">
        <v>269</v>
      </c>
      <c r="AN271" t="s">
        <v>6</v>
      </c>
      <c r="AO271" s="1">
        <v>0.42109370000000002</v>
      </c>
      <c r="AP271" t="s">
        <v>7</v>
      </c>
      <c r="AQ271" s="1">
        <v>0.5</v>
      </c>
      <c r="AR271" t="s">
        <v>8</v>
      </c>
      <c r="AS271" s="1">
        <v>0</v>
      </c>
      <c r="AT271" s="1">
        <v>0.204597716988133</v>
      </c>
      <c r="AU271" s="1">
        <f t="shared" si="14"/>
        <v>0.40919543397626601</v>
      </c>
    </row>
    <row r="272" spans="10:47">
      <c r="J272" t="s">
        <v>4</v>
      </c>
      <c r="K272">
        <v>0</v>
      </c>
      <c r="L272" t="s">
        <v>5</v>
      </c>
      <c r="M272">
        <v>270</v>
      </c>
      <c r="N272" t="s">
        <v>6</v>
      </c>
      <c r="O272" s="1">
        <v>0.42265629999999998</v>
      </c>
      <c r="P272" t="s">
        <v>7</v>
      </c>
      <c r="Q272" s="1">
        <v>0.5</v>
      </c>
      <c r="R272" t="s">
        <v>8</v>
      </c>
      <c r="S272" s="1">
        <v>0</v>
      </c>
      <c r="T272" s="1">
        <v>0.20470519063299</v>
      </c>
      <c r="U272" s="1">
        <f t="shared" si="12"/>
        <v>0.40941038126598001</v>
      </c>
      <c r="W272" t="s">
        <v>4</v>
      </c>
      <c r="X272">
        <v>0</v>
      </c>
      <c r="Y272" t="s">
        <v>5</v>
      </c>
      <c r="Z272">
        <v>270</v>
      </c>
      <c r="AA272" t="s">
        <v>6</v>
      </c>
      <c r="AB272" s="1">
        <v>0.42265629999999998</v>
      </c>
      <c r="AC272" t="s">
        <v>7</v>
      </c>
      <c r="AD272" s="1">
        <v>0.5</v>
      </c>
      <c r="AE272" t="s">
        <v>8</v>
      </c>
      <c r="AF272" s="1">
        <v>0</v>
      </c>
      <c r="AG272" s="1">
        <v>0.20480786233995099</v>
      </c>
      <c r="AH272" s="1">
        <f t="shared" si="13"/>
        <v>0.40961572467990198</v>
      </c>
      <c r="AJ272" t="s">
        <v>4</v>
      </c>
      <c r="AK272">
        <v>0</v>
      </c>
      <c r="AL272" t="s">
        <v>5</v>
      </c>
      <c r="AM272">
        <v>270</v>
      </c>
      <c r="AN272" t="s">
        <v>6</v>
      </c>
      <c r="AO272" s="1">
        <v>0.42265629999999998</v>
      </c>
      <c r="AP272" t="s">
        <v>7</v>
      </c>
      <c r="AQ272" s="1">
        <v>0.5</v>
      </c>
      <c r="AR272" t="s">
        <v>8</v>
      </c>
      <c r="AS272" s="1">
        <v>0</v>
      </c>
      <c r="AT272" s="1">
        <v>0.204573153268126</v>
      </c>
      <c r="AU272" s="1">
        <f t="shared" si="14"/>
        <v>0.409146306536252</v>
      </c>
    </row>
    <row r="273" spans="10:47">
      <c r="J273" t="s">
        <v>4</v>
      </c>
      <c r="K273">
        <v>0</v>
      </c>
      <c r="L273" t="s">
        <v>5</v>
      </c>
      <c r="M273">
        <v>271</v>
      </c>
      <c r="N273" t="s">
        <v>6</v>
      </c>
      <c r="O273" s="1">
        <v>0.4242187</v>
      </c>
      <c r="P273" t="s">
        <v>7</v>
      </c>
      <c r="Q273" s="1">
        <v>0.5</v>
      </c>
      <c r="R273" t="s">
        <v>8</v>
      </c>
      <c r="S273" s="1">
        <v>0</v>
      </c>
      <c r="T273" s="1">
        <v>0.20464537910495001</v>
      </c>
      <c r="U273" s="1">
        <f t="shared" si="12"/>
        <v>0.40929075820990002</v>
      </c>
      <c r="W273" t="s">
        <v>4</v>
      </c>
      <c r="X273">
        <v>0</v>
      </c>
      <c r="Y273" t="s">
        <v>5</v>
      </c>
      <c r="Z273">
        <v>271</v>
      </c>
      <c r="AA273" t="s">
        <v>6</v>
      </c>
      <c r="AB273" s="1">
        <v>0.4242187</v>
      </c>
      <c r="AC273" t="s">
        <v>7</v>
      </c>
      <c r="AD273" s="1">
        <v>0.5</v>
      </c>
      <c r="AE273" t="s">
        <v>8</v>
      </c>
      <c r="AF273" s="1">
        <v>0</v>
      </c>
      <c r="AG273" s="1">
        <v>0.204727596022341</v>
      </c>
      <c r="AH273" s="1">
        <f t="shared" si="13"/>
        <v>0.409455192044682</v>
      </c>
      <c r="AJ273" t="s">
        <v>4</v>
      </c>
      <c r="AK273">
        <v>0</v>
      </c>
      <c r="AL273" t="s">
        <v>5</v>
      </c>
      <c r="AM273">
        <v>271</v>
      </c>
      <c r="AN273" t="s">
        <v>6</v>
      </c>
      <c r="AO273" s="1">
        <v>0.4242187</v>
      </c>
      <c r="AP273" t="s">
        <v>7</v>
      </c>
      <c r="AQ273" s="1">
        <v>0.5</v>
      </c>
      <c r="AR273" t="s">
        <v>8</v>
      </c>
      <c r="AS273" s="1">
        <v>0</v>
      </c>
      <c r="AT273" s="1">
        <v>0.204543765633321</v>
      </c>
      <c r="AU273" s="1">
        <f t="shared" si="14"/>
        <v>0.40908753126664199</v>
      </c>
    </row>
    <row r="274" spans="10:47">
      <c r="J274" t="s">
        <v>4</v>
      </c>
      <c r="K274">
        <v>0</v>
      </c>
      <c r="L274" t="s">
        <v>5</v>
      </c>
      <c r="M274">
        <v>272</v>
      </c>
      <c r="N274" t="s">
        <v>6</v>
      </c>
      <c r="O274" s="1">
        <v>0.42578120000000003</v>
      </c>
      <c r="P274" t="s">
        <v>7</v>
      </c>
      <c r="Q274" s="1">
        <v>0.5</v>
      </c>
      <c r="R274" t="s">
        <v>8</v>
      </c>
      <c r="S274" s="1">
        <v>0</v>
      </c>
      <c r="T274" s="1">
        <v>0.20458049486985599</v>
      </c>
      <c r="U274" s="1">
        <f t="shared" si="12"/>
        <v>0.40916098973971199</v>
      </c>
      <c r="W274" t="s">
        <v>4</v>
      </c>
      <c r="X274">
        <v>0</v>
      </c>
      <c r="Y274" t="s">
        <v>5</v>
      </c>
      <c r="Z274">
        <v>272</v>
      </c>
      <c r="AA274" t="s">
        <v>6</v>
      </c>
      <c r="AB274" s="1">
        <v>0.42578120000000003</v>
      </c>
      <c r="AC274" t="s">
        <v>7</v>
      </c>
      <c r="AD274" s="1">
        <v>0.5</v>
      </c>
      <c r="AE274" t="s">
        <v>8</v>
      </c>
      <c r="AF274" s="1">
        <v>0</v>
      </c>
      <c r="AG274" s="1">
        <v>0.204641653644134</v>
      </c>
      <c r="AH274" s="1">
        <f t="shared" si="13"/>
        <v>0.40928330728826801</v>
      </c>
      <c r="AJ274" t="s">
        <v>4</v>
      </c>
      <c r="AK274">
        <v>0</v>
      </c>
      <c r="AL274" t="s">
        <v>5</v>
      </c>
      <c r="AM274">
        <v>272</v>
      </c>
      <c r="AN274" t="s">
        <v>6</v>
      </c>
      <c r="AO274" s="1">
        <v>0.42578120000000003</v>
      </c>
      <c r="AP274" t="s">
        <v>7</v>
      </c>
      <c r="AQ274" s="1">
        <v>0.5</v>
      </c>
      <c r="AR274" t="s">
        <v>8</v>
      </c>
      <c r="AS274" s="1">
        <v>0</v>
      </c>
      <c r="AT274" s="1">
        <v>0.204509555663101</v>
      </c>
      <c r="AU274" s="1">
        <f t="shared" si="14"/>
        <v>0.409019111326202</v>
      </c>
    </row>
    <row r="275" spans="10:47">
      <c r="J275" t="s">
        <v>4</v>
      </c>
      <c r="K275">
        <v>0</v>
      </c>
      <c r="L275" t="s">
        <v>5</v>
      </c>
      <c r="M275">
        <v>273</v>
      </c>
      <c r="N275" t="s">
        <v>6</v>
      </c>
      <c r="O275" s="1">
        <v>0.4273438</v>
      </c>
      <c r="P275" t="s">
        <v>7</v>
      </c>
      <c r="Q275" s="1">
        <v>0.5</v>
      </c>
      <c r="R275" t="s">
        <v>8</v>
      </c>
      <c r="S275" s="1">
        <v>0</v>
      </c>
      <c r="T275" s="1">
        <v>0.20451049895898701</v>
      </c>
      <c r="U275" s="1">
        <f t="shared" si="12"/>
        <v>0.40902099791797403</v>
      </c>
      <c r="W275" t="s">
        <v>4</v>
      </c>
      <c r="X275">
        <v>0</v>
      </c>
      <c r="Y275" t="s">
        <v>5</v>
      </c>
      <c r="Z275">
        <v>273</v>
      </c>
      <c r="AA275" t="s">
        <v>6</v>
      </c>
      <c r="AB275" s="1">
        <v>0.4273438</v>
      </c>
      <c r="AC275" t="s">
        <v>7</v>
      </c>
      <c r="AD275" s="1">
        <v>0.5</v>
      </c>
      <c r="AE275" t="s">
        <v>8</v>
      </c>
      <c r="AF275" s="1">
        <v>0</v>
      </c>
      <c r="AG275" s="1">
        <v>0.20455002382005899</v>
      </c>
      <c r="AH275" s="1">
        <f t="shared" si="13"/>
        <v>0.40910004764011798</v>
      </c>
      <c r="AJ275" t="s">
        <v>4</v>
      </c>
      <c r="AK275">
        <v>0</v>
      </c>
      <c r="AL275" t="s">
        <v>5</v>
      </c>
      <c r="AM275">
        <v>273</v>
      </c>
      <c r="AN275" t="s">
        <v>6</v>
      </c>
      <c r="AO275" s="1">
        <v>0.4273438</v>
      </c>
      <c r="AP275" t="s">
        <v>7</v>
      </c>
      <c r="AQ275" s="1">
        <v>0.5</v>
      </c>
      <c r="AR275" t="s">
        <v>8</v>
      </c>
      <c r="AS275" s="1">
        <v>0</v>
      </c>
      <c r="AT275" s="1">
        <v>0.20447053146156399</v>
      </c>
      <c r="AU275" s="1">
        <f t="shared" si="14"/>
        <v>0.40894106292312798</v>
      </c>
    </row>
    <row r="276" spans="10:47">
      <c r="J276" t="s">
        <v>4</v>
      </c>
      <c r="K276">
        <v>0</v>
      </c>
      <c r="L276" t="s">
        <v>5</v>
      </c>
      <c r="M276">
        <v>274</v>
      </c>
      <c r="N276" t="s">
        <v>6</v>
      </c>
      <c r="O276" s="1">
        <v>0.42890630000000002</v>
      </c>
      <c r="P276" t="s">
        <v>7</v>
      </c>
      <c r="Q276" s="1">
        <v>0.5</v>
      </c>
      <c r="R276" t="s">
        <v>8</v>
      </c>
      <c r="S276" s="1">
        <v>0</v>
      </c>
      <c r="T276" s="1">
        <v>0.20443535810227201</v>
      </c>
      <c r="U276" s="1">
        <f t="shared" si="12"/>
        <v>0.40887071620454402</v>
      </c>
      <c r="W276" t="s">
        <v>4</v>
      </c>
      <c r="X276">
        <v>0</v>
      </c>
      <c r="Y276" t="s">
        <v>5</v>
      </c>
      <c r="Z276">
        <v>274</v>
      </c>
      <c r="AA276" t="s">
        <v>6</v>
      </c>
      <c r="AB276" s="1">
        <v>0.42890630000000002</v>
      </c>
      <c r="AC276" t="s">
        <v>7</v>
      </c>
      <c r="AD276" s="1">
        <v>0.5</v>
      </c>
      <c r="AE276" t="s">
        <v>8</v>
      </c>
      <c r="AF276" s="1">
        <v>0</v>
      </c>
      <c r="AG276" s="1">
        <v>0.20445270317518</v>
      </c>
      <c r="AH276" s="1">
        <f t="shared" si="13"/>
        <v>0.40890540635035999</v>
      </c>
      <c r="AJ276" t="s">
        <v>4</v>
      </c>
      <c r="AK276">
        <v>0</v>
      </c>
      <c r="AL276" t="s">
        <v>5</v>
      </c>
      <c r="AM276">
        <v>274</v>
      </c>
      <c r="AN276" t="s">
        <v>6</v>
      </c>
      <c r="AO276" s="1">
        <v>0.42890630000000002</v>
      </c>
      <c r="AP276" t="s">
        <v>7</v>
      </c>
      <c r="AQ276" s="1">
        <v>0.5</v>
      </c>
      <c r="AR276" t="s">
        <v>8</v>
      </c>
      <c r="AS276" s="1">
        <v>0</v>
      </c>
      <c r="AT276" s="1">
        <v>0.204426708495651</v>
      </c>
      <c r="AU276" s="1">
        <f t="shared" si="14"/>
        <v>0.40885341699130201</v>
      </c>
    </row>
    <row r="277" spans="10:47">
      <c r="J277" t="s">
        <v>4</v>
      </c>
      <c r="K277">
        <v>0</v>
      </c>
      <c r="L277" t="s">
        <v>5</v>
      </c>
      <c r="M277">
        <v>275</v>
      </c>
      <c r="N277" t="s">
        <v>6</v>
      </c>
      <c r="O277" s="1">
        <v>0.43046879999999998</v>
      </c>
      <c r="P277" t="s">
        <v>7</v>
      </c>
      <c r="Q277" s="1">
        <v>0.5</v>
      </c>
      <c r="R277" t="s">
        <v>8</v>
      </c>
      <c r="S277" s="1">
        <v>0</v>
      </c>
      <c r="T277" s="1">
        <v>0.20435504555908601</v>
      </c>
      <c r="U277" s="1">
        <f t="shared" si="12"/>
        <v>0.40871009111817203</v>
      </c>
      <c r="W277" t="s">
        <v>4</v>
      </c>
      <c r="X277">
        <v>0</v>
      </c>
      <c r="Y277" t="s">
        <v>5</v>
      </c>
      <c r="Z277">
        <v>275</v>
      </c>
      <c r="AA277" t="s">
        <v>6</v>
      </c>
      <c r="AB277" s="1">
        <v>0.43046879999999998</v>
      </c>
      <c r="AC277" t="s">
        <v>7</v>
      </c>
      <c r="AD277" s="1">
        <v>0.5</v>
      </c>
      <c r="AE277" t="s">
        <v>8</v>
      </c>
      <c r="AF277" s="1">
        <v>0</v>
      </c>
      <c r="AG277" s="1">
        <v>0.20434969726504101</v>
      </c>
      <c r="AH277" s="1">
        <f t="shared" si="13"/>
        <v>0.40869939453008203</v>
      </c>
      <c r="AJ277" t="s">
        <v>4</v>
      </c>
      <c r="AK277">
        <v>0</v>
      </c>
      <c r="AL277" t="s">
        <v>5</v>
      </c>
      <c r="AM277">
        <v>275</v>
      </c>
      <c r="AN277" t="s">
        <v>6</v>
      </c>
      <c r="AO277" s="1">
        <v>0.43046879999999998</v>
      </c>
      <c r="AP277" t="s">
        <v>7</v>
      </c>
      <c r="AQ277" s="1">
        <v>0.5</v>
      </c>
      <c r="AR277" t="s">
        <v>8</v>
      </c>
      <c r="AS277" s="1">
        <v>0</v>
      </c>
      <c r="AT277" s="1">
        <v>0.204378110438837</v>
      </c>
      <c r="AU277" s="1">
        <f t="shared" si="14"/>
        <v>0.40875622087767399</v>
      </c>
    </row>
    <row r="278" spans="10:47">
      <c r="J278" t="s">
        <v>4</v>
      </c>
      <c r="K278">
        <v>0</v>
      </c>
      <c r="L278" t="s">
        <v>5</v>
      </c>
      <c r="M278">
        <v>276</v>
      </c>
      <c r="N278" t="s">
        <v>6</v>
      </c>
      <c r="O278" s="1">
        <v>0.4320312</v>
      </c>
      <c r="P278" t="s">
        <v>7</v>
      </c>
      <c r="Q278" s="1">
        <v>0.5</v>
      </c>
      <c r="R278" t="s">
        <v>8</v>
      </c>
      <c r="S278" s="1">
        <v>0</v>
      </c>
      <c r="T278" s="1">
        <v>0.20426954194907099</v>
      </c>
      <c r="U278" s="1">
        <f t="shared" si="12"/>
        <v>0.40853908389814197</v>
      </c>
      <c r="W278" t="s">
        <v>4</v>
      </c>
      <c r="X278">
        <v>0</v>
      </c>
      <c r="Y278" t="s">
        <v>5</v>
      </c>
      <c r="Z278">
        <v>276</v>
      </c>
      <c r="AA278" t="s">
        <v>6</v>
      </c>
      <c r="AB278" s="1">
        <v>0.4320312</v>
      </c>
      <c r="AC278" t="s">
        <v>7</v>
      </c>
      <c r="AD278" s="1">
        <v>0.5</v>
      </c>
      <c r="AE278" t="s">
        <v>8</v>
      </c>
      <c r="AF278" s="1">
        <v>0</v>
      </c>
      <c r="AG278" s="1">
        <v>0.204241021493731</v>
      </c>
      <c r="AH278" s="1">
        <f t="shared" si="13"/>
        <v>0.40848204298746199</v>
      </c>
      <c r="AJ278" t="s">
        <v>4</v>
      </c>
      <c r="AK278">
        <v>0</v>
      </c>
      <c r="AL278" t="s">
        <v>5</v>
      </c>
      <c r="AM278">
        <v>276</v>
      </c>
      <c r="AN278" t="s">
        <v>6</v>
      </c>
      <c r="AO278" s="1">
        <v>0.4320312</v>
      </c>
      <c r="AP278" t="s">
        <v>7</v>
      </c>
      <c r="AQ278" s="1">
        <v>0.5</v>
      </c>
      <c r="AR278" t="s">
        <v>8</v>
      </c>
      <c r="AS278" s="1">
        <v>0</v>
      </c>
      <c r="AT278" s="1">
        <v>0.204324770012803</v>
      </c>
      <c r="AU278" s="1">
        <f t="shared" si="14"/>
        <v>0.408649540025606</v>
      </c>
    </row>
    <row r="279" spans="10:47">
      <c r="J279" t="s">
        <v>4</v>
      </c>
      <c r="K279">
        <v>0</v>
      </c>
      <c r="L279" t="s">
        <v>5</v>
      </c>
      <c r="M279">
        <v>277</v>
      </c>
      <c r="N279" t="s">
        <v>6</v>
      </c>
      <c r="O279" s="1">
        <v>0.43359379999999997</v>
      </c>
      <c r="P279" t="s">
        <v>7</v>
      </c>
      <c r="Q279" s="1">
        <v>0.5</v>
      </c>
      <c r="R279" t="s">
        <v>8</v>
      </c>
      <c r="S279" s="1">
        <v>0</v>
      </c>
      <c r="T279" s="1">
        <v>0.204178836083941</v>
      </c>
      <c r="U279" s="1">
        <f t="shared" si="12"/>
        <v>0.40835767216788199</v>
      </c>
      <c r="W279" t="s">
        <v>4</v>
      </c>
      <c r="X279">
        <v>0</v>
      </c>
      <c r="Y279" t="s">
        <v>5</v>
      </c>
      <c r="Z279">
        <v>277</v>
      </c>
      <c r="AA279" t="s">
        <v>6</v>
      </c>
      <c r="AB279" s="1">
        <v>0.43359379999999997</v>
      </c>
      <c r="AC279" t="s">
        <v>7</v>
      </c>
      <c r="AD279" s="1">
        <v>0.5</v>
      </c>
      <c r="AE279" t="s">
        <v>8</v>
      </c>
      <c r="AF279" s="1">
        <v>0</v>
      </c>
      <c r="AG279" s="1">
        <v>0.204126702033123</v>
      </c>
      <c r="AH279" s="1">
        <f t="shared" si="13"/>
        <v>0.408253404066246</v>
      </c>
      <c r="AJ279" t="s">
        <v>4</v>
      </c>
      <c r="AK279">
        <v>0</v>
      </c>
      <c r="AL279" t="s">
        <v>5</v>
      </c>
      <c r="AM279">
        <v>277</v>
      </c>
      <c r="AN279" t="s">
        <v>6</v>
      </c>
      <c r="AO279" s="1">
        <v>0.43359379999999997</v>
      </c>
      <c r="AP279" t="s">
        <v>7</v>
      </c>
      <c r="AQ279" s="1">
        <v>0.5</v>
      </c>
      <c r="AR279" t="s">
        <v>8</v>
      </c>
      <c r="AS279" s="1">
        <v>0</v>
      </c>
      <c r="AT279" s="1">
        <v>0.20426672982809699</v>
      </c>
      <c r="AU279" s="1">
        <f t="shared" si="14"/>
        <v>0.40853345965619398</v>
      </c>
    </row>
    <row r="280" spans="10:47">
      <c r="J280" t="s">
        <v>4</v>
      </c>
      <c r="K280">
        <v>0</v>
      </c>
      <c r="L280" t="s">
        <v>5</v>
      </c>
      <c r="M280">
        <v>278</v>
      </c>
      <c r="N280" t="s">
        <v>6</v>
      </c>
      <c r="O280" s="1">
        <v>0.4351563</v>
      </c>
      <c r="P280" t="s">
        <v>7</v>
      </c>
      <c r="Q280" s="1">
        <v>0.5</v>
      </c>
      <c r="R280" t="s">
        <v>8</v>
      </c>
      <c r="S280" s="1">
        <v>0</v>
      </c>
      <c r="T280" s="1">
        <v>0.204082925798211</v>
      </c>
      <c r="U280" s="1">
        <f t="shared" si="12"/>
        <v>0.40816585159642199</v>
      </c>
      <c r="W280" t="s">
        <v>4</v>
      </c>
      <c r="X280">
        <v>0</v>
      </c>
      <c r="Y280" t="s">
        <v>5</v>
      </c>
      <c r="Z280">
        <v>278</v>
      </c>
      <c r="AA280" t="s">
        <v>6</v>
      </c>
      <c r="AB280" s="1">
        <v>0.4351563</v>
      </c>
      <c r="AC280" t="s">
        <v>7</v>
      </c>
      <c r="AD280" s="1">
        <v>0.5</v>
      </c>
      <c r="AE280" t="s">
        <v>8</v>
      </c>
      <c r="AF280" s="1">
        <v>0</v>
      </c>
      <c r="AG280" s="1">
        <v>0.20400677674159601</v>
      </c>
      <c r="AH280" s="1">
        <f t="shared" si="13"/>
        <v>0.40801355348319202</v>
      </c>
      <c r="AJ280" t="s">
        <v>4</v>
      </c>
      <c r="AK280">
        <v>0</v>
      </c>
      <c r="AL280" t="s">
        <v>5</v>
      </c>
      <c r="AM280">
        <v>278</v>
      </c>
      <c r="AN280" t="s">
        <v>6</v>
      </c>
      <c r="AO280" s="1">
        <v>0.4351563</v>
      </c>
      <c r="AP280" t="s">
        <v>7</v>
      </c>
      <c r="AQ280" s="1">
        <v>0.5</v>
      </c>
      <c r="AR280" t="s">
        <v>8</v>
      </c>
      <c r="AS280" s="1">
        <v>0</v>
      </c>
      <c r="AT280" s="1">
        <v>0.204204043229438</v>
      </c>
      <c r="AU280" s="1">
        <f t="shared" si="14"/>
        <v>0.408408086458876</v>
      </c>
    </row>
    <row r="281" spans="10:47">
      <c r="J281" t="s">
        <v>4</v>
      </c>
      <c r="K281">
        <v>0</v>
      </c>
      <c r="L281" t="s">
        <v>5</v>
      </c>
      <c r="M281">
        <v>279</v>
      </c>
      <c r="N281" t="s">
        <v>6</v>
      </c>
      <c r="O281" s="1">
        <v>0.43671870000000002</v>
      </c>
      <c r="P281" t="s">
        <v>7</v>
      </c>
      <c r="Q281" s="1">
        <v>0.5</v>
      </c>
      <c r="R281" t="s">
        <v>8</v>
      </c>
      <c r="S281" s="1">
        <v>0</v>
      </c>
      <c r="T281" s="1">
        <v>0.20398181878150701</v>
      </c>
      <c r="U281" s="1">
        <f t="shared" si="12"/>
        <v>0.40796363756301401</v>
      </c>
      <c r="W281" t="s">
        <v>4</v>
      </c>
      <c r="X281">
        <v>0</v>
      </c>
      <c r="Y281" t="s">
        <v>5</v>
      </c>
      <c r="Z281">
        <v>279</v>
      </c>
      <c r="AA281" t="s">
        <v>6</v>
      </c>
      <c r="AB281" s="1">
        <v>0.43671870000000002</v>
      </c>
      <c r="AC281" t="s">
        <v>7</v>
      </c>
      <c r="AD281" s="1">
        <v>0.5</v>
      </c>
      <c r="AE281" t="s">
        <v>8</v>
      </c>
      <c r="AF281" s="1">
        <v>0</v>
      </c>
      <c r="AG281" s="1">
        <v>0.203881296082397</v>
      </c>
      <c r="AH281" s="1">
        <f t="shared" si="13"/>
        <v>0.40776259216479399</v>
      </c>
      <c r="AJ281" t="s">
        <v>4</v>
      </c>
      <c r="AK281">
        <v>0</v>
      </c>
      <c r="AL281" t="s">
        <v>5</v>
      </c>
      <c r="AM281">
        <v>279</v>
      </c>
      <c r="AN281" t="s">
        <v>6</v>
      </c>
      <c r="AO281" s="1">
        <v>0.43671870000000002</v>
      </c>
      <c r="AP281" t="s">
        <v>7</v>
      </c>
      <c r="AQ281" s="1">
        <v>0.5</v>
      </c>
      <c r="AR281" t="s">
        <v>8</v>
      </c>
      <c r="AS281" s="1">
        <v>0</v>
      </c>
      <c r="AT281" s="1">
        <v>0.20413677513537301</v>
      </c>
      <c r="AU281" s="1">
        <f t="shared" si="14"/>
        <v>0.40827355027074602</v>
      </c>
    </row>
    <row r="282" spans="10:47">
      <c r="J282" t="s">
        <v>4</v>
      </c>
      <c r="K282">
        <v>0</v>
      </c>
      <c r="L282" t="s">
        <v>5</v>
      </c>
      <c r="M282">
        <v>280</v>
      </c>
      <c r="N282" t="s">
        <v>6</v>
      </c>
      <c r="O282" s="1">
        <v>0.43828129999999998</v>
      </c>
      <c r="P282" t="s">
        <v>7</v>
      </c>
      <c r="Q282" s="1">
        <v>0.5</v>
      </c>
      <c r="R282" t="s">
        <v>8</v>
      </c>
      <c r="S282" s="1">
        <v>0</v>
      </c>
      <c r="T282" s="1">
        <v>0.20384174417325299</v>
      </c>
      <c r="U282" s="1">
        <f t="shared" si="12"/>
        <v>0.40768348834650597</v>
      </c>
      <c r="W282" t="s">
        <v>4</v>
      </c>
      <c r="X282">
        <v>0</v>
      </c>
      <c r="Y282" t="s">
        <v>5</v>
      </c>
      <c r="Z282">
        <v>280</v>
      </c>
      <c r="AA282" t="s">
        <v>6</v>
      </c>
      <c r="AB282" s="1">
        <v>0.43828129999999998</v>
      </c>
      <c r="AC282" t="s">
        <v>7</v>
      </c>
      <c r="AD282" s="1">
        <v>0.5</v>
      </c>
      <c r="AE282" t="s">
        <v>8</v>
      </c>
      <c r="AF282" s="1">
        <v>0</v>
      </c>
      <c r="AG282" s="1">
        <v>0.20373256985878899</v>
      </c>
      <c r="AH282" s="1">
        <f t="shared" si="13"/>
        <v>0.40746513971757797</v>
      </c>
      <c r="AJ282" t="s">
        <v>4</v>
      </c>
      <c r="AK282">
        <v>0</v>
      </c>
      <c r="AL282" t="s">
        <v>5</v>
      </c>
      <c r="AM282">
        <v>280</v>
      </c>
      <c r="AN282" t="s">
        <v>6</v>
      </c>
      <c r="AO282" s="1">
        <v>0.43828129999999998</v>
      </c>
      <c r="AP282" t="s">
        <v>7</v>
      </c>
      <c r="AQ282" s="1">
        <v>0.5</v>
      </c>
      <c r="AR282" t="s">
        <v>8</v>
      </c>
      <c r="AS282" s="1">
        <v>0</v>
      </c>
      <c r="AT282" s="1">
        <v>0.20400821961230001</v>
      </c>
      <c r="AU282" s="1">
        <f t="shared" si="14"/>
        <v>0.40801643922460001</v>
      </c>
    </row>
    <row r="283" spans="10:47">
      <c r="J283" t="s">
        <v>4</v>
      </c>
      <c r="K283">
        <v>0</v>
      </c>
      <c r="L283" t="s">
        <v>5</v>
      </c>
      <c r="M283">
        <v>281</v>
      </c>
      <c r="N283" t="s">
        <v>6</v>
      </c>
      <c r="O283" s="1">
        <v>0.4398437</v>
      </c>
      <c r="P283" t="s">
        <v>7</v>
      </c>
      <c r="Q283" s="1">
        <v>0.5</v>
      </c>
      <c r="R283" t="s">
        <v>8</v>
      </c>
      <c r="S283" s="1">
        <v>0</v>
      </c>
      <c r="T283" s="1">
        <v>0.203662737212532</v>
      </c>
      <c r="U283" s="1">
        <f t="shared" si="12"/>
        <v>0.407325474425064</v>
      </c>
      <c r="W283" t="s">
        <v>4</v>
      </c>
      <c r="X283">
        <v>0</v>
      </c>
      <c r="Y283" t="s">
        <v>5</v>
      </c>
      <c r="Z283">
        <v>281</v>
      </c>
      <c r="AA283" t="s">
        <v>6</v>
      </c>
      <c r="AB283" s="1">
        <v>0.4398437</v>
      </c>
      <c r="AC283" t="s">
        <v>7</v>
      </c>
      <c r="AD283" s="1">
        <v>0.5</v>
      </c>
      <c r="AE283" t="s">
        <v>8</v>
      </c>
      <c r="AF283" s="1">
        <v>0</v>
      </c>
      <c r="AG283" s="1">
        <v>0.20356106371027599</v>
      </c>
      <c r="AH283" s="1">
        <f t="shared" si="13"/>
        <v>0.40712212742055198</v>
      </c>
      <c r="AJ283" t="s">
        <v>4</v>
      </c>
      <c r="AK283">
        <v>0</v>
      </c>
      <c r="AL283" t="s">
        <v>5</v>
      </c>
      <c r="AM283">
        <v>281</v>
      </c>
      <c r="AN283" t="s">
        <v>6</v>
      </c>
      <c r="AO283" s="1">
        <v>0.4398437</v>
      </c>
      <c r="AP283" t="s">
        <v>7</v>
      </c>
      <c r="AQ283" s="1">
        <v>0.5</v>
      </c>
      <c r="AR283" t="s">
        <v>8</v>
      </c>
      <c r="AS283" s="1">
        <v>0</v>
      </c>
      <c r="AT283" s="1">
        <v>0.20381790389506099</v>
      </c>
      <c r="AU283" s="1">
        <f t="shared" si="14"/>
        <v>0.40763580779012198</v>
      </c>
    </row>
    <row r="284" spans="10:47">
      <c r="J284" t="s">
        <v>4</v>
      </c>
      <c r="K284">
        <v>0</v>
      </c>
      <c r="L284" t="s">
        <v>5</v>
      </c>
      <c r="M284">
        <v>282</v>
      </c>
      <c r="N284" t="s">
        <v>6</v>
      </c>
      <c r="O284" s="1">
        <v>0.44140629999999997</v>
      </c>
      <c r="P284" t="s">
        <v>7</v>
      </c>
      <c r="Q284" s="1">
        <v>0.5</v>
      </c>
      <c r="R284" t="s">
        <v>8</v>
      </c>
      <c r="S284" s="1">
        <v>0</v>
      </c>
      <c r="T284" s="1">
        <v>0.20347840537696901</v>
      </c>
      <c r="U284" s="1">
        <f t="shared" si="12"/>
        <v>0.40695681075393803</v>
      </c>
      <c r="W284" t="s">
        <v>4</v>
      </c>
      <c r="X284">
        <v>0</v>
      </c>
      <c r="Y284" t="s">
        <v>5</v>
      </c>
      <c r="Z284">
        <v>282</v>
      </c>
      <c r="AA284" t="s">
        <v>6</v>
      </c>
      <c r="AB284" s="1">
        <v>0.44140629999999997</v>
      </c>
      <c r="AC284" t="s">
        <v>7</v>
      </c>
      <c r="AD284" s="1">
        <v>0.5</v>
      </c>
      <c r="AE284" t="s">
        <v>8</v>
      </c>
      <c r="AF284" s="1">
        <v>0</v>
      </c>
      <c r="AG284" s="1">
        <v>0.203384507541715</v>
      </c>
      <c r="AH284" s="1">
        <f t="shared" si="13"/>
        <v>0.40676901508343</v>
      </c>
      <c r="AJ284" t="s">
        <v>4</v>
      </c>
      <c r="AK284">
        <v>0</v>
      </c>
      <c r="AL284" t="s">
        <v>5</v>
      </c>
      <c r="AM284">
        <v>282</v>
      </c>
      <c r="AN284" t="s">
        <v>6</v>
      </c>
      <c r="AO284" s="1">
        <v>0.44140629999999997</v>
      </c>
      <c r="AP284" t="s">
        <v>7</v>
      </c>
      <c r="AQ284" s="1">
        <v>0.5</v>
      </c>
      <c r="AR284" t="s">
        <v>8</v>
      </c>
      <c r="AS284" s="1">
        <v>0</v>
      </c>
      <c r="AT284" s="1">
        <v>0.20362219200946799</v>
      </c>
      <c r="AU284" s="1">
        <f t="shared" si="14"/>
        <v>0.40724438401893598</v>
      </c>
    </row>
    <row r="285" spans="10:47">
      <c r="J285" t="s">
        <v>4</v>
      </c>
      <c r="K285">
        <v>0</v>
      </c>
      <c r="L285" t="s">
        <v>5</v>
      </c>
      <c r="M285">
        <v>283</v>
      </c>
      <c r="N285" t="s">
        <v>6</v>
      </c>
      <c r="O285" s="1">
        <v>0.4429688</v>
      </c>
      <c r="P285" t="s">
        <v>7</v>
      </c>
      <c r="Q285" s="1">
        <v>0.5</v>
      </c>
      <c r="R285" t="s">
        <v>8</v>
      </c>
      <c r="S285" s="1">
        <v>0</v>
      </c>
      <c r="T285" s="1">
        <v>0.203288498584203</v>
      </c>
      <c r="U285" s="1">
        <f t="shared" si="12"/>
        <v>0.40657699716840601</v>
      </c>
      <c r="W285" t="s">
        <v>4</v>
      </c>
      <c r="X285">
        <v>0</v>
      </c>
      <c r="Y285" t="s">
        <v>5</v>
      </c>
      <c r="Z285">
        <v>283</v>
      </c>
      <c r="AA285" t="s">
        <v>6</v>
      </c>
      <c r="AB285" s="1">
        <v>0.4429688</v>
      </c>
      <c r="AC285" t="s">
        <v>7</v>
      </c>
      <c r="AD285" s="1">
        <v>0.5</v>
      </c>
      <c r="AE285" t="s">
        <v>8</v>
      </c>
      <c r="AF285" s="1">
        <v>0</v>
      </c>
      <c r="AG285" s="1">
        <v>0.203202638586894</v>
      </c>
      <c r="AH285" s="1">
        <f t="shared" si="13"/>
        <v>0.40640527717378799</v>
      </c>
      <c r="AJ285" t="s">
        <v>4</v>
      </c>
      <c r="AK285">
        <v>0</v>
      </c>
      <c r="AL285" t="s">
        <v>5</v>
      </c>
      <c r="AM285">
        <v>283</v>
      </c>
      <c r="AN285" t="s">
        <v>6</v>
      </c>
      <c r="AO285" s="1">
        <v>0.4429688</v>
      </c>
      <c r="AP285" t="s">
        <v>7</v>
      </c>
      <c r="AQ285" s="1">
        <v>0.5</v>
      </c>
      <c r="AR285" t="s">
        <v>8</v>
      </c>
      <c r="AS285" s="1">
        <v>0</v>
      </c>
      <c r="AT285" s="1">
        <v>0.20342081395813999</v>
      </c>
      <c r="AU285" s="1">
        <f t="shared" si="14"/>
        <v>0.40684162791627998</v>
      </c>
    </row>
    <row r="286" spans="10:47">
      <c r="J286" t="s">
        <v>4</v>
      </c>
      <c r="K286">
        <v>0</v>
      </c>
      <c r="L286" t="s">
        <v>5</v>
      </c>
      <c r="M286">
        <v>284</v>
      </c>
      <c r="N286" t="s">
        <v>6</v>
      </c>
      <c r="O286" s="1">
        <v>0.44453120000000002</v>
      </c>
      <c r="P286" t="s">
        <v>7</v>
      </c>
      <c r="Q286" s="1">
        <v>0.5</v>
      </c>
      <c r="R286" t="s">
        <v>8</v>
      </c>
      <c r="S286" s="1">
        <v>0</v>
      </c>
      <c r="T286" s="1">
        <v>0.20309276561280101</v>
      </c>
      <c r="U286" s="1">
        <f t="shared" si="12"/>
        <v>0.40618553122560203</v>
      </c>
      <c r="W286" t="s">
        <v>4</v>
      </c>
      <c r="X286">
        <v>0</v>
      </c>
      <c r="Y286" t="s">
        <v>5</v>
      </c>
      <c r="Z286">
        <v>284</v>
      </c>
      <c r="AA286" t="s">
        <v>6</v>
      </c>
      <c r="AB286" s="1">
        <v>0.44453120000000002</v>
      </c>
      <c r="AC286" t="s">
        <v>7</v>
      </c>
      <c r="AD286" s="1">
        <v>0.5</v>
      </c>
      <c r="AE286" t="s">
        <v>8</v>
      </c>
      <c r="AF286" s="1">
        <v>0</v>
      </c>
      <c r="AG286" s="1">
        <v>0.203015192560071</v>
      </c>
      <c r="AH286" s="1">
        <f t="shared" si="13"/>
        <v>0.406030385120142</v>
      </c>
      <c r="AJ286" t="s">
        <v>4</v>
      </c>
      <c r="AK286">
        <v>0</v>
      </c>
      <c r="AL286" t="s">
        <v>5</v>
      </c>
      <c r="AM286">
        <v>284</v>
      </c>
      <c r="AN286" t="s">
        <v>6</v>
      </c>
      <c r="AO286" s="1">
        <v>0.44453120000000002</v>
      </c>
      <c r="AP286" t="s">
        <v>7</v>
      </c>
      <c r="AQ286" s="1">
        <v>0.5</v>
      </c>
      <c r="AR286" t="s">
        <v>8</v>
      </c>
      <c r="AS286" s="1">
        <v>0</v>
      </c>
      <c r="AT286" s="1">
        <v>0.203213498620683</v>
      </c>
      <c r="AU286" s="1">
        <f t="shared" si="14"/>
        <v>0.40642699724136599</v>
      </c>
    </row>
    <row r="287" spans="10:47">
      <c r="J287" t="s">
        <v>4</v>
      </c>
      <c r="K287">
        <v>0</v>
      </c>
      <c r="L287" t="s">
        <v>5</v>
      </c>
      <c r="M287">
        <v>285</v>
      </c>
      <c r="N287" t="s">
        <v>6</v>
      </c>
      <c r="O287" s="1">
        <v>0.44609379999999998</v>
      </c>
      <c r="P287" t="s">
        <v>7</v>
      </c>
      <c r="Q287" s="1">
        <v>0.5</v>
      </c>
      <c r="R287" t="s">
        <v>8</v>
      </c>
      <c r="S287" s="1">
        <v>0</v>
      </c>
      <c r="T287" s="1">
        <v>0.20289096579602101</v>
      </c>
      <c r="U287" s="1">
        <f t="shared" si="12"/>
        <v>0.40578193159204201</v>
      </c>
      <c r="W287" t="s">
        <v>4</v>
      </c>
      <c r="X287">
        <v>0</v>
      </c>
      <c r="Y287" t="s">
        <v>5</v>
      </c>
      <c r="Z287">
        <v>285</v>
      </c>
      <c r="AA287" t="s">
        <v>6</v>
      </c>
      <c r="AB287" s="1">
        <v>0.44609379999999998</v>
      </c>
      <c r="AC287" t="s">
        <v>7</v>
      </c>
      <c r="AD287" s="1">
        <v>0.5</v>
      </c>
      <c r="AE287" t="s">
        <v>8</v>
      </c>
      <c r="AF287" s="1">
        <v>0</v>
      </c>
      <c r="AG287" s="1">
        <v>0.202821915062909</v>
      </c>
      <c r="AH287" s="1">
        <f t="shared" si="13"/>
        <v>0.40564383012581801</v>
      </c>
      <c r="AJ287" t="s">
        <v>4</v>
      </c>
      <c r="AK287">
        <v>0</v>
      </c>
      <c r="AL287" t="s">
        <v>5</v>
      </c>
      <c r="AM287">
        <v>285</v>
      </c>
      <c r="AN287" t="s">
        <v>6</v>
      </c>
      <c r="AO287" s="1">
        <v>0.44609379999999998</v>
      </c>
      <c r="AP287" t="s">
        <v>7</v>
      </c>
      <c r="AQ287" s="1">
        <v>0.5</v>
      </c>
      <c r="AR287" t="s">
        <v>8</v>
      </c>
      <c r="AS287" s="1">
        <v>0</v>
      </c>
      <c r="AT287" s="1">
        <v>0.202999985243631</v>
      </c>
      <c r="AU287" s="1">
        <f t="shared" si="14"/>
        <v>0.405999970487262</v>
      </c>
    </row>
    <row r="288" spans="10:47">
      <c r="J288" t="s">
        <v>4</v>
      </c>
      <c r="K288">
        <v>0</v>
      </c>
      <c r="L288" t="s">
        <v>5</v>
      </c>
      <c r="M288">
        <v>286</v>
      </c>
      <c r="N288" t="s">
        <v>6</v>
      </c>
      <c r="O288" s="1">
        <v>0.4476562</v>
      </c>
      <c r="P288" t="s">
        <v>7</v>
      </c>
      <c r="Q288" s="1">
        <v>0.5</v>
      </c>
      <c r="R288" t="s">
        <v>8</v>
      </c>
      <c r="S288" s="1">
        <v>0</v>
      </c>
      <c r="T288" s="1">
        <v>0.20268288073649601</v>
      </c>
      <c r="U288" s="1">
        <f t="shared" si="12"/>
        <v>0.40536576147299203</v>
      </c>
      <c r="W288" t="s">
        <v>4</v>
      </c>
      <c r="X288">
        <v>0</v>
      </c>
      <c r="Y288" t="s">
        <v>5</v>
      </c>
      <c r="Z288">
        <v>286</v>
      </c>
      <c r="AA288" t="s">
        <v>6</v>
      </c>
      <c r="AB288" s="1">
        <v>0.4476562</v>
      </c>
      <c r="AC288" t="s">
        <v>7</v>
      </c>
      <c r="AD288" s="1">
        <v>0.5</v>
      </c>
      <c r="AE288" t="s">
        <v>8</v>
      </c>
      <c r="AF288" s="1">
        <v>0</v>
      </c>
      <c r="AG288" s="1">
        <v>0.20262257301254699</v>
      </c>
      <c r="AH288" s="1">
        <f t="shared" si="13"/>
        <v>0.40524514602509398</v>
      </c>
      <c r="AJ288" t="s">
        <v>4</v>
      </c>
      <c r="AK288">
        <v>0</v>
      </c>
      <c r="AL288" t="s">
        <v>5</v>
      </c>
      <c r="AM288">
        <v>286</v>
      </c>
      <c r="AN288" t="s">
        <v>6</v>
      </c>
      <c r="AO288" s="1">
        <v>0.4476562</v>
      </c>
      <c r="AP288" t="s">
        <v>7</v>
      </c>
      <c r="AQ288" s="1">
        <v>0.5</v>
      </c>
      <c r="AR288" t="s">
        <v>8</v>
      </c>
      <c r="AS288" s="1">
        <v>0</v>
      </c>
      <c r="AT288" s="1">
        <v>0.20278003494786301</v>
      </c>
      <c r="AU288" s="1">
        <f t="shared" si="14"/>
        <v>0.40556006989572602</v>
      </c>
    </row>
    <row r="289" spans="10:47">
      <c r="J289" t="s">
        <v>4</v>
      </c>
      <c r="K289">
        <v>0</v>
      </c>
      <c r="L289" t="s">
        <v>5</v>
      </c>
      <c r="M289">
        <v>287</v>
      </c>
      <c r="N289" t="s">
        <v>6</v>
      </c>
      <c r="O289" s="1">
        <v>0.44921879999999997</v>
      </c>
      <c r="P289" t="s">
        <v>7</v>
      </c>
      <c r="Q289" s="1">
        <v>0.5</v>
      </c>
      <c r="R289" t="s">
        <v>8</v>
      </c>
      <c r="S289" s="1">
        <v>0</v>
      </c>
      <c r="T289" s="1">
        <v>0.2024683260431</v>
      </c>
      <c r="U289" s="1">
        <f t="shared" si="12"/>
        <v>0.4049366520862</v>
      </c>
      <c r="W289" t="s">
        <v>4</v>
      </c>
      <c r="X289">
        <v>0</v>
      </c>
      <c r="Y289" t="s">
        <v>5</v>
      </c>
      <c r="Z289">
        <v>287</v>
      </c>
      <c r="AA289" t="s">
        <v>6</v>
      </c>
      <c r="AB289" s="1">
        <v>0.44921879999999997</v>
      </c>
      <c r="AC289" t="s">
        <v>7</v>
      </c>
      <c r="AD289" s="1">
        <v>0.5</v>
      </c>
      <c r="AE289" t="s">
        <v>8</v>
      </c>
      <c r="AF289" s="1">
        <v>0</v>
      </c>
      <c r="AG289" s="1">
        <v>0.2024169660923</v>
      </c>
      <c r="AH289" s="1">
        <f t="shared" si="13"/>
        <v>0.40483393218460001</v>
      </c>
      <c r="AJ289" t="s">
        <v>4</v>
      </c>
      <c r="AK289">
        <v>0</v>
      </c>
      <c r="AL289" t="s">
        <v>5</v>
      </c>
      <c r="AM289">
        <v>287</v>
      </c>
      <c r="AN289" t="s">
        <v>6</v>
      </c>
      <c r="AO289" s="1">
        <v>0.44921879999999997</v>
      </c>
      <c r="AP289" t="s">
        <v>7</v>
      </c>
      <c r="AQ289" s="1">
        <v>0.5</v>
      </c>
      <c r="AR289" t="s">
        <v>8</v>
      </c>
      <c r="AS289" s="1">
        <v>0</v>
      </c>
      <c r="AT289" s="1">
        <v>0.20255344226059399</v>
      </c>
      <c r="AU289" s="1">
        <f t="shared" si="14"/>
        <v>0.40510688452118798</v>
      </c>
    </row>
    <row r="290" spans="10:47">
      <c r="J290" t="s">
        <v>4</v>
      </c>
      <c r="K290">
        <v>0</v>
      </c>
      <c r="L290" t="s">
        <v>5</v>
      </c>
      <c r="M290">
        <v>288</v>
      </c>
      <c r="N290" t="s">
        <v>6</v>
      </c>
      <c r="O290" s="1">
        <v>0.4507813</v>
      </c>
      <c r="P290" t="s">
        <v>7</v>
      </c>
      <c r="Q290" s="1">
        <v>0.5</v>
      </c>
      <c r="R290" t="s">
        <v>8</v>
      </c>
      <c r="S290" s="1">
        <v>0</v>
      </c>
      <c r="T290" s="1">
        <v>0.20224716308766399</v>
      </c>
      <c r="U290" s="1">
        <f t="shared" si="12"/>
        <v>0.40449432617532799</v>
      </c>
      <c r="W290" t="s">
        <v>4</v>
      </c>
      <c r="X290">
        <v>0</v>
      </c>
      <c r="Y290" t="s">
        <v>5</v>
      </c>
      <c r="Z290">
        <v>288</v>
      </c>
      <c r="AA290" t="s">
        <v>6</v>
      </c>
      <c r="AB290" s="1">
        <v>0.4507813</v>
      </c>
      <c r="AC290" t="s">
        <v>7</v>
      </c>
      <c r="AD290" s="1">
        <v>0.5</v>
      </c>
      <c r="AE290" t="s">
        <v>8</v>
      </c>
      <c r="AF290" s="1">
        <v>0</v>
      </c>
      <c r="AG290" s="1">
        <v>0.20220493822233501</v>
      </c>
      <c r="AH290" s="1">
        <f t="shared" si="13"/>
        <v>0.40440987644467002</v>
      </c>
      <c r="AJ290" t="s">
        <v>4</v>
      </c>
      <c r="AK290">
        <v>0</v>
      </c>
      <c r="AL290" t="s">
        <v>5</v>
      </c>
      <c r="AM290">
        <v>288</v>
      </c>
      <c r="AN290" t="s">
        <v>6</v>
      </c>
      <c r="AO290" s="1">
        <v>0.4507813</v>
      </c>
      <c r="AP290" t="s">
        <v>7</v>
      </c>
      <c r="AQ290" s="1">
        <v>0.5</v>
      </c>
      <c r="AR290" t="s">
        <v>8</v>
      </c>
      <c r="AS290" s="1">
        <v>0</v>
      </c>
      <c r="AT290" s="1">
        <v>0.20232004666827599</v>
      </c>
      <c r="AU290" s="1">
        <f t="shared" si="14"/>
        <v>0.40464009333655199</v>
      </c>
    </row>
    <row r="291" spans="10:47">
      <c r="J291" t="s">
        <v>4</v>
      </c>
      <c r="K291">
        <v>0</v>
      </c>
      <c r="L291" t="s">
        <v>5</v>
      </c>
      <c r="M291">
        <v>289</v>
      </c>
      <c r="N291" t="s">
        <v>6</v>
      </c>
      <c r="O291" s="1">
        <v>0.45234370000000002</v>
      </c>
      <c r="P291" t="s">
        <v>7</v>
      </c>
      <c r="Q291" s="1">
        <v>0.5</v>
      </c>
      <c r="R291" t="s">
        <v>8</v>
      </c>
      <c r="S291" s="1">
        <v>0</v>
      </c>
      <c r="T291" s="1">
        <v>0.202019310784916</v>
      </c>
      <c r="U291" s="1">
        <f t="shared" si="12"/>
        <v>0.404038621569832</v>
      </c>
      <c r="W291" t="s">
        <v>4</v>
      </c>
      <c r="X291">
        <v>0</v>
      </c>
      <c r="Y291" t="s">
        <v>5</v>
      </c>
      <c r="Z291">
        <v>289</v>
      </c>
      <c r="AA291" t="s">
        <v>6</v>
      </c>
      <c r="AB291" s="1">
        <v>0.45234370000000002</v>
      </c>
      <c r="AC291" t="s">
        <v>7</v>
      </c>
      <c r="AD291" s="1">
        <v>0.5</v>
      </c>
      <c r="AE291" t="s">
        <v>8</v>
      </c>
      <c r="AF291" s="1">
        <v>0</v>
      </c>
      <c r="AG291" s="1">
        <v>0.20198638905345501</v>
      </c>
      <c r="AH291" s="1">
        <f t="shared" si="13"/>
        <v>0.40397277810691001</v>
      </c>
      <c r="AJ291" t="s">
        <v>4</v>
      </c>
      <c r="AK291">
        <v>0</v>
      </c>
      <c r="AL291" t="s">
        <v>5</v>
      </c>
      <c r="AM291">
        <v>289</v>
      </c>
      <c r="AN291" t="s">
        <v>6</v>
      </c>
      <c r="AO291" s="1">
        <v>0.45234370000000002</v>
      </c>
      <c r="AP291" t="s">
        <v>7</v>
      </c>
      <c r="AQ291" s="1">
        <v>0.5</v>
      </c>
      <c r="AR291" t="s">
        <v>8</v>
      </c>
      <c r="AS291" s="1">
        <v>0</v>
      </c>
      <c r="AT291" s="1">
        <v>0.20207974419049601</v>
      </c>
      <c r="AU291" s="1">
        <f t="shared" si="14"/>
        <v>0.40415948838099203</v>
      </c>
    </row>
    <row r="292" spans="10:47">
      <c r="J292" t="s">
        <v>4</v>
      </c>
      <c r="K292">
        <v>0</v>
      </c>
      <c r="L292" t="s">
        <v>5</v>
      </c>
      <c r="M292">
        <v>290</v>
      </c>
      <c r="N292" t="s">
        <v>6</v>
      </c>
      <c r="O292" s="1">
        <v>0.45390629999999998</v>
      </c>
      <c r="P292" t="s">
        <v>7</v>
      </c>
      <c r="Q292" s="1">
        <v>0.5</v>
      </c>
      <c r="R292" t="s">
        <v>8</v>
      </c>
      <c r="S292" s="1">
        <v>0</v>
      </c>
      <c r="T292" s="1">
        <v>0.20178475739204699</v>
      </c>
      <c r="U292" s="1">
        <f t="shared" si="12"/>
        <v>0.40356951478409397</v>
      </c>
      <c r="W292" t="s">
        <v>4</v>
      </c>
      <c r="X292">
        <v>0</v>
      </c>
      <c r="Y292" t="s">
        <v>5</v>
      </c>
      <c r="Z292">
        <v>290</v>
      </c>
      <c r="AA292" t="s">
        <v>6</v>
      </c>
      <c r="AB292" s="1">
        <v>0.45390629999999998</v>
      </c>
      <c r="AC292" t="s">
        <v>7</v>
      </c>
      <c r="AD292" s="1">
        <v>0.5</v>
      </c>
      <c r="AE292" t="s">
        <v>8</v>
      </c>
      <c r="AF292" s="1">
        <v>0</v>
      </c>
      <c r="AG292" s="1">
        <v>0.20176128548217301</v>
      </c>
      <c r="AH292" s="1">
        <f t="shared" si="13"/>
        <v>0.40352257096434602</v>
      </c>
      <c r="AJ292" t="s">
        <v>4</v>
      </c>
      <c r="AK292">
        <v>0</v>
      </c>
      <c r="AL292" t="s">
        <v>5</v>
      </c>
      <c r="AM292">
        <v>290</v>
      </c>
      <c r="AN292" t="s">
        <v>6</v>
      </c>
      <c r="AO292" s="1">
        <v>0.45390629999999998</v>
      </c>
      <c r="AP292" t="s">
        <v>7</v>
      </c>
      <c r="AQ292" s="1">
        <v>0.5</v>
      </c>
      <c r="AR292" t="s">
        <v>8</v>
      </c>
      <c r="AS292" s="1">
        <v>0</v>
      </c>
      <c r="AT292" s="1">
        <v>0.20183249897837399</v>
      </c>
      <c r="AU292" s="1">
        <f t="shared" si="14"/>
        <v>0.40366499795674798</v>
      </c>
    </row>
    <row r="293" spans="10:47">
      <c r="J293" t="s">
        <v>4</v>
      </c>
      <c r="K293">
        <v>0</v>
      </c>
      <c r="L293" t="s">
        <v>5</v>
      </c>
      <c r="M293">
        <v>291</v>
      </c>
      <c r="N293" t="s">
        <v>6</v>
      </c>
      <c r="O293" s="1">
        <v>0.45546880000000001</v>
      </c>
      <c r="P293" t="s">
        <v>7</v>
      </c>
      <c r="Q293" s="1">
        <v>0.5</v>
      </c>
      <c r="R293" t="s">
        <v>8</v>
      </c>
      <c r="S293" s="1">
        <v>0</v>
      </c>
      <c r="T293" s="1">
        <v>0.201543572330562</v>
      </c>
      <c r="U293" s="1">
        <f t="shared" si="12"/>
        <v>0.403087144661124</v>
      </c>
      <c r="W293" t="s">
        <v>4</v>
      </c>
      <c r="X293">
        <v>0</v>
      </c>
      <c r="Y293" t="s">
        <v>5</v>
      </c>
      <c r="Z293">
        <v>291</v>
      </c>
      <c r="AA293" t="s">
        <v>6</v>
      </c>
      <c r="AB293" s="1">
        <v>0.45546880000000001</v>
      </c>
      <c r="AC293" t="s">
        <v>7</v>
      </c>
      <c r="AD293" s="1">
        <v>0.5</v>
      </c>
      <c r="AE293" t="s">
        <v>8</v>
      </c>
      <c r="AF293" s="1">
        <v>0</v>
      </c>
      <c r="AG293" s="1">
        <v>0.20152967318600701</v>
      </c>
      <c r="AH293" s="1">
        <f t="shared" si="13"/>
        <v>0.40305934637201402</v>
      </c>
      <c r="AJ293" t="s">
        <v>4</v>
      </c>
      <c r="AK293">
        <v>0</v>
      </c>
      <c r="AL293" t="s">
        <v>5</v>
      </c>
      <c r="AM293">
        <v>291</v>
      </c>
      <c r="AN293" t="s">
        <v>6</v>
      </c>
      <c r="AO293" s="1">
        <v>0.45546880000000001</v>
      </c>
      <c r="AP293" t="s">
        <v>7</v>
      </c>
      <c r="AQ293" s="1">
        <v>0.5</v>
      </c>
      <c r="AR293" t="s">
        <v>8</v>
      </c>
      <c r="AS293" s="1">
        <v>0</v>
      </c>
      <c r="AT293" s="1">
        <v>0.201578354929868</v>
      </c>
      <c r="AU293" s="1">
        <f t="shared" si="14"/>
        <v>0.40315670985973601</v>
      </c>
    </row>
    <row r="294" spans="10:47">
      <c r="J294" t="s">
        <v>4</v>
      </c>
      <c r="K294">
        <v>0</v>
      </c>
      <c r="L294" t="s">
        <v>5</v>
      </c>
      <c r="M294">
        <v>292</v>
      </c>
      <c r="N294" t="s">
        <v>6</v>
      </c>
      <c r="O294" s="1">
        <v>0.45703120000000003</v>
      </c>
      <c r="P294" t="s">
        <v>7</v>
      </c>
      <c r="Q294" s="1">
        <v>0.5</v>
      </c>
      <c r="R294" t="s">
        <v>8</v>
      </c>
      <c r="S294" s="1">
        <v>0</v>
      </c>
      <c r="T294" s="1">
        <v>0.20129591802938801</v>
      </c>
      <c r="U294" s="1">
        <f t="shared" si="12"/>
        <v>0.40259183605877602</v>
      </c>
      <c r="W294" t="s">
        <v>4</v>
      </c>
      <c r="X294">
        <v>0</v>
      </c>
      <c r="Y294" t="s">
        <v>5</v>
      </c>
      <c r="Z294">
        <v>292</v>
      </c>
      <c r="AA294" t="s">
        <v>6</v>
      </c>
      <c r="AB294" s="1">
        <v>0.45703120000000003</v>
      </c>
      <c r="AC294" t="s">
        <v>7</v>
      </c>
      <c r="AD294" s="1">
        <v>0.5</v>
      </c>
      <c r="AE294" t="s">
        <v>8</v>
      </c>
      <c r="AF294" s="1">
        <v>0</v>
      </c>
      <c r="AG294" s="1">
        <v>0.20129168818218701</v>
      </c>
      <c r="AH294" s="1">
        <f t="shared" si="13"/>
        <v>0.40258337636437402</v>
      </c>
      <c r="AJ294" t="s">
        <v>4</v>
      </c>
      <c r="AK294">
        <v>0</v>
      </c>
      <c r="AL294" t="s">
        <v>5</v>
      </c>
      <c r="AM294">
        <v>292</v>
      </c>
      <c r="AN294" t="s">
        <v>6</v>
      </c>
      <c r="AO294" s="1">
        <v>0.45703120000000003</v>
      </c>
      <c r="AP294" t="s">
        <v>7</v>
      </c>
      <c r="AQ294" s="1">
        <v>0.5</v>
      </c>
      <c r="AR294" t="s">
        <v>8</v>
      </c>
      <c r="AS294" s="1">
        <v>0</v>
      </c>
      <c r="AT294" s="1">
        <v>0.20131744733099399</v>
      </c>
      <c r="AU294" s="1">
        <f t="shared" si="14"/>
        <v>0.40263489466198799</v>
      </c>
    </row>
    <row r="295" spans="10:47">
      <c r="J295" t="s">
        <v>4</v>
      </c>
      <c r="K295">
        <v>0</v>
      </c>
      <c r="L295" t="s">
        <v>5</v>
      </c>
      <c r="M295">
        <v>293</v>
      </c>
      <c r="N295" t="s">
        <v>6</v>
      </c>
      <c r="O295" s="1">
        <v>0.4585938</v>
      </c>
      <c r="P295" t="s">
        <v>7</v>
      </c>
      <c r="Q295" s="1">
        <v>0.5</v>
      </c>
      <c r="R295" t="s">
        <v>8</v>
      </c>
      <c r="S295" s="1">
        <v>0</v>
      </c>
      <c r="T295" s="1">
        <v>0.20104206178864001</v>
      </c>
      <c r="U295" s="1">
        <f t="shared" si="12"/>
        <v>0.40208412357728002</v>
      </c>
      <c r="W295" t="s">
        <v>4</v>
      </c>
      <c r="X295">
        <v>0</v>
      </c>
      <c r="Y295" t="s">
        <v>5</v>
      </c>
      <c r="Z295">
        <v>293</v>
      </c>
      <c r="AA295" t="s">
        <v>6</v>
      </c>
      <c r="AB295" s="1">
        <v>0.4585938</v>
      </c>
      <c r="AC295" t="s">
        <v>7</v>
      </c>
      <c r="AD295" s="1">
        <v>0.5</v>
      </c>
      <c r="AE295" t="s">
        <v>8</v>
      </c>
      <c r="AF295" s="1">
        <v>0</v>
      </c>
      <c r="AG295" s="1">
        <v>0.20104756840663901</v>
      </c>
      <c r="AH295" s="1">
        <f t="shared" si="13"/>
        <v>0.40209513681327802</v>
      </c>
      <c r="AJ295" t="s">
        <v>4</v>
      </c>
      <c r="AK295">
        <v>0</v>
      </c>
      <c r="AL295" t="s">
        <v>5</v>
      </c>
      <c r="AM295">
        <v>293</v>
      </c>
      <c r="AN295" t="s">
        <v>6</v>
      </c>
      <c r="AO295" s="1">
        <v>0.4585938</v>
      </c>
      <c r="AP295" t="s">
        <v>7</v>
      </c>
      <c r="AQ295" s="1">
        <v>0.5</v>
      </c>
      <c r="AR295" t="s">
        <v>8</v>
      </c>
      <c r="AS295" s="1">
        <v>0</v>
      </c>
      <c r="AT295" s="1">
        <v>0.20105001451752</v>
      </c>
      <c r="AU295" s="1">
        <f t="shared" si="14"/>
        <v>0.40210002903504</v>
      </c>
    </row>
    <row r="296" spans="10:47">
      <c r="J296" t="s">
        <v>4</v>
      </c>
      <c r="K296">
        <v>0</v>
      </c>
      <c r="L296" t="s">
        <v>5</v>
      </c>
      <c r="M296">
        <v>294</v>
      </c>
      <c r="N296" t="s">
        <v>6</v>
      </c>
      <c r="O296" s="1">
        <v>0.46015620000000002</v>
      </c>
      <c r="P296" t="s">
        <v>7</v>
      </c>
      <c r="Q296" s="1">
        <v>0.5</v>
      </c>
      <c r="R296" t="s">
        <v>8</v>
      </c>
      <c r="S296" s="1">
        <v>0</v>
      </c>
      <c r="T296" s="1">
        <v>0.200782387665465</v>
      </c>
      <c r="U296" s="1">
        <f t="shared" si="12"/>
        <v>0.40156477533092999</v>
      </c>
      <c r="W296" t="s">
        <v>4</v>
      </c>
      <c r="X296">
        <v>0</v>
      </c>
      <c r="Y296" t="s">
        <v>5</v>
      </c>
      <c r="Z296">
        <v>294</v>
      </c>
      <c r="AA296" t="s">
        <v>6</v>
      </c>
      <c r="AB296" s="1">
        <v>0.46015620000000002</v>
      </c>
      <c r="AC296" t="s">
        <v>7</v>
      </c>
      <c r="AD296" s="1">
        <v>0.5</v>
      </c>
      <c r="AE296" t="s">
        <v>8</v>
      </c>
      <c r="AF296" s="1">
        <v>0</v>
      </c>
      <c r="AG296" s="1">
        <v>0.20079766531496299</v>
      </c>
      <c r="AH296" s="1">
        <f t="shared" si="13"/>
        <v>0.40159533062992597</v>
      </c>
      <c r="AJ296" t="s">
        <v>4</v>
      </c>
      <c r="AK296">
        <v>0</v>
      </c>
      <c r="AL296" t="s">
        <v>5</v>
      </c>
      <c r="AM296">
        <v>294</v>
      </c>
      <c r="AN296" t="s">
        <v>6</v>
      </c>
      <c r="AO296" s="1">
        <v>0.46015620000000002</v>
      </c>
      <c r="AP296" t="s">
        <v>7</v>
      </c>
      <c r="AQ296" s="1">
        <v>0.5</v>
      </c>
      <c r="AR296" t="s">
        <v>8</v>
      </c>
      <c r="AS296" s="1">
        <v>0</v>
      </c>
      <c r="AT296" s="1">
        <v>0.200776409556323</v>
      </c>
      <c r="AU296" s="1">
        <f t="shared" si="14"/>
        <v>0.40155281911264601</v>
      </c>
    </row>
    <row r="297" spans="10:47">
      <c r="J297" t="s">
        <v>4</v>
      </c>
      <c r="K297">
        <v>0</v>
      </c>
      <c r="L297" t="s">
        <v>5</v>
      </c>
      <c r="M297">
        <v>295</v>
      </c>
      <c r="N297" t="s">
        <v>6</v>
      </c>
      <c r="O297" s="1">
        <v>0.46171879999999998</v>
      </c>
      <c r="P297" t="s">
        <v>7</v>
      </c>
      <c r="Q297" s="1">
        <v>0.5</v>
      </c>
      <c r="R297" t="s">
        <v>8</v>
      </c>
      <c r="S297" s="1">
        <v>0</v>
      </c>
      <c r="T297" s="1">
        <v>0.200517408380981</v>
      </c>
      <c r="U297" s="1">
        <f t="shared" si="12"/>
        <v>0.40103481676196201</v>
      </c>
      <c r="W297" t="s">
        <v>4</v>
      </c>
      <c r="X297">
        <v>0</v>
      </c>
      <c r="Y297" t="s">
        <v>5</v>
      </c>
      <c r="Z297">
        <v>295</v>
      </c>
      <c r="AA297" t="s">
        <v>6</v>
      </c>
      <c r="AB297" s="1">
        <v>0.46171879999999998</v>
      </c>
      <c r="AC297" t="s">
        <v>7</v>
      </c>
      <c r="AD297" s="1">
        <v>0.5</v>
      </c>
      <c r="AE297" t="s">
        <v>8</v>
      </c>
      <c r="AF297" s="1">
        <v>0</v>
      </c>
      <c r="AG297" s="1">
        <v>0.200542455505378</v>
      </c>
      <c r="AH297" s="1">
        <f t="shared" si="13"/>
        <v>0.401084911010756</v>
      </c>
      <c r="AJ297" t="s">
        <v>4</v>
      </c>
      <c r="AK297">
        <v>0</v>
      </c>
      <c r="AL297" t="s">
        <v>5</v>
      </c>
      <c r="AM297">
        <v>295</v>
      </c>
      <c r="AN297" t="s">
        <v>6</v>
      </c>
      <c r="AO297" s="1">
        <v>0.46171879999999998</v>
      </c>
      <c r="AP297" t="s">
        <v>7</v>
      </c>
      <c r="AQ297" s="1">
        <v>0.5</v>
      </c>
      <c r="AR297" t="s">
        <v>8</v>
      </c>
      <c r="AS297" s="1">
        <v>0</v>
      </c>
      <c r="AT297" s="1">
        <v>0.20049711195318501</v>
      </c>
      <c r="AU297" s="1">
        <f t="shared" si="14"/>
        <v>0.40099422390637002</v>
      </c>
    </row>
    <row r="298" spans="10:47">
      <c r="J298" t="s">
        <v>4</v>
      </c>
      <c r="K298">
        <v>0</v>
      </c>
      <c r="L298" t="s">
        <v>5</v>
      </c>
      <c r="M298">
        <v>296</v>
      </c>
      <c r="N298" t="s">
        <v>6</v>
      </c>
      <c r="O298" s="1">
        <v>0.4632812</v>
      </c>
      <c r="P298" t="s">
        <v>7</v>
      </c>
      <c r="Q298" s="1">
        <v>0.5</v>
      </c>
      <c r="R298" t="s">
        <v>8</v>
      </c>
      <c r="S298" s="1">
        <v>0</v>
      </c>
      <c r="T298" s="1">
        <v>0.20024777724830101</v>
      </c>
      <c r="U298" s="1">
        <f t="shared" si="12"/>
        <v>0.40049555449660201</v>
      </c>
      <c r="W298" t="s">
        <v>4</v>
      </c>
      <c r="X298">
        <v>0</v>
      </c>
      <c r="Y298" t="s">
        <v>5</v>
      </c>
      <c r="Z298">
        <v>296</v>
      </c>
      <c r="AA298" t="s">
        <v>6</v>
      </c>
      <c r="AB298" s="1">
        <v>0.4632812</v>
      </c>
      <c r="AC298" t="s">
        <v>7</v>
      </c>
      <c r="AD298" s="1">
        <v>0.5</v>
      </c>
      <c r="AE298" t="s">
        <v>8</v>
      </c>
      <c r="AF298" s="1">
        <v>0</v>
      </c>
      <c r="AG298" s="1">
        <v>0.200282552362192</v>
      </c>
      <c r="AH298" s="1">
        <f t="shared" si="13"/>
        <v>0.400565104724384</v>
      </c>
      <c r="AJ298" t="s">
        <v>4</v>
      </c>
      <c r="AK298">
        <v>0</v>
      </c>
      <c r="AL298" t="s">
        <v>5</v>
      </c>
      <c r="AM298">
        <v>296</v>
      </c>
      <c r="AN298" t="s">
        <v>6</v>
      </c>
      <c r="AO298" s="1">
        <v>0.4632812</v>
      </c>
      <c r="AP298" t="s">
        <v>7</v>
      </c>
      <c r="AQ298" s="1">
        <v>0.5</v>
      </c>
      <c r="AR298" t="s">
        <v>8</v>
      </c>
      <c r="AS298" s="1">
        <v>0</v>
      </c>
      <c r="AT298" s="1">
        <v>0.20021273937600001</v>
      </c>
      <c r="AU298" s="1">
        <f t="shared" si="14"/>
        <v>0.40042547875200002</v>
      </c>
    </row>
    <row r="299" spans="10:47">
      <c r="J299" t="s">
        <v>4</v>
      </c>
      <c r="K299">
        <v>0</v>
      </c>
      <c r="L299" t="s">
        <v>5</v>
      </c>
      <c r="M299">
        <v>297</v>
      </c>
      <c r="N299" t="s">
        <v>6</v>
      </c>
      <c r="O299" s="1">
        <v>0.46484379999999997</v>
      </c>
      <c r="P299" t="s">
        <v>7</v>
      </c>
      <c r="Q299" s="1">
        <v>0.5</v>
      </c>
      <c r="R299" t="s">
        <v>8</v>
      </c>
      <c r="S299" s="1">
        <v>0</v>
      </c>
      <c r="T299" s="1">
        <v>0.19997430012217501</v>
      </c>
      <c r="U299" s="1">
        <f t="shared" si="12"/>
        <v>0.39994860024435003</v>
      </c>
      <c r="W299" t="s">
        <v>4</v>
      </c>
      <c r="X299">
        <v>0</v>
      </c>
      <c r="Y299" t="s">
        <v>5</v>
      </c>
      <c r="Z299">
        <v>297</v>
      </c>
      <c r="AA299" t="s">
        <v>6</v>
      </c>
      <c r="AB299" s="1">
        <v>0.46484379999999997</v>
      </c>
      <c r="AC299" t="s">
        <v>7</v>
      </c>
      <c r="AD299" s="1">
        <v>0.5</v>
      </c>
      <c r="AE299" t="s">
        <v>8</v>
      </c>
      <c r="AF299" s="1">
        <v>0</v>
      </c>
      <c r="AG299" s="1">
        <v>0.20001871772221899</v>
      </c>
      <c r="AH299" s="1">
        <f t="shared" si="13"/>
        <v>0.40003743544443798</v>
      </c>
      <c r="AJ299" t="s">
        <v>4</v>
      </c>
      <c r="AK299">
        <v>0</v>
      </c>
      <c r="AL299" t="s">
        <v>5</v>
      </c>
      <c r="AM299">
        <v>297</v>
      </c>
      <c r="AN299" t="s">
        <v>6</v>
      </c>
      <c r="AO299" s="1">
        <v>0.46484379999999997</v>
      </c>
      <c r="AP299" t="s">
        <v>7</v>
      </c>
      <c r="AQ299" s="1">
        <v>0.5</v>
      </c>
      <c r="AR299" t="s">
        <v>8</v>
      </c>
      <c r="AS299" s="1">
        <v>0</v>
      </c>
      <c r="AT299" s="1">
        <v>0.19992405940593799</v>
      </c>
      <c r="AU299" s="1">
        <f t="shared" si="14"/>
        <v>0.39984811881187599</v>
      </c>
    </row>
    <row r="300" spans="10:47">
      <c r="J300" t="s">
        <v>4</v>
      </c>
      <c r="K300">
        <v>0</v>
      </c>
      <c r="L300" t="s">
        <v>5</v>
      </c>
      <c r="M300">
        <v>298</v>
      </c>
      <c r="N300" t="s">
        <v>6</v>
      </c>
      <c r="O300" s="1">
        <v>0.46640619999999999</v>
      </c>
      <c r="P300" t="s">
        <v>7</v>
      </c>
      <c r="Q300" s="1">
        <v>0.5</v>
      </c>
      <c r="R300" t="s">
        <v>8</v>
      </c>
      <c r="S300" s="1">
        <v>0</v>
      </c>
      <c r="T300" s="1">
        <v>0.19969794736958801</v>
      </c>
      <c r="U300" s="1">
        <f t="shared" si="12"/>
        <v>0.39939589473917603</v>
      </c>
      <c r="W300" t="s">
        <v>4</v>
      </c>
      <c r="X300">
        <v>0</v>
      </c>
      <c r="Y300" t="s">
        <v>5</v>
      </c>
      <c r="Z300">
        <v>298</v>
      </c>
      <c r="AA300" t="s">
        <v>6</v>
      </c>
      <c r="AB300" s="1">
        <v>0.46640619999999999</v>
      </c>
      <c r="AC300" t="s">
        <v>7</v>
      </c>
      <c r="AD300" s="1">
        <v>0.5</v>
      </c>
      <c r="AE300" t="s">
        <v>8</v>
      </c>
      <c r="AF300" s="1">
        <v>0</v>
      </c>
      <c r="AG300" s="1">
        <v>0.19975187356144899</v>
      </c>
      <c r="AH300" s="1">
        <f t="shared" si="13"/>
        <v>0.39950374712289799</v>
      </c>
      <c r="AJ300" t="s">
        <v>4</v>
      </c>
      <c r="AK300">
        <v>0</v>
      </c>
      <c r="AL300" t="s">
        <v>5</v>
      </c>
      <c r="AM300">
        <v>298</v>
      </c>
      <c r="AN300" t="s">
        <v>6</v>
      </c>
      <c r="AO300" s="1">
        <v>0.46640619999999999</v>
      </c>
      <c r="AP300" t="s">
        <v>7</v>
      </c>
      <c r="AQ300" s="1">
        <v>0.5</v>
      </c>
      <c r="AR300" t="s">
        <v>8</v>
      </c>
      <c r="AS300" s="1">
        <v>0</v>
      </c>
      <c r="AT300" s="1">
        <v>0.199632001306006</v>
      </c>
      <c r="AU300" s="1">
        <f t="shared" si="14"/>
        <v>0.399264002612012</v>
      </c>
    </row>
    <row r="301" spans="10:47">
      <c r="J301" t="s">
        <v>4</v>
      </c>
      <c r="K301">
        <v>0</v>
      </c>
      <c r="L301" t="s">
        <v>5</v>
      </c>
      <c r="M301">
        <v>299</v>
      </c>
      <c r="N301" t="s">
        <v>6</v>
      </c>
      <c r="O301" s="1">
        <v>0.46796870000000002</v>
      </c>
      <c r="P301" t="s">
        <v>7</v>
      </c>
      <c r="Q301" s="1">
        <v>0.5</v>
      </c>
      <c r="R301" t="s">
        <v>8</v>
      </c>
      <c r="S301" s="1">
        <v>0</v>
      </c>
      <c r="T301" s="1">
        <v>0.19941986586212401</v>
      </c>
      <c r="U301" s="1">
        <f t="shared" si="12"/>
        <v>0.39883973172424803</v>
      </c>
      <c r="W301" t="s">
        <v>4</v>
      </c>
      <c r="X301">
        <v>0</v>
      </c>
      <c r="Y301" t="s">
        <v>5</v>
      </c>
      <c r="Z301">
        <v>299</v>
      </c>
      <c r="AA301" t="s">
        <v>6</v>
      </c>
      <c r="AB301" s="1">
        <v>0.46796870000000002</v>
      </c>
      <c r="AC301" t="s">
        <v>7</v>
      </c>
      <c r="AD301" s="1">
        <v>0.5</v>
      </c>
      <c r="AE301" t="s">
        <v>8</v>
      </c>
      <c r="AF301" s="1">
        <v>0</v>
      </c>
      <c r="AG301" s="1">
        <v>0.19948311370401201</v>
      </c>
      <c r="AH301" s="1">
        <f t="shared" si="13"/>
        <v>0.39896622740802401</v>
      </c>
      <c r="AJ301" t="s">
        <v>4</v>
      </c>
      <c r="AK301">
        <v>0</v>
      </c>
      <c r="AL301" t="s">
        <v>5</v>
      </c>
      <c r="AM301">
        <v>299</v>
      </c>
      <c r="AN301" t="s">
        <v>6</v>
      </c>
      <c r="AO301" s="1">
        <v>0.46796870000000002</v>
      </c>
      <c r="AP301" t="s">
        <v>7</v>
      </c>
      <c r="AQ301" s="1">
        <v>0.5</v>
      </c>
      <c r="AR301" t="s">
        <v>8</v>
      </c>
      <c r="AS301" s="1">
        <v>0</v>
      </c>
      <c r="AT301" s="1">
        <v>0.19933766781318499</v>
      </c>
      <c r="AU301" s="1">
        <f t="shared" si="14"/>
        <v>0.39867533562636998</v>
      </c>
    </row>
    <row r="302" spans="10:47">
      <c r="J302" t="s">
        <v>4</v>
      </c>
      <c r="K302">
        <v>0</v>
      </c>
      <c r="L302" t="s">
        <v>5</v>
      </c>
      <c r="M302">
        <v>300</v>
      </c>
      <c r="N302" t="s">
        <v>6</v>
      </c>
      <c r="O302" s="1">
        <v>0.46953129999999998</v>
      </c>
      <c r="P302" t="s">
        <v>7</v>
      </c>
      <c r="Q302" s="1">
        <v>0.5</v>
      </c>
      <c r="R302" t="s">
        <v>8</v>
      </c>
      <c r="S302" s="1">
        <v>0</v>
      </c>
      <c r="T302" s="1">
        <v>0.19901250531305401</v>
      </c>
      <c r="U302" s="1">
        <f t="shared" si="12"/>
        <v>0.39802501062610801</v>
      </c>
      <c r="W302" t="s">
        <v>4</v>
      </c>
      <c r="X302">
        <v>0</v>
      </c>
      <c r="Y302" t="s">
        <v>5</v>
      </c>
      <c r="Z302">
        <v>300</v>
      </c>
      <c r="AA302" t="s">
        <v>6</v>
      </c>
      <c r="AB302" s="1">
        <v>0.46953129999999998</v>
      </c>
      <c r="AC302" t="s">
        <v>7</v>
      </c>
      <c r="AD302" s="1">
        <v>0.5</v>
      </c>
      <c r="AE302" t="s">
        <v>8</v>
      </c>
      <c r="AF302" s="1">
        <v>0</v>
      </c>
      <c r="AG302" s="1">
        <v>0.19907636652434499</v>
      </c>
      <c r="AH302" s="1">
        <f t="shared" si="13"/>
        <v>0.39815273304868998</v>
      </c>
      <c r="AJ302" t="s">
        <v>4</v>
      </c>
      <c r="AK302">
        <v>0</v>
      </c>
      <c r="AL302" t="s">
        <v>5</v>
      </c>
      <c r="AM302">
        <v>300</v>
      </c>
      <c r="AN302" t="s">
        <v>6</v>
      </c>
      <c r="AO302" s="1">
        <v>0.46953129999999998</v>
      </c>
      <c r="AP302" t="s">
        <v>7</v>
      </c>
      <c r="AQ302" s="1">
        <v>0.5</v>
      </c>
      <c r="AR302" t="s">
        <v>8</v>
      </c>
      <c r="AS302" s="1">
        <v>0</v>
      </c>
      <c r="AT302" s="1">
        <v>0.19892568156835899</v>
      </c>
      <c r="AU302" s="1">
        <f t="shared" si="14"/>
        <v>0.39785136313671798</v>
      </c>
    </row>
    <row r="303" spans="10:47">
      <c r="J303" t="s">
        <v>4</v>
      </c>
      <c r="K303">
        <v>0</v>
      </c>
      <c r="L303" t="s">
        <v>5</v>
      </c>
      <c r="M303">
        <v>301</v>
      </c>
      <c r="N303" t="s">
        <v>6</v>
      </c>
      <c r="O303" s="1">
        <v>0.47109380000000001</v>
      </c>
      <c r="P303" t="s">
        <v>7</v>
      </c>
      <c r="Q303" s="1">
        <v>0.5</v>
      </c>
      <c r="R303" t="s">
        <v>8</v>
      </c>
      <c r="S303" s="1">
        <v>0</v>
      </c>
      <c r="T303" s="1">
        <v>0.198444673442734</v>
      </c>
      <c r="U303" s="1">
        <f t="shared" si="12"/>
        <v>0.39688934688546801</v>
      </c>
      <c r="W303" t="s">
        <v>4</v>
      </c>
      <c r="X303">
        <v>0</v>
      </c>
      <c r="Y303" t="s">
        <v>5</v>
      </c>
      <c r="Z303">
        <v>301</v>
      </c>
      <c r="AA303" t="s">
        <v>6</v>
      </c>
      <c r="AB303" s="1">
        <v>0.47109380000000001</v>
      </c>
      <c r="AC303" t="s">
        <v>7</v>
      </c>
      <c r="AD303" s="1">
        <v>0.5</v>
      </c>
      <c r="AE303" t="s">
        <v>8</v>
      </c>
      <c r="AF303" s="1">
        <v>0</v>
      </c>
      <c r="AG303" s="1">
        <v>0.19850069291806899</v>
      </c>
      <c r="AH303" s="1">
        <f t="shared" si="13"/>
        <v>0.39700138583613798</v>
      </c>
      <c r="AJ303" t="s">
        <v>4</v>
      </c>
      <c r="AK303">
        <v>0</v>
      </c>
      <c r="AL303" t="s">
        <v>5</v>
      </c>
      <c r="AM303">
        <v>301</v>
      </c>
      <c r="AN303" t="s">
        <v>6</v>
      </c>
      <c r="AO303" s="1">
        <v>0.47109380000000001</v>
      </c>
      <c r="AP303" t="s">
        <v>7</v>
      </c>
      <c r="AQ303" s="1">
        <v>0.5</v>
      </c>
      <c r="AR303" t="s">
        <v>8</v>
      </c>
      <c r="AS303" s="1">
        <v>0</v>
      </c>
      <c r="AT303" s="1">
        <v>0.19836555416268001</v>
      </c>
      <c r="AU303" s="1">
        <f t="shared" si="14"/>
        <v>0.39673110832536002</v>
      </c>
    </row>
    <row r="304" spans="10:47">
      <c r="J304" t="s">
        <v>4</v>
      </c>
      <c r="K304">
        <v>0</v>
      </c>
      <c r="L304" t="s">
        <v>5</v>
      </c>
      <c r="M304">
        <v>302</v>
      </c>
      <c r="N304" t="s">
        <v>6</v>
      </c>
      <c r="O304" s="1">
        <v>0.47265620000000003</v>
      </c>
      <c r="P304" t="s">
        <v>7</v>
      </c>
      <c r="Q304" s="1">
        <v>0.5</v>
      </c>
      <c r="R304" t="s">
        <v>8</v>
      </c>
      <c r="S304" s="1">
        <v>0</v>
      </c>
      <c r="T304" s="1">
        <v>0.19782880954879101</v>
      </c>
      <c r="U304" s="1">
        <f t="shared" si="12"/>
        <v>0.39565761909758201</v>
      </c>
      <c r="W304" t="s">
        <v>4</v>
      </c>
      <c r="X304">
        <v>0</v>
      </c>
      <c r="Y304" t="s">
        <v>5</v>
      </c>
      <c r="Z304">
        <v>302</v>
      </c>
      <c r="AA304" t="s">
        <v>6</v>
      </c>
      <c r="AB304" s="1">
        <v>0.47265620000000003</v>
      </c>
      <c r="AC304" t="s">
        <v>7</v>
      </c>
      <c r="AD304" s="1">
        <v>0.5</v>
      </c>
      <c r="AE304" t="s">
        <v>8</v>
      </c>
      <c r="AF304" s="1">
        <v>0</v>
      </c>
      <c r="AG304" s="1">
        <v>0.19787714956249899</v>
      </c>
      <c r="AH304" s="1">
        <f t="shared" si="13"/>
        <v>0.39575429912499799</v>
      </c>
      <c r="AJ304" t="s">
        <v>4</v>
      </c>
      <c r="AK304">
        <v>0</v>
      </c>
      <c r="AL304" t="s">
        <v>5</v>
      </c>
      <c r="AM304">
        <v>302</v>
      </c>
      <c r="AN304" t="s">
        <v>6</v>
      </c>
      <c r="AO304" s="1">
        <v>0.47265620000000003</v>
      </c>
      <c r="AP304" t="s">
        <v>7</v>
      </c>
      <c r="AQ304" s="1">
        <v>0.5</v>
      </c>
      <c r="AR304" t="s">
        <v>8</v>
      </c>
      <c r="AS304" s="1">
        <v>0</v>
      </c>
      <c r="AT304" s="1">
        <v>0.19775784536173399</v>
      </c>
      <c r="AU304" s="1">
        <f t="shared" si="14"/>
        <v>0.39551569072346798</v>
      </c>
    </row>
    <row r="305" spans="10:47">
      <c r="J305" t="s">
        <v>4</v>
      </c>
      <c r="K305">
        <v>0</v>
      </c>
      <c r="L305" t="s">
        <v>5</v>
      </c>
      <c r="M305">
        <v>303</v>
      </c>
      <c r="N305" t="s">
        <v>6</v>
      </c>
      <c r="O305" s="1">
        <v>0.4742188</v>
      </c>
      <c r="P305" t="s">
        <v>7</v>
      </c>
      <c r="Q305" s="1">
        <v>0.5</v>
      </c>
      <c r="R305" t="s">
        <v>8</v>
      </c>
      <c r="S305" s="1">
        <v>0</v>
      </c>
      <c r="T305" s="1">
        <v>0.197160475640903</v>
      </c>
      <c r="U305" s="1">
        <f t="shared" si="12"/>
        <v>0.394320951281806</v>
      </c>
      <c r="W305" t="s">
        <v>4</v>
      </c>
      <c r="X305">
        <v>0</v>
      </c>
      <c r="Y305" t="s">
        <v>5</v>
      </c>
      <c r="Z305">
        <v>303</v>
      </c>
      <c r="AA305" t="s">
        <v>6</v>
      </c>
      <c r="AB305" s="1">
        <v>0.4742188</v>
      </c>
      <c r="AC305" t="s">
        <v>7</v>
      </c>
      <c r="AD305" s="1">
        <v>0.5</v>
      </c>
      <c r="AE305" t="s">
        <v>8</v>
      </c>
      <c r="AF305" s="1">
        <v>0</v>
      </c>
      <c r="AG305" s="1">
        <v>0.19720134948559201</v>
      </c>
      <c r="AH305" s="1">
        <f t="shared" si="13"/>
        <v>0.39440269897118402</v>
      </c>
      <c r="AJ305" t="s">
        <v>4</v>
      </c>
      <c r="AK305">
        <v>0</v>
      </c>
      <c r="AL305" t="s">
        <v>5</v>
      </c>
      <c r="AM305">
        <v>303</v>
      </c>
      <c r="AN305" t="s">
        <v>6</v>
      </c>
      <c r="AO305" s="1">
        <v>0.4742188</v>
      </c>
      <c r="AP305" t="s">
        <v>7</v>
      </c>
      <c r="AQ305" s="1">
        <v>0.5</v>
      </c>
      <c r="AR305" t="s">
        <v>8</v>
      </c>
      <c r="AS305" s="1">
        <v>0</v>
      </c>
      <c r="AT305" s="1">
        <v>0.19709816970902999</v>
      </c>
      <c r="AU305" s="1">
        <f t="shared" si="14"/>
        <v>0.39419633941805998</v>
      </c>
    </row>
    <row r="306" spans="10:47">
      <c r="J306" t="s">
        <v>4</v>
      </c>
      <c r="K306">
        <v>0</v>
      </c>
      <c r="L306" t="s">
        <v>5</v>
      </c>
      <c r="M306">
        <v>304</v>
      </c>
      <c r="N306" t="s">
        <v>6</v>
      </c>
      <c r="O306" s="1">
        <v>0.47578120000000002</v>
      </c>
      <c r="P306" t="s">
        <v>7</v>
      </c>
      <c r="Q306" s="1">
        <v>0.5</v>
      </c>
      <c r="R306" t="s">
        <v>8</v>
      </c>
      <c r="S306" s="1">
        <v>0</v>
      </c>
      <c r="T306" s="1">
        <v>0.19643512479131001</v>
      </c>
      <c r="U306" s="1">
        <f t="shared" si="12"/>
        <v>0.39287024958262001</v>
      </c>
      <c r="W306" t="s">
        <v>4</v>
      </c>
      <c r="X306">
        <v>0</v>
      </c>
      <c r="Y306" t="s">
        <v>5</v>
      </c>
      <c r="Z306">
        <v>304</v>
      </c>
      <c r="AA306" t="s">
        <v>6</v>
      </c>
      <c r="AB306" s="1">
        <v>0.47578120000000002</v>
      </c>
      <c r="AC306" t="s">
        <v>7</v>
      </c>
      <c r="AD306" s="1">
        <v>0.5</v>
      </c>
      <c r="AE306" t="s">
        <v>8</v>
      </c>
      <c r="AF306" s="1">
        <v>0</v>
      </c>
      <c r="AG306" s="1">
        <v>0.19646879815127699</v>
      </c>
      <c r="AH306" s="1">
        <f t="shared" si="13"/>
        <v>0.39293759630255398</v>
      </c>
      <c r="AJ306" t="s">
        <v>4</v>
      </c>
      <c r="AK306">
        <v>0</v>
      </c>
      <c r="AL306" t="s">
        <v>5</v>
      </c>
      <c r="AM306">
        <v>304</v>
      </c>
      <c r="AN306" t="s">
        <v>6</v>
      </c>
      <c r="AO306" s="1">
        <v>0.47578120000000002</v>
      </c>
      <c r="AP306" t="s">
        <v>7</v>
      </c>
      <c r="AQ306" s="1">
        <v>0.5</v>
      </c>
      <c r="AR306" t="s">
        <v>8</v>
      </c>
      <c r="AS306" s="1">
        <v>0</v>
      </c>
      <c r="AT306" s="1">
        <v>0.19638203051534101</v>
      </c>
      <c r="AU306" s="1">
        <f t="shared" si="14"/>
        <v>0.39276406103068201</v>
      </c>
    </row>
    <row r="307" spans="10:47">
      <c r="J307" t="s">
        <v>4</v>
      </c>
      <c r="K307">
        <v>0</v>
      </c>
      <c r="L307" t="s">
        <v>5</v>
      </c>
      <c r="M307">
        <v>305</v>
      </c>
      <c r="N307" t="s">
        <v>6</v>
      </c>
      <c r="O307" s="1">
        <v>0.47734379999999998</v>
      </c>
      <c r="P307" t="s">
        <v>7</v>
      </c>
      <c r="Q307" s="1">
        <v>0.5</v>
      </c>
      <c r="R307" t="s">
        <v>8</v>
      </c>
      <c r="S307" s="1">
        <v>0</v>
      </c>
      <c r="T307" s="1">
        <v>0.19564835789158</v>
      </c>
      <c r="U307" s="1">
        <f t="shared" si="12"/>
        <v>0.39129671578316</v>
      </c>
      <c r="W307" t="s">
        <v>4</v>
      </c>
      <c r="X307">
        <v>0</v>
      </c>
      <c r="Y307" t="s">
        <v>5</v>
      </c>
      <c r="Z307">
        <v>305</v>
      </c>
      <c r="AA307" t="s">
        <v>6</v>
      </c>
      <c r="AB307" s="1">
        <v>0.47734379999999998</v>
      </c>
      <c r="AC307" t="s">
        <v>7</v>
      </c>
      <c r="AD307" s="1">
        <v>0.5</v>
      </c>
      <c r="AE307" t="s">
        <v>8</v>
      </c>
      <c r="AF307" s="1">
        <v>0</v>
      </c>
      <c r="AG307" s="1">
        <v>0.195675146056567</v>
      </c>
      <c r="AH307" s="1">
        <f t="shared" si="13"/>
        <v>0.39135029211313399</v>
      </c>
      <c r="AJ307" t="s">
        <v>4</v>
      </c>
      <c r="AK307">
        <v>0</v>
      </c>
      <c r="AL307" t="s">
        <v>5</v>
      </c>
      <c r="AM307">
        <v>305</v>
      </c>
      <c r="AN307" t="s">
        <v>6</v>
      </c>
      <c r="AO307" s="1">
        <v>0.47734379999999998</v>
      </c>
      <c r="AP307" t="s">
        <v>7</v>
      </c>
      <c r="AQ307" s="1">
        <v>0.5</v>
      </c>
      <c r="AR307" t="s">
        <v>8</v>
      </c>
      <c r="AS307" s="1">
        <v>0</v>
      </c>
      <c r="AT307" s="1">
        <v>0.19560507229780999</v>
      </c>
      <c r="AU307" s="1">
        <f t="shared" si="14"/>
        <v>0.39121014459561998</v>
      </c>
    </row>
    <row r="308" spans="10:47">
      <c r="J308" t="s">
        <v>4</v>
      </c>
      <c r="K308">
        <v>0</v>
      </c>
      <c r="L308" t="s">
        <v>5</v>
      </c>
      <c r="M308">
        <v>306</v>
      </c>
      <c r="N308" t="s">
        <v>6</v>
      </c>
      <c r="O308" s="1">
        <v>0.4789062</v>
      </c>
      <c r="P308" t="s">
        <v>7</v>
      </c>
      <c r="Q308" s="1">
        <v>0.5</v>
      </c>
      <c r="R308" t="s">
        <v>8</v>
      </c>
      <c r="S308" s="1">
        <v>0</v>
      </c>
      <c r="T308" s="1">
        <v>0.19479618047976399</v>
      </c>
      <c r="U308" s="1">
        <f t="shared" si="12"/>
        <v>0.38959236095952798</v>
      </c>
      <c r="W308" t="s">
        <v>4</v>
      </c>
      <c r="X308">
        <v>0</v>
      </c>
      <c r="Y308" t="s">
        <v>5</v>
      </c>
      <c r="Z308">
        <v>306</v>
      </c>
      <c r="AA308" t="s">
        <v>6</v>
      </c>
      <c r="AB308" s="1">
        <v>0.4789062</v>
      </c>
      <c r="AC308" t="s">
        <v>7</v>
      </c>
      <c r="AD308" s="1">
        <v>0.5</v>
      </c>
      <c r="AE308" t="s">
        <v>8</v>
      </c>
      <c r="AF308" s="1">
        <v>0</v>
      </c>
      <c r="AG308" s="1">
        <v>0.19481644138614701</v>
      </c>
      <c r="AH308" s="1">
        <f t="shared" si="13"/>
        <v>0.38963288277229402</v>
      </c>
      <c r="AJ308" t="s">
        <v>4</v>
      </c>
      <c r="AK308">
        <v>0</v>
      </c>
      <c r="AL308" t="s">
        <v>5</v>
      </c>
      <c r="AM308">
        <v>306</v>
      </c>
      <c r="AN308" t="s">
        <v>6</v>
      </c>
      <c r="AO308" s="1">
        <v>0.4789062</v>
      </c>
      <c r="AP308" t="s">
        <v>7</v>
      </c>
      <c r="AQ308" s="1">
        <v>0.5</v>
      </c>
      <c r="AR308" t="s">
        <v>8</v>
      </c>
      <c r="AS308" s="1">
        <v>0</v>
      </c>
      <c r="AT308" s="1">
        <v>0.194763333268789</v>
      </c>
      <c r="AU308" s="1">
        <f t="shared" si="14"/>
        <v>0.389526666537578</v>
      </c>
    </row>
    <row r="309" spans="10:47">
      <c r="J309" t="s">
        <v>4</v>
      </c>
      <c r="K309">
        <v>0</v>
      </c>
      <c r="L309" t="s">
        <v>5</v>
      </c>
      <c r="M309">
        <v>307</v>
      </c>
      <c r="N309" t="s">
        <v>6</v>
      </c>
      <c r="O309" s="1">
        <v>0.48046879999999997</v>
      </c>
      <c r="P309" t="s">
        <v>7</v>
      </c>
      <c r="Q309" s="1">
        <v>0.5</v>
      </c>
      <c r="R309" t="s">
        <v>8</v>
      </c>
      <c r="S309" s="1">
        <v>0</v>
      </c>
      <c r="T309" s="1">
        <v>0.19387525963885399</v>
      </c>
      <c r="U309" s="1">
        <f t="shared" si="12"/>
        <v>0.38775051927770798</v>
      </c>
      <c r="W309" t="s">
        <v>4</v>
      </c>
      <c r="X309">
        <v>0</v>
      </c>
      <c r="Y309" t="s">
        <v>5</v>
      </c>
      <c r="Z309">
        <v>307</v>
      </c>
      <c r="AA309" t="s">
        <v>6</v>
      </c>
      <c r="AB309" s="1">
        <v>0.48046879999999997</v>
      </c>
      <c r="AC309" t="s">
        <v>7</v>
      </c>
      <c r="AD309" s="1">
        <v>0.5</v>
      </c>
      <c r="AE309" t="s">
        <v>8</v>
      </c>
      <c r="AF309" s="1">
        <v>0</v>
      </c>
      <c r="AG309" s="1">
        <v>0.19388938272529599</v>
      </c>
      <c r="AH309" s="1">
        <f t="shared" si="13"/>
        <v>0.38777876545059198</v>
      </c>
      <c r="AJ309" t="s">
        <v>4</v>
      </c>
      <c r="AK309">
        <v>0</v>
      </c>
      <c r="AL309" t="s">
        <v>5</v>
      </c>
      <c r="AM309">
        <v>307</v>
      </c>
      <c r="AN309" t="s">
        <v>6</v>
      </c>
      <c r="AO309" s="1">
        <v>0.48046879999999997</v>
      </c>
      <c r="AP309" t="s">
        <v>7</v>
      </c>
      <c r="AQ309" s="1">
        <v>0.5</v>
      </c>
      <c r="AR309" t="s">
        <v>8</v>
      </c>
      <c r="AS309" s="1">
        <v>0</v>
      </c>
      <c r="AT309" s="1">
        <v>0.193853497877848</v>
      </c>
      <c r="AU309" s="1">
        <f t="shared" si="14"/>
        <v>0.387706995755696</v>
      </c>
    </row>
    <row r="310" spans="10:47">
      <c r="J310" t="s">
        <v>4</v>
      </c>
      <c r="K310">
        <v>0</v>
      </c>
      <c r="L310" t="s">
        <v>5</v>
      </c>
      <c r="M310">
        <v>308</v>
      </c>
      <c r="N310" t="s">
        <v>6</v>
      </c>
      <c r="O310" s="1">
        <v>0.4820313</v>
      </c>
      <c r="P310" t="s">
        <v>7</v>
      </c>
      <c r="Q310" s="1">
        <v>0.5</v>
      </c>
      <c r="R310" t="s">
        <v>8</v>
      </c>
      <c r="S310" s="1">
        <v>0</v>
      </c>
      <c r="T310" s="1">
        <v>0.19288318096603199</v>
      </c>
      <c r="U310" s="1">
        <f t="shared" si="12"/>
        <v>0.38576636193206398</v>
      </c>
      <c r="W310" t="s">
        <v>4</v>
      </c>
      <c r="X310">
        <v>0</v>
      </c>
      <c r="Y310" t="s">
        <v>5</v>
      </c>
      <c r="Z310">
        <v>308</v>
      </c>
      <c r="AA310" t="s">
        <v>6</v>
      </c>
      <c r="AB310" s="1">
        <v>0.4820313</v>
      </c>
      <c r="AC310" t="s">
        <v>7</v>
      </c>
      <c r="AD310" s="1">
        <v>0.5</v>
      </c>
      <c r="AE310" t="s">
        <v>8</v>
      </c>
      <c r="AF310" s="1">
        <v>0</v>
      </c>
      <c r="AG310" s="1">
        <v>0.19289157183139</v>
      </c>
      <c r="AH310" s="1">
        <f t="shared" si="13"/>
        <v>0.38578314366277999</v>
      </c>
      <c r="AJ310" t="s">
        <v>4</v>
      </c>
      <c r="AK310">
        <v>0</v>
      </c>
      <c r="AL310" t="s">
        <v>5</v>
      </c>
      <c r="AM310">
        <v>308</v>
      </c>
      <c r="AN310" t="s">
        <v>6</v>
      </c>
      <c r="AO310" s="1">
        <v>0.4820313</v>
      </c>
      <c r="AP310" t="s">
        <v>7</v>
      </c>
      <c r="AQ310" s="1">
        <v>0.5</v>
      </c>
      <c r="AR310" t="s">
        <v>8</v>
      </c>
      <c r="AS310" s="1">
        <v>0</v>
      </c>
      <c r="AT310" s="1">
        <v>0.192873149401704</v>
      </c>
      <c r="AU310" s="1">
        <f t="shared" si="14"/>
        <v>0.38574629880340799</v>
      </c>
    </row>
    <row r="311" spans="10:47">
      <c r="J311" t="s">
        <v>4</v>
      </c>
      <c r="K311">
        <v>0</v>
      </c>
      <c r="L311" t="s">
        <v>5</v>
      </c>
      <c r="M311">
        <v>309</v>
      </c>
      <c r="N311" t="s">
        <v>6</v>
      </c>
      <c r="O311" s="1">
        <v>0.48359370000000002</v>
      </c>
      <c r="P311" t="s">
        <v>7</v>
      </c>
      <c r="Q311" s="1">
        <v>0.5</v>
      </c>
      <c r="R311" t="s">
        <v>8</v>
      </c>
      <c r="S311" s="1">
        <v>0</v>
      </c>
      <c r="T311" s="1">
        <v>0.191818705612608</v>
      </c>
      <c r="U311" s="1">
        <f t="shared" si="12"/>
        <v>0.383637411225216</v>
      </c>
      <c r="W311" t="s">
        <v>4</v>
      </c>
      <c r="X311">
        <v>0</v>
      </c>
      <c r="Y311" t="s">
        <v>5</v>
      </c>
      <c r="Z311">
        <v>309</v>
      </c>
      <c r="AA311" t="s">
        <v>6</v>
      </c>
      <c r="AB311" s="1">
        <v>0.48359370000000002</v>
      </c>
      <c r="AC311" t="s">
        <v>7</v>
      </c>
      <c r="AD311" s="1">
        <v>0.5</v>
      </c>
      <c r="AE311" t="s">
        <v>8</v>
      </c>
      <c r="AF311" s="1">
        <v>0</v>
      </c>
      <c r="AG311" s="1">
        <v>0.191821766464251</v>
      </c>
      <c r="AH311" s="1">
        <f t="shared" si="13"/>
        <v>0.38364353292850201</v>
      </c>
      <c r="AJ311" t="s">
        <v>4</v>
      </c>
      <c r="AK311">
        <v>0</v>
      </c>
      <c r="AL311" t="s">
        <v>5</v>
      </c>
      <c r="AM311">
        <v>309</v>
      </c>
      <c r="AN311" t="s">
        <v>6</v>
      </c>
      <c r="AO311" s="1">
        <v>0.48359370000000002</v>
      </c>
      <c r="AP311" t="s">
        <v>7</v>
      </c>
      <c r="AQ311" s="1">
        <v>0.5</v>
      </c>
      <c r="AR311" t="s">
        <v>8</v>
      </c>
      <c r="AS311" s="1">
        <v>0</v>
      </c>
      <c r="AT311" s="1">
        <v>0.19182102259271699</v>
      </c>
      <c r="AU311" s="1">
        <f t="shared" si="14"/>
        <v>0.38364204518543399</v>
      </c>
    </row>
    <row r="312" spans="10:47">
      <c r="J312" t="s">
        <v>4</v>
      </c>
      <c r="K312">
        <v>0</v>
      </c>
      <c r="L312" t="s">
        <v>5</v>
      </c>
      <c r="M312">
        <v>310</v>
      </c>
      <c r="N312" t="s">
        <v>6</v>
      </c>
      <c r="O312" s="1">
        <v>0.48515629999999998</v>
      </c>
      <c r="P312" t="s">
        <v>7</v>
      </c>
      <c r="Q312" s="1">
        <v>0.5</v>
      </c>
      <c r="R312" t="s">
        <v>8</v>
      </c>
      <c r="S312" s="1">
        <v>0</v>
      </c>
      <c r="T312" s="1">
        <v>0.190682027395111</v>
      </c>
      <c r="U312" s="1">
        <f t="shared" si="12"/>
        <v>0.38136405479022201</v>
      </c>
      <c r="W312" t="s">
        <v>4</v>
      </c>
      <c r="X312">
        <v>0</v>
      </c>
      <c r="Y312" t="s">
        <v>5</v>
      </c>
      <c r="Z312">
        <v>310</v>
      </c>
      <c r="AA312" t="s">
        <v>6</v>
      </c>
      <c r="AB312" s="1">
        <v>0.48515629999999998</v>
      </c>
      <c r="AC312" t="s">
        <v>7</v>
      </c>
      <c r="AD312" s="1">
        <v>0.5</v>
      </c>
      <c r="AE312" t="s">
        <v>8</v>
      </c>
      <c r="AF312" s="1">
        <v>0</v>
      </c>
      <c r="AG312" s="1">
        <v>0.19068013327372499</v>
      </c>
      <c r="AH312" s="1">
        <f t="shared" si="13"/>
        <v>0.38136026654744998</v>
      </c>
      <c r="AJ312" t="s">
        <v>4</v>
      </c>
      <c r="AK312">
        <v>0</v>
      </c>
      <c r="AL312" t="s">
        <v>5</v>
      </c>
      <c r="AM312">
        <v>310</v>
      </c>
      <c r="AN312" t="s">
        <v>6</v>
      </c>
      <c r="AO312" s="1">
        <v>0.48515629999999998</v>
      </c>
      <c r="AP312" t="s">
        <v>7</v>
      </c>
      <c r="AQ312" s="1">
        <v>0.5</v>
      </c>
      <c r="AR312" t="s">
        <v>8</v>
      </c>
      <c r="AS312" s="1">
        <v>0</v>
      </c>
      <c r="AT312" s="1">
        <v>0.190697256372899</v>
      </c>
      <c r="AU312" s="1">
        <f t="shared" si="14"/>
        <v>0.381394512745798</v>
      </c>
    </row>
    <row r="313" spans="10:47">
      <c r="J313" t="s">
        <v>4</v>
      </c>
      <c r="K313">
        <v>0</v>
      </c>
      <c r="L313" t="s">
        <v>5</v>
      </c>
      <c r="M313">
        <v>311</v>
      </c>
      <c r="N313" t="s">
        <v>6</v>
      </c>
      <c r="O313" s="1">
        <v>0.48671880000000001</v>
      </c>
      <c r="P313" t="s">
        <v>7</v>
      </c>
      <c r="Q313" s="1">
        <v>0.5</v>
      </c>
      <c r="R313" t="s">
        <v>8</v>
      </c>
      <c r="S313" s="1">
        <v>0</v>
      </c>
      <c r="T313" s="1">
        <v>0.18947502997709401</v>
      </c>
      <c r="U313" s="1">
        <f t="shared" si="12"/>
        <v>0.37895005995418801</v>
      </c>
      <c r="W313" t="s">
        <v>4</v>
      </c>
      <c r="X313">
        <v>0</v>
      </c>
      <c r="Y313" t="s">
        <v>5</v>
      </c>
      <c r="Z313">
        <v>311</v>
      </c>
      <c r="AA313" t="s">
        <v>6</v>
      </c>
      <c r="AB313" s="1">
        <v>0.48671880000000001</v>
      </c>
      <c r="AC313" t="s">
        <v>7</v>
      </c>
      <c r="AD313" s="1">
        <v>0.5</v>
      </c>
      <c r="AE313" t="s">
        <v>8</v>
      </c>
      <c r="AF313" s="1">
        <v>0</v>
      </c>
      <c r="AG313" s="1">
        <v>0.18946850074559499</v>
      </c>
      <c r="AH313" s="1">
        <f t="shared" si="13"/>
        <v>0.37893700149118997</v>
      </c>
      <c r="AJ313" t="s">
        <v>4</v>
      </c>
      <c r="AK313">
        <v>0</v>
      </c>
      <c r="AL313" t="s">
        <v>5</v>
      </c>
      <c r="AM313">
        <v>311</v>
      </c>
      <c r="AN313" t="s">
        <v>6</v>
      </c>
      <c r="AO313" s="1">
        <v>0.48671880000000001</v>
      </c>
      <c r="AP313" t="s">
        <v>7</v>
      </c>
      <c r="AQ313" s="1">
        <v>0.5</v>
      </c>
      <c r="AR313" t="s">
        <v>8</v>
      </c>
      <c r="AS313" s="1">
        <v>0</v>
      </c>
      <c r="AT313" s="1">
        <v>0.18950364657671701</v>
      </c>
      <c r="AU313" s="1">
        <f t="shared" si="14"/>
        <v>0.37900729315343401</v>
      </c>
    </row>
    <row r="314" spans="10:47">
      <c r="J314" t="s">
        <v>4</v>
      </c>
      <c r="K314">
        <v>0</v>
      </c>
      <c r="L314" t="s">
        <v>5</v>
      </c>
      <c r="M314">
        <v>312</v>
      </c>
      <c r="N314" t="s">
        <v>6</v>
      </c>
      <c r="O314" s="1">
        <v>0.48828120000000003</v>
      </c>
      <c r="P314" t="s">
        <v>7</v>
      </c>
      <c r="Q314" s="1">
        <v>0.5</v>
      </c>
      <c r="R314" t="s">
        <v>8</v>
      </c>
      <c r="S314" s="1">
        <v>0</v>
      </c>
      <c r="T314" s="1">
        <v>0.18820154412178</v>
      </c>
      <c r="U314" s="1">
        <f t="shared" si="12"/>
        <v>0.37640308824356</v>
      </c>
      <c r="W314" t="s">
        <v>4</v>
      </c>
      <c r="X314">
        <v>0</v>
      </c>
      <c r="Y314" t="s">
        <v>5</v>
      </c>
      <c r="Z314">
        <v>312</v>
      </c>
      <c r="AA314" t="s">
        <v>6</v>
      </c>
      <c r="AB314" s="1">
        <v>0.48828120000000003</v>
      </c>
      <c r="AC314" t="s">
        <v>7</v>
      </c>
      <c r="AD314" s="1">
        <v>0.5</v>
      </c>
      <c r="AE314" t="s">
        <v>8</v>
      </c>
      <c r="AF314" s="1">
        <v>0</v>
      </c>
      <c r="AG314" s="1">
        <v>0.188190612207534</v>
      </c>
      <c r="AH314" s="1">
        <f t="shared" si="13"/>
        <v>0.37638122441506799</v>
      </c>
      <c r="AJ314" t="s">
        <v>4</v>
      </c>
      <c r="AK314">
        <v>0</v>
      </c>
      <c r="AL314" t="s">
        <v>5</v>
      </c>
      <c r="AM314">
        <v>312</v>
      </c>
      <c r="AN314" t="s">
        <v>6</v>
      </c>
      <c r="AO314" s="1">
        <v>0.48828120000000003</v>
      </c>
      <c r="AP314" t="s">
        <v>7</v>
      </c>
      <c r="AQ314" s="1">
        <v>0.5</v>
      </c>
      <c r="AR314" t="s">
        <v>8</v>
      </c>
      <c r="AS314" s="1">
        <v>0</v>
      </c>
      <c r="AT314" s="1">
        <v>0.18824389875689601</v>
      </c>
      <c r="AU314" s="1">
        <f t="shared" si="14"/>
        <v>0.37648779751379202</v>
      </c>
    </row>
    <row r="315" spans="10:47">
      <c r="J315" t="s">
        <v>4</v>
      </c>
      <c r="K315">
        <v>0</v>
      </c>
      <c r="L315" t="s">
        <v>5</v>
      </c>
      <c r="M315">
        <v>313</v>
      </c>
      <c r="N315" t="s">
        <v>6</v>
      </c>
      <c r="O315" s="1">
        <v>0.4898438</v>
      </c>
      <c r="P315" t="s">
        <v>7</v>
      </c>
      <c r="Q315" s="1">
        <v>0.5</v>
      </c>
      <c r="R315" t="s">
        <v>8</v>
      </c>
      <c r="S315" s="1">
        <v>0</v>
      </c>
      <c r="T315" s="1">
        <v>0.18686760501573699</v>
      </c>
      <c r="U315" s="1">
        <f t="shared" si="12"/>
        <v>0.37373521003147397</v>
      </c>
      <c r="W315" t="s">
        <v>4</v>
      </c>
      <c r="X315">
        <v>0</v>
      </c>
      <c r="Y315" t="s">
        <v>5</v>
      </c>
      <c r="Z315">
        <v>313</v>
      </c>
      <c r="AA315" t="s">
        <v>6</v>
      </c>
      <c r="AB315" s="1">
        <v>0.4898438</v>
      </c>
      <c r="AC315" t="s">
        <v>7</v>
      </c>
      <c r="AD315" s="1">
        <v>0.5</v>
      </c>
      <c r="AE315" t="s">
        <v>8</v>
      </c>
      <c r="AF315" s="1">
        <v>0</v>
      </c>
      <c r="AG315" s="1">
        <v>0.18685237889049899</v>
      </c>
      <c r="AH315" s="1">
        <f t="shared" si="13"/>
        <v>0.37370475778099799</v>
      </c>
      <c r="AJ315" t="s">
        <v>4</v>
      </c>
      <c r="AK315">
        <v>0</v>
      </c>
      <c r="AL315" t="s">
        <v>5</v>
      </c>
      <c r="AM315">
        <v>313</v>
      </c>
      <c r="AN315" t="s">
        <v>6</v>
      </c>
      <c r="AO315" s="1">
        <v>0.4898438</v>
      </c>
      <c r="AP315" t="s">
        <v>7</v>
      </c>
      <c r="AQ315" s="1">
        <v>0.5</v>
      </c>
      <c r="AR315" t="s">
        <v>8</v>
      </c>
      <c r="AS315" s="1">
        <v>0</v>
      </c>
      <c r="AT315" s="1">
        <v>0.18692388102863799</v>
      </c>
      <c r="AU315" s="1">
        <f t="shared" si="14"/>
        <v>0.37384776205727599</v>
      </c>
    </row>
    <row r="316" spans="10:47">
      <c r="J316" t="s">
        <v>4</v>
      </c>
      <c r="K316">
        <v>0</v>
      </c>
      <c r="L316" t="s">
        <v>5</v>
      </c>
      <c r="M316">
        <v>314</v>
      </c>
      <c r="N316" t="s">
        <v>6</v>
      </c>
      <c r="O316" s="1">
        <v>0.49140620000000002</v>
      </c>
      <c r="P316" t="s">
        <v>7</v>
      </c>
      <c r="Q316" s="1">
        <v>0.5</v>
      </c>
      <c r="R316" t="s">
        <v>8</v>
      </c>
      <c r="S316" s="1">
        <v>0</v>
      </c>
      <c r="T316" s="1">
        <v>0.18548170966307601</v>
      </c>
      <c r="U316" s="1">
        <f t="shared" si="12"/>
        <v>0.37096341932615201</v>
      </c>
      <c r="W316" t="s">
        <v>4</v>
      </c>
      <c r="X316">
        <v>0</v>
      </c>
      <c r="Y316" t="s">
        <v>5</v>
      </c>
      <c r="Z316">
        <v>314</v>
      </c>
      <c r="AA316" t="s">
        <v>6</v>
      </c>
      <c r="AB316" s="1">
        <v>0.49140620000000002</v>
      </c>
      <c r="AC316" t="s">
        <v>7</v>
      </c>
      <c r="AD316" s="1">
        <v>0.5</v>
      </c>
      <c r="AE316" t="s">
        <v>8</v>
      </c>
      <c r="AF316" s="1">
        <v>0</v>
      </c>
      <c r="AG316" s="1">
        <v>0.185462133050742</v>
      </c>
      <c r="AH316" s="1">
        <f t="shared" si="13"/>
        <v>0.37092426610148399</v>
      </c>
      <c r="AJ316" t="s">
        <v>4</v>
      </c>
      <c r="AK316">
        <v>0</v>
      </c>
      <c r="AL316" t="s">
        <v>5</v>
      </c>
      <c r="AM316">
        <v>314</v>
      </c>
      <c r="AN316" t="s">
        <v>6</v>
      </c>
      <c r="AO316" s="1">
        <v>0.49140620000000002</v>
      </c>
      <c r="AP316" t="s">
        <v>7</v>
      </c>
      <c r="AQ316" s="1">
        <v>0.5</v>
      </c>
      <c r="AR316" t="s">
        <v>8</v>
      </c>
      <c r="AS316" s="1">
        <v>0</v>
      </c>
      <c r="AT316" s="1">
        <v>0.18555187697273001</v>
      </c>
      <c r="AU316" s="1">
        <f t="shared" si="14"/>
        <v>0.37110375394546002</v>
      </c>
    </row>
    <row r="317" spans="10:47">
      <c r="J317" t="s">
        <v>4</v>
      </c>
      <c r="K317">
        <v>0</v>
      </c>
      <c r="L317" t="s">
        <v>5</v>
      </c>
      <c r="M317">
        <v>315</v>
      </c>
      <c r="N317" t="s">
        <v>6</v>
      </c>
      <c r="O317" s="1">
        <v>0.49296879999999998</v>
      </c>
      <c r="P317" t="s">
        <v>7</v>
      </c>
      <c r="Q317" s="1">
        <v>0.5</v>
      </c>
      <c r="R317" t="s">
        <v>8</v>
      </c>
      <c r="S317" s="1">
        <v>0</v>
      </c>
      <c r="T317" s="1">
        <v>0.18405507435114801</v>
      </c>
      <c r="U317" s="1">
        <f t="shared" si="12"/>
        <v>0.36811014870229603</v>
      </c>
      <c r="W317" t="s">
        <v>4</v>
      </c>
      <c r="X317">
        <v>0</v>
      </c>
      <c r="Y317" t="s">
        <v>5</v>
      </c>
      <c r="Z317">
        <v>315</v>
      </c>
      <c r="AA317" t="s">
        <v>6</v>
      </c>
      <c r="AB317" s="1">
        <v>0.49296879999999998</v>
      </c>
      <c r="AC317" t="s">
        <v>7</v>
      </c>
      <c r="AD317" s="1">
        <v>0.5</v>
      </c>
      <c r="AE317" t="s">
        <v>8</v>
      </c>
      <c r="AF317" s="1">
        <v>0</v>
      </c>
      <c r="AG317" s="1">
        <v>0.18403088115004701</v>
      </c>
      <c r="AH317" s="1">
        <f t="shared" si="13"/>
        <v>0.36806176230009402</v>
      </c>
      <c r="AJ317" t="s">
        <v>4</v>
      </c>
      <c r="AK317">
        <v>0</v>
      </c>
      <c r="AL317" t="s">
        <v>5</v>
      </c>
      <c r="AM317">
        <v>315</v>
      </c>
      <c r="AN317" t="s">
        <v>6</v>
      </c>
      <c r="AO317" s="1">
        <v>0.49296879999999998</v>
      </c>
      <c r="AP317" t="s">
        <v>7</v>
      </c>
      <c r="AQ317" s="1">
        <v>0.5</v>
      </c>
      <c r="AR317" t="s">
        <v>8</v>
      </c>
      <c r="AS317" s="1">
        <v>0</v>
      </c>
      <c r="AT317" s="1">
        <v>0.18413883859250699</v>
      </c>
      <c r="AU317" s="1">
        <f t="shared" si="14"/>
        <v>0.36827767718501397</v>
      </c>
    </row>
    <row r="318" spans="10:47">
      <c r="J318" t="s">
        <v>4</v>
      </c>
      <c r="K318">
        <v>0</v>
      </c>
      <c r="L318" t="s">
        <v>5</v>
      </c>
      <c r="M318">
        <v>316</v>
      </c>
      <c r="N318" t="s">
        <v>6</v>
      </c>
      <c r="O318" s="1">
        <v>0.4945312</v>
      </c>
      <c r="P318" t="s">
        <v>7</v>
      </c>
      <c r="Q318" s="1">
        <v>0.5</v>
      </c>
      <c r="R318" t="s">
        <v>8</v>
      </c>
      <c r="S318" s="1">
        <v>0</v>
      </c>
      <c r="T318" s="1">
        <v>0.182601892186459</v>
      </c>
      <c r="U318" s="1">
        <f t="shared" si="12"/>
        <v>0.36520378437291801</v>
      </c>
      <c r="W318" t="s">
        <v>4</v>
      </c>
      <c r="X318">
        <v>0</v>
      </c>
      <c r="Y318" t="s">
        <v>5</v>
      </c>
      <c r="Z318">
        <v>316</v>
      </c>
      <c r="AA318" t="s">
        <v>6</v>
      </c>
      <c r="AB318" s="1">
        <v>0.4945312</v>
      </c>
      <c r="AC318" t="s">
        <v>7</v>
      </c>
      <c r="AD318" s="1">
        <v>0.5</v>
      </c>
      <c r="AE318" t="s">
        <v>8</v>
      </c>
      <c r="AF318" s="1">
        <v>0</v>
      </c>
      <c r="AG318" s="1">
        <v>0.18257255709162801</v>
      </c>
      <c r="AH318" s="1">
        <f t="shared" si="13"/>
        <v>0.36514511418325601</v>
      </c>
      <c r="AJ318" t="s">
        <v>4</v>
      </c>
      <c r="AK318">
        <v>0</v>
      </c>
      <c r="AL318" t="s">
        <v>5</v>
      </c>
      <c r="AM318">
        <v>316</v>
      </c>
      <c r="AN318" t="s">
        <v>6</v>
      </c>
      <c r="AO318" s="1">
        <v>0.4945312</v>
      </c>
      <c r="AP318" t="s">
        <v>7</v>
      </c>
      <c r="AQ318" s="1">
        <v>0.5</v>
      </c>
      <c r="AR318" t="s">
        <v>8</v>
      </c>
      <c r="AS318" s="1">
        <v>0</v>
      </c>
      <c r="AT318" s="1">
        <v>0.18269863930886701</v>
      </c>
      <c r="AU318" s="1">
        <f t="shared" si="14"/>
        <v>0.36539727861773402</v>
      </c>
    </row>
    <row r="319" spans="10:47">
      <c r="J319" t="s">
        <v>4</v>
      </c>
      <c r="K319">
        <v>0</v>
      </c>
      <c r="L319" t="s">
        <v>5</v>
      </c>
      <c r="M319">
        <v>317</v>
      </c>
      <c r="N319" t="s">
        <v>6</v>
      </c>
      <c r="O319" s="1">
        <v>0.49609379999999997</v>
      </c>
      <c r="P319" t="s">
        <v>7</v>
      </c>
      <c r="Q319" s="1">
        <v>0.5</v>
      </c>
      <c r="R319" t="s">
        <v>8</v>
      </c>
      <c r="S319" s="1">
        <v>0</v>
      </c>
      <c r="T319" s="1">
        <v>0.18113959070209101</v>
      </c>
      <c r="U319" s="1">
        <f t="shared" si="12"/>
        <v>0.36227918140418203</v>
      </c>
      <c r="W319" t="s">
        <v>4</v>
      </c>
      <c r="X319">
        <v>0</v>
      </c>
      <c r="Y319" t="s">
        <v>5</v>
      </c>
      <c r="Z319">
        <v>317</v>
      </c>
      <c r="AA319" t="s">
        <v>6</v>
      </c>
      <c r="AB319" s="1">
        <v>0.49609379999999997</v>
      </c>
      <c r="AC319" t="s">
        <v>7</v>
      </c>
      <c r="AD319" s="1">
        <v>0.5</v>
      </c>
      <c r="AE319" t="s">
        <v>8</v>
      </c>
      <c r="AF319" s="1">
        <v>0</v>
      </c>
      <c r="AG319" s="1">
        <v>0.18110427551862901</v>
      </c>
      <c r="AH319" s="1">
        <f t="shared" si="13"/>
        <v>0.36220855103725802</v>
      </c>
      <c r="AJ319" t="s">
        <v>4</v>
      </c>
      <c r="AK319">
        <v>0</v>
      </c>
      <c r="AL319" t="s">
        <v>5</v>
      </c>
      <c r="AM319">
        <v>317</v>
      </c>
      <c r="AN319" t="s">
        <v>6</v>
      </c>
      <c r="AO319" s="1">
        <v>0.49609379999999997</v>
      </c>
      <c r="AP319" t="s">
        <v>7</v>
      </c>
      <c r="AQ319" s="1">
        <v>0.5</v>
      </c>
      <c r="AR319" t="s">
        <v>8</v>
      </c>
      <c r="AS319" s="1">
        <v>0</v>
      </c>
      <c r="AT319" s="1">
        <v>0.18124832702896701</v>
      </c>
      <c r="AU319" s="1">
        <f t="shared" si="14"/>
        <v>0.36249665405793402</v>
      </c>
    </row>
    <row r="320" spans="10:47">
      <c r="J320" t="s">
        <v>4</v>
      </c>
      <c r="K320">
        <v>0</v>
      </c>
      <c r="L320" t="s">
        <v>5</v>
      </c>
      <c r="M320">
        <v>318</v>
      </c>
      <c r="N320" t="s">
        <v>6</v>
      </c>
      <c r="O320" s="1">
        <v>0.4976563</v>
      </c>
      <c r="P320" t="s">
        <v>7</v>
      </c>
      <c r="Q320" s="1">
        <v>0.5</v>
      </c>
      <c r="R320" t="s">
        <v>8</v>
      </c>
      <c r="S320" s="1">
        <v>0</v>
      </c>
      <c r="T320" s="1">
        <v>0.17968908953489701</v>
      </c>
      <c r="U320" s="1">
        <f t="shared" si="12"/>
        <v>0.35937817906979402</v>
      </c>
      <c r="W320" t="s">
        <v>4</v>
      </c>
      <c r="X320">
        <v>0</v>
      </c>
      <c r="Y320" t="s">
        <v>5</v>
      </c>
      <c r="Z320">
        <v>318</v>
      </c>
      <c r="AA320" t="s">
        <v>6</v>
      </c>
      <c r="AB320" s="1">
        <v>0.4976563</v>
      </c>
      <c r="AC320" t="s">
        <v>7</v>
      </c>
      <c r="AD320" s="1">
        <v>0.5</v>
      </c>
      <c r="AE320" t="s">
        <v>8</v>
      </c>
      <c r="AF320" s="1">
        <v>0</v>
      </c>
      <c r="AG320" s="1">
        <v>0.17964658516609899</v>
      </c>
      <c r="AH320" s="1">
        <f t="shared" si="13"/>
        <v>0.35929317033219799</v>
      </c>
      <c r="AJ320" t="s">
        <v>4</v>
      </c>
      <c r="AK320">
        <v>0</v>
      </c>
      <c r="AL320" t="s">
        <v>5</v>
      </c>
      <c r="AM320">
        <v>318</v>
      </c>
      <c r="AN320" t="s">
        <v>6</v>
      </c>
      <c r="AO320" s="1">
        <v>0.4976563</v>
      </c>
      <c r="AP320" t="s">
        <v>7</v>
      </c>
      <c r="AQ320" s="1">
        <v>0.5</v>
      </c>
      <c r="AR320" t="s">
        <v>8</v>
      </c>
      <c r="AS320" s="1">
        <v>0</v>
      </c>
      <c r="AT320" s="1">
        <v>0.17980837723960499</v>
      </c>
      <c r="AU320" s="1">
        <f t="shared" si="14"/>
        <v>0.35961675447920999</v>
      </c>
    </row>
    <row r="321" spans="10:47">
      <c r="J321" t="s">
        <v>4</v>
      </c>
      <c r="K321">
        <v>0</v>
      </c>
      <c r="L321" t="s">
        <v>5</v>
      </c>
      <c r="M321">
        <v>319</v>
      </c>
      <c r="N321" t="s">
        <v>6</v>
      </c>
      <c r="O321" s="1">
        <v>0.49921880000000002</v>
      </c>
      <c r="P321" t="s">
        <v>7</v>
      </c>
      <c r="Q321" s="1">
        <v>0.5</v>
      </c>
      <c r="R321" t="s">
        <v>8</v>
      </c>
      <c r="S321" s="1">
        <v>0</v>
      </c>
      <c r="T321" s="1">
        <v>0.17827505817557901</v>
      </c>
      <c r="U321" s="1">
        <f t="shared" si="12"/>
        <v>0.35655011635115802</v>
      </c>
      <c r="W321" t="s">
        <v>4</v>
      </c>
      <c r="X321">
        <v>0</v>
      </c>
      <c r="Y321" t="s">
        <v>5</v>
      </c>
      <c r="Z321">
        <v>319</v>
      </c>
      <c r="AA321" t="s">
        <v>6</v>
      </c>
      <c r="AB321" s="1">
        <v>0.49921880000000002</v>
      </c>
      <c r="AC321" t="s">
        <v>7</v>
      </c>
      <c r="AD321" s="1">
        <v>0.5</v>
      </c>
      <c r="AE321" t="s">
        <v>8</v>
      </c>
      <c r="AF321" s="1">
        <v>0</v>
      </c>
      <c r="AG321" s="1">
        <v>0.178223722275893</v>
      </c>
      <c r="AH321" s="1">
        <f t="shared" si="13"/>
        <v>0.35644744455178601</v>
      </c>
      <c r="AJ321" t="s">
        <v>4</v>
      </c>
      <c r="AK321">
        <v>0</v>
      </c>
      <c r="AL321" t="s">
        <v>5</v>
      </c>
      <c r="AM321">
        <v>319</v>
      </c>
      <c r="AN321" t="s">
        <v>6</v>
      </c>
      <c r="AO321" s="1">
        <v>0.49921880000000002</v>
      </c>
      <c r="AP321" t="s">
        <v>7</v>
      </c>
      <c r="AQ321" s="1">
        <v>0.5</v>
      </c>
      <c r="AR321" t="s">
        <v>8</v>
      </c>
      <c r="AS321" s="1">
        <v>0</v>
      </c>
      <c r="AT321" s="1">
        <v>0.178402946178739</v>
      </c>
      <c r="AU321" s="1">
        <f t="shared" si="14"/>
        <v>0.35680589235747801</v>
      </c>
    </row>
  </sheetData>
  <phoneticPr fontId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AE30F-08BD-41D3-81E3-FA91C5DD0492}">
  <dimension ref="A1:CK321"/>
  <sheetViews>
    <sheetView topLeftCell="BZ10" zoomScaleNormal="100" workbookViewId="0">
      <selection activeCell="BN23" sqref="BN23"/>
    </sheetView>
  </sheetViews>
  <sheetFormatPr defaultRowHeight="18"/>
  <cols>
    <col min="6" max="6" width="9" bestFit="1" customWidth="1"/>
    <col min="8" max="8" width="9" bestFit="1" customWidth="1"/>
    <col min="10" max="11" width="9.5" bestFit="1" customWidth="1"/>
    <col min="12" max="12" width="9" bestFit="1" customWidth="1"/>
    <col min="13" max="13" width="9.5" bestFit="1" customWidth="1"/>
    <col min="29" max="29" width="9" bestFit="1" customWidth="1"/>
    <col min="30" max="33" width="10.19921875" bestFit="1" customWidth="1"/>
    <col min="39" max="40" width="9.5" bestFit="1" customWidth="1"/>
    <col min="74" max="74" width="9.5" bestFit="1" customWidth="1"/>
  </cols>
  <sheetData>
    <row r="1" spans="1:89">
      <c r="BX1" t="s">
        <v>40</v>
      </c>
      <c r="CA1" t="s">
        <v>41</v>
      </c>
    </row>
    <row r="2" spans="1:89">
      <c r="A2" t="s">
        <v>16</v>
      </c>
      <c r="AB2" s="3" t="s">
        <v>19</v>
      </c>
      <c r="AC2" t="s">
        <v>20</v>
      </c>
      <c r="AI2" s="3" t="s">
        <v>19</v>
      </c>
      <c r="AJ2" t="s">
        <v>20</v>
      </c>
      <c r="AQ2" t="s">
        <v>7</v>
      </c>
      <c r="AR2" s="1">
        <v>0.5</v>
      </c>
      <c r="AS2" t="s">
        <v>8</v>
      </c>
      <c r="AT2" s="1">
        <v>0</v>
      </c>
      <c r="AU2" s="1">
        <v>3.3231170066541603E-2</v>
      </c>
      <c r="AW2" t="s">
        <v>4</v>
      </c>
      <c r="AX2">
        <v>0</v>
      </c>
      <c r="AY2" t="s">
        <v>5</v>
      </c>
      <c r="AZ2">
        <v>0</v>
      </c>
      <c r="BA2" t="s">
        <v>6</v>
      </c>
      <c r="BB2" s="1">
        <v>7.8125000000000004E-4</v>
      </c>
      <c r="BC2" t="s">
        <v>7</v>
      </c>
      <c r="BD2" s="1">
        <v>0.5</v>
      </c>
      <c r="BE2" t="s">
        <v>8</v>
      </c>
      <c r="BF2" s="1">
        <v>0</v>
      </c>
      <c r="BG2" s="1">
        <f>BB2/0.5</f>
        <v>1.5625000000000001E-3</v>
      </c>
      <c r="BH2" s="1">
        <v>13.696377937543399</v>
      </c>
      <c r="BJ2" t="s">
        <v>4</v>
      </c>
      <c r="BK2">
        <v>0</v>
      </c>
      <c r="BL2" t="s">
        <v>5</v>
      </c>
      <c r="BM2">
        <v>0</v>
      </c>
      <c r="BN2" t="s">
        <v>6</v>
      </c>
      <c r="BO2" s="1">
        <v>7.8125000000000004E-4</v>
      </c>
      <c r="BP2" t="s">
        <v>7</v>
      </c>
      <c r="BQ2" s="1">
        <v>0.5</v>
      </c>
      <c r="BR2" t="s">
        <v>8</v>
      </c>
      <c r="BS2" s="1">
        <v>0</v>
      </c>
      <c r="BT2" s="1">
        <v>13.7059822519522</v>
      </c>
      <c r="BU2" s="1">
        <f>BO2/0.5</f>
        <v>1.5625000000000001E-3</v>
      </c>
      <c r="BV2" s="1">
        <f>BT2</f>
        <v>13.7059822519522</v>
      </c>
      <c r="BX2" s="1">
        <v>0</v>
      </c>
      <c r="BY2" s="1">
        <v>17.085640979395201</v>
      </c>
      <c r="CA2" t="s">
        <v>4</v>
      </c>
      <c r="CB2">
        <v>0</v>
      </c>
      <c r="CC2" t="s">
        <v>5</v>
      </c>
      <c r="CD2">
        <v>0</v>
      </c>
      <c r="CE2" t="s">
        <v>6</v>
      </c>
      <c r="CF2" s="1">
        <v>7.8125000000000004E-4</v>
      </c>
      <c r="CG2" t="s">
        <v>7</v>
      </c>
      <c r="CH2" s="1">
        <v>0.5</v>
      </c>
      <c r="CI2" t="s">
        <v>8</v>
      </c>
      <c r="CJ2" s="1">
        <v>0</v>
      </c>
      <c r="CK2" s="1">
        <v>14.264027588087799</v>
      </c>
    </row>
    <row r="3" spans="1:89">
      <c r="A3" t="s">
        <v>4</v>
      </c>
      <c r="B3">
        <v>0</v>
      </c>
      <c r="C3" t="s">
        <v>5</v>
      </c>
      <c r="D3">
        <v>0</v>
      </c>
      <c r="E3" t="s">
        <v>6</v>
      </c>
      <c r="F3" s="1">
        <v>1.5625E-2</v>
      </c>
      <c r="G3" t="s">
        <v>7</v>
      </c>
      <c r="H3" s="1">
        <v>0.5</v>
      </c>
      <c r="I3" t="s">
        <v>8</v>
      </c>
      <c r="J3" s="1">
        <v>0</v>
      </c>
      <c r="K3" s="1">
        <v>28.540453037514101</v>
      </c>
      <c r="L3" s="1">
        <f>2*F3</f>
        <v>3.125E-2</v>
      </c>
      <c r="M3" s="1">
        <f>K3/2</f>
        <v>14.270226518757051</v>
      </c>
      <c r="AB3" s="3" t="s">
        <v>21</v>
      </c>
      <c r="AI3" s="3" t="s">
        <v>21</v>
      </c>
      <c r="AQ3" t="s">
        <v>7</v>
      </c>
      <c r="AR3" s="1">
        <v>0.5</v>
      </c>
      <c r="AS3" t="s">
        <v>8</v>
      </c>
      <c r="AT3" s="1">
        <v>0</v>
      </c>
      <c r="AU3" s="1">
        <v>3.3231508167448097E-2</v>
      </c>
      <c r="AW3" t="s">
        <v>4</v>
      </c>
      <c r="AX3">
        <v>0</v>
      </c>
      <c r="AY3" t="s">
        <v>5</v>
      </c>
      <c r="AZ3">
        <v>1</v>
      </c>
      <c r="BA3" t="s">
        <v>6</v>
      </c>
      <c r="BB3" s="1">
        <v>2.3437499999999999E-3</v>
      </c>
      <c r="BC3" t="s">
        <v>7</v>
      </c>
      <c r="BD3" s="1">
        <v>0.5</v>
      </c>
      <c r="BE3" t="s">
        <v>8</v>
      </c>
      <c r="BF3" s="1">
        <v>0</v>
      </c>
      <c r="BG3" s="1">
        <f t="shared" ref="BG3:BG66" si="0">BB3/0.5</f>
        <v>4.6874999999999998E-3</v>
      </c>
      <c r="BH3" s="1">
        <v>13.6962199441761</v>
      </c>
      <c r="BJ3" t="s">
        <v>4</v>
      </c>
      <c r="BK3">
        <v>0</v>
      </c>
      <c r="BL3" t="s">
        <v>5</v>
      </c>
      <c r="BM3">
        <v>1</v>
      </c>
      <c r="BN3" t="s">
        <v>6</v>
      </c>
      <c r="BO3" s="1">
        <v>2.3437499999999999E-3</v>
      </c>
      <c r="BP3" t="s">
        <v>7</v>
      </c>
      <c r="BQ3" s="1">
        <v>0.5</v>
      </c>
      <c r="BR3" t="s">
        <v>8</v>
      </c>
      <c r="BS3" s="1">
        <v>0</v>
      </c>
      <c r="BT3" s="1">
        <v>13.704422822678399</v>
      </c>
      <c r="BU3" s="1">
        <f t="shared" ref="BU3:BU66" si="1">BO3/0.5</f>
        <v>4.6874999999999998E-3</v>
      </c>
      <c r="BV3" s="1">
        <f t="shared" ref="BV3:BV66" si="2">BT3</f>
        <v>13.704422822678399</v>
      </c>
      <c r="BX3" s="1">
        <v>1</v>
      </c>
      <c r="BY3" s="1">
        <v>17.097336507034701</v>
      </c>
      <c r="CA3" t="s">
        <v>4</v>
      </c>
      <c r="CB3">
        <v>0</v>
      </c>
      <c r="CC3" t="s">
        <v>5</v>
      </c>
      <c r="CD3">
        <v>1</v>
      </c>
      <c r="CE3" t="s">
        <v>6</v>
      </c>
      <c r="CF3" s="1">
        <v>2.3437499999999999E-3</v>
      </c>
      <c r="CG3" t="s">
        <v>7</v>
      </c>
      <c r="CH3" s="1">
        <v>0.5</v>
      </c>
      <c r="CI3" t="s">
        <v>8</v>
      </c>
      <c r="CJ3" s="1">
        <v>0</v>
      </c>
      <c r="CK3" s="1">
        <v>14.2644985860113</v>
      </c>
    </row>
    <row r="4" spans="1:89">
      <c r="A4" t="s">
        <v>4</v>
      </c>
      <c r="B4">
        <v>0</v>
      </c>
      <c r="C4" t="s">
        <v>5</v>
      </c>
      <c r="D4">
        <v>1</v>
      </c>
      <c r="E4" t="s">
        <v>6</v>
      </c>
      <c r="F4" s="1">
        <v>4.6875E-2</v>
      </c>
      <c r="G4" t="s">
        <v>7</v>
      </c>
      <c r="H4" s="1">
        <v>0.5</v>
      </c>
      <c r="I4" t="s">
        <v>8</v>
      </c>
      <c r="J4" s="1">
        <v>0</v>
      </c>
      <c r="K4" s="1">
        <v>28.508444737590601</v>
      </c>
      <c r="L4" s="1">
        <f t="shared" ref="L4:L52" si="3">2*F4</f>
        <v>9.375E-2</v>
      </c>
      <c r="M4" s="1">
        <f t="shared" ref="M4:M18" si="4">K4/2</f>
        <v>14.2542223687953</v>
      </c>
      <c r="AB4" s="3" t="s">
        <v>22</v>
      </c>
      <c r="AC4" t="s">
        <v>23</v>
      </c>
      <c r="AD4">
        <v>89</v>
      </c>
      <c r="AI4" s="3" t="s">
        <v>22</v>
      </c>
      <c r="AJ4" t="s">
        <v>23</v>
      </c>
      <c r="AK4">
        <v>88</v>
      </c>
      <c r="AQ4" t="s">
        <v>7</v>
      </c>
      <c r="AR4" s="1">
        <v>0.5</v>
      </c>
      <c r="AS4" t="s">
        <v>8</v>
      </c>
      <c r="AT4" s="1">
        <v>0</v>
      </c>
      <c r="AU4" s="1">
        <v>3.3231864350575097E-2</v>
      </c>
      <c r="AW4" t="s">
        <v>4</v>
      </c>
      <c r="AX4">
        <v>0</v>
      </c>
      <c r="AY4" t="s">
        <v>5</v>
      </c>
      <c r="AZ4">
        <v>2</v>
      </c>
      <c r="BA4" t="s">
        <v>6</v>
      </c>
      <c r="BB4" s="1">
        <v>3.90625E-3</v>
      </c>
      <c r="BC4" t="s">
        <v>7</v>
      </c>
      <c r="BD4" s="1">
        <v>0.5</v>
      </c>
      <c r="BE4" t="s">
        <v>8</v>
      </c>
      <c r="BF4" s="1">
        <v>0</v>
      </c>
      <c r="BG4" s="1">
        <f t="shared" si="0"/>
        <v>7.8125E-3</v>
      </c>
      <c r="BH4" s="1">
        <v>13.6959514989742</v>
      </c>
      <c r="BJ4" t="s">
        <v>4</v>
      </c>
      <c r="BK4">
        <v>0</v>
      </c>
      <c r="BL4" t="s">
        <v>5</v>
      </c>
      <c r="BM4">
        <v>2</v>
      </c>
      <c r="BN4" t="s">
        <v>6</v>
      </c>
      <c r="BO4" s="1">
        <v>3.90625E-3</v>
      </c>
      <c r="BP4" t="s">
        <v>7</v>
      </c>
      <c r="BQ4" s="1">
        <v>0.5</v>
      </c>
      <c r="BR4" t="s">
        <v>8</v>
      </c>
      <c r="BS4" s="1">
        <v>0</v>
      </c>
      <c r="BT4" s="1">
        <v>13.703135393172699</v>
      </c>
      <c r="BU4" s="1">
        <f t="shared" si="1"/>
        <v>7.8125E-3</v>
      </c>
      <c r="BV4" s="1">
        <f t="shared" si="2"/>
        <v>13.703135393172699</v>
      </c>
      <c r="BX4" s="1">
        <v>2</v>
      </c>
      <c r="BY4" s="1">
        <v>17.108945967428301</v>
      </c>
      <c r="CA4" t="s">
        <v>4</v>
      </c>
      <c r="CB4">
        <v>0</v>
      </c>
      <c r="CC4" t="s">
        <v>5</v>
      </c>
      <c r="CD4">
        <v>2</v>
      </c>
      <c r="CE4" t="s">
        <v>6</v>
      </c>
      <c r="CF4" s="1">
        <v>3.90625E-3</v>
      </c>
      <c r="CG4" t="s">
        <v>7</v>
      </c>
      <c r="CH4" s="1">
        <v>0.5</v>
      </c>
      <c r="CI4" t="s">
        <v>8</v>
      </c>
      <c r="CJ4" s="1">
        <v>0</v>
      </c>
      <c r="CK4" s="1">
        <v>14.264931331219101</v>
      </c>
    </row>
    <row r="5" spans="1:89">
      <c r="A5" t="s">
        <v>4</v>
      </c>
      <c r="B5">
        <v>0</v>
      </c>
      <c r="C5" t="s">
        <v>5</v>
      </c>
      <c r="D5">
        <v>2</v>
      </c>
      <c r="E5" t="s">
        <v>6</v>
      </c>
      <c r="F5" s="1">
        <v>7.8125E-2</v>
      </c>
      <c r="G5" t="s">
        <v>7</v>
      </c>
      <c r="H5" s="1">
        <v>0.5</v>
      </c>
      <c r="I5" t="s">
        <v>8</v>
      </c>
      <c r="J5" s="1">
        <v>0</v>
      </c>
      <c r="K5" s="1">
        <v>28.271998617775399</v>
      </c>
      <c r="L5" s="1">
        <f t="shared" si="3"/>
        <v>0.15625</v>
      </c>
      <c r="M5" s="1">
        <f t="shared" si="4"/>
        <v>14.135999308887699</v>
      </c>
      <c r="AB5" s="3" t="s">
        <v>24</v>
      </c>
      <c r="AC5" t="s">
        <v>23</v>
      </c>
      <c r="AD5" s="1">
        <v>1</v>
      </c>
      <c r="AI5" s="3" t="s">
        <v>24</v>
      </c>
      <c r="AJ5" t="s">
        <v>23</v>
      </c>
      <c r="AK5" s="1">
        <v>1</v>
      </c>
      <c r="AQ5" t="s">
        <v>7</v>
      </c>
      <c r="AR5" s="1">
        <v>0.5</v>
      </c>
      <c r="AS5" t="s">
        <v>8</v>
      </c>
      <c r="AT5" s="1">
        <v>0</v>
      </c>
      <c r="AU5" s="1">
        <v>3.3232238583518897E-2</v>
      </c>
      <c r="AW5" t="s">
        <v>4</v>
      </c>
      <c r="AX5">
        <v>0</v>
      </c>
      <c r="AY5" t="s">
        <v>5</v>
      </c>
      <c r="AZ5">
        <v>3</v>
      </c>
      <c r="BA5" t="s">
        <v>6</v>
      </c>
      <c r="BB5" s="1">
        <v>5.4687499999999997E-3</v>
      </c>
      <c r="BC5" t="s">
        <v>7</v>
      </c>
      <c r="BD5" s="1">
        <v>0.5</v>
      </c>
      <c r="BE5" t="s">
        <v>8</v>
      </c>
      <c r="BF5" s="1">
        <v>0</v>
      </c>
      <c r="BG5" s="1">
        <f t="shared" si="0"/>
        <v>1.0937499999999999E-2</v>
      </c>
      <c r="BH5" s="1">
        <v>13.6955735809623</v>
      </c>
      <c r="BJ5" t="s">
        <v>4</v>
      </c>
      <c r="BK5">
        <v>0</v>
      </c>
      <c r="BL5" t="s">
        <v>5</v>
      </c>
      <c r="BM5">
        <v>3</v>
      </c>
      <c r="BN5" t="s">
        <v>6</v>
      </c>
      <c r="BO5" s="1">
        <v>5.4687499999999997E-3</v>
      </c>
      <c r="BP5" t="s">
        <v>7</v>
      </c>
      <c r="BQ5" s="1">
        <v>0.5</v>
      </c>
      <c r="BR5" t="s">
        <v>8</v>
      </c>
      <c r="BS5" s="1">
        <v>0</v>
      </c>
      <c r="BT5" s="1">
        <v>13.7020818743229</v>
      </c>
      <c r="BU5" s="1">
        <f t="shared" si="1"/>
        <v>1.0937499999999999E-2</v>
      </c>
      <c r="BV5" s="1">
        <f t="shared" si="2"/>
        <v>13.7020818743229</v>
      </c>
      <c r="BX5" s="1">
        <v>3</v>
      </c>
      <c r="BY5" s="1">
        <v>17.1204683076236</v>
      </c>
      <c r="CA5" t="s">
        <v>4</v>
      </c>
      <c r="CB5">
        <v>0</v>
      </c>
      <c r="CC5" t="s">
        <v>5</v>
      </c>
      <c r="CD5">
        <v>3</v>
      </c>
      <c r="CE5" t="s">
        <v>6</v>
      </c>
      <c r="CF5" s="1">
        <v>5.4687499999999997E-3</v>
      </c>
      <c r="CG5" t="s">
        <v>7</v>
      </c>
      <c r="CH5" s="1">
        <v>0.5</v>
      </c>
      <c r="CI5" t="s">
        <v>8</v>
      </c>
      <c r="CJ5" s="1">
        <v>0</v>
      </c>
      <c r="CK5" s="1">
        <v>14.2653258279467</v>
      </c>
    </row>
    <row r="6" spans="1:89">
      <c r="A6" t="s">
        <v>4</v>
      </c>
      <c r="B6">
        <v>0</v>
      </c>
      <c r="C6" t="s">
        <v>5</v>
      </c>
      <c r="D6">
        <v>3</v>
      </c>
      <c r="E6" t="s">
        <v>6</v>
      </c>
      <c r="F6" s="1">
        <v>0.109375</v>
      </c>
      <c r="G6" t="s">
        <v>7</v>
      </c>
      <c r="H6" s="1">
        <v>0.5</v>
      </c>
      <c r="I6" t="s">
        <v>8</v>
      </c>
      <c r="J6" s="1">
        <v>0</v>
      </c>
      <c r="K6" s="1">
        <v>27.946817762842201</v>
      </c>
      <c r="L6" s="1">
        <f t="shared" si="3"/>
        <v>0.21875</v>
      </c>
      <c r="M6" s="1">
        <f t="shared" si="4"/>
        <v>13.973408881421101</v>
      </c>
      <c r="AB6" s="3" t="s">
        <v>25</v>
      </c>
      <c r="AC6" t="s">
        <v>23</v>
      </c>
      <c r="AD6" s="1">
        <v>0</v>
      </c>
      <c r="AI6" s="3" t="s">
        <v>25</v>
      </c>
      <c r="AJ6" t="s">
        <v>23</v>
      </c>
      <c r="AK6" s="1">
        <v>0</v>
      </c>
      <c r="AQ6" t="s">
        <v>7</v>
      </c>
      <c r="AR6" s="1">
        <v>0.5</v>
      </c>
      <c r="AS6" t="s">
        <v>8</v>
      </c>
      <c r="AT6" s="1">
        <v>0</v>
      </c>
      <c r="AU6" s="1">
        <v>3.3232630835422897E-2</v>
      </c>
      <c r="AW6" t="s">
        <v>4</v>
      </c>
      <c r="AX6">
        <v>0</v>
      </c>
      <c r="AY6" t="s">
        <v>5</v>
      </c>
      <c r="AZ6">
        <v>4</v>
      </c>
      <c r="BA6" t="s">
        <v>6</v>
      </c>
      <c r="BB6" s="1">
        <v>7.0312500000000002E-3</v>
      </c>
      <c r="BC6" t="s">
        <v>7</v>
      </c>
      <c r="BD6" s="1">
        <v>0.5</v>
      </c>
      <c r="BE6" t="s">
        <v>8</v>
      </c>
      <c r="BF6" s="1">
        <v>0</v>
      </c>
      <c r="BG6" s="1">
        <f t="shared" si="0"/>
        <v>1.40625E-2</v>
      </c>
      <c r="BH6" s="1">
        <v>13.695087172509</v>
      </c>
      <c r="BJ6" t="s">
        <v>4</v>
      </c>
      <c r="BK6">
        <v>0</v>
      </c>
      <c r="BL6" t="s">
        <v>5</v>
      </c>
      <c r="BM6">
        <v>4</v>
      </c>
      <c r="BN6" t="s">
        <v>6</v>
      </c>
      <c r="BO6" s="1">
        <v>7.0312500000000002E-3</v>
      </c>
      <c r="BP6" t="s">
        <v>7</v>
      </c>
      <c r="BQ6" s="1">
        <v>0.5</v>
      </c>
      <c r="BR6" t="s">
        <v>8</v>
      </c>
      <c r="BS6" s="1">
        <v>0</v>
      </c>
      <c r="BT6" s="1">
        <v>13.7012240491539</v>
      </c>
      <c r="BU6" s="1">
        <f t="shared" si="1"/>
        <v>1.40625E-2</v>
      </c>
      <c r="BV6" s="1">
        <f t="shared" si="2"/>
        <v>13.7012240491539</v>
      </c>
      <c r="BX6" s="1">
        <v>4</v>
      </c>
      <c r="BY6" s="1">
        <v>17.131902476962701</v>
      </c>
      <c r="CA6" t="s">
        <v>4</v>
      </c>
      <c r="CB6">
        <v>0</v>
      </c>
      <c r="CC6" t="s">
        <v>5</v>
      </c>
      <c r="CD6">
        <v>4</v>
      </c>
      <c r="CE6" t="s">
        <v>6</v>
      </c>
      <c r="CF6" s="1">
        <v>7.0312500000000002E-3</v>
      </c>
      <c r="CG6" t="s">
        <v>7</v>
      </c>
      <c r="CH6" s="1">
        <v>0.5</v>
      </c>
      <c r="CI6" t="s">
        <v>8</v>
      </c>
      <c r="CJ6" s="1">
        <v>0</v>
      </c>
      <c r="CK6" s="1">
        <v>14.2656820762941</v>
      </c>
    </row>
    <row r="7" spans="1:89">
      <c r="A7" t="s">
        <v>4</v>
      </c>
      <c r="B7">
        <v>0</v>
      </c>
      <c r="C7" t="s">
        <v>5</v>
      </c>
      <c r="D7">
        <v>4</v>
      </c>
      <c r="E7" t="s">
        <v>6</v>
      </c>
      <c r="F7" s="1">
        <v>0.140625</v>
      </c>
      <c r="G7" t="s">
        <v>7</v>
      </c>
      <c r="H7" s="1">
        <v>0.5</v>
      </c>
      <c r="I7" t="s">
        <v>8</v>
      </c>
      <c r="J7" s="1">
        <v>0</v>
      </c>
      <c r="K7" s="1">
        <v>27.609124170932699</v>
      </c>
      <c r="L7" s="1">
        <f t="shared" si="3"/>
        <v>0.28125</v>
      </c>
      <c r="M7" s="1">
        <f t="shared" si="4"/>
        <v>13.804562085466349</v>
      </c>
      <c r="AB7" s="2"/>
      <c r="AI7" s="2"/>
      <c r="AQ7" t="s">
        <v>7</v>
      </c>
      <c r="AR7" s="1">
        <v>0.5</v>
      </c>
      <c r="AS7" t="s">
        <v>8</v>
      </c>
      <c r="AT7" s="1">
        <v>0</v>
      </c>
      <c r="AU7" s="1">
        <v>3.3233041076950298E-2</v>
      </c>
      <c r="AW7" t="s">
        <v>4</v>
      </c>
      <c r="AX7">
        <v>0</v>
      </c>
      <c r="AY7" t="s">
        <v>5</v>
      </c>
      <c r="AZ7">
        <v>5</v>
      </c>
      <c r="BA7" t="s">
        <v>6</v>
      </c>
      <c r="BB7" s="1">
        <v>8.5937500000000007E-3</v>
      </c>
      <c r="BC7" t="s">
        <v>7</v>
      </c>
      <c r="BD7" s="1">
        <v>0.5</v>
      </c>
      <c r="BE7" t="s">
        <v>8</v>
      </c>
      <c r="BF7" s="1">
        <v>0</v>
      </c>
      <c r="BG7" s="1">
        <f t="shared" si="0"/>
        <v>1.7187500000000001E-2</v>
      </c>
      <c r="BH7" s="1">
        <v>13.6944930203694</v>
      </c>
      <c r="BJ7" t="s">
        <v>4</v>
      </c>
      <c r="BK7">
        <v>0</v>
      </c>
      <c r="BL7" t="s">
        <v>5</v>
      </c>
      <c r="BM7">
        <v>5</v>
      </c>
      <c r="BN7" t="s">
        <v>6</v>
      </c>
      <c r="BO7" s="1">
        <v>8.5937500000000007E-3</v>
      </c>
      <c r="BP7" t="s">
        <v>7</v>
      </c>
      <c r="BQ7" s="1">
        <v>0.5</v>
      </c>
      <c r="BR7" t="s">
        <v>8</v>
      </c>
      <c r="BS7" s="1">
        <v>0</v>
      </c>
      <c r="BT7" s="1">
        <v>13.700523592416801</v>
      </c>
      <c r="BU7" s="1">
        <f t="shared" si="1"/>
        <v>1.7187500000000001E-2</v>
      </c>
      <c r="BV7" s="1">
        <f t="shared" si="2"/>
        <v>13.700523592416801</v>
      </c>
      <c r="BX7" s="1">
        <v>5</v>
      </c>
      <c r="BY7" s="1">
        <v>17.1432474319748</v>
      </c>
      <c r="CA7" t="s">
        <v>4</v>
      </c>
      <c r="CB7">
        <v>0</v>
      </c>
      <c r="CC7" t="s">
        <v>5</v>
      </c>
      <c r="CD7">
        <v>5</v>
      </c>
      <c r="CE7" t="s">
        <v>6</v>
      </c>
      <c r="CF7" s="1">
        <v>8.5937500000000007E-3</v>
      </c>
      <c r="CG7" t="s">
        <v>7</v>
      </c>
      <c r="CH7" s="1">
        <v>0.5</v>
      </c>
      <c r="CI7" t="s">
        <v>8</v>
      </c>
      <c r="CJ7" s="1">
        <v>0</v>
      </c>
      <c r="CK7" s="1">
        <v>14.2660000779281</v>
      </c>
    </row>
    <row r="8" spans="1:89">
      <c r="A8" t="s">
        <v>4</v>
      </c>
      <c r="B8">
        <v>0</v>
      </c>
      <c r="C8" t="s">
        <v>5</v>
      </c>
      <c r="D8">
        <v>5</v>
      </c>
      <c r="E8" t="s">
        <v>6</v>
      </c>
      <c r="F8" s="1">
        <v>0.171875</v>
      </c>
      <c r="G8" t="s">
        <v>7</v>
      </c>
      <c r="H8" s="1">
        <v>0.5</v>
      </c>
      <c r="I8" t="s">
        <v>8</v>
      </c>
      <c r="J8" s="1">
        <v>0</v>
      </c>
      <c r="K8" s="1">
        <v>27.109601787545301</v>
      </c>
      <c r="L8" s="1">
        <f t="shared" si="3"/>
        <v>0.34375</v>
      </c>
      <c r="M8" s="1">
        <f t="shared" si="4"/>
        <v>13.554800893772651</v>
      </c>
      <c r="AB8" s="3" t="s">
        <v>26</v>
      </c>
      <c r="AC8">
        <v>1</v>
      </c>
      <c r="AI8" s="3" t="s">
        <v>26</v>
      </c>
      <c r="AJ8">
        <v>1</v>
      </c>
      <c r="AQ8" t="s">
        <v>7</v>
      </c>
      <c r="AR8" s="1">
        <v>0.5</v>
      </c>
      <c r="AS8" t="s">
        <v>8</v>
      </c>
      <c r="AT8" s="1">
        <v>0</v>
      </c>
      <c r="AU8" s="1">
        <v>3.3233469280259498E-2</v>
      </c>
      <c r="AW8" t="s">
        <v>4</v>
      </c>
      <c r="AX8">
        <v>0</v>
      </c>
      <c r="AY8" t="s">
        <v>5</v>
      </c>
      <c r="AZ8">
        <v>6</v>
      </c>
      <c r="BA8" t="s">
        <v>6</v>
      </c>
      <c r="BB8" s="1">
        <v>1.015625E-2</v>
      </c>
      <c r="BC8" t="s">
        <v>7</v>
      </c>
      <c r="BD8" s="1">
        <v>0.5</v>
      </c>
      <c r="BE8" t="s">
        <v>8</v>
      </c>
      <c r="BF8" s="1">
        <v>0</v>
      </c>
      <c r="BG8" s="1">
        <f t="shared" si="0"/>
        <v>2.0312500000000001E-2</v>
      </c>
      <c r="BH8" s="1">
        <v>13.693792256737201</v>
      </c>
      <c r="BJ8" t="s">
        <v>4</v>
      </c>
      <c r="BK8">
        <v>0</v>
      </c>
      <c r="BL8" t="s">
        <v>5</v>
      </c>
      <c r="BM8">
        <v>6</v>
      </c>
      <c r="BN8" t="s">
        <v>6</v>
      </c>
      <c r="BO8" s="1">
        <v>1.015625E-2</v>
      </c>
      <c r="BP8" t="s">
        <v>7</v>
      </c>
      <c r="BQ8" s="1">
        <v>0.5</v>
      </c>
      <c r="BR8" t="s">
        <v>8</v>
      </c>
      <c r="BS8" s="1">
        <v>0</v>
      </c>
      <c r="BT8" s="1">
        <v>13.699942079455599</v>
      </c>
      <c r="BU8" s="1">
        <f t="shared" si="1"/>
        <v>2.0312500000000001E-2</v>
      </c>
      <c r="BV8" s="1">
        <f t="shared" si="2"/>
        <v>13.699942079455599</v>
      </c>
      <c r="BX8" s="1">
        <v>6</v>
      </c>
      <c r="BY8" s="1">
        <v>17.154502127412599</v>
      </c>
      <c r="CA8" t="s">
        <v>4</v>
      </c>
      <c r="CB8">
        <v>0</v>
      </c>
      <c r="CC8" t="s">
        <v>5</v>
      </c>
      <c r="CD8">
        <v>6</v>
      </c>
      <c r="CE8" t="s">
        <v>6</v>
      </c>
      <c r="CF8" s="1">
        <v>1.015625E-2</v>
      </c>
      <c r="CG8" t="s">
        <v>7</v>
      </c>
      <c r="CH8" s="1">
        <v>0.5</v>
      </c>
      <c r="CI8" t="s">
        <v>8</v>
      </c>
      <c r="CJ8" s="1">
        <v>0</v>
      </c>
      <c r="CK8" s="1">
        <v>14.2662798204433</v>
      </c>
    </row>
    <row r="9" spans="1:89">
      <c r="A9" t="s">
        <v>4</v>
      </c>
      <c r="B9">
        <v>0</v>
      </c>
      <c r="C9" t="s">
        <v>5</v>
      </c>
      <c r="D9">
        <v>6</v>
      </c>
      <c r="E9" t="s">
        <v>6</v>
      </c>
      <c r="F9" s="1">
        <v>0.203125</v>
      </c>
      <c r="G9" t="s">
        <v>7</v>
      </c>
      <c r="H9" s="1">
        <v>0.5</v>
      </c>
      <c r="I9" t="s">
        <v>8</v>
      </c>
      <c r="J9" s="1">
        <v>0</v>
      </c>
      <c r="K9" s="1">
        <v>26.476860792216701</v>
      </c>
      <c r="L9" s="1">
        <f t="shared" si="3"/>
        <v>0.40625</v>
      </c>
      <c r="M9" s="1">
        <f t="shared" si="4"/>
        <v>13.238430396108351</v>
      </c>
      <c r="AB9" s="3" t="s">
        <v>27</v>
      </c>
      <c r="AC9" t="s">
        <v>23</v>
      </c>
      <c r="AD9" t="s">
        <v>28</v>
      </c>
      <c r="AE9" t="s">
        <v>29</v>
      </c>
      <c r="AI9" s="3" t="s">
        <v>27</v>
      </c>
      <c r="AJ9" t="s">
        <v>23</v>
      </c>
      <c r="AK9" t="s">
        <v>28</v>
      </c>
      <c r="AL9" t="s">
        <v>29</v>
      </c>
      <c r="AQ9" t="s">
        <v>7</v>
      </c>
      <c r="AR9" s="1">
        <v>0.5</v>
      </c>
      <c r="AS9" t="s">
        <v>8</v>
      </c>
      <c r="AT9" s="1">
        <v>0</v>
      </c>
      <c r="AU9" s="1">
        <v>3.3233915419039597E-2</v>
      </c>
      <c r="AW9" t="s">
        <v>4</v>
      </c>
      <c r="AX9">
        <v>0</v>
      </c>
      <c r="AY9" t="s">
        <v>5</v>
      </c>
      <c r="AZ9">
        <v>7</v>
      </c>
      <c r="BA9" t="s">
        <v>6</v>
      </c>
      <c r="BB9" s="1">
        <v>1.171875E-2</v>
      </c>
      <c r="BC9" t="s">
        <v>7</v>
      </c>
      <c r="BD9" s="1">
        <v>0.5</v>
      </c>
      <c r="BE9" t="s">
        <v>8</v>
      </c>
      <c r="BF9" s="1">
        <v>0</v>
      </c>
      <c r="BG9" s="1">
        <f t="shared" si="0"/>
        <v>2.34375E-2</v>
      </c>
      <c r="BH9" s="1">
        <v>13.6929859598667</v>
      </c>
      <c r="BJ9" t="s">
        <v>4</v>
      </c>
      <c r="BK9">
        <v>0</v>
      </c>
      <c r="BL9" t="s">
        <v>5</v>
      </c>
      <c r="BM9">
        <v>7</v>
      </c>
      <c r="BN9" t="s">
        <v>6</v>
      </c>
      <c r="BO9" s="1">
        <v>1.171875E-2</v>
      </c>
      <c r="BP9" t="s">
        <v>7</v>
      </c>
      <c r="BQ9" s="1">
        <v>0.5</v>
      </c>
      <c r="BR9" t="s">
        <v>8</v>
      </c>
      <c r="BS9" s="1">
        <v>0</v>
      </c>
      <c r="BT9" s="1">
        <v>13.699441008455301</v>
      </c>
      <c r="BU9" s="1">
        <f t="shared" si="1"/>
        <v>2.34375E-2</v>
      </c>
      <c r="BV9" s="1">
        <f t="shared" si="2"/>
        <v>13.699441008455301</v>
      </c>
      <c r="BX9" s="1">
        <v>7</v>
      </c>
      <c r="BY9" s="1">
        <v>17.165665527688699</v>
      </c>
      <c r="CA9" t="s">
        <v>4</v>
      </c>
      <c r="CB9">
        <v>0</v>
      </c>
      <c r="CC9" t="s">
        <v>5</v>
      </c>
      <c r="CD9">
        <v>7</v>
      </c>
      <c r="CE9" t="s">
        <v>6</v>
      </c>
      <c r="CF9" s="1">
        <v>1.171875E-2</v>
      </c>
      <c r="CG9" t="s">
        <v>7</v>
      </c>
      <c r="CH9" s="1">
        <v>0.5</v>
      </c>
      <c r="CI9" t="s">
        <v>8</v>
      </c>
      <c r="CJ9" s="1">
        <v>0</v>
      </c>
      <c r="CK9" s="1">
        <v>14.266521296856601</v>
      </c>
    </row>
    <row r="10" spans="1:89">
      <c r="A10" t="s">
        <v>4</v>
      </c>
      <c r="B10">
        <v>0</v>
      </c>
      <c r="C10" t="s">
        <v>5</v>
      </c>
      <c r="D10">
        <v>7</v>
      </c>
      <c r="E10" t="s">
        <v>6</v>
      </c>
      <c r="F10" s="1">
        <v>0.234375</v>
      </c>
      <c r="G10" t="s">
        <v>7</v>
      </c>
      <c r="H10" s="1">
        <v>0.5</v>
      </c>
      <c r="I10" t="s">
        <v>8</v>
      </c>
      <c r="J10" s="1">
        <v>0</v>
      </c>
      <c r="K10" s="1">
        <v>25.909283937402002</v>
      </c>
      <c r="L10" s="1">
        <f t="shared" si="3"/>
        <v>0.46875</v>
      </c>
      <c r="M10" s="1">
        <f t="shared" si="4"/>
        <v>12.954641968701001</v>
      </c>
      <c r="AB10" s="3" t="s">
        <v>30</v>
      </c>
      <c r="AC10" t="s">
        <v>23</v>
      </c>
      <c r="AD10" t="s">
        <v>31</v>
      </c>
      <c r="AI10" s="3" t="s">
        <v>30</v>
      </c>
      <c r="AJ10" t="s">
        <v>23</v>
      </c>
      <c r="AK10" t="s">
        <v>31</v>
      </c>
      <c r="AQ10" t="s">
        <v>7</v>
      </c>
      <c r="AR10" s="1">
        <v>0.5</v>
      </c>
      <c r="AS10" t="s">
        <v>8</v>
      </c>
      <c r="AT10" s="1">
        <v>0</v>
      </c>
      <c r="AU10" s="1">
        <v>3.3234379468514402E-2</v>
      </c>
      <c r="AW10" t="s">
        <v>4</v>
      </c>
      <c r="AX10">
        <v>0</v>
      </c>
      <c r="AY10" t="s">
        <v>5</v>
      </c>
      <c r="AZ10">
        <v>8</v>
      </c>
      <c r="BA10" t="s">
        <v>6</v>
      </c>
      <c r="BB10" s="1">
        <v>1.328125E-2</v>
      </c>
      <c r="BC10" t="s">
        <v>7</v>
      </c>
      <c r="BD10" s="1">
        <v>0.5</v>
      </c>
      <c r="BE10" t="s">
        <v>8</v>
      </c>
      <c r="BF10" s="1">
        <v>0</v>
      </c>
      <c r="BG10" s="1">
        <f t="shared" si="0"/>
        <v>2.6562499999999999E-2</v>
      </c>
      <c r="BH10" s="1">
        <v>13.6920750896029</v>
      </c>
      <c r="BJ10" t="s">
        <v>4</v>
      </c>
      <c r="BK10">
        <v>0</v>
      </c>
      <c r="BL10" t="s">
        <v>5</v>
      </c>
      <c r="BM10">
        <v>8</v>
      </c>
      <c r="BN10" t="s">
        <v>6</v>
      </c>
      <c r="BO10" s="1">
        <v>1.328125E-2</v>
      </c>
      <c r="BP10" t="s">
        <v>7</v>
      </c>
      <c r="BQ10" s="1">
        <v>0.5</v>
      </c>
      <c r="BR10" t="s">
        <v>8</v>
      </c>
      <c r="BS10" s="1">
        <v>0</v>
      </c>
      <c r="BT10" s="1">
        <v>13.698981850165399</v>
      </c>
      <c r="BU10" s="1">
        <f t="shared" si="1"/>
        <v>2.6562499999999999E-2</v>
      </c>
      <c r="BV10" s="1">
        <f t="shared" si="2"/>
        <v>13.698981850165399</v>
      </c>
      <c r="BX10" s="1">
        <v>8</v>
      </c>
      <c r="BY10" s="1">
        <v>17.176736601161799</v>
      </c>
      <c r="CA10" t="s">
        <v>4</v>
      </c>
      <c r="CB10">
        <v>0</v>
      </c>
      <c r="CC10" t="s">
        <v>5</v>
      </c>
      <c r="CD10">
        <v>8</v>
      </c>
      <c r="CE10" t="s">
        <v>6</v>
      </c>
      <c r="CF10" s="1">
        <v>1.328125E-2</v>
      </c>
      <c r="CG10" t="s">
        <v>7</v>
      </c>
      <c r="CH10" s="1">
        <v>0.5</v>
      </c>
      <c r="CI10" t="s">
        <v>8</v>
      </c>
      <c r="CJ10" s="1">
        <v>0</v>
      </c>
      <c r="CK10" s="1">
        <v>14.2667244948695</v>
      </c>
    </row>
    <row r="11" spans="1:89">
      <c r="A11" t="s">
        <v>4</v>
      </c>
      <c r="B11">
        <v>0</v>
      </c>
      <c r="C11" t="s">
        <v>5</v>
      </c>
      <c r="D11">
        <v>8</v>
      </c>
      <c r="E11" t="s">
        <v>6</v>
      </c>
      <c r="F11" s="1">
        <v>0.265625</v>
      </c>
      <c r="G11" t="s">
        <v>7</v>
      </c>
      <c r="H11" s="1">
        <v>0.5</v>
      </c>
      <c r="I11" t="s">
        <v>8</v>
      </c>
      <c r="J11" s="1">
        <v>0</v>
      </c>
      <c r="K11" s="1">
        <v>25.151596121178201</v>
      </c>
      <c r="L11" s="1">
        <f t="shared" si="3"/>
        <v>0.53125</v>
      </c>
      <c r="M11" s="1">
        <f t="shared" si="4"/>
        <v>12.575798060589101</v>
      </c>
      <c r="AB11" s="2"/>
      <c r="AI11" s="2"/>
      <c r="AQ11" t="s">
        <v>7</v>
      </c>
      <c r="AR11" s="1">
        <v>0.5</v>
      </c>
      <c r="AS11" t="s">
        <v>8</v>
      </c>
      <c r="AT11" s="1">
        <v>0</v>
      </c>
      <c r="AU11" s="1">
        <v>3.32348614053889E-2</v>
      </c>
      <c r="AW11" t="s">
        <v>4</v>
      </c>
      <c r="AX11">
        <v>0</v>
      </c>
      <c r="AY11" t="s">
        <v>5</v>
      </c>
      <c r="AZ11">
        <v>9</v>
      </c>
      <c r="BA11" t="s">
        <v>6</v>
      </c>
      <c r="BB11" s="1">
        <v>1.4843749999999999E-2</v>
      </c>
      <c r="BC11" t="s">
        <v>7</v>
      </c>
      <c r="BD11" s="1">
        <v>0.5</v>
      </c>
      <c r="BE11" t="s">
        <v>8</v>
      </c>
      <c r="BF11" s="1">
        <v>0</v>
      </c>
      <c r="BG11" s="1">
        <f t="shared" si="0"/>
        <v>2.9687499999999999E-2</v>
      </c>
      <c r="BH11" s="1">
        <v>13.6910606509144</v>
      </c>
      <c r="BJ11" t="s">
        <v>4</v>
      </c>
      <c r="BK11">
        <v>0</v>
      </c>
      <c r="BL11" t="s">
        <v>5</v>
      </c>
      <c r="BM11">
        <v>9</v>
      </c>
      <c r="BN11" t="s">
        <v>6</v>
      </c>
      <c r="BO11" s="1">
        <v>1.4843749999999999E-2</v>
      </c>
      <c r="BP11" t="s">
        <v>7</v>
      </c>
      <c r="BQ11" s="1">
        <v>0.5</v>
      </c>
      <c r="BR11" t="s">
        <v>8</v>
      </c>
      <c r="BS11" s="1">
        <v>0</v>
      </c>
      <c r="BT11" s="1">
        <v>13.698525871020401</v>
      </c>
      <c r="BU11" s="1">
        <f t="shared" si="1"/>
        <v>2.9687499999999999E-2</v>
      </c>
      <c r="BV11" s="1">
        <f t="shared" si="2"/>
        <v>13.698525871020401</v>
      </c>
      <c r="BX11" s="1">
        <v>9</v>
      </c>
      <c r="BY11" s="1">
        <v>17.187714323284499</v>
      </c>
      <c r="CA11" t="s">
        <v>4</v>
      </c>
      <c r="CB11">
        <v>0</v>
      </c>
      <c r="CC11" t="s">
        <v>5</v>
      </c>
      <c r="CD11">
        <v>9</v>
      </c>
      <c r="CE11" t="s">
        <v>6</v>
      </c>
      <c r="CF11" s="1">
        <v>1.4843749999999999E-2</v>
      </c>
      <c r="CG11" t="s">
        <v>7</v>
      </c>
      <c r="CH11" s="1">
        <v>0.5</v>
      </c>
      <c r="CI11" t="s">
        <v>8</v>
      </c>
      <c r="CJ11" s="1">
        <v>0</v>
      </c>
      <c r="CK11" s="1">
        <v>14.266889402463599</v>
      </c>
    </row>
    <row r="12" spans="1:89">
      <c r="A12" t="s">
        <v>4</v>
      </c>
      <c r="B12">
        <v>0</v>
      </c>
      <c r="C12" t="s">
        <v>5</v>
      </c>
      <c r="D12">
        <v>9</v>
      </c>
      <c r="E12" t="s">
        <v>6</v>
      </c>
      <c r="F12" s="1">
        <v>0.296875</v>
      </c>
      <c r="G12" t="s">
        <v>7</v>
      </c>
      <c r="H12" s="1">
        <v>0.5</v>
      </c>
      <c r="I12" t="s">
        <v>8</v>
      </c>
      <c r="J12" s="1">
        <v>0</v>
      </c>
      <c r="K12" s="1">
        <v>24.030235293896801</v>
      </c>
      <c r="L12" s="1">
        <f t="shared" si="3"/>
        <v>0.59375</v>
      </c>
      <c r="M12" s="1">
        <f t="shared" si="4"/>
        <v>12.015117646948401</v>
      </c>
      <c r="AB12" s="3"/>
      <c r="AC12" t="s">
        <v>32</v>
      </c>
      <c r="AD12" t="s">
        <v>27</v>
      </c>
      <c r="AE12" t="s">
        <v>30</v>
      </c>
      <c r="AI12" s="3"/>
      <c r="AJ12" t="s">
        <v>32</v>
      </c>
      <c r="AK12" t="s">
        <v>27</v>
      </c>
      <c r="AL12" t="s">
        <v>30</v>
      </c>
      <c r="AQ12" t="s">
        <v>7</v>
      </c>
      <c r="AR12" s="1">
        <v>0.5</v>
      </c>
      <c r="AS12" t="s">
        <v>8</v>
      </c>
      <c r="AT12" s="1">
        <v>0</v>
      </c>
      <c r="AU12" s="1">
        <v>3.3235361207885498E-2</v>
      </c>
      <c r="AW12" t="s">
        <v>4</v>
      </c>
      <c r="AX12">
        <v>0</v>
      </c>
      <c r="AY12" t="s">
        <v>5</v>
      </c>
      <c r="AZ12">
        <v>10</v>
      </c>
      <c r="BA12" t="s">
        <v>6</v>
      </c>
      <c r="BB12" s="1">
        <v>1.6406250000000001E-2</v>
      </c>
      <c r="BC12" t="s">
        <v>7</v>
      </c>
      <c r="BD12" s="1">
        <v>0.5</v>
      </c>
      <c r="BE12" t="s">
        <v>8</v>
      </c>
      <c r="BF12" s="1">
        <v>0</v>
      </c>
      <c r="BG12" s="1">
        <f t="shared" si="0"/>
        <v>3.2812500000000001E-2</v>
      </c>
      <c r="BH12" s="1">
        <v>13.689943650014699</v>
      </c>
      <c r="BJ12" t="s">
        <v>4</v>
      </c>
      <c r="BK12">
        <v>0</v>
      </c>
      <c r="BL12" t="s">
        <v>5</v>
      </c>
      <c r="BM12">
        <v>10</v>
      </c>
      <c r="BN12" t="s">
        <v>6</v>
      </c>
      <c r="BO12" s="1">
        <v>1.6406250000000001E-2</v>
      </c>
      <c r="BP12" t="s">
        <v>7</v>
      </c>
      <c r="BQ12" s="1">
        <v>0.5</v>
      </c>
      <c r="BR12" t="s">
        <v>8</v>
      </c>
      <c r="BS12" s="1">
        <v>0</v>
      </c>
      <c r="BT12" s="1">
        <v>13.6980344526233</v>
      </c>
      <c r="BU12" s="1">
        <f t="shared" si="1"/>
        <v>3.2812500000000001E-2</v>
      </c>
      <c r="BV12" s="1">
        <f t="shared" si="2"/>
        <v>13.6980344526233</v>
      </c>
      <c r="BX12" s="1">
        <v>10</v>
      </c>
      <c r="BY12" s="1">
        <v>17.198597592705099</v>
      </c>
      <c r="CA12" t="s">
        <v>4</v>
      </c>
      <c r="CB12">
        <v>0</v>
      </c>
      <c r="CC12" t="s">
        <v>5</v>
      </c>
      <c r="CD12">
        <v>10</v>
      </c>
      <c r="CE12" t="s">
        <v>6</v>
      </c>
      <c r="CF12" s="1">
        <v>1.6406250000000001E-2</v>
      </c>
      <c r="CG12" t="s">
        <v>7</v>
      </c>
      <c r="CH12" s="1">
        <v>0.5</v>
      </c>
      <c r="CI12" t="s">
        <v>8</v>
      </c>
      <c r="CJ12" s="1">
        <v>0</v>
      </c>
      <c r="CK12" s="1">
        <v>14.267016055129799</v>
      </c>
    </row>
    <row r="13" spans="1:89">
      <c r="A13" t="s">
        <v>4</v>
      </c>
      <c r="B13">
        <v>0</v>
      </c>
      <c r="C13" t="s">
        <v>5</v>
      </c>
      <c r="D13">
        <v>10</v>
      </c>
      <c r="E13" t="s">
        <v>6</v>
      </c>
      <c r="F13" s="1">
        <v>0.328125</v>
      </c>
      <c r="G13" t="s">
        <v>7</v>
      </c>
      <c r="H13" s="1">
        <v>0.5</v>
      </c>
      <c r="I13" t="s">
        <v>8</v>
      </c>
      <c r="J13" s="1">
        <v>0</v>
      </c>
      <c r="K13" s="1">
        <v>23.305487386433601</v>
      </c>
      <c r="L13" s="1">
        <f t="shared" si="3"/>
        <v>0.65625</v>
      </c>
      <c r="M13" s="1">
        <f t="shared" si="4"/>
        <v>11.6527436932168</v>
      </c>
      <c r="AB13" s="3" t="s">
        <v>33</v>
      </c>
      <c r="AI13" s="3" t="s">
        <v>33</v>
      </c>
      <c r="AQ13" t="s">
        <v>7</v>
      </c>
      <c r="AR13" s="1">
        <v>0.5</v>
      </c>
      <c r="AS13" t="s">
        <v>8</v>
      </c>
      <c r="AT13" s="1">
        <v>0</v>
      </c>
      <c r="AU13" s="1">
        <v>3.32358788557462E-2</v>
      </c>
      <c r="AW13" t="s">
        <v>4</v>
      </c>
      <c r="AX13">
        <v>0</v>
      </c>
      <c r="AY13" t="s">
        <v>5</v>
      </c>
      <c r="AZ13">
        <v>11</v>
      </c>
      <c r="BA13" t="s">
        <v>6</v>
      </c>
      <c r="BB13" s="1">
        <v>1.7968749999999999E-2</v>
      </c>
      <c r="BC13" t="s">
        <v>7</v>
      </c>
      <c r="BD13" s="1">
        <v>0.5</v>
      </c>
      <c r="BE13" t="s">
        <v>8</v>
      </c>
      <c r="BF13" s="1">
        <v>0</v>
      </c>
      <c r="BG13" s="1">
        <f t="shared" si="0"/>
        <v>3.5937499999999997E-2</v>
      </c>
      <c r="BH13" s="1">
        <v>13.6887251003304</v>
      </c>
      <c r="BJ13" t="s">
        <v>4</v>
      </c>
      <c r="BK13">
        <v>0</v>
      </c>
      <c r="BL13" t="s">
        <v>5</v>
      </c>
      <c r="BM13">
        <v>11</v>
      </c>
      <c r="BN13" t="s">
        <v>6</v>
      </c>
      <c r="BO13" s="1">
        <v>1.7968749999999999E-2</v>
      </c>
      <c r="BP13" t="s">
        <v>7</v>
      </c>
      <c r="BQ13" s="1">
        <v>0.5</v>
      </c>
      <c r="BR13" t="s">
        <v>8</v>
      </c>
      <c r="BS13" s="1">
        <v>0</v>
      </c>
      <c r="BT13" s="1">
        <v>13.6974689164333</v>
      </c>
      <c r="BU13" s="1">
        <f t="shared" si="1"/>
        <v>3.5937499999999997E-2</v>
      </c>
      <c r="BV13" s="1">
        <f t="shared" si="2"/>
        <v>13.6974689164333</v>
      </c>
      <c r="BX13" s="1">
        <v>11</v>
      </c>
      <c r="BY13" s="1">
        <v>17.209385522601799</v>
      </c>
      <c r="CA13" t="s">
        <v>4</v>
      </c>
      <c r="CB13">
        <v>0</v>
      </c>
      <c r="CC13" t="s">
        <v>5</v>
      </c>
      <c r="CD13">
        <v>11</v>
      </c>
      <c r="CE13" t="s">
        <v>6</v>
      </c>
      <c r="CF13" s="1">
        <v>1.7968749999999999E-2</v>
      </c>
      <c r="CG13" t="s">
        <v>7</v>
      </c>
      <c r="CH13" s="1">
        <v>0.5</v>
      </c>
      <c r="CI13" t="s">
        <v>8</v>
      </c>
      <c r="CJ13" s="1">
        <v>0</v>
      </c>
      <c r="CK13" s="1">
        <v>14.267104313888799</v>
      </c>
    </row>
    <row r="14" spans="1:89">
      <c r="A14" t="s">
        <v>4</v>
      </c>
      <c r="B14">
        <v>0</v>
      </c>
      <c r="C14" t="s">
        <v>5</v>
      </c>
      <c r="D14">
        <v>11</v>
      </c>
      <c r="E14" t="s">
        <v>6</v>
      </c>
      <c r="F14" s="1">
        <v>0.359375</v>
      </c>
      <c r="G14" t="s">
        <v>7</v>
      </c>
      <c r="H14" s="1">
        <v>0.5</v>
      </c>
      <c r="I14" t="s">
        <v>8</v>
      </c>
      <c r="J14" s="1">
        <v>0</v>
      </c>
      <c r="K14" s="1">
        <v>22.265785519163899</v>
      </c>
      <c r="L14" s="1">
        <f t="shared" si="3"/>
        <v>0.71875</v>
      </c>
      <c r="M14" s="1">
        <f t="shared" si="4"/>
        <v>11.132892759581949</v>
      </c>
      <c r="AB14" s="3"/>
      <c r="AC14">
        <v>1394</v>
      </c>
      <c r="AD14" s="1">
        <v>0</v>
      </c>
      <c r="AE14" s="1">
        <v>13.5907</v>
      </c>
      <c r="AF14" s="1">
        <f>AD14*2</f>
        <v>0</v>
      </c>
      <c r="AG14" s="1">
        <f>AE14</f>
        <v>13.5907</v>
      </c>
      <c r="AI14" s="3"/>
      <c r="AJ14">
        <v>6</v>
      </c>
      <c r="AK14" s="1">
        <v>0</v>
      </c>
      <c r="AL14" s="1">
        <v>13.433400000000001</v>
      </c>
      <c r="AM14" s="1">
        <f>AK14*2</f>
        <v>0</v>
      </c>
      <c r="AN14" s="1">
        <f>AL14</f>
        <v>13.433400000000001</v>
      </c>
      <c r="AQ14" t="s">
        <v>7</v>
      </c>
      <c r="AR14" s="1">
        <v>0.5</v>
      </c>
      <c r="AS14" t="s">
        <v>8</v>
      </c>
      <c r="AT14" s="1">
        <v>0</v>
      </c>
      <c r="AU14" s="1">
        <v>3.3236414330208297E-2</v>
      </c>
      <c r="AW14" t="s">
        <v>4</v>
      </c>
      <c r="AX14">
        <v>0</v>
      </c>
      <c r="AY14" t="s">
        <v>5</v>
      </c>
      <c r="AZ14">
        <v>12</v>
      </c>
      <c r="BA14" t="s">
        <v>6</v>
      </c>
      <c r="BB14" s="1">
        <v>1.953125E-2</v>
      </c>
      <c r="BC14" t="s">
        <v>7</v>
      </c>
      <c r="BD14" s="1">
        <v>0.5</v>
      </c>
      <c r="BE14" t="s">
        <v>8</v>
      </c>
      <c r="BF14" s="1">
        <v>0</v>
      </c>
      <c r="BG14" s="1">
        <f t="shared" si="0"/>
        <v>3.90625E-2</v>
      </c>
      <c r="BH14" s="1">
        <v>13.687406051516</v>
      </c>
      <c r="BJ14" t="s">
        <v>4</v>
      </c>
      <c r="BK14">
        <v>0</v>
      </c>
      <c r="BL14" t="s">
        <v>5</v>
      </c>
      <c r="BM14">
        <v>12</v>
      </c>
      <c r="BN14" t="s">
        <v>6</v>
      </c>
      <c r="BO14" s="1">
        <v>1.953125E-2</v>
      </c>
      <c r="BP14" t="s">
        <v>7</v>
      </c>
      <c r="BQ14" s="1">
        <v>0.5</v>
      </c>
      <c r="BR14" t="s">
        <v>8</v>
      </c>
      <c r="BS14" s="1">
        <v>0</v>
      </c>
      <c r="BT14" s="1">
        <v>13.696790548095301</v>
      </c>
      <c r="BU14" s="1">
        <f t="shared" si="1"/>
        <v>3.90625E-2</v>
      </c>
      <c r="BV14" s="1">
        <f t="shared" si="2"/>
        <v>13.696790548095301</v>
      </c>
      <c r="BX14" s="1">
        <v>12</v>
      </c>
      <c r="BY14" s="1">
        <v>17.220077062621701</v>
      </c>
      <c r="CA14" t="s">
        <v>4</v>
      </c>
      <c r="CB14">
        <v>0</v>
      </c>
      <c r="CC14" t="s">
        <v>5</v>
      </c>
      <c r="CD14">
        <v>12</v>
      </c>
      <c r="CE14" t="s">
        <v>6</v>
      </c>
      <c r="CF14" s="1">
        <v>1.953125E-2</v>
      </c>
      <c r="CG14" t="s">
        <v>7</v>
      </c>
      <c r="CH14" s="1">
        <v>0.5</v>
      </c>
      <c r="CI14" t="s">
        <v>8</v>
      </c>
      <c r="CJ14" s="1">
        <v>0</v>
      </c>
      <c r="CK14" s="1">
        <v>14.2671542123725</v>
      </c>
    </row>
    <row r="15" spans="1:89">
      <c r="A15" t="s">
        <v>4</v>
      </c>
      <c r="B15">
        <v>0</v>
      </c>
      <c r="C15" t="s">
        <v>5</v>
      </c>
      <c r="D15">
        <v>12</v>
      </c>
      <c r="E15" t="s">
        <v>6</v>
      </c>
      <c r="F15" s="1">
        <v>0.390625</v>
      </c>
      <c r="G15" t="s">
        <v>7</v>
      </c>
      <c r="H15" s="1">
        <v>0.5</v>
      </c>
      <c r="I15" t="s">
        <v>8</v>
      </c>
      <c r="J15" s="1">
        <v>0</v>
      </c>
      <c r="K15" s="1">
        <v>20.328137981168702</v>
      </c>
      <c r="L15" s="1">
        <f t="shared" si="3"/>
        <v>0.78125</v>
      </c>
      <c r="M15" s="1">
        <f t="shared" si="4"/>
        <v>10.164068990584351</v>
      </c>
      <c r="AB15" s="3"/>
      <c r="AC15">
        <v>53685</v>
      </c>
      <c r="AD15" s="1">
        <v>1.5625E-2</v>
      </c>
      <c r="AE15" s="1">
        <v>13.579800000000001</v>
      </c>
      <c r="AF15" s="1">
        <f t="shared" ref="AF15:AF46" si="5">AD15*2</f>
        <v>3.125E-2</v>
      </c>
      <c r="AG15" s="1">
        <f t="shared" ref="AG15:AG46" si="6">AE15</f>
        <v>13.579800000000001</v>
      </c>
      <c r="AI15" s="3"/>
      <c r="AJ15">
        <v>41448</v>
      </c>
      <c r="AK15" s="1">
        <v>1.0416699999999999E-2</v>
      </c>
      <c r="AL15" s="1">
        <v>13.428599999999999</v>
      </c>
      <c r="AM15" s="1">
        <f t="shared" ref="AM15:AM62" si="7">AK15*2</f>
        <v>2.0833399999999998E-2</v>
      </c>
      <c r="AN15" s="1">
        <f t="shared" ref="AN15:AN62" si="8">AL15</f>
        <v>13.428599999999999</v>
      </c>
      <c r="AQ15" t="s">
        <v>7</v>
      </c>
      <c r="AR15" s="1">
        <v>0.5</v>
      </c>
      <c r="AS15" t="s">
        <v>8</v>
      </c>
      <c r="AT15" s="1">
        <v>0</v>
      </c>
      <c r="AU15" s="1">
        <v>3.3236967614016601E-2</v>
      </c>
      <c r="AW15" t="s">
        <v>4</v>
      </c>
      <c r="AX15">
        <v>0</v>
      </c>
      <c r="AY15" t="s">
        <v>5</v>
      </c>
      <c r="AZ15">
        <v>13</v>
      </c>
      <c r="BA15" t="s">
        <v>6</v>
      </c>
      <c r="BB15" s="1">
        <v>2.1093750000000001E-2</v>
      </c>
      <c r="BC15" t="s">
        <v>7</v>
      </c>
      <c r="BD15" s="1">
        <v>0.5</v>
      </c>
      <c r="BE15" t="s">
        <v>8</v>
      </c>
      <c r="BF15" s="1">
        <v>0</v>
      </c>
      <c r="BG15" s="1">
        <f t="shared" si="0"/>
        <v>4.2187500000000003E-2</v>
      </c>
      <c r="BH15" s="1">
        <v>13.685987454556701</v>
      </c>
      <c r="BJ15" t="s">
        <v>4</v>
      </c>
      <c r="BK15">
        <v>0</v>
      </c>
      <c r="BL15" t="s">
        <v>5</v>
      </c>
      <c r="BM15">
        <v>13</v>
      </c>
      <c r="BN15" t="s">
        <v>6</v>
      </c>
      <c r="BO15" s="1">
        <v>2.1093750000000001E-2</v>
      </c>
      <c r="BP15" t="s">
        <v>7</v>
      </c>
      <c r="BQ15" s="1">
        <v>0.5</v>
      </c>
      <c r="BR15" t="s">
        <v>8</v>
      </c>
      <c r="BS15" s="1">
        <v>0</v>
      </c>
      <c r="BT15" s="1">
        <v>13.6959606346581</v>
      </c>
      <c r="BU15" s="1">
        <f t="shared" si="1"/>
        <v>4.2187500000000003E-2</v>
      </c>
      <c r="BV15" s="1">
        <f t="shared" si="2"/>
        <v>13.6959606346581</v>
      </c>
      <c r="BX15" s="1">
        <v>13</v>
      </c>
      <c r="BY15" s="1">
        <v>17.2306712240804</v>
      </c>
      <c r="CA15" t="s">
        <v>4</v>
      </c>
      <c r="CB15">
        <v>0</v>
      </c>
      <c r="CC15" t="s">
        <v>5</v>
      </c>
      <c r="CD15">
        <v>13</v>
      </c>
      <c r="CE15" t="s">
        <v>6</v>
      </c>
      <c r="CF15" s="1">
        <v>2.1093750000000001E-2</v>
      </c>
      <c r="CG15" t="s">
        <v>7</v>
      </c>
      <c r="CH15" s="1">
        <v>0.5</v>
      </c>
      <c r="CI15" t="s">
        <v>8</v>
      </c>
      <c r="CJ15" s="1">
        <v>0</v>
      </c>
      <c r="CK15" s="1">
        <v>14.267165736865</v>
      </c>
    </row>
    <row r="16" spans="1:89">
      <c r="A16" t="s">
        <v>4</v>
      </c>
      <c r="B16">
        <v>0</v>
      </c>
      <c r="C16" t="s">
        <v>5</v>
      </c>
      <c r="D16">
        <v>13</v>
      </c>
      <c r="E16" t="s">
        <v>6</v>
      </c>
      <c r="F16" s="1">
        <v>0.421875</v>
      </c>
      <c r="G16" t="s">
        <v>7</v>
      </c>
      <c r="H16" s="1">
        <v>0.5</v>
      </c>
      <c r="I16" t="s">
        <v>8</v>
      </c>
      <c r="J16" s="1">
        <v>0</v>
      </c>
      <c r="K16" s="1">
        <v>19.0660499295943</v>
      </c>
      <c r="L16" s="1">
        <f t="shared" si="3"/>
        <v>0.84375</v>
      </c>
      <c r="M16" s="1">
        <f t="shared" si="4"/>
        <v>9.5330249647971499</v>
      </c>
      <c r="AB16" s="3"/>
      <c r="AC16">
        <v>25202</v>
      </c>
      <c r="AD16" s="1">
        <v>3.125E-2</v>
      </c>
      <c r="AE16" s="1">
        <v>13.5688</v>
      </c>
      <c r="AF16" s="1">
        <f t="shared" si="5"/>
        <v>6.25E-2</v>
      </c>
      <c r="AG16" s="1">
        <f t="shared" si="6"/>
        <v>13.5688</v>
      </c>
      <c r="AI16" s="3"/>
      <c r="AJ16">
        <v>5714</v>
      </c>
      <c r="AK16" s="1">
        <v>2.0833299999999999E-2</v>
      </c>
      <c r="AL16" s="1">
        <v>13.4238</v>
      </c>
      <c r="AM16" s="1">
        <f t="shared" si="7"/>
        <v>4.1666599999999998E-2</v>
      </c>
      <c r="AN16" s="1">
        <f t="shared" si="8"/>
        <v>13.4238</v>
      </c>
      <c r="AQ16" t="s">
        <v>7</v>
      </c>
      <c r="AR16" s="1">
        <v>0.5</v>
      </c>
      <c r="AS16" t="s">
        <v>8</v>
      </c>
      <c r="AT16" s="1">
        <v>0</v>
      </c>
      <c r="AU16" s="1">
        <v>3.3237538691416102E-2</v>
      </c>
      <c r="AW16" t="s">
        <v>4</v>
      </c>
      <c r="AX16">
        <v>0</v>
      </c>
      <c r="AY16" t="s">
        <v>5</v>
      </c>
      <c r="AZ16">
        <v>14</v>
      </c>
      <c r="BA16" t="s">
        <v>6</v>
      </c>
      <c r="BB16" s="1">
        <v>2.2656249999999999E-2</v>
      </c>
      <c r="BC16" t="s">
        <v>7</v>
      </c>
      <c r="BD16" s="1">
        <v>0.5</v>
      </c>
      <c r="BE16" t="s">
        <v>8</v>
      </c>
      <c r="BF16" s="1">
        <v>0</v>
      </c>
      <c r="BG16" s="1">
        <f t="shared" si="0"/>
        <v>4.5312499999999999E-2</v>
      </c>
      <c r="BH16" s="1">
        <v>13.684470374058799</v>
      </c>
      <c r="BJ16" t="s">
        <v>4</v>
      </c>
      <c r="BK16">
        <v>0</v>
      </c>
      <c r="BL16" t="s">
        <v>5</v>
      </c>
      <c r="BM16">
        <v>14</v>
      </c>
      <c r="BN16" t="s">
        <v>6</v>
      </c>
      <c r="BO16" s="1">
        <v>2.2656249999999999E-2</v>
      </c>
      <c r="BP16" t="s">
        <v>7</v>
      </c>
      <c r="BQ16" s="1">
        <v>0.5</v>
      </c>
      <c r="BR16" t="s">
        <v>8</v>
      </c>
      <c r="BS16" s="1">
        <v>0</v>
      </c>
      <c r="BT16" s="1">
        <v>13.694940466706599</v>
      </c>
      <c r="BU16" s="1">
        <f t="shared" si="1"/>
        <v>4.5312499999999999E-2</v>
      </c>
      <c r="BV16" s="1">
        <f t="shared" si="2"/>
        <v>13.694940466706599</v>
      </c>
      <c r="BX16" s="1">
        <v>14</v>
      </c>
      <c r="BY16" s="1">
        <v>17.241167016281899</v>
      </c>
      <c r="CA16" t="s">
        <v>4</v>
      </c>
      <c r="CB16">
        <v>0</v>
      </c>
      <c r="CC16" t="s">
        <v>5</v>
      </c>
      <c r="CD16">
        <v>14</v>
      </c>
      <c r="CE16" t="s">
        <v>6</v>
      </c>
      <c r="CF16" s="1">
        <v>2.2656249999999999E-2</v>
      </c>
      <c r="CG16" t="s">
        <v>7</v>
      </c>
      <c r="CH16" s="1">
        <v>0.5</v>
      </c>
      <c r="CI16" t="s">
        <v>8</v>
      </c>
      <c r="CJ16" s="1">
        <v>0</v>
      </c>
      <c r="CK16" s="1">
        <v>14.2671388740699</v>
      </c>
    </row>
    <row r="17" spans="1:89">
      <c r="A17" t="s">
        <v>4</v>
      </c>
      <c r="B17">
        <v>0</v>
      </c>
      <c r="C17" t="s">
        <v>5</v>
      </c>
      <c r="D17">
        <v>14</v>
      </c>
      <c r="E17" t="s">
        <v>6</v>
      </c>
      <c r="F17" s="1">
        <v>0.453125</v>
      </c>
      <c r="G17" t="s">
        <v>7</v>
      </c>
      <c r="H17" s="1">
        <v>0.5</v>
      </c>
      <c r="I17" t="s">
        <v>8</v>
      </c>
      <c r="J17" s="1">
        <v>0</v>
      </c>
      <c r="K17" s="1">
        <v>17.5366665415551</v>
      </c>
      <c r="L17" s="1">
        <f t="shared" si="3"/>
        <v>0.90625</v>
      </c>
      <c r="M17" s="1">
        <f t="shared" si="4"/>
        <v>8.7683332707775499</v>
      </c>
      <c r="AB17" s="3"/>
      <c r="AC17">
        <v>123346</v>
      </c>
      <c r="AD17" s="1">
        <v>4.6875E-2</v>
      </c>
      <c r="AE17" s="1">
        <v>13.5359</v>
      </c>
      <c r="AF17" s="1">
        <f t="shared" si="5"/>
        <v>9.375E-2</v>
      </c>
      <c r="AG17" s="1">
        <f t="shared" si="6"/>
        <v>13.5359</v>
      </c>
      <c r="AI17" s="3"/>
      <c r="AJ17">
        <v>58322</v>
      </c>
      <c r="AK17" s="1">
        <v>3.125E-2</v>
      </c>
      <c r="AL17" s="1">
        <v>13.4094</v>
      </c>
      <c r="AM17" s="1">
        <f t="shared" si="7"/>
        <v>6.25E-2</v>
      </c>
      <c r="AN17" s="1">
        <f t="shared" si="8"/>
        <v>13.4094</v>
      </c>
      <c r="AQ17" t="s">
        <v>7</v>
      </c>
      <c r="AR17" s="1">
        <v>0.5</v>
      </c>
      <c r="AS17" t="s">
        <v>8</v>
      </c>
      <c r="AT17" s="1">
        <v>0</v>
      </c>
      <c r="AU17" s="1">
        <v>3.3238127548153203E-2</v>
      </c>
      <c r="AW17" t="s">
        <v>4</v>
      </c>
      <c r="AX17">
        <v>0</v>
      </c>
      <c r="AY17" t="s">
        <v>5</v>
      </c>
      <c r="AZ17">
        <v>15</v>
      </c>
      <c r="BA17" t="s">
        <v>6</v>
      </c>
      <c r="BB17" s="1">
        <v>2.4218750000000001E-2</v>
      </c>
      <c r="BC17" t="s">
        <v>7</v>
      </c>
      <c r="BD17" s="1">
        <v>0.5</v>
      </c>
      <c r="BE17" t="s">
        <v>8</v>
      </c>
      <c r="BF17" s="1">
        <v>0</v>
      </c>
      <c r="BG17" s="1">
        <f t="shared" si="0"/>
        <v>4.8437500000000001E-2</v>
      </c>
      <c r="BH17" s="1">
        <v>13.682855837749999</v>
      </c>
      <c r="BJ17" t="s">
        <v>4</v>
      </c>
      <c r="BK17">
        <v>0</v>
      </c>
      <c r="BL17" t="s">
        <v>5</v>
      </c>
      <c r="BM17">
        <v>15</v>
      </c>
      <c r="BN17" t="s">
        <v>6</v>
      </c>
      <c r="BO17" s="1">
        <v>2.4218750000000001E-2</v>
      </c>
      <c r="BP17" t="s">
        <v>7</v>
      </c>
      <c r="BQ17" s="1">
        <v>0.5</v>
      </c>
      <c r="BR17" t="s">
        <v>8</v>
      </c>
      <c r="BS17" s="1">
        <v>0</v>
      </c>
      <c r="BT17" s="1">
        <v>13.6936914024553</v>
      </c>
      <c r="BU17" s="1">
        <f t="shared" si="1"/>
        <v>4.8437500000000001E-2</v>
      </c>
      <c r="BV17" s="1">
        <f t="shared" si="2"/>
        <v>13.6936914024553</v>
      </c>
      <c r="BX17" s="1">
        <v>15</v>
      </c>
      <c r="BY17" s="1">
        <v>17.251563444300299</v>
      </c>
      <c r="CA17" t="s">
        <v>4</v>
      </c>
      <c r="CB17">
        <v>0</v>
      </c>
      <c r="CC17" t="s">
        <v>5</v>
      </c>
      <c r="CD17">
        <v>15</v>
      </c>
      <c r="CE17" t="s">
        <v>6</v>
      </c>
      <c r="CF17" s="1">
        <v>2.4218750000000001E-2</v>
      </c>
      <c r="CG17" t="s">
        <v>7</v>
      </c>
      <c r="CH17" s="1">
        <v>0.5</v>
      </c>
      <c r="CI17" t="s">
        <v>8</v>
      </c>
      <c r="CJ17" s="1">
        <v>0</v>
      </c>
      <c r="CK17" s="1">
        <v>14.2670735433597</v>
      </c>
    </row>
    <row r="18" spans="1:89">
      <c r="A18" t="s">
        <v>4</v>
      </c>
      <c r="B18">
        <v>0</v>
      </c>
      <c r="C18" t="s">
        <v>5</v>
      </c>
      <c r="D18">
        <v>15</v>
      </c>
      <c r="E18" t="s">
        <v>6</v>
      </c>
      <c r="F18" s="1">
        <v>0.484375</v>
      </c>
      <c r="G18" t="s">
        <v>7</v>
      </c>
      <c r="H18" s="1">
        <v>0.5</v>
      </c>
      <c r="I18" t="s">
        <v>8</v>
      </c>
      <c r="J18" s="1">
        <v>0</v>
      </c>
      <c r="K18" s="1">
        <v>12.0207936115662</v>
      </c>
      <c r="L18" s="1">
        <f t="shared" si="3"/>
        <v>0.96875</v>
      </c>
      <c r="M18" s="1">
        <f t="shared" si="4"/>
        <v>6.0103968057830999</v>
      </c>
      <c r="AB18" s="3"/>
      <c r="AC18">
        <v>25203</v>
      </c>
      <c r="AD18" s="1">
        <v>6.25E-2</v>
      </c>
      <c r="AE18" s="1">
        <v>13.5031</v>
      </c>
      <c r="AF18" s="1">
        <f t="shared" si="5"/>
        <v>0.125</v>
      </c>
      <c r="AG18" s="1">
        <f t="shared" si="6"/>
        <v>13.5031</v>
      </c>
      <c r="AI18" s="3"/>
      <c r="AJ18">
        <v>5715</v>
      </c>
      <c r="AK18" s="1">
        <v>4.1666700000000001E-2</v>
      </c>
      <c r="AL18" s="1">
        <v>13.3949</v>
      </c>
      <c r="AM18" s="1">
        <f t="shared" si="7"/>
        <v>8.3333400000000002E-2</v>
      </c>
      <c r="AN18" s="1">
        <f t="shared" si="8"/>
        <v>13.3949</v>
      </c>
      <c r="AQ18" t="s">
        <v>7</v>
      </c>
      <c r="AR18" s="1">
        <v>0.5</v>
      </c>
      <c r="AS18" t="s">
        <v>8</v>
      </c>
      <c r="AT18" s="1">
        <v>0</v>
      </c>
      <c r="AU18" s="1">
        <v>3.3238734171483597E-2</v>
      </c>
      <c r="AW18" t="s">
        <v>4</v>
      </c>
      <c r="AX18">
        <v>0</v>
      </c>
      <c r="AY18" t="s">
        <v>5</v>
      </c>
      <c r="AZ18">
        <v>16</v>
      </c>
      <c r="BA18" t="s">
        <v>6</v>
      </c>
      <c r="BB18" s="1">
        <v>2.5781249999999999E-2</v>
      </c>
      <c r="BC18" t="s">
        <v>7</v>
      </c>
      <c r="BD18" s="1">
        <v>0.5</v>
      </c>
      <c r="BE18" t="s">
        <v>8</v>
      </c>
      <c r="BF18" s="1">
        <v>0</v>
      </c>
      <c r="BG18" s="1">
        <f t="shared" si="0"/>
        <v>5.1562499999999997E-2</v>
      </c>
      <c r="BH18" s="1">
        <v>13.681144880003</v>
      </c>
      <c r="BJ18" t="s">
        <v>4</v>
      </c>
      <c r="BK18">
        <v>0</v>
      </c>
      <c r="BL18" t="s">
        <v>5</v>
      </c>
      <c r="BM18">
        <v>16</v>
      </c>
      <c r="BN18" t="s">
        <v>6</v>
      </c>
      <c r="BO18" s="1">
        <v>2.5781249999999999E-2</v>
      </c>
      <c r="BP18" t="s">
        <v>7</v>
      </c>
      <c r="BQ18" s="1">
        <v>0.5</v>
      </c>
      <c r="BR18" t="s">
        <v>8</v>
      </c>
      <c r="BS18" s="1">
        <v>0</v>
      </c>
      <c r="BT18" s="1">
        <v>13.692174826500599</v>
      </c>
      <c r="BU18" s="1">
        <f t="shared" si="1"/>
        <v>5.1562499999999997E-2</v>
      </c>
      <c r="BV18" s="1">
        <f t="shared" si="2"/>
        <v>13.692174826500599</v>
      </c>
      <c r="BX18" s="1">
        <v>16</v>
      </c>
      <c r="BY18" s="1">
        <v>17.261859492513199</v>
      </c>
      <c r="CA18" t="s">
        <v>4</v>
      </c>
      <c r="CB18">
        <v>0</v>
      </c>
      <c r="CC18" t="s">
        <v>5</v>
      </c>
      <c r="CD18">
        <v>16</v>
      </c>
      <c r="CE18" t="s">
        <v>6</v>
      </c>
      <c r="CF18" s="1">
        <v>2.5781249999999999E-2</v>
      </c>
      <c r="CG18" t="s">
        <v>7</v>
      </c>
      <c r="CH18" s="1">
        <v>0.5</v>
      </c>
      <c r="CI18" t="s">
        <v>8</v>
      </c>
      <c r="CJ18" s="1">
        <v>0</v>
      </c>
      <c r="CK18" s="1">
        <v>14.266969731785601</v>
      </c>
    </row>
    <row r="19" spans="1:89">
      <c r="A19" t="s">
        <v>17</v>
      </c>
      <c r="L19" s="1"/>
      <c r="M19" s="1"/>
      <c r="AB19" s="3"/>
      <c r="AC19">
        <v>123349</v>
      </c>
      <c r="AD19" s="1">
        <v>7.8125E-2</v>
      </c>
      <c r="AE19" s="1">
        <v>13.4482</v>
      </c>
      <c r="AF19" s="1">
        <f t="shared" si="5"/>
        <v>0.15625</v>
      </c>
      <c r="AG19" s="1">
        <f t="shared" si="6"/>
        <v>13.4482</v>
      </c>
      <c r="AI19" s="3"/>
      <c r="AJ19">
        <v>58326</v>
      </c>
      <c r="AK19" s="1">
        <v>5.2083299999999999E-2</v>
      </c>
      <c r="AL19" s="1">
        <v>13.370900000000001</v>
      </c>
      <c r="AM19" s="1">
        <f t="shared" si="7"/>
        <v>0.1041666</v>
      </c>
      <c r="AN19" s="1">
        <f t="shared" si="8"/>
        <v>13.370900000000001</v>
      </c>
      <c r="AQ19" t="s">
        <v>7</v>
      </c>
      <c r="AR19" s="1">
        <v>0.5</v>
      </c>
      <c r="AS19" t="s">
        <v>8</v>
      </c>
      <c r="AT19" s="1">
        <v>0</v>
      </c>
      <c r="AU19" s="1">
        <v>3.3239358550129203E-2</v>
      </c>
      <c r="AW19" t="s">
        <v>4</v>
      </c>
      <c r="AX19">
        <v>0</v>
      </c>
      <c r="AY19" t="s">
        <v>5</v>
      </c>
      <c r="AZ19">
        <v>17</v>
      </c>
      <c r="BA19" t="s">
        <v>6</v>
      </c>
      <c r="BB19" s="1">
        <v>2.734375E-2</v>
      </c>
      <c r="BC19" t="s">
        <v>7</v>
      </c>
      <c r="BD19" s="1">
        <v>0.5</v>
      </c>
      <c r="BE19" t="s">
        <v>8</v>
      </c>
      <c r="BF19" s="1">
        <v>0</v>
      </c>
      <c r="BG19" s="1">
        <f t="shared" si="0"/>
        <v>5.46875E-2</v>
      </c>
      <c r="BH19" s="1">
        <v>13.679338532660299</v>
      </c>
      <c r="BJ19" t="s">
        <v>4</v>
      </c>
      <c r="BK19">
        <v>0</v>
      </c>
      <c r="BL19" t="s">
        <v>5</v>
      </c>
      <c r="BM19">
        <v>17</v>
      </c>
      <c r="BN19" t="s">
        <v>6</v>
      </c>
      <c r="BO19" s="1">
        <v>2.734375E-2</v>
      </c>
      <c r="BP19" t="s">
        <v>7</v>
      </c>
      <c r="BQ19" s="1">
        <v>0.5</v>
      </c>
      <c r="BR19" t="s">
        <v>8</v>
      </c>
      <c r="BS19" s="1">
        <v>0</v>
      </c>
      <c r="BT19" s="1">
        <v>13.6903521318791</v>
      </c>
      <c r="BU19" s="1">
        <f t="shared" si="1"/>
        <v>5.46875E-2</v>
      </c>
      <c r="BV19" s="1">
        <f t="shared" si="2"/>
        <v>13.6903521318791</v>
      </c>
      <c r="BX19" s="1">
        <v>17</v>
      </c>
      <c r="BY19" s="1">
        <v>17.272054130955699</v>
      </c>
      <c r="CA19" t="s">
        <v>4</v>
      </c>
      <c r="CB19">
        <v>0</v>
      </c>
      <c r="CC19" t="s">
        <v>5</v>
      </c>
      <c r="CD19">
        <v>17</v>
      </c>
      <c r="CE19" t="s">
        <v>6</v>
      </c>
      <c r="CF19" s="1">
        <v>2.734375E-2</v>
      </c>
      <c r="CG19" t="s">
        <v>7</v>
      </c>
      <c r="CH19" s="1">
        <v>0.5</v>
      </c>
      <c r="CI19" t="s">
        <v>8</v>
      </c>
      <c r="CJ19" s="1">
        <v>0</v>
      </c>
      <c r="CK19" s="1">
        <v>14.266827319981999</v>
      </c>
    </row>
    <row r="20" spans="1:89">
      <c r="A20" t="s">
        <v>4</v>
      </c>
      <c r="B20">
        <v>0</v>
      </c>
      <c r="C20" t="s">
        <v>5</v>
      </c>
      <c r="D20">
        <v>0</v>
      </c>
      <c r="E20" t="s">
        <v>6</v>
      </c>
      <c r="F20" s="1">
        <v>1.5625E-2</v>
      </c>
      <c r="G20" t="s">
        <v>7</v>
      </c>
      <c r="H20" s="1">
        <v>0.5</v>
      </c>
      <c r="I20" t="s">
        <v>8</v>
      </c>
      <c r="J20" s="1">
        <v>0</v>
      </c>
      <c r="K20" s="1">
        <v>28.603486166113299</v>
      </c>
      <c r="L20" s="1">
        <f t="shared" si="3"/>
        <v>3.125E-2</v>
      </c>
      <c r="M20" s="1">
        <f>K20/2</f>
        <v>14.30174308305665</v>
      </c>
      <c r="AB20" s="3"/>
      <c r="AC20">
        <v>25204</v>
      </c>
      <c r="AD20" s="1">
        <v>9.375E-2</v>
      </c>
      <c r="AE20" s="1">
        <v>13.3934</v>
      </c>
      <c r="AF20" s="1">
        <f t="shared" si="5"/>
        <v>0.1875</v>
      </c>
      <c r="AG20" s="1">
        <f>AE20</f>
        <v>13.3934</v>
      </c>
      <c r="AI20" s="3"/>
      <c r="AJ20">
        <v>5716</v>
      </c>
      <c r="AK20" s="1">
        <v>6.25E-2</v>
      </c>
      <c r="AL20" s="1">
        <v>13.3468</v>
      </c>
      <c r="AM20" s="1">
        <f t="shared" si="7"/>
        <v>0.125</v>
      </c>
      <c r="AN20" s="1">
        <f t="shared" si="8"/>
        <v>13.3468</v>
      </c>
      <c r="AQ20" t="s">
        <v>7</v>
      </c>
      <c r="AR20" s="1">
        <v>0.5</v>
      </c>
      <c r="AS20" t="s">
        <v>8</v>
      </c>
      <c r="AT20" s="1">
        <v>0</v>
      </c>
      <c r="AU20" s="1">
        <v>3.3240000674339597E-2</v>
      </c>
      <c r="AW20" t="s">
        <v>4</v>
      </c>
      <c r="AX20">
        <v>0</v>
      </c>
      <c r="AY20" t="s">
        <v>5</v>
      </c>
      <c r="AZ20">
        <v>18</v>
      </c>
      <c r="BA20" t="s">
        <v>6</v>
      </c>
      <c r="BB20" s="1">
        <v>2.8906250000000001E-2</v>
      </c>
      <c r="BC20" t="s">
        <v>7</v>
      </c>
      <c r="BD20" s="1">
        <v>0.5</v>
      </c>
      <c r="BE20" t="s">
        <v>8</v>
      </c>
      <c r="BF20" s="1">
        <v>0</v>
      </c>
      <c r="BG20" s="1">
        <f t="shared" si="0"/>
        <v>5.7812500000000003E-2</v>
      </c>
      <c r="BH20" s="1">
        <v>13.677437861820501</v>
      </c>
      <c r="BJ20" t="s">
        <v>4</v>
      </c>
      <c r="BK20">
        <v>0</v>
      </c>
      <c r="BL20" t="s">
        <v>5</v>
      </c>
      <c r="BM20">
        <v>18</v>
      </c>
      <c r="BN20" t="s">
        <v>6</v>
      </c>
      <c r="BO20" s="1">
        <v>2.8906250000000001E-2</v>
      </c>
      <c r="BP20" t="s">
        <v>7</v>
      </c>
      <c r="BQ20" s="1">
        <v>0.5</v>
      </c>
      <c r="BR20" t="s">
        <v>8</v>
      </c>
      <c r="BS20" s="1">
        <v>0</v>
      </c>
      <c r="BT20" s="1">
        <v>13.6881848819207</v>
      </c>
      <c r="BU20" s="1">
        <f t="shared" si="1"/>
        <v>5.7812500000000003E-2</v>
      </c>
      <c r="BV20" s="1">
        <f t="shared" si="2"/>
        <v>13.6881848819207</v>
      </c>
      <c r="BX20" s="1">
        <v>18</v>
      </c>
      <c r="BY20" s="1">
        <v>17.282146627006501</v>
      </c>
      <c r="CA20" t="s">
        <v>4</v>
      </c>
      <c r="CB20">
        <v>0</v>
      </c>
      <c r="CC20" t="s">
        <v>5</v>
      </c>
      <c r="CD20">
        <v>18</v>
      </c>
      <c r="CE20" t="s">
        <v>6</v>
      </c>
      <c r="CF20" s="1">
        <v>2.8906250000000001E-2</v>
      </c>
      <c r="CG20" t="s">
        <v>7</v>
      </c>
      <c r="CH20" s="1">
        <v>0.5</v>
      </c>
      <c r="CI20" t="s">
        <v>8</v>
      </c>
      <c r="CJ20" s="1">
        <v>0</v>
      </c>
      <c r="CK20" s="1">
        <v>14.2666463506502</v>
      </c>
    </row>
    <row r="21" spans="1:89">
      <c r="A21" t="s">
        <v>4</v>
      </c>
      <c r="B21">
        <v>0</v>
      </c>
      <c r="C21" t="s">
        <v>5</v>
      </c>
      <c r="D21">
        <v>1</v>
      </c>
      <c r="E21" t="s">
        <v>6</v>
      </c>
      <c r="F21" s="1">
        <v>4.6875E-2</v>
      </c>
      <c r="G21" t="s">
        <v>7</v>
      </c>
      <c r="H21" s="1">
        <v>0.5</v>
      </c>
      <c r="I21" t="s">
        <v>8</v>
      </c>
      <c r="J21" s="1">
        <v>0</v>
      </c>
      <c r="K21" s="1">
        <v>28.521617598000802</v>
      </c>
      <c r="L21" s="1">
        <f t="shared" si="3"/>
        <v>9.375E-2</v>
      </c>
      <c r="M21" s="1">
        <f t="shared" ref="M21:M35" si="9">K21/2</f>
        <v>14.260808799000401</v>
      </c>
      <c r="AB21" s="3"/>
      <c r="AC21">
        <v>123352</v>
      </c>
      <c r="AD21" s="1">
        <v>0.109375</v>
      </c>
      <c r="AE21" s="1">
        <v>13.316599999999999</v>
      </c>
      <c r="AF21" s="1">
        <f t="shared" si="5"/>
        <v>0.21875</v>
      </c>
      <c r="AG21" s="1">
        <f t="shared" si="6"/>
        <v>13.316599999999999</v>
      </c>
      <c r="AI21" s="3"/>
      <c r="AJ21">
        <v>58330</v>
      </c>
      <c r="AK21" s="1">
        <v>7.2916700000000001E-2</v>
      </c>
      <c r="AL21" s="1">
        <v>13.3131</v>
      </c>
      <c r="AM21" s="1">
        <f t="shared" si="7"/>
        <v>0.1458334</v>
      </c>
      <c r="AN21" s="1">
        <f t="shared" si="8"/>
        <v>13.3131</v>
      </c>
      <c r="AQ21" t="s">
        <v>7</v>
      </c>
      <c r="AR21" s="1">
        <v>0.5</v>
      </c>
      <c r="AS21" t="s">
        <v>8</v>
      </c>
      <c r="AT21" s="1">
        <v>0</v>
      </c>
      <c r="AU21" s="1">
        <v>3.32406605358345E-2</v>
      </c>
      <c r="AW21" t="s">
        <v>4</v>
      </c>
      <c r="AX21">
        <v>0</v>
      </c>
      <c r="AY21" t="s">
        <v>5</v>
      </c>
      <c r="AZ21">
        <v>19</v>
      </c>
      <c r="BA21" t="s">
        <v>6</v>
      </c>
      <c r="BB21" s="1">
        <v>3.0468749999999999E-2</v>
      </c>
      <c r="BC21" t="s">
        <v>7</v>
      </c>
      <c r="BD21" s="1">
        <v>0.5</v>
      </c>
      <c r="BE21" t="s">
        <v>8</v>
      </c>
      <c r="BF21" s="1">
        <v>0</v>
      </c>
      <c r="BG21" s="1">
        <f t="shared" si="0"/>
        <v>6.0937499999999999E-2</v>
      </c>
      <c r="BH21" s="1">
        <v>13.6754439127656</v>
      </c>
      <c r="BJ21" t="s">
        <v>4</v>
      </c>
      <c r="BK21">
        <v>0</v>
      </c>
      <c r="BL21" t="s">
        <v>5</v>
      </c>
      <c r="BM21">
        <v>19</v>
      </c>
      <c r="BN21" t="s">
        <v>6</v>
      </c>
      <c r="BO21" s="1">
        <v>3.0468749999999999E-2</v>
      </c>
      <c r="BP21" t="s">
        <v>7</v>
      </c>
      <c r="BQ21" s="1">
        <v>0.5</v>
      </c>
      <c r="BR21" t="s">
        <v>8</v>
      </c>
      <c r="BS21" s="1">
        <v>0</v>
      </c>
      <c r="BT21" s="1">
        <v>13.685631907752301</v>
      </c>
      <c r="BU21" s="1">
        <f t="shared" si="1"/>
        <v>6.0937499999999999E-2</v>
      </c>
      <c r="BV21" s="1">
        <f t="shared" si="2"/>
        <v>13.685631907752301</v>
      </c>
      <c r="BX21" s="1">
        <v>19</v>
      </c>
      <c r="BY21" s="1">
        <v>17.2921360000365</v>
      </c>
      <c r="CA21" t="s">
        <v>4</v>
      </c>
      <c r="CB21">
        <v>0</v>
      </c>
      <c r="CC21" t="s">
        <v>5</v>
      </c>
      <c r="CD21">
        <v>19</v>
      </c>
      <c r="CE21" t="s">
        <v>6</v>
      </c>
      <c r="CF21" s="1">
        <v>3.0468749999999999E-2</v>
      </c>
      <c r="CG21" t="s">
        <v>7</v>
      </c>
      <c r="CH21" s="1">
        <v>0.5</v>
      </c>
      <c r="CI21" t="s">
        <v>8</v>
      </c>
      <c r="CJ21" s="1">
        <v>0</v>
      </c>
      <c r="CK21" s="1">
        <v>14.2664268031065</v>
      </c>
    </row>
    <row r="22" spans="1:89">
      <c r="A22" t="s">
        <v>4</v>
      </c>
      <c r="B22">
        <v>0</v>
      </c>
      <c r="C22" t="s">
        <v>5</v>
      </c>
      <c r="D22">
        <v>2</v>
      </c>
      <c r="E22" t="s">
        <v>6</v>
      </c>
      <c r="F22" s="1">
        <v>7.8125E-2</v>
      </c>
      <c r="G22" t="s">
        <v>7</v>
      </c>
      <c r="H22" s="1">
        <v>0.5</v>
      </c>
      <c r="I22" t="s">
        <v>8</v>
      </c>
      <c r="J22" s="1">
        <v>0</v>
      </c>
      <c r="K22" s="1">
        <v>28.3098657283096</v>
      </c>
      <c r="L22" s="1">
        <f t="shared" si="3"/>
        <v>0.15625</v>
      </c>
      <c r="M22" s="1">
        <f t="shared" si="9"/>
        <v>14.1549328641548</v>
      </c>
      <c r="AB22" s="3"/>
      <c r="AC22">
        <v>25205</v>
      </c>
      <c r="AD22" s="1">
        <v>0.125</v>
      </c>
      <c r="AE22" s="1">
        <v>13.239699999999999</v>
      </c>
      <c r="AF22" s="1">
        <f t="shared" si="5"/>
        <v>0.25</v>
      </c>
      <c r="AG22" s="1">
        <f t="shared" si="6"/>
        <v>13.239699999999999</v>
      </c>
      <c r="AI22" s="3"/>
      <c r="AJ22">
        <v>5717</v>
      </c>
      <c r="AK22" s="1">
        <v>8.3333299999999999E-2</v>
      </c>
      <c r="AL22" s="1">
        <v>13.279500000000001</v>
      </c>
      <c r="AM22" s="1">
        <f t="shared" si="7"/>
        <v>0.1666666</v>
      </c>
      <c r="AN22" s="1">
        <f t="shared" si="8"/>
        <v>13.279500000000001</v>
      </c>
      <c r="AQ22" t="s">
        <v>7</v>
      </c>
      <c r="AR22" s="1">
        <v>0.5</v>
      </c>
      <c r="AS22" t="s">
        <v>8</v>
      </c>
      <c r="AT22" s="1">
        <v>0</v>
      </c>
      <c r="AU22" s="1">
        <v>3.3241631061017102E-2</v>
      </c>
      <c r="AW22" t="s">
        <v>4</v>
      </c>
      <c r="AX22">
        <v>0</v>
      </c>
      <c r="AY22" t="s">
        <v>5</v>
      </c>
      <c r="AZ22">
        <v>20</v>
      </c>
      <c r="BA22" t="s">
        <v>6</v>
      </c>
      <c r="BB22" s="1">
        <v>3.2031249999999997E-2</v>
      </c>
      <c r="BC22" t="s">
        <v>7</v>
      </c>
      <c r="BD22" s="1">
        <v>0.5</v>
      </c>
      <c r="BE22" t="s">
        <v>8</v>
      </c>
      <c r="BF22" s="1">
        <v>0</v>
      </c>
      <c r="BG22" s="1">
        <f t="shared" si="0"/>
        <v>6.4062499999999994E-2</v>
      </c>
      <c r="BH22" s="1">
        <v>13.6732309379474</v>
      </c>
      <c r="BJ22" t="s">
        <v>4</v>
      </c>
      <c r="BK22">
        <v>0</v>
      </c>
      <c r="BL22" t="s">
        <v>5</v>
      </c>
      <c r="BM22">
        <v>20</v>
      </c>
      <c r="BN22" t="s">
        <v>6</v>
      </c>
      <c r="BO22" s="1">
        <v>3.2031249999999997E-2</v>
      </c>
      <c r="BP22" t="s">
        <v>7</v>
      </c>
      <c r="BQ22" s="1">
        <v>0.5</v>
      </c>
      <c r="BR22" t="s">
        <v>8</v>
      </c>
      <c r="BS22" s="1">
        <v>0</v>
      </c>
      <c r="BT22" s="1">
        <v>13.6826658535766</v>
      </c>
      <c r="BU22" s="1">
        <f t="shared" si="1"/>
        <v>6.4062499999999994E-2</v>
      </c>
      <c r="BV22" s="1">
        <f t="shared" si="2"/>
        <v>13.6826658535766</v>
      </c>
      <c r="BX22" s="1">
        <v>20</v>
      </c>
      <c r="BY22" s="1">
        <v>17.239507788918001</v>
      </c>
      <c r="CA22" t="s">
        <v>4</v>
      </c>
      <c r="CB22">
        <v>0</v>
      </c>
      <c r="CC22" t="s">
        <v>5</v>
      </c>
      <c r="CD22">
        <v>20</v>
      </c>
      <c r="CE22" t="s">
        <v>6</v>
      </c>
      <c r="CF22" s="1">
        <v>3.2031249999999997E-2</v>
      </c>
      <c r="CG22" t="s">
        <v>7</v>
      </c>
      <c r="CH22" s="1">
        <v>0.5</v>
      </c>
      <c r="CI22" t="s">
        <v>8</v>
      </c>
      <c r="CJ22" s="1">
        <v>0</v>
      </c>
      <c r="CK22" s="1">
        <v>14.2419418175313</v>
      </c>
    </row>
    <row r="23" spans="1:89">
      <c r="A23" t="s">
        <v>4</v>
      </c>
      <c r="B23">
        <v>0</v>
      </c>
      <c r="C23" t="s">
        <v>5</v>
      </c>
      <c r="D23">
        <v>3</v>
      </c>
      <c r="E23" t="s">
        <v>6</v>
      </c>
      <c r="F23" s="1">
        <v>0.109375</v>
      </c>
      <c r="G23" t="s">
        <v>7</v>
      </c>
      <c r="H23" s="1">
        <v>0.5</v>
      </c>
      <c r="I23" t="s">
        <v>8</v>
      </c>
      <c r="J23" s="1">
        <v>0</v>
      </c>
      <c r="K23" s="1">
        <v>28.443956782164399</v>
      </c>
      <c r="L23" s="1">
        <f t="shared" si="3"/>
        <v>0.21875</v>
      </c>
      <c r="M23" s="1">
        <f t="shared" si="9"/>
        <v>14.2219783910822</v>
      </c>
      <c r="AB23" s="3"/>
      <c r="AC23">
        <v>123355</v>
      </c>
      <c r="AD23" s="1">
        <v>0.140625</v>
      </c>
      <c r="AE23" s="1">
        <v>13.140700000000001</v>
      </c>
      <c r="AF23" s="1">
        <f t="shared" si="5"/>
        <v>0.28125</v>
      </c>
      <c r="AG23" s="1">
        <f t="shared" si="6"/>
        <v>13.140700000000001</v>
      </c>
      <c r="AI23" s="3"/>
      <c r="AJ23">
        <v>58334</v>
      </c>
      <c r="AK23" s="1">
        <v>9.375E-2</v>
      </c>
      <c r="AL23" s="1">
        <v>13.2361</v>
      </c>
      <c r="AM23" s="1">
        <f t="shared" si="7"/>
        <v>0.1875</v>
      </c>
      <c r="AN23" s="1">
        <f t="shared" si="8"/>
        <v>13.2361</v>
      </c>
      <c r="AQ23" t="s">
        <v>7</v>
      </c>
      <c r="AR23" s="1">
        <v>0.5</v>
      </c>
      <c r="AS23" t="s">
        <v>8</v>
      </c>
      <c r="AT23" s="1">
        <v>0</v>
      </c>
      <c r="AU23" s="1">
        <v>3.3242912371852597E-2</v>
      </c>
      <c r="AW23" t="s">
        <v>4</v>
      </c>
      <c r="AX23">
        <v>0</v>
      </c>
      <c r="AY23" t="s">
        <v>5</v>
      </c>
      <c r="AZ23">
        <v>21</v>
      </c>
      <c r="BA23" t="s">
        <v>6</v>
      </c>
      <c r="BB23" s="1">
        <v>3.3593749999999999E-2</v>
      </c>
      <c r="BC23" t="s">
        <v>7</v>
      </c>
      <c r="BD23" s="1">
        <v>0.5</v>
      </c>
      <c r="BE23" t="s">
        <v>8</v>
      </c>
      <c r="BF23" s="1">
        <v>0</v>
      </c>
      <c r="BG23" s="1">
        <f t="shared" si="0"/>
        <v>6.7187499999999997E-2</v>
      </c>
      <c r="BH23" s="1">
        <v>13.6707863832988</v>
      </c>
      <c r="BJ23" t="s">
        <v>4</v>
      </c>
      <c r="BK23">
        <v>0</v>
      </c>
      <c r="BL23" t="s">
        <v>5</v>
      </c>
      <c r="BM23">
        <v>21</v>
      </c>
      <c r="BN23" t="s">
        <v>6</v>
      </c>
      <c r="BO23" s="1">
        <v>3.3593749999999999E-2</v>
      </c>
      <c r="BP23" t="s">
        <v>7</v>
      </c>
      <c r="BQ23" s="1">
        <v>0.5</v>
      </c>
      <c r="BR23" t="s">
        <v>8</v>
      </c>
      <c r="BS23" s="1">
        <v>0</v>
      </c>
      <c r="BT23" s="1">
        <v>13.6794513313846</v>
      </c>
      <c r="BU23" s="1">
        <f t="shared" si="1"/>
        <v>6.7187499999999997E-2</v>
      </c>
      <c r="BV23" s="1">
        <f t="shared" si="2"/>
        <v>13.6794513313846</v>
      </c>
      <c r="BX23" s="1">
        <v>21</v>
      </c>
      <c r="BY23" s="1">
        <v>17.249254039078</v>
      </c>
      <c r="CA23" t="s">
        <v>4</v>
      </c>
      <c r="CB23">
        <v>0</v>
      </c>
      <c r="CC23" t="s">
        <v>5</v>
      </c>
      <c r="CD23">
        <v>21</v>
      </c>
      <c r="CE23" t="s">
        <v>6</v>
      </c>
      <c r="CF23" s="1">
        <v>3.3593749999999999E-2</v>
      </c>
      <c r="CG23" t="s">
        <v>7</v>
      </c>
      <c r="CH23" s="1">
        <v>0.5</v>
      </c>
      <c r="CI23" t="s">
        <v>8</v>
      </c>
      <c r="CJ23" s="1">
        <v>0</v>
      </c>
      <c r="CK23" s="1">
        <v>14.2414270238099</v>
      </c>
    </row>
    <row r="24" spans="1:89">
      <c r="A24" t="s">
        <v>4</v>
      </c>
      <c r="B24">
        <v>0</v>
      </c>
      <c r="C24" t="s">
        <v>5</v>
      </c>
      <c r="D24">
        <v>4</v>
      </c>
      <c r="E24" t="s">
        <v>6</v>
      </c>
      <c r="F24" s="1">
        <v>0.140625</v>
      </c>
      <c r="G24" t="s">
        <v>7</v>
      </c>
      <c r="H24" s="1">
        <v>0.5</v>
      </c>
      <c r="I24" t="s">
        <v>8</v>
      </c>
      <c r="J24" s="1">
        <v>0</v>
      </c>
      <c r="K24" s="1">
        <v>27.655869884670601</v>
      </c>
      <c r="L24" s="1">
        <f t="shared" si="3"/>
        <v>0.28125</v>
      </c>
      <c r="M24" s="1">
        <f t="shared" si="9"/>
        <v>13.8279349423353</v>
      </c>
      <c r="AB24" s="3"/>
      <c r="AC24">
        <v>25206</v>
      </c>
      <c r="AD24" s="1">
        <v>0.15625</v>
      </c>
      <c r="AE24" s="1">
        <v>13.041700000000001</v>
      </c>
      <c r="AF24" s="1">
        <f t="shared" si="5"/>
        <v>0.3125</v>
      </c>
      <c r="AG24" s="1">
        <f t="shared" si="6"/>
        <v>13.041700000000001</v>
      </c>
      <c r="AI24" s="3"/>
      <c r="AJ24">
        <v>5718</v>
      </c>
      <c r="AK24" s="1">
        <v>0.104167</v>
      </c>
      <c r="AL24" s="1">
        <v>13.1928</v>
      </c>
      <c r="AM24" s="1">
        <f t="shared" si="7"/>
        <v>0.20833399999999999</v>
      </c>
      <c r="AN24" s="1">
        <f t="shared" si="8"/>
        <v>13.1928</v>
      </c>
      <c r="AQ24" t="s">
        <v>7</v>
      </c>
      <c r="AR24" s="1">
        <v>0.5</v>
      </c>
      <c r="AS24" t="s">
        <v>8</v>
      </c>
      <c r="AT24" s="1">
        <v>0</v>
      </c>
      <c r="AU24" s="1">
        <v>3.3244211539604399E-2</v>
      </c>
      <c r="AW24" t="s">
        <v>4</v>
      </c>
      <c r="AX24">
        <v>0</v>
      </c>
      <c r="AY24" t="s">
        <v>5</v>
      </c>
      <c r="AZ24">
        <v>22</v>
      </c>
      <c r="BA24" t="s">
        <v>6</v>
      </c>
      <c r="BB24" s="1">
        <v>3.515625E-2</v>
      </c>
      <c r="BC24" t="s">
        <v>7</v>
      </c>
      <c r="BD24" s="1">
        <v>0.5</v>
      </c>
      <c r="BE24" t="s">
        <v>8</v>
      </c>
      <c r="BF24" s="1">
        <v>0</v>
      </c>
      <c r="BG24" s="1">
        <f t="shared" si="0"/>
        <v>7.03125E-2</v>
      </c>
      <c r="BH24" s="1">
        <v>13.668234175909999</v>
      </c>
      <c r="BJ24" t="s">
        <v>4</v>
      </c>
      <c r="BK24">
        <v>0</v>
      </c>
      <c r="BL24" t="s">
        <v>5</v>
      </c>
      <c r="BM24">
        <v>22</v>
      </c>
      <c r="BN24" t="s">
        <v>6</v>
      </c>
      <c r="BO24" s="1">
        <v>3.515625E-2</v>
      </c>
      <c r="BP24" t="s">
        <v>7</v>
      </c>
      <c r="BQ24" s="1">
        <v>0.5</v>
      </c>
      <c r="BR24" t="s">
        <v>8</v>
      </c>
      <c r="BS24" s="1">
        <v>0</v>
      </c>
      <c r="BT24" s="1">
        <v>13.676092655443</v>
      </c>
      <c r="BU24" s="1">
        <f t="shared" si="1"/>
        <v>7.03125E-2</v>
      </c>
      <c r="BV24" s="1">
        <f t="shared" si="2"/>
        <v>13.676092655443</v>
      </c>
      <c r="BX24" s="1">
        <v>22</v>
      </c>
      <c r="BY24" s="1">
        <v>17.258980744592801</v>
      </c>
      <c r="CA24" t="s">
        <v>4</v>
      </c>
      <c r="CB24">
        <v>0</v>
      </c>
      <c r="CC24" t="s">
        <v>5</v>
      </c>
      <c r="CD24">
        <v>22</v>
      </c>
      <c r="CE24" t="s">
        <v>6</v>
      </c>
      <c r="CF24" s="1">
        <v>3.515625E-2</v>
      </c>
      <c r="CG24" t="s">
        <v>7</v>
      </c>
      <c r="CH24" s="1">
        <v>0.5</v>
      </c>
      <c r="CI24" t="s">
        <v>8</v>
      </c>
      <c r="CJ24" s="1">
        <v>0</v>
      </c>
      <c r="CK24" s="1">
        <v>14.2409061074052</v>
      </c>
    </row>
    <row r="25" spans="1:89">
      <c r="A25" t="s">
        <v>4</v>
      </c>
      <c r="B25">
        <v>0</v>
      </c>
      <c r="C25" t="s">
        <v>5</v>
      </c>
      <c r="D25">
        <v>5</v>
      </c>
      <c r="E25" t="s">
        <v>6</v>
      </c>
      <c r="F25" s="1">
        <v>0.171875</v>
      </c>
      <c r="G25" t="s">
        <v>7</v>
      </c>
      <c r="H25" s="1">
        <v>0.5</v>
      </c>
      <c r="I25" t="s">
        <v>8</v>
      </c>
      <c r="J25" s="1">
        <v>0</v>
      </c>
      <c r="K25" s="1">
        <v>27.1413942923921</v>
      </c>
      <c r="L25" s="1">
        <f t="shared" si="3"/>
        <v>0.34375</v>
      </c>
      <c r="M25" s="1">
        <f t="shared" si="9"/>
        <v>13.57069714619605</v>
      </c>
      <c r="AB25" s="3"/>
      <c r="AC25">
        <v>123358</v>
      </c>
      <c r="AD25" s="1">
        <v>0.171875</v>
      </c>
      <c r="AE25" s="1">
        <v>12.920199999999999</v>
      </c>
      <c r="AF25" s="1">
        <f t="shared" si="5"/>
        <v>0.34375</v>
      </c>
      <c r="AG25" s="1">
        <f t="shared" si="6"/>
        <v>12.920199999999999</v>
      </c>
      <c r="AI25" s="3"/>
      <c r="AJ25">
        <v>58338</v>
      </c>
      <c r="AK25" s="1">
        <v>0.114583</v>
      </c>
      <c r="AL25" s="1">
        <v>13.139799999999999</v>
      </c>
      <c r="AM25" s="1">
        <f t="shared" si="7"/>
        <v>0.22916600000000001</v>
      </c>
      <c r="AN25" s="1">
        <f t="shared" si="8"/>
        <v>13.139799999999999</v>
      </c>
      <c r="AQ25" t="s">
        <v>7</v>
      </c>
      <c r="AR25" s="1">
        <v>0.5</v>
      </c>
      <c r="AS25" t="s">
        <v>8</v>
      </c>
      <c r="AT25" s="1">
        <v>0</v>
      </c>
      <c r="AU25" s="1">
        <v>3.3245528506465297E-2</v>
      </c>
      <c r="AW25" t="s">
        <v>4</v>
      </c>
      <c r="AX25">
        <v>0</v>
      </c>
      <c r="AY25" t="s">
        <v>5</v>
      </c>
      <c r="AZ25">
        <v>23</v>
      </c>
      <c r="BA25" t="s">
        <v>6</v>
      </c>
      <c r="BB25" s="1">
        <v>3.6718750000000001E-2</v>
      </c>
      <c r="BC25" t="s">
        <v>7</v>
      </c>
      <c r="BD25" s="1">
        <v>0.5</v>
      </c>
      <c r="BE25" t="s">
        <v>8</v>
      </c>
      <c r="BF25" s="1">
        <v>0</v>
      </c>
      <c r="BG25" s="1">
        <f t="shared" si="0"/>
        <v>7.3437500000000003E-2</v>
      </c>
      <c r="BH25" s="1">
        <v>13.665577037797</v>
      </c>
      <c r="BJ25" t="s">
        <v>4</v>
      </c>
      <c r="BK25">
        <v>0</v>
      </c>
      <c r="BL25" t="s">
        <v>5</v>
      </c>
      <c r="BM25">
        <v>23</v>
      </c>
      <c r="BN25" t="s">
        <v>6</v>
      </c>
      <c r="BO25" s="1">
        <v>3.6718750000000001E-2</v>
      </c>
      <c r="BP25" t="s">
        <v>7</v>
      </c>
      <c r="BQ25" s="1">
        <v>0.5</v>
      </c>
      <c r="BR25" t="s">
        <v>8</v>
      </c>
      <c r="BS25" s="1">
        <v>0</v>
      </c>
      <c r="BT25" s="1">
        <v>13.6726330710003</v>
      </c>
      <c r="BU25" s="1">
        <f t="shared" si="1"/>
        <v>7.3437500000000003E-2</v>
      </c>
      <c r="BV25" s="1">
        <f t="shared" si="2"/>
        <v>13.6726330710003</v>
      </c>
      <c r="BX25" s="1">
        <v>23</v>
      </c>
      <c r="BY25" s="1">
        <v>17.268688355157501</v>
      </c>
      <c r="CA25" t="s">
        <v>4</v>
      </c>
      <c r="CB25">
        <v>0</v>
      </c>
      <c r="CC25" t="s">
        <v>5</v>
      </c>
      <c r="CD25">
        <v>23</v>
      </c>
      <c r="CE25" t="s">
        <v>6</v>
      </c>
      <c r="CF25" s="1">
        <v>3.6718750000000001E-2</v>
      </c>
      <c r="CG25" t="s">
        <v>7</v>
      </c>
      <c r="CH25" s="1">
        <v>0.5</v>
      </c>
      <c r="CI25" t="s">
        <v>8</v>
      </c>
      <c r="CJ25" s="1">
        <v>0</v>
      </c>
      <c r="CK25" s="1">
        <v>14.240379584732</v>
      </c>
    </row>
    <row r="26" spans="1:89">
      <c r="A26" t="s">
        <v>4</v>
      </c>
      <c r="B26">
        <v>0</v>
      </c>
      <c r="C26" t="s">
        <v>5</v>
      </c>
      <c r="D26">
        <v>6</v>
      </c>
      <c r="E26" t="s">
        <v>6</v>
      </c>
      <c r="F26" s="1">
        <v>0.203125</v>
      </c>
      <c r="G26" t="s">
        <v>7</v>
      </c>
      <c r="H26" s="1">
        <v>0.5</v>
      </c>
      <c r="I26" t="s">
        <v>8</v>
      </c>
      <c r="J26" s="1">
        <v>0</v>
      </c>
      <c r="K26" s="1">
        <v>27.1075780060672</v>
      </c>
      <c r="L26" s="1">
        <f t="shared" si="3"/>
        <v>0.40625</v>
      </c>
      <c r="M26" s="1">
        <f t="shared" si="9"/>
        <v>13.5537890030336</v>
      </c>
      <c r="AB26" s="3"/>
      <c r="AC26">
        <v>25207</v>
      </c>
      <c r="AD26" s="1">
        <v>0.1875</v>
      </c>
      <c r="AE26" s="1">
        <v>12.7987</v>
      </c>
      <c r="AF26" s="1">
        <f t="shared" si="5"/>
        <v>0.375</v>
      </c>
      <c r="AG26" s="1">
        <f t="shared" si="6"/>
        <v>12.7987</v>
      </c>
      <c r="AI26" s="3"/>
      <c r="AJ26">
        <v>5719</v>
      </c>
      <c r="AK26" s="1">
        <v>0.125</v>
      </c>
      <c r="AL26" s="1">
        <v>13.0869</v>
      </c>
      <c r="AM26" s="1">
        <f t="shared" si="7"/>
        <v>0.25</v>
      </c>
      <c r="AN26" s="1">
        <f t="shared" si="8"/>
        <v>13.0869</v>
      </c>
      <c r="AQ26" t="s">
        <v>7</v>
      </c>
      <c r="AR26" s="1">
        <v>0.5</v>
      </c>
      <c r="AS26" t="s">
        <v>8</v>
      </c>
      <c r="AT26" s="1">
        <v>0</v>
      </c>
      <c r="AU26" s="1">
        <v>3.3246863216247403E-2</v>
      </c>
      <c r="AW26" t="s">
        <v>4</v>
      </c>
      <c r="AX26">
        <v>0</v>
      </c>
      <c r="AY26" t="s">
        <v>5</v>
      </c>
      <c r="AZ26">
        <v>24</v>
      </c>
      <c r="BA26" t="s">
        <v>6</v>
      </c>
      <c r="BB26" s="1">
        <v>3.8281250000000003E-2</v>
      </c>
      <c r="BC26" t="s">
        <v>7</v>
      </c>
      <c r="BD26" s="1">
        <v>0.5</v>
      </c>
      <c r="BE26" t="s">
        <v>8</v>
      </c>
      <c r="BF26" s="1">
        <v>0</v>
      </c>
      <c r="BG26" s="1">
        <f t="shared" si="0"/>
        <v>7.6562500000000006E-2</v>
      </c>
      <c r="BH26" s="1">
        <v>13.6628178589327</v>
      </c>
      <c r="BJ26" t="s">
        <v>4</v>
      </c>
      <c r="BK26">
        <v>0</v>
      </c>
      <c r="BL26" t="s">
        <v>5</v>
      </c>
      <c r="BM26">
        <v>24</v>
      </c>
      <c r="BN26" t="s">
        <v>6</v>
      </c>
      <c r="BO26" s="1">
        <v>3.8281250000000003E-2</v>
      </c>
      <c r="BP26" t="s">
        <v>7</v>
      </c>
      <c r="BQ26" s="1">
        <v>0.5</v>
      </c>
      <c r="BR26" t="s">
        <v>8</v>
      </c>
      <c r="BS26" s="1">
        <v>0</v>
      </c>
      <c r="BT26" s="1">
        <v>13.6691159712974</v>
      </c>
      <c r="BU26" s="1">
        <f t="shared" si="1"/>
        <v>7.6562500000000006E-2</v>
      </c>
      <c r="BV26" s="1">
        <f t="shared" si="2"/>
        <v>13.6691159712974</v>
      </c>
      <c r="BX26" s="1">
        <v>24</v>
      </c>
      <c r="BY26" s="1">
        <v>17.278377403432302</v>
      </c>
      <c r="CA26" t="s">
        <v>4</v>
      </c>
      <c r="CB26">
        <v>0</v>
      </c>
      <c r="CC26" t="s">
        <v>5</v>
      </c>
      <c r="CD26">
        <v>24</v>
      </c>
      <c r="CE26" t="s">
        <v>6</v>
      </c>
      <c r="CF26" s="1">
        <v>3.8281250000000003E-2</v>
      </c>
      <c r="CG26" t="s">
        <v>7</v>
      </c>
      <c r="CH26" s="1">
        <v>0.5</v>
      </c>
      <c r="CI26" t="s">
        <v>8</v>
      </c>
      <c r="CJ26" s="1">
        <v>0</v>
      </c>
      <c r="CK26" s="1">
        <v>14.2398478077756</v>
      </c>
    </row>
    <row r="27" spans="1:89">
      <c r="A27" t="s">
        <v>4</v>
      </c>
      <c r="B27">
        <v>0</v>
      </c>
      <c r="C27" t="s">
        <v>5</v>
      </c>
      <c r="D27">
        <v>7</v>
      </c>
      <c r="E27" t="s">
        <v>6</v>
      </c>
      <c r="F27" s="1">
        <v>0.234375</v>
      </c>
      <c r="G27" t="s">
        <v>7</v>
      </c>
      <c r="H27" s="1">
        <v>0.5</v>
      </c>
      <c r="I27" t="s">
        <v>8</v>
      </c>
      <c r="J27" s="1">
        <v>0</v>
      </c>
      <c r="K27" s="1">
        <v>25.930462069289501</v>
      </c>
      <c r="L27" s="1">
        <f t="shared" si="3"/>
        <v>0.46875</v>
      </c>
      <c r="M27" s="1">
        <f t="shared" si="9"/>
        <v>12.96523103464475</v>
      </c>
      <c r="AB27" s="3"/>
      <c r="AC27">
        <v>123361</v>
      </c>
      <c r="AD27" s="1">
        <v>0.203125</v>
      </c>
      <c r="AE27" s="1">
        <v>12.6541</v>
      </c>
      <c r="AF27" s="1">
        <f t="shared" si="5"/>
        <v>0.40625</v>
      </c>
      <c r="AG27" s="1">
        <f t="shared" si="6"/>
        <v>12.6541</v>
      </c>
      <c r="AI27" s="3"/>
      <c r="AJ27">
        <v>58342</v>
      </c>
      <c r="AK27" s="1">
        <v>0.13541700000000001</v>
      </c>
      <c r="AL27" s="1">
        <v>13.0242</v>
      </c>
      <c r="AM27" s="1">
        <f t="shared" si="7"/>
        <v>0.27083400000000002</v>
      </c>
      <c r="AN27" s="1">
        <f t="shared" si="8"/>
        <v>13.0242</v>
      </c>
      <c r="AQ27" t="s">
        <v>7</v>
      </c>
      <c r="AR27" s="1">
        <v>0.5</v>
      </c>
      <c r="AS27" t="s">
        <v>8</v>
      </c>
      <c r="AT27" s="1">
        <v>0</v>
      </c>
      <c r="AU27" s="1">
        <v>3.3248215614387899E-2</v>
      </c>
      <c r="AW27" t="s">
        <v>4</v>
      </c>
      <c r="AX27">
        <v>0</v>
      </c>
      <c r="AY27" t="s">
        <v>5</v>
      </c>
      <c r="AZ27">
        <v>25</v>
      </c>
      <c r="BA27" t="s">
        <v>6</v>
      </c>
      <c r="BB27" s="1">
        <v>3.9843749999999997E-2</v>
      </c>
      <c r="BC27" t="s">
        <v>7</v>
      </c>
      <c r="BD27" s="1">
        <v>0.5</v>
      </c>
      <c r="BE27" t="s">
        <v>8</v>
      </c>
      <c r="BF27" s="1">
        <v>0</v>
      </c>
      <c r="BG27" s="1">
        <f t="shared" si="0"/>
        <v>7.9687499999999994E-2</v>
      </c>
      <c r="BH27" s="1">
        <v>13.6599596315698</v>
      </c>
      <c r="BJ27" t="s">
        <v>4</v>
      </c>
      <c r="BK27">
        <v>0</v>
      </c>
      <c r="BL27" t="s">
        <v>5</v>
      </c>
      <c r="BM27">
        <v>25</v>
      </c>
      <c r="BN27" t="s">
        <v>6</v>
      </c>
      <c r="BO27" s="1">
        <v>3.9843749999999997E-2</v>
      </c>
      <c r="BP27" t="s">
        <v>7</v>
      </c>
      <c r="BQ27" s="1">
        <v>0.5</v>
      </c>
      <c r="BR27" t="s">
        <v>8</v>
      </c>
      <c r="BS27" s="1">
        <v>0</v>
      </c>
      <c r="BT27" s="1">
        <v>13.665584472404101</v>
      </c>
      <c r="BU27" s="1">
        <f t="shared" si="1"/>
        <v>7.9687499999999994E-2</v>
      </c>
      <c r="BV27" s="1">
        <f t="shared" si="2"/>
        <v>13.665584472404101</v>
      </c>
      <c r="BX27" s="1">
        <v>25</v>
      </c>
      <c r="BY27" s="1">
        <v>17.288048560083499</v>
      </c>
      <c r="CA27" t="s">
        <v>4</v>
      </c>
      <c r="CB27">
        <v>0</v>
      </c>
      <c r="CC27" t="s">
        <v>5</v>
      </c>
      <c r="CD27">
        <v>25</v>
      </c>
      <c r="CE27" t="s">
        <v>6</v>
      </c>
      <c r="CF27" s="1">
        <v>3.9843749999999997E-2</v>
      </c>
      <c r="CG27" t="s">
        <v>7</v>
      </c>
      <c r="CH27" s="1">
        <v>0.5</v>
      </c>
      <c r="CI27" t="s">
        <v>8</v>
      </c>
      <c r="CJ27" s="1">
        <v>0</v>
      </c>
      <c r="CK27" s="1">
        <v>14.2393102756657</v>
      </c>
    </row>
    <row r="28" spans="1:89">
      <c r="A28" t="s">
        <v>4</v>
      </c>
      <c r="B28">
        <v>0</v>
      </c>
      <c r="C28" t="s">
        <v>5</v>
      </c>
      <c r="D28">
        <v>8</v>
      </c>
      <c r="E28" t="s">
        <v>6</v>
      </c>
      <c r="F28" s="1">
        <v>0.265625</v>
      </c>
      <c r="G28" t="s">
        <v>7</v>
      </c>
      <c r="H28" s="1">
        <v>0.5</v>
      </c>
      <c r="I28" t="s">
        <v>8</v>
      </c>
      <c r="J28" s="1">
        <v>0</v>
      </c>
      <c r="K28" s="1">
        <v>25.0970483128824</v>
      </c>
      <c r="L28" s="1">
        <f t="shared" si="3"/>
        <v>0.53125</v>
      </c>
      <c r="M28" s="1">
        <f t="shared" si="9"/>
        <v>12.5485241564412</v>
      </c>
      <c r="AB28" s="3"/>
      <c r="AC28">
        <v>25208</v>
      </c>
      <c r="AD28" s="1">
        <v>0.21875</v>
      </c>
      <c r="AE28" s="1">
        <v>12.509499999999999</v>
      </c>
      <c r="AF28" s="1">
        <f t="shared" si="5"/>
        <v>0.4375</v>
      </c>
      <c r="AG28" s="1">
        <f t="shared" si="6"/>
        <v>12.509499999999999</v>
      </c>
      <c r="AI28" s="3"/>
      <c r="AJ28">
        <v>5720</v>
      </c>
      <c r="AK28" s="1">
        <v>0.14583299999999999</v>
      </c>
      <c r="AL28" s="1">
        <v>12.961499999999999</v>
      </c>
      <c r="AM28" s="1">
        <f t="shared" si="7"/>
        <v>0.29166599999999998</v>
      </c>
      <c r="AN28" s="1">
        <f t="shared" si="8"/>
        <v>12.961499999999999</v>
      </c>
      <c r="AQ28" t="s">
        <v>7</v>
      </c>
      <c r="AR28" s="1">
        <v>0.5</v>
      </c>
      <c r="AS28" t="s">
        <v>8</v>
      </c>
      <c r="AT28" s="1">
        <v>0</v>
      </c>
      <c r="AU28" s="1">
        <v>3.3249585647962203E-2</v>
      </c>
      <c r="AW28" t="s">
        <v>4</v>
      </c>
      <c r="AX28">
        <v>0</v>
      </c>
      <c r="AY28" t="s">
        <v>5</v>
      </c>
      <c r="AZ28">
        <v>26</v>
      </c>
      <c r="BA28" t="s">
        <v>6</v>
      </c>
      <c r="BB28" s="1">
        <v>4.1406249999999999E-2</v>
      </c>
      <c r="BC28" t="s">
        <v>7</v>
      </c>
      <c r="BD28" s="1">
        <v>0.5</v>
      </c>
      <c r="BE28" t="s">
        <v>8</v>
      </c>
      <c r="BF28" s="1">
        <v>0</v>
      </c>
      <c r="BG28" s="1">
        <f t="shared" si="0"/>
        <v>8.2812499999999997E-2</v>
      </c>
      <c r="BH28" s="1">
        <v>13.6570050351381</v>
      </c>
      <c r="BJ28" t="s">
        <v>4</v>
      </c>
      <c r="BK28">
        <v>0</v>
      </c>
      <c r="BL28" t="s">
        <v>5</v>
      </c>
      <c r="BM28">
        <v>26</v>
      </c>
      <c r="BN28" t="s">
        <v>6</v>
      </c>
      <c r="BO28" s="1">
        <v>4.1406249999999999E-2</v>
      </c>
      <c r="BP28" t="s">
        <v>7</v>
      </c>
      <c r="BQ28" s="1">
        <v>0.5</v>
      </c>
      <c r="BR28" t="s">
        <v>8</v>
      </c>
      <c r="BS28" s="1">
        <v>0</v>
      </c>
      <c r="BT28" s="1">
        <v>13.6620818472802</v>
      </c>
      <c r="BU28" s="1">
        <f t="shared" si="1"/>
        <v>8.2812499999999997E-2</v>
      </c>
      <c r="BV28" s="1">
        <f t="shared" si="2"/>
        <v>13.6620818472802</v>
      </c>
      <c r="BX28" s="1">
        <v>26</v>
      </c>
      <c r="BY28" s="1">
        <v>17.2977016279719</v>
      </c>
      <c r="CA28" t="s">
        <v>4</v>
      </c>
      <c r="CB28">
        <v>0</v>
      </c>
      <c r="CC28" t="s">
        <v>5</v>
      </c>
      <c r="CD28">
        <v>26</v>
      </c>
      <c r="CE28" t="s">
        <v>6</v>
      </c>
      <c r="CF28" s="1">
        <v>4.1406249999999999E-2</v>
      </c>
      <c r="CG28" t="s">
        <v>7</v>
      </c>
      <c r="CH28" s="1">
        <v>0.5</v>
      </c>
      <c r="CI28" t="s">
        <v>8</v>
      </c>
      <c r="CJ28" s="1">
        <v>0</v>
      </c>
      <c r="CK28" s="1">
        <v>14.2387681916252</v>
      </c>
    </row>
    <row r="29" spans="1:89">
      <c r="A29" t="s">
        <v>4</v>
      </c>
      <c r="B29">
        <v>0</v>
      </c>
      <c r="C29" t="s">
        <v>5</v>
      </c>
      <c r="D29">
        <v>9</v>
      </c>
      <c r="E29" t="s">
        <v>6</v>
      </c>
      <c r="F29" s="1">
        <v>0.296875</v>
      </c>
      <c r="G29" t="s">
        <v>7</v>
      </c>
      <c r="H29" s="1">
        <v>0.5</v>
      </c>
      <c r="I29" t="s">
        <v>8</v>
      </c>
      <c r="J29" s="1">
        <v>0</v>
      </c>
      <c r="K29" s="1">
        <v>24.510545385360199</v>
      </c>
      <c r="L29" s="1">
        <f t="shared" si="3"/>
        <v>0.59375</v>
      </c>
      <c r="M29" s="1">
        <f t="shared" si="9"/>
        <v>12.2552726926801</v>
      </c>
      <c r="AB29" s="3"/>
      <c r="AC29">
        <v>123364</v>
      </c>
      <c r="AD29" s="1">
        <v>0.234375</v>
      </c>
      <c r="AE29" s="1">
        <v>12.3408</v>
      </c>
      <c r="AF29" s="1">
        <f t="shared" si="5"/>
        <v>0.46875</v>
      </c>
      <c r="AG29" s="1">
        <f t="shared" si="6"/>
        <v>12.3408</v>
      </c>
      <c r="AI29" s="3"/>
      <c r="AJ29">
        <v>58346</v>
      </c>
      <c r="AK29" s="1">
        <v>0.15625</v>
      </c>
      <c r="AL29" s="1">
        <v>12.889099999999999</v>
      </c>
      <c r="AM29" s="1">
        <f t="shared" si="7"/>
        <v>0.3125</v>
      </c>
      <c r="AN29" s="1">
        <f t="shared" si="8"/>
        <v>12.889099999999999</v>
      </c>
      <c r="AQ29" t="s">
        <v>7</v>
      </c>
      <c r="AR29" s="1">
        <v>0.5</v>
      </c>
      <c r="AS29" t="s">
        <v>8</v>
      </c>
      <c r="AT29" s="1">
        <v>0</v>
      </c>
      <c r="AU29" s="1">
        <v>3.3250973265666603E-2</v>
      </c>
      <c r="AW29" t="s">
        <v>4</v>
      </c>
      <c r="AX29">
        <v>0</v>
      </c>
      <c r="AY29" t="s">
        <v>5</v>
      </c>
      <c r="AZ29">
        <v>27</v>
      </c>
      <c r="BA29" t="s">
        <v>6</v>
      </c>
      <c r="BB29" s="1">
        <v>4.296875E-2</v>
      </c>
      <c r="BC29" t="s">
        <v>7</v>
      </c>
      <c r="BD29" s="1">
        <v>0.5</v>
      </c>
      <c r="BE29" t="s">
        <v>8</v>
      </c>
      <c r="BF29" s="1">
        <v>0</v>
      </c>
      <c r="BG29" s="1">
        <f t="shared" si="0"/>
        <v>8.59375E-2</v>
      </c>
      <c r="BH29" s="1">
        <v>13.6539570647471</v>
      </c>
      <c r="BJ29" t="s">
        <v>4</v>
      </c>
      <c r="BK29">
        <v>0</v>
      </c>
      <c r="BL29" t="s">
        <v>5</v>
      </c>
      <c r="BM29">
        <v>27</v>
      </c>
      <c r="BN29" t="s">
        <v>6</v>
      </c>
      <c r="BO29" s="1">
        <v>4.296875E-2</v>
      </c>
      <c r="BP29" t="s">
        <v>7</v>
      </c>
      <c r="BQ29" s="1">
        <v>0.5</v>
      </c>
      <c r="BR29" t="s">
        <v>8</v>
      </c>
      <c r="BS29" s="1">
        <v>0</v>
      </c>
      <c r="BT29" s="1">
        <v>13.658651226759799</v>
      </c>
      <c r="BU29" s="1">
        <f t="shared" si="1"/>
        <v>8.59375E-2</v>
      </c>
      <c r="BV29" s="1">
        <f t="shared" si="2"/>
        <v>13.658651226759799</v>
      </c>
      <c r="BX29" s="1">
        <v>27</v>
      </c>
      <c r="BY29" s="1">
        <v>17.3073386927074</v>
      </c>
      <c r="CA29" t="s">
        <v>4</v>
      </c>
      <c r="CB29">
        <v>0</v>
      </c>
      <c r="CC29" t="s">
        <v>5</v>
      </c>
      <c r="CD29">
        <v>27</v>
      </c>
      <c r="CE29" t="s">
        <v>6</v>
      </c>
      <c r="CF29" s="1">
        <v>4.296875E-2</v>
      </c>
      <c r="CG29" t="s">
        <v>7</v>
      </c>
      <c r="CH29" s="1">
        <v>0.5</v>
      </c>
      <c r="CI29" t="s">
        <v>8</v>
      </c>
      <c r="CJ29" s="1">
        <v>0</v>
      </c>
      <c r="CK29" s="1">
        <v>14.2382199241351</v>
      </c>
    </row>
    <row r="30" spans="1:89">
      <c r="A30" t="s">
        <v>4</v>
      </c>
      <c r="B30">
        <v>0</v>
      </c>
      <c r="C30" t="s">
        <v>5</v>
      </c>
      <c r="D30">
        <v>10</v>
      </c>
      <c r="E30" t="s">
        <v>6</v>
      </c>
      <c r="F30" s="1">
        <v>0.328125</v>
      </c>
      <c r="G30" t="s">
        <v>7</v>
      </c>
      <c r="H30" s="1">
        <v>0.5</v>
      </c>
      <c r="I30" t="s">
        <v>8</v>
      </c>
      <c r="J30" s="1">
        <v>0</v>
      </c>
      <c r="K30" s="1">
        <v>23.529190844173201</v>
      </c>
      <c r="L30" s="1">
        <f t="shared" si="3"/>
        <v>0.65625</v>
      </c>
      <c r="M30" s="1">
        <f t="shared" si="9"/>
        <v>11.7645954220866</v>
      </c>
      <c r="AB30" s="3"/>
      <c r="AC30">
        <v>25209</v>
      </c>
      <c r="AD30" s="1">
        <v>0.25</v>
      </c>
      <c r="AE30" s="1">
        <v>12.1722</v>
      </c>
      <c r="AF30" s="1">
        <f t="shared" si="5"/>
        <v>0.5</v>
      </c>
      <c r="AG30" s="1">
        <f t="shared" si="6"/>
        <v>12.1722</v>
      </c>
      <c r="AI30" s="3"/>
      <c r="AJ30">
        <v>5721</v>
      </c>
      <c r="AK30" s="1">
        <v>0.16666700000000001</v>
      </c>
      <c r="AL30" s="1">
        <v>12.816800000000001</v>
      </c>
      <c r="AM30" s="1">
        <f t="shared" si="7"/>
        <v>0.33333400000000002</v>
      </c>
      <c r="AN30" s="1">
        <f t="shared" si="8"/>
        <v>12.816800000000001</v>
      </c>
      <c r="AQ30" t="s">
        <v>7</v>
      </c>
      <c r="AR30" s="1">
        <v>0.5</v>
      </c>
      <c r="AS30" t="s">
        <v>8</v>
      </c>
      <c r="AT30" s="1">
        <v>0</v>
      </c>
      <c r="AU30" s="1">
        <v>3.3252378417850698E-2</v>
      </c>
      <c r="AW30" t="s">
        <v>4</v>
      </c>
      <c r="AX30">
        <v>0</v>
      </c>
      <c r="AY30" t="s">
        <v>5</v>
      </c>
      <c r="AZ30">
        <v>28</v>
      </c>
      <c r="BA30" t="s">
        <v>6</v>
      </c>
      <c r="BB30" s="1">
        <v>4.4531250000000001E-2</v>
      </c>
      <c r="BC30" t="s">
        <v>7</v>
      </c>
      <c r="BD30" s="1">
        <v>0.5</v>
      </c>
      <c r="BE30" t="s">
        <v>8</v>
      </c>
      <c r="BF30" s="1">
        <v>0</v>
      </c>
      <c r="BG30" s="1">
        <f t="shared" si="0"/>
        <v>8.9062500000000003E-2</v>
      </c>
      <c r="BH30" s="1">
        <v>13.6508185437572</v>
      </c>
      <c r="BJ30" t="s">
        <v>4</v>
      </c>
      <c r="BK30">
        <v>0</v>
      </c>
      <c r="BL30" t="s">
        <v>5</v>
      </c>
      <c r="BM30">
        <v>28</v>
      </c>
      <c r="BN30" t="s">
        <v>6</v>
      </c>
      <c r="BO30" s="1">
        <v>4.4531250000000001E-2</v>
      </c>
      <c r="BP30" t="s">
        <v>7</v>
      </c>
      <c r="BQ30" s="1">
        <v>0.5</v>
      </c>
      <c r="BR30" t="s">
        <v>8</v>
      </c>
      <c r="BS30" s="1">
        <v>0</v>
      </c>
      <c r="BT30" s="1">
        <v>13.655335969040699</v>
      </c>
      <c r="BU30" s="1">
        <f t="shared" si="1"/>
        <v>8.9062500000000003E-2</v>
      </c>
      <c r="BV30" s="1">
        <f t="shared" si="2"/>
        <v>13.655335969040699</v>
      </c>
      <c r="BX30" s="1">
        <v>28</v>
      </c>
      <c r="BY30" s="1">
        <v>17.316959728842502</v>
      </c>
      <c r="CA30" t="s">
        <v>4</v>
      </c>
      <c r="CB30">
        <v>0</v>
      </c>
      <c r="CC30" t="s">
        <v>5</v>
      </c>
      <c r="CD30">
        <v>28</v>
      </c>
      <c r="CE30" t="s">
        <v>6</v>
      </c>
      <c r="CF30" s="1">
        <v>4.4531250000000001E-2</v>
      </c>
      <c r="CG30" t="s">
        <v>7</v>
      </c>
      <c r="CH30" s="1">
        <v>0.5</v>
      </c>
      <c r="CI30" t="s">
        <v>8</v>
      </c>
      <c r="CJ30" s="1">
        <v>0</v>
      </c>
      <c r="CK30" s="1">
        <v>14.2376663690714</v>
      </c>
    </row>
    <row r="31" spans="1:89">
      <c r="A31" t="s">
        <v>4</v>
      </c>
      <c r="B31">
        <v>0</v>
      </c>
      <c r="C31" t="s">
        <v>5</v>
      </c>
      <c r="D31">
        <v>11</v>
      </c>
      <c r="E31" t="s">
        <v>6</v>
      </c>
      <c r="F31" s="1">
        <v>0.359375</v>
      </c>
      <c r="G31" t="s">
        <v>7</v>
      </c>
      <c r="H31" s="1">
        <v>0.5</v>
      </c>
      <c r="I31" t="s">
        <v>8</v>
      </c>
      <c r="J31" s="1">
        <v>0</v>
      </c>
      <c r="K31" s="1">
        <v>22.192514809691001</v>
      </c>
      <c r="L31" s="1">
        <f t="shared" si="3"/>
        <v>0.71875</v>
      </c>
      <c r="M31" s="1">
        <f t="shared" si="9"/>
        <v>11.096257404845501</v>
      </c>
      <c r="AB31" s="3"/>
      <c r="AC31">
        <v>123367</v>
      </c>
      <c r="AD31" s="1">
        <v>0.265625</v>
      </c>
      <c r="AE31" s="1">
        <v>11.978400000000001</v>
      </c>
      <c r="AF31" s="1">
        <f t="shared" si="5"/>
        <v>0.53125</v>
      </c>
      <c r="AG31" s="1">
        <f t="shared" si="6"/>
        <v>11.978400000000001</v>
      </c>
      <c r="AI31" s="3"/>
      <c r="AJ31">
        <v>58350</v>
      </c>
      <c r="AK31" s="1">
        <v>0.17708299999999999</v>
      </c>
      <c r="AL31" s="1">
        <v>12.7346</v>
      </c>
      <c r="AM31" s="1">
        <f t="shared" si="7"/>
        <v>0.35416599999999998</v>
      </c>
      <c r="AN31" s="1">
        <f t="shared" si="8"/>
        <v>12.7346</v>
      </c>
      <c r="AQ31" t="s">
        <v>7</v>
      </c>
      <c r="AR31" s="1">
        <v>0.5</v>
      </c>
      <c r="AS31" t="s">
        <v>8</v>
      </c>
      <c r="AT31" s="1">
        <v>0</v>
      </c>
      <c r="AU31" s="1">
        <v>3.3253801056496599E-2</v>
      </c>
      <c r="AW31" t="s">
        <v>4</v>
      </c>
      <c r="AX31">
        <v>0</v>
      </c>
      <c r="AY31" t="s">
        <v>5</v>
      </c>
      <c r="AZ31">
        <v>29</v>
      </c>
      <c r="BA31" t="s">
        <v>6</v>
      </c>
      <c r="BB31" s="1">
        <v>4.6093750000000003E-2</v>
      </c>
      <c r="BC31" t="s">
        <v>7</v>
      </c>
      <c r="BD31" s="1">
        <v>0.5</v>
      </c>
      <c r="BE31" t="s">
        <v>8</v>
      </c>
      <c r="BF31" s="1">
        <v>0</v>
      </c>
      <c r="BG31" s="1">
        <f t="shared" si="0"/>
        <v>9.2187500000000006E-2</v>
      </c>
      <c r="BH31" s="1">
        <v>13.647592420778199</v>
      </c>
      <c r="BJ31" t="s">
        <v>4</v>
      </c>
      <c r="BK31">
        <v>0</v>
      </c>
      <c r="BL31" t="s">
        <v>5</v>
      </c>
      <c r="BM31">
        <v>29</v>
      </c>
      <c r="BN31" t="s">
        <v>6</v>
      </c>
      <c r="BO31" s="1">
        <v>4.6093750000000003E-2</v>
      </c>
      <c r="BP31" t="s">
        <v>7</v>
      </c>
      <c r="BQ31" s="1">
        <v>0.5</v>
      </c>
      <c r="BR31" t="s">
        <v>8</v>
      </c>
      <c r="BS31" s="1">
        <v>0</v>
      </c>
      <c r="BT31" s="1">
        <v>13.652179300292399</v>
      </c>
      <c r="BU31" s="1">
        <f t="shared" si="1"/>
        <v>9.2187500000000006E-2</v>
      </c>
      <c r="BV31" s="1">
        <f t="shared" si="2"/>
        <v>13.652179300292399</v>
      </c>
      <c r="BX31" s="1">
        <v>29</v>
      </c>
      <c r="BY31" s="1">
        <v>17.326565288852699</v>
      </c>
      <c r="CA31" t="s">
        <v>4</v>
      </c>
      <c r="CB31">
        <v>0</v>
      </c>
      <c r="CC31" t="s">
        <v>5</v>
      </c>
      <c r="CD31">
        <v>29</v>
      </c>
      <c r="CE31" t="s">
        <v>6</v>
      </c>
      <c r="CF31" s="1">
        <v>4.6093750000000003E-2</v>
      </c>
      <c r="CG31" t="s">
        <v>7</v>
      </c>
      <c r="CH31" s="1">
        <v>0.5</v>
      </c>
      <c r="CI31" t="s">
        <v>8</v>
      </c>
      <c r="CJ31" s="1">
        <v>0</v>
      </c>
      <c r="CK31" s="1">
        <v>14.2371077209304</v>
      </c>
    </row>
    <row r="32" spans="1:89">
      <c r="A32" t="s">
        <v>4</v>
      </c>
      <c r="B32">
        <v>0</v>
      </c>
      <c r="C32" t="s">
        <v>5</v>
      </c>
      <c r="D32">
        <v>12</v>
      </c>
      <c r="E32" t="s">
        <v>6</v>
      </c>
      <c r="F32" s="1">
        <v>0.390625</v>
      </c>
      <c r="G32" t="s">
        <v>7</v>
      </c>
      <c r="H32" s="1">
        <v>0.5</v>
      </c>
      <c r="I32" t="s">
        <v>8</v>
      </c>
      <c r="J32" s="1">
        <v>0</v>
      </c>
      <c r="K32" s="1">
        <v>21.0826885920515</v>
      </c>
      <c r="L32" s="1">
        <f t="shared" si="3"/>
        <v>0.78125</v>
      </c>
      <c r="M32" s="1">
        <f t="shared" si="9"/>
        <v>10.54134429602575</v>
      </c>
      <c r="AB32" s="3"/>
      <c r="AC32">
        <v>25210</v>
      </c>
      <c r="AD32" s="1">
        <v>0.28125</v>
      </c>
      <c r="AE32" s="1">
        <v>11.784599999999999</v>
      </c>
      <c r="AF32" s="1">
        <f t="shared" si="5"/>
        <v>0.5625</v>
      </c>
      <c r="AG32" s="1">
        <f t="shared" si="6"/>
        <v>11.784599999999999</v>
      </c>
      <c r="AI32" s="3"/>
      <c r="AJ32">
        <v>5722</v>
      </c>
      <c r="AK32" s="1">
        <v>0.1875</v>
      </c>
      <c r="AL32" s="1">
        <v>12.6524</v>
      </c>
      <c r="AM32" s="1">
        <f t="shared" si="7"/>
        <v>0.375</v>
      </c>
      <c r="AN32" s="1">
        <f t="shared" si="8"/>
        <v>12.6524</v>
      </c>
      <c r="AQ32" t="s">
        <v>7</v>
      </c>
      <c r="AR32" s="1">
        <v>0.5</v>
      </c>
      <c r="AS32" t="s">
        <v>8</v>
      </c>
      <c r="AT32" s="1">
        <v>0</v>
      </c>
      <c r="AU32" s="1">
        <v>3.3255241135236702E-2</v>
      </c>
      <c r="AW32" t="s">
        <v>4</v>
      </c>
      <c r="AX32">
        <v>0</v>
      </c>
      <c r="AY32" t="s">
        <v>5</v>
      </c>
      <c r="AZ32">
        <v>30</v>
      </c>
      <c r="BA32" t="s">
        <v>6</v>
      </c>
      <c r="BB32" s="1">
        <v>4.7656249999999997E-2</v>
      </c>
      <c r="BC32" t="s">
        <v>7</v>
      </c>
      <c r="BD32" s="1">
        <v>0.5</v>
      </c>
      <c r="BE32" t="s">
        <v>8</v>
      </c>
      <c r="BF32" s="1">
        <v>0</v>
      </c>
      <c r="BG32" s="1">
        <f t="shared" si="0"/>
        <v>9.5312499999999994E-2</v>
      </c>
      <c r="BH32" s="1">
        <v>13.6442814775729</v>
      </c>
      <c r="BJ32" t="s">
        <v>4</v>
      </c>
      <c r="BK32">
        <v>0</v>
      </c>
      <c r="BL32" t="s">
        <v>5</v>
      </c>
      <c r="BM32">
        <v>30</v>
      </c>
      <c r="BN32" t="s">
        <v>6</v>
      </c>
      <c r="BO32" s="1">
        <v>4.7656249999999997E-2</v>
      </c>
      <c r="BP32" t="s">
        <v>7</v>
      </c>
      <c r="BQ32" s="1">
        <v>0.5</v>
      </c>
      <c r="BR32" t="s">
        <v>8</v>
      </c>
      <c r="BS32" s="1">
        <v>0</v>
      </c>
      <c r="BT32" s="1">
        <v>13.649224484517999</v>
      </c>
      <c r="BU32" s="1">
        <f t="shared" si="1"/>
        <v>9.5312499999999994E-2</v>
      </c>
      <c r="BV32" s="1">
        <f t="shared" si="2"/>
        <v>13.649224484517999</v>
      </c>
      <c r="BX32" s="1">
        <v>30</v>
      </c>
      <c r="BY32" s="1">
        <v>17.336155765909201</v>
      </c>
      <c r="CA32" t="s">
        <v>4</v>
      </c>
      <c r="CB32">
        <v>0</v>
      </c>
      <c r="CC32" t="s">
        <v>5</v>
      </c>
      <c r="CD32">
        <v>30</v>
      </c>
      <c r="CE32" t="s">
        <v>6</v>
      </c>
      <c r="CF32" s="1">
        <v>4.7656249999999997E-2</v>
      </c>
      <c r="CG32" t="s">
        <v>7</v>
      </c>
      <c r="CH32" s="1">
        <v>0.5</v>
      </c>
      <c r="CI32" t="s">
        <v>8</v>
      </c>
      <c r="CJ32" s="1">
        <v>0</v>
      </c>
      <c r="CK32" s="1">
        <v>14.2365441602477</v>
      </c>
    </row>
    <row r="33" spans="1:89">
      <c r="A33" t="s">
        <v>4</v>
      </c>
      <c r="B33">
        <v>0</v>
      </c>
      <c r="C33" t="s">
        <v>5</v>
      </c>
      <c r="D33">
        <v>13</v>
      </c>
      <c r="E33" t="s">
        <v>6</v>
      </c>
      <c r="F33" s="1">
        <v>0.421875</v>
      </c>
      <c r="G33" t="s">
        <v>7</v>
      </c>
      <c r="H33" s="1">
        <v>0.5</v>
      </c>
      <c r="I33" t="s">
        <v>8</v>
      </c>
      <c r="J33" s="1">
        <v>0</v>
      </c>
      <c r="K33" s="1">
        <v>17.984943326833999</v>
      </c>
      <c r="L33" s="1">
        <f t="shared" si="3"/>
        <v>0.84375</v>
      </c>
      <c r="M33" s="1">
        <f t="shared" si="9"/>
        <v>8.9924716634169997</v>
      </c>
      <c r="AB33" s="3"/>
      <c r="AC33">
        <v>123370</v>
      </c>
      <c r="AD33" s="1">
        <v>0.296875</v>
      </c>
      <c r="AE33" s="1">
        <v>11.5633</v>
      </c>
      <c r="AF33" s="1">
        <f t="shared" si="5"/>
        <v>0.59375</v>
      </c>
      <c r="AG33" s="1">
        <f t="shared" si="6"/>
        <v>11.5633</v>
      </c>
      <c r="AI33" s="3"/>
      <c r="AJ33">
        <v>58354</v>
      </c>
      <c r="AK33" s="1">
        <v>0.19791700000000001</v>
      </c>
      <c r="AL33" s="1">
        <v>12.5604</v>
      </c>
      <c r="AM33" s="1">
        <f t="shared" si="7"/>
        <v>0.39583400000000002</v>
      </c>
      <c r="AN33" s="1">
        <f t="shared" si="8"/>
        <v>12.5604</v>
      </c>
      <c r="AQ33" t="s">
        <v>7</v>
      </c>
      <c r="AR33" s="1">
        <v>0.5</v>
      </c>
      <c r="AS33" t="s">
        <v>8</v>
      </c>
      <c r="AT33" s="1">
        <v>0</v>
      </c>
      <c r="AU33" s="1">
        <v>3.3256699331788098E-2</v>
      </c>
      <c r="AW33" t="s">
        <v>4</v>
      </c>
      <c r="AX33">
        <v>0</v>
      </c>
      <c r="AY33" t="s">
        <v>5</v>
      </c>
      <c r="AZ33">
        <v>31</v>
      </c>
      <c r="BA33" t="s">
        <v>6</v>
      </c>
      <c r="BB33" s="1">
        <v>4.9218749999999999E-2</v>
      </c>
      <c r="BC33" t="s">
        <v>7</v>
      </c>
      <c r="BD33" s="1">
        <v>0.5</v>
      </c>
      <c r="BE33" t="s">
        <v>8</v>
      </c>
      <c r="BF33" s="1">
        <v>0</v>
      </c>
      <c r="BG33" s="1">
        <f t="shared" si="0"/>
        <v>9.8437499999999997E-2</v>
      </c>
      <c r="BH33" s="1">
        <v>13.6408887341248</v>
      </c>
      <c r="BJ33" t="s">
        <v>4</v>
      </c>
      <c r="BK33">
        <v>0</v>
      </c>
      <c r="BL33" t="s">
        <v>5</v>
      </c>
      <c r="BM33">
        <v>31</v>
      </c>
      <c r="BN33" t="s">
        <v>6</v>
      </c>
      <c r="BO33" s="1">
        <v>4.9218749999999999E-2</v>
      </c>
      <c r="BP33" t="s">
        <v>7</v>
      </c>
      <c r="BQ33" s="1">
        <v>0.5</v>
      </c>
      <c r="BR33" t="s">
        <v>8</v>
      </c>
      <c r="BS33" s="1">
        <v>0</v>
      </c>
      <c r="BT33" s="1">
        <v>13.646514643762</v>
      </c>
      <c r="BU33" s="1">
        <f t="shared" si="1"/>
        <v>9.8437499999999997E-2</v>
      </c>
      <c r="BV33" s="1">
        <f t="shared" si="2"/>
        <v>13.646514643762</v>
      </c>
      <c r="BX33" s="1">
        <v>31</v>
      </c>
      <c r="BY33" s="1">
        <v>17.345731803788901</v>
      </c>
      <c r="CA33" t="s">
        <v>4</v>
      </c>
      <c r="CB33">
        <v>0</v>
      </c>
      <c r="CC33" t="s">
        <v>5</v>
      </c>
      <c r="CD33">
        <v>31</v>
      </c>
      <c r="CE33" t="s">
        <v>6</v>
      </c>
      <c r="CF33" s="1">
        <v>4.9218749999999999E-2</v>
      </c>
      <c r="CG33" t="s">
        <v>7</v>
      </c>
      <c r="CH33" s="1">
        <v>0.5</v>
      </c>
      <c r="CI33" t="s">
        <v>8</v>
      </c>
      <c r="CJ33" s="1">
        <v>0</v>
      </c>
      <c r="CK33" s="1">
        <v>14.2359757522518</v>
      </c>
    </row>
    <row r="34" spans="1:89">
      <c r="A34" t="s">
        <v>4</v>
      </c>
      <c r="B34">
        <v>0</v>
      </c>
      <c r="C34" t="s">
        <v>5</v>
      </c>
      <c r="D34">
        <v>14</v>
      </c>
      <c r="E34" t="s">
        <v>6</v>
      </c>
      <c r="F34" s="1">
        <v>0.453125</v>
      </c>
      <c r="G34" t="s">
        <v>7</v>
      </c>
      <c r="H34" s="1">
        <v>0.5</v>
      </c>
      <c r="I34" t="s">
        <v>8</v>
      </c>
      <c r="J34" s="1">
        <v>0</v>
      </c>
      <c r="K34" s="1">
        <v>18.382294082429201</v>
      </c>
      <c r="L34" s="1">
        <f t="shared" si="3"/>
        <v>0.90625</v>
      </c>
      <c r="M34" s="1">
        <f t="shared" si="9"/>
        <v>9.1911470412146006</v>
      </c>
      <c r="AB34" s="3"/>
      <c r="AC34">
        <v>25211</v>
      </c>
      <c r="AD34" s="1">
        <v>0.3125</v>
      </c>
      <c r="AE34" s="1">
        <v>11.342000000000001</v>
      </c>
      <c r="AF34" s="1">
        <f t="shared" si="5"/>
        <v>0.625</v>
      </c>
      <c r="AG34" s="1">
        <f t="shared" si="6"/>
        <v>11.342000000000001</v>
      </c>
      <c r="AI34" s="3"/>
      <c r="AJ34">
        <v>5723</v>
      </c>
      <c r="AK34" s="1">
        <v>0.20833299999999999</v>
      </c>
      <c r="AL34" s="1">
        <v>12.468299999999999</v>
      </c>
      <c r="AM34" s="1">
        <f t="shared" si="7"/>
        <v>0.41666599999999998</v>
      </c>
      <c r="AN34" s="1">
        <f t="shared" si="8"/>
        <v>12.468299999999999</v>
      </c>
      <c r="AQ34" t="s">
        <v>7</v>
      </c>
      <c r="AR34" s="1">
        <v>0.5</v>
      </c>
      <c r="AS34" t="s">
        <v>8</v>
      </c>
      <c r="AT34" s="1">
        <v>0</v>
      </c>
      <c r="AU34" s="1">
        <v>3.32581739574297E-2</v>
      </c>
      <c r="AW34" t="s">
        <v>4</v>
      </c>
      <c r="AX34">
        <v>0</v>
      </c>
      <c r="AY34" t="s">
        <v>5</v>
      </c>
      <c r="AZ34">
        <v>32</v>
      </c>
      <c r="BA34" t="s">
        <v>6</v>
      </c>
      <c r="BB34" s="1">
        <v>5.078125E-2</v>
      </c>
      <c r="BC34" t="s">
        <v>7</v>
      </c>
      <c r="BD34" s="1">
        <v>0.5</v>
      </c>
      <c r="BE34" t="s">
        <v>8</v>
      </c>
      <c r="BF34" s="1">
        <v>0</v>
      </c>
      <c r="BG34" s="1">
        <f t="shared" si="0"/>
        <v>0.1015625</v>
      </c>
      <c r="BH34" s="1">
        <v>13.6374171959988</v>
      </c>
      <c r="BJ34" t="s">
        <v>4</v>
      </c>
      <c r="BK34">
        <v>0</v>
      </c>
      <c r="BL34" t="s">
        <v>5</v>
      </c>
      <c r="BM34">
        <v>32</v>
      </c>
      <c r="BN34" t="s">
        <v>6</v>
      </c>
      <c r="BO34" s="1">
        <v>5.078125E-2</v>
      </c>
      <c r="BP34" t="s">
        <v>7</v>
      </c>
      <c r="BQ34" s="1">
        <v>0.5</v>
      </c>
      <c r="BR34" t="s">
        <v>8</v>
      </c>
      <c r="BS34" s="1">
        <v>0</v>
      </c>
      <c r="BT34" s="1">
        <v>13.6440932325166</v>
      </c>
      <c r="BU34" s="1">
        <f t="shared" si="1"/>
        <v>0.1015625</v>
      </c>
      <c r="BV34" s="1">
        <f t="shared" si="2"/>
        <v>13.6440932325166</v>
      </c>
      <c r="BX34" s="1">
        <v>32</v>
      </c>
      <c r="BY34" s="1">
        <v>17.355294239177098</v>
      </c>
      <c r="CA34" t="s">
        <v>4</v>
      </c>
      <c r="CB34">
        <v>0</v>
      </c>
      <c r="CC34" t="s">
        <v>5</v>
      </c>
      <c r="CD34">
        <v>32</v>
      </c>
      <c r="CE34" t="s">
        <v>6</v>
      </c>
      <c r="CF34" s="1">
        <v>5.078125E-2</v>
      </c>
      <c r="CG34" t="s">
        <v>7</v>
      </c>
      <c r="CH34" s="1">
        <v>0.5</v>
      </c>
      <c r="CI34" t="s">
        <v>8</v>
      </c>
      <c r="CJ34" s="1">
        <v>0</v>
      </c>
      <c r="CK34" s="1">
        <v>14.2354021396722</v>
      </c>
    </row>
    <row r="35" spans="1:89">
      <c r="A35" t="s">
        <v>4</v>
      </c>
      <c r="B35">
        <v>0</v>
      </c>
      <c r="C35" t="s">
        <v>5</v>
      </c>
      <c r="D35">
        <v>15</v>
      </c>
      <c r="E35" t="s">
        <v>6</v>
      </c>
      <c r="F35" s="1">
        <v>0.484375</v>
      </c>
      <c r="G35" t="s">
        <v>7</v>
      </c>
      <c r="H35" s="1">
        <v>0.5</v>
      </c>
      <c r="I35" t="s">
        <v>8</v>
      </c>
      <c r="J35" s="1">
        <v>0</v>
      </c>
      <c r="K35" s="1">
        <v>10.382953285412601</v>
      </c>
      <c r="L35" s="1">
        <f t="shared" si="3"/>
        <v>0.96875</v>
      </c>
      <c r="M35" s="1">
        <f t="shared" si="9"/>
        <v>5.1914766427063004</v>
      </c>
      <c r="AB35" s="3"/>
      <c r="AC35">
        <v>123373</v>
      </c>
      <c r="AD35" s="1">
        <v>0.328125</v>
      </c>
      <c r="AE35" s="1">
        <v>11.0878</v>
      </c>
      <c r="AF35" s="1">
        <f t="shared" si="5"/>
        <v>0.65625</v>
      </c>
      <c r="AG35" s="1">
        <f t="shared" si="6"/>
        <v>11.0878</v>
      </c>
      <c r="AI35" s="3"/>
      <c r="AJ35">
        <v>58358</v>
      </c>
      <c r="AK35" s="1">
        <v>0.21875</v>
      </c>
      <c r="AL35" s="1">
        <v>12.366099999999999</v>
      </c>
      <c r="AM35" s="1">
        <f t="shared" si="7"/>
        <v>0.4375</v>
      </c>
      <c r="AN35" s="1">
        <f t="shared" si="8"/>
        <v>12.366099999999999</v>
      </c>
      <c r="AQ35" t="s">
        <v>7</v>
      </c>
      <c r="AR35" s="1">
        <v>0.5</v>
      </c>
      <c r="AS35" t="s">
        <v>8</v>
      </c>
      <c r="AT35" s="1">
        <v>0</v>
      </c>
      <c r="AU35" s="1">
        <v>3.3259665864353902E-2</v>
      </c>
      <c r="AW35" t="s">
        <v>4</v>
      </c>
      <c r="AX35">
        <v>0</v>
      </c>
      <c r="AY35" t="s">
        <v>5</v>
      </c>
      <c r="AZ35">
        <v>33</v>
      </c>
      <c r="BA35" t="s">
        <v>6</v>
      </c>
      <c r="BB35" s="1">
        <v>5.2343750000000001E-2</v>
      </c>
      <c r="BC35" t="s">
        <v>7</v>
      </c>
      <c r="BD35" s="1">
        <v>0.5</v>
      </c>
      <c r="BE35" t="s">
        <v>8</v>
      </c>
      <c r="BF35" s="1">
        <v>0</v>
      </c>
      <c r="BG35" s="1">
        <f t="shared" si="0"/>
        <v>0.1046875</v>
      </c>
      <c r="BH35" s="1">
        <v>13.6338696958612</v>
      </c>
      <c r="BJ35" t="s">
        <v>4</v>
      </c>
      <c r="BK35">
        <v>0</v>
      </c>
      <c r="BL35" t="s">
        <v>5</v>
      </c>
      <c r="BM35">
        <v>33</v>
      </c>
      <c r="BN35" t="s">
        <v>6</v>
      </c>
      <c r="BO35" s="1">
        <v>5.2343750000000001E-2</v>
      </c>
      <c r="BP35" t="s">
        <v>7</v>
      </c>
      <c r="BQ35" s="1">
        <v>0.5</v>
      </c>
      <c r="BR35" t="s">
        <v>8</v>
      </c>
      <c r="BS35" s="1">
        <v>0</v>
      </c>
      <c r="BT35" s="1">
        <v>13.6420032350526</v>
      </c>
      <c r="BU35" s="1">
        <f t="shared" si="1"/>
        <v>0.1046875</v>
      </c>
      <c r="BV35" s="1">
        <f t="shared" si="2"/>
        <v>13.6420032350526</v>
      </c>
      <c r="BX35" s="1">
        <v>33</v>
      </c>
      <c r="BY35" s="1">
        <v>17.3648442091731</v>
      </c>
      <c r="CA35" t="s">
        <v>4</v>
      </c>
      <c r="CB35">
        <v>0</v>
      </c>
      <c r="CC35" t="s">
        <v>5</v>
      </c>
      <c r="CD35">
        <v>33</v>
      </c>
      <c r="CE35" t="s">
        <v>6</v>
      </c>
      <c r="CF35" s="1">
        <v>5.2343750000000001E-2</v>
      </c>
      <c r="CG35" t="s">
        <v>7</v>
      </c>
      <c r="CH35" s="1">
        <v>0.5</v>
      </c>
      <c r="CI35" t="s">
        <v>8</v>
      </c>
      <c r="CJ35" s="1">
        <v>0</v>
      </c>
      <c r="CK35" s="1">
        <v>14.2348236105121</v>
      </c>
    </row>
    <row r="36" spans="1:89">
      <c r="A36" t="s">
        <v>18</v>
      </c>
      <c r="L36" s="1"/>
      <c r="M36" s="1"/>
      <c r="AB36" s="3"/>
      <c r="AC36">
        <v>25212</v>
      </c>
      <c r="AD36" s="1">
        <v>0.34375</v>
      </c>
      <c r="AE36" s="1">
        <v>10.833600000000001</v>
      </c>
      <c r="AF36" s="1">
        <f t="shared" si="5"/>
        <v>0.6875</v>
      </c>
      <c r="AG36" s="1">
        <f t="shared" si="6"/>
        <v>10.833600000000001</v>
      </c>
      <c r="AI36" s="3"/>
      <c r="AJ36">
        <v>5724</v>
      </c>
      <c r="AK36" s="1">
        <v>0.22916700000000001</v>
      </c>
      <c r="AL36" s="1">
        <v>12.2639</v>
      </c>
      <c r="AM36" s="1">
        <f t="shared" si="7"/>
        <v>0.45833400000000002</v>
      </c>
      <c r="AN36" s="1">
        <f t="shared" si="8"/>
        <v>12.2639</v>
      </c>
      <c r="AQ36" t="s">
        <v>7</v>
      </c>
      <c r="AR36" s="1">
        <v>0.5</v>
      </c>
      <c r="AS36" t="s">
        <v>8</v>
      </c>
      <c r="AT36" s="1">
        <v>0</v>
      </c>
      <c r="AU36" s="1">
        <v>3.3261175035871102E-2</v>
      </c>
      <c r="AW36" t="s">
        <v>4</v>
      </c>
      <c r="AX36">
        <v>0</v>
      </c>
      <c r="AY36" t="s">
        <v>5</v>
      </c>
      <c r="AZ36">
        <v>34</v>
      </c>
      <c r="BA36" t="s">
        <v>6</v>
      </c>
      <c r="BB36" s="1">
        <v>5.3906250000000003E-2</v>
      </c>
      <c r="BC36" t="s">
        <v>7</v>
      </c>
      <c r="BD36" s="1">
        <v>0.5</v>
      </c>
      <c r="BE36" t="s">
        <v>8</v>
      </c>
      <c r="BF36" s="1">
        <v>0</v>
      </c>
      <c r="BG36" s="1">
        <f t="shared" si="0"/>
        <v>0.10781250000000001</v>
      </c>
      <c r="BH36" s="1">
        <v>13.630249816716301</v>
      </c>
      <c r="BJ36" t="s">
        <v>4</v>
      </c>
      <c r="BK36">
        <v>0</v>
      </c>
      <c r="BL36" t="s">
        <v>5</v>
      </c>
      <c r="BM36">
        <v>34</v>
      </c>
      <c r="BN36" t="s">
        <v>6</v>
      </c>
      <c r="BO36" s="1">
        <v>5.3906250000000003E-2</v>
      </c>
      <c r="BP36" t="s">
        <v>7</v>
      </c>
      <c r="BQ36" s="1">
        <v>0.5</v>
      </c>
      <c r="BR36" t="s">
        <v>8</v>
      </c>
      <c r="BS36" s="1">
        <v>0</v>
      </c>
      <c r="BT36" s="1">
        <v>13.640287943922401</v>
      </c>
      <c r="BU36" s="1">
        <f t="shared" si="1"/>
        <v>0.10781250000000001</v>
      </c>
      <c r="BV36" s="1">
        <f t="shared" si="2"/>
        <v>13.640287943922401</v>
      </c>
      <c r="BX36" s="1">
        <v>34</v>
      </c>
      <c r="BY36" s="1">
        <v>17.374375717758301</v>
      </c>
      <c r="CA36" t="s">
        <v>4</v>
      </c>
      <c r="CB36">
        <v>0</v>
      </c>
      <c r="CC36" t="s">
        <v>5</v>
      </c>
      <c r="CD36">
        <v>34</v>
      </c>
      <c r="CE36" t="s">
        <v>6</v>
      </c>
      <c r="CF36" s="1">
        <v>5.3906250000000003E-2</v>
      </c>
      <c r="CG36" t="s">
        <v>7</v>
      </c>
      <c r="CH36" s="1">
        <v>0.5</v>
      </c>
      <c r="CI36" t="s">
        <v>8</v>
      </c>
      <c r="CJ36" s="1">
        <v>0</v>
      </c>
      <c r="CK36" s="1">
        <v>14.2342387017062</v>
      </c>
    </row>
    <row r="37" spans="1:89">
      <c r="A37" t="s">
        <v>4</v>
      </c>
      <c r="B37">
        <v>0</v>
      </c>
      <c r="C37" t="s">
        <v>5</v>
      </c>
      <c r="D37">
        <v>0</v>
      </c>
      <c r="E37" t="s">
        <v>6</v>
      </c>
      <c r="F37" s="1">
        <v>1.5625E-2</v>
      </c>
      <c r="G37" t="s">
        <v>7</v>
      </c>
      <c r="H37" s="1">
        <v>0.5</v>
      </c>
      <c r="I37" t="s">
        <v>8</v>
      </c>
      <c r="J37" s="1">
        <v>0</v>
      </c>
      <c r="K37" s="1">
        <v>28.240582255388698</v>
      </c>
      <c r="L37" s="1">
        <f t="shared" si="3"/>
        <v>3.125E-2</v>
      </c>
      <c r="M37" s="1">
        <f>K37/2</f>
        <v>14.120291127694349</v>
      </c>
      <c r="AB37" s="3"/>
      <c r="AC37">
        <v>123376</v>
      </c>
      <c r="AD37" s="1">
        <v>0.359375</v>
      </c>
      <c r="AE37" s="1">
        <v>10.535399999999999</v>
      </c>
      <c r="AF37" s="1">
        <f t="shared" si="5"/>
        <v>0.71875</v>
      </c>
      <c r="AG37" s="1">
        <f t="shared" si="6"/>
        <v>10.535399999999999</v>
      </c>
      <c r="AI37" s="3"/>
      <c r="AJ37">
        <v>58362</v>
      </c>
      <c r="AK37" s="1">
        <v>0.23958299999999999</v>
      </c>
      <c r="AL37" s="1">
        <v>12.151300000000001</v>
      </c>
      <c r="AM37" s="1">
        <f t="shared" si="7"/>
        <v>0.47916599999999998</v>
      </c>
      <c r="AN37" s="1">
        <f t="shared" si="8"/>
        <v>12.151300000000001</v>
      </c>
      <c r="AQ37" t="s">
        <v>7</v>
      </c>
      <c r="AR37" s="1">
        <v>0.5</v>
      </c>
      <c r="AS37" t="s">
        <v>8</v>
      </c>
      <c r="AT37" s="1">
        <v>0</v>
      </c>
      <c r="AU37" s="1">
        <v>3.3262701434162101E-2</v>
      </c>
      <c r="AW37" t="s">
        <v>4</v>
      </c>
      <c r="AX37">
        <v>0</v>
      </c>
      <c r="AY37" t="s">
        <v>5</v>
      </c>
      <c r="AZ37">
        <v>35</v>
      </c>
      <c r="BA37" t="s">
        <v>6</v>
      </c>
      <c r="BB37" s="1">
        <v>5.5468749999999997E-2</v>
      </c>
      <c r="BC37" t="s">
        <v>7</v>
      </c>
      <c r="BD37" s="1">
        <v>0.5</v>
      </c>
      <c r="BE37" t="s">
        <v>8</v>
      </c>
      <c r="BF37" s="1">
        <v>0</v>
      </c>
      <c r="BG37" s="1">
        <f t="shared" si="0"/>
        <v>0.11093749999999999</v>
      </c>
      <c r="BH37" s="1">
        <v>13.626559475658301</v>
      </c>
      <c r="BJ37" t="s">
        <v>4</v>
      </c>
      <c r="BK37">
        <v>0</v>
      </c>
      <c r="BL37" t="s">
        <v>5</v>
      </c>
      <c r="BM37">
        <v>35</v>
      </c>
      <c r="BN37" t="s">
        <v>6</v>
      </c>
      <c r="BO37" s="1">
        <v>5.5468749999999997E-2</v>
      </c>
      <c r="BP37" t="s">
        <v>7</v>
      </c>
      <c r="BQ37" s="1">
        <v>0.5</v>
      </c>
      <c r="BR37" t="s">
        <v>8</v>
      </c>
      <c r="BS37" s="1">
        <v>0</v>
      </c>
      <c r="BT37" s="1">
        <v>13.638990897014899</v>
      </c>
      <c r="BU37" s="1">
        <f t="shared" si="1"/>
        <v>0.11093749999999999</v>
      </c>
      <c r="BV37" s="1">
        <f t="shared" si="2"/>
        <v>13.638990897014899</v>
      </c>
      <c r="BX37" s="1">
        <v>35</v>
      </c>
      <c r="BY37" s="1">
        <v>17.3838986921863</v>
      </c>
      <c r="CA37" t="s">
        <v>4</v>
      </c>
      <c r="CB37">
        <v>0</v>
      </c>
      <c r="CC37" t="s">
        <v>5</v>
      </c>
      <c r="CD37">
        <v>35</v>
      </c>
      <c r="CE37" t="s">
        <v>6</v>
      </c>
      <c r="CF37" s="1">
        <v>5.5468749999999997E-2</v>
      </c>
      <c r="CG37" t="s">
        <v>7</v>
      </c>
      <c r="CH37" s="1">
        <v>0.5</v>
      </c>
      <c r="CI37" t="s">
        <v>8</v>
      </c>
      <c r="CJ37" s="1">
        <v>0</v>
      </c>
      <c r="CK37" s="1">
        <v>14.233649881799</v>
      </c>
    </row>
    <row r="38" spans="1:89">
      <c r="A38" t="s">
        <v>4</v>
      </c>
      <c r="B38">
        <v>0</v>
      </c>
      <c r="C38" t="s">
        <v>5</v>
      </c>
      <c r="D38">
        <v>1</v>
      </c>
      <c r="E38" t="s">
        <v>6</v>
      </c>
      <c r="F38" s="1">
        <v>4.6875E-2</v>
      </c>
      <c r="G38" t="s">
        <v>7</v>
      </c>
      <c r="H38" s="1">
        <v>0.5</v>
      </c>
      <c r="I38" t="s">
        <v>8</v>
      </c>
      <c r="J38" s="1">
        <v>0</v>
      </c>
      <c r="K38" s="1">
        <v>28.175743073532399</v>
      </c>
      <c r="L38" s="1">
        <f t="shared" si="3"/>
        <v>9.375E-2</v>
      </c>
      <c r="M38" s="1">
        <f t="shared" ref="M38:M52" si="10">K38/2</f>
        <v>14.087871536766199</v>
      </c>
      <c r="AB38" s="3"/>
      <c r="AC38">
        <v>25213</v>
      </c>
      <c r="AD38" s="1">
        <v>0.375</v>
      </c>
      <c r="AE38" s="1">
        <v>10.2372</v>
      </c>
      <c r="AF38" s="1">
        <f t="shared" si="5"/>
        <v>0.75</v>
      </c>
      <c r="AG38" s="1">
        <f t="shared" si="6"/>
        <v>10.2372</v>
      </c>
      <c r="AI38" s="3"/>
      <c r="AJ38">
        <v>5725</v>
      </c>
      <c r="AK38" s="1">
        <v>0.25</v>
      </c>
      <c r="AL38" s="1">
        <v>12.0387</v>
      </c>
      <c r="AM38" s="1">
        <f t="shared" si="7"/>
        <v>0.5</v>
      </c>
      <c r="AN38" s="1">
        <f t="shared" si="8"/>
        <v>12.0387</v>
      </c>
      <c r="AQ38" t="s">
        <v>7</v>
      </c>
      <c r="AR38" s="1">
        <v>0.5</v>
      </c>
      <c r="AS38" t="s">
        <v>8</v>
      </c>
      <c r="AT38" s="1">
        <v>0</v>
      </c>
      <c r="AU38" s="1">
        <v>3.32642450230895E-2</v>
      </c>
      <c r="AW38" t="s">
        <v>4</v>
      </c>
      <c r="AX38">
        <v>0</v>
      </c>
      <c r="AY38" t="s">
        <v>5</v>
      </c>
      <c r="AZ38">
        <v>36</v>
      </c>
      <c r="BA38" t="s">
        <v>6</v>
      </c>
      <c r="BB38" s="1">
        <v>5.7031249999999999E-2</v>
      </c>
      <c r="BC38" t="s">
        <v>7</v>
      </c>
      <c r="BD38" s="1">
        <v>0.5</v>
      </c>
      <c r="BE38" t="s">
        <v>8</v>
      </c>
      <c r="BF38" s="1">
        <v>0</v>
      </c>
      <c r="BG38" s="1">
        <f t="shared" si="0"/>
        <v>0.1140625</v>
      </c>
      <c r="BH38" s="1">
        <v>13.6228022780658</v>
      </c>
      <c r="BJ38" t="s">
        <v>4</v>
      </c>
      <c r="BK38">
        <v>0</v>
      </c>
      <c r="BL38" t="s">
        <v>5</v>
      </c>
      <c r="BM38">
        <v>36</v>
      </c>
      <c r="BN38" t="s">
        <v>6</v>
      </c>
      <c r="BO38" s="1">
        <v>5.7031249999999999E-2</v>
      </c>
      <c r="BP38" t="s">
        <v>7</v>
      </c>
      <c r="BQ38" s="1">
        <v>0.5</v>
      </c>
      <c r="BR38" t="s">
        <v>8</v>
      </c>
      <c r="BS38" s="1">
        <v>0</v>
      </c>
      <c r="BT38" s="1">
        <v>13.638155745180599</v>
      </c>
      <c r="BU38" s="1">
        <f t="shared" si="1"/>
        <v>0.1140625</v>
      </c>
      <c r="BV38" s="1">
        <f t="shared" si="2"/>
        <v>13.638155745180599</v>
      </c>
      <c r="BX38" s="1">
        <v>36</v>
      </c>
      <c r="BY38" s="1">
        <v>17.393412570687499</v>
      </c>
      <c r="CA38" t="s">
        <v>4</v>
      </c>
      <c r="CB38">
        <v>0</v>
      </c>
      <c r="CC38" t="s">
        <v>5</v>
      </c>
      <c r="CD38">
        <v>36</v>
      </c>
      <c r="CE38" t="s">
        <v>6</v>
      </c>
      <c r="CF38" s="1">
        <v>5.7031249999999999E-2</v>
      </c>
      <c r="CG38" t="s">
        <v>7</v>
      </c>
      <c r="CH38" s="1">
        <v>0.5</v>
      </c>
      <c r="CI38" t="s">
        <v>8</v>
      </c>
      <c r="CJ38" s="1">
        <v>0</v>
      </c>
      <c r="CK38" s="1">
        <v>14.233056946040101</v>
      </c>
    </row>
    <row r="39" spans="1:89">
      <c r="A39" t="s">
        <v>4</v>
      </c>
      <c r="B39">
        <v>0</v>
      </c>
      <c r="C39" t="s">
        <v>5</v>
      </c>
      <c r="D39">
        <v>2</v>
      </c>
      <c r="E39" t="s">
        <v>6</v>
      </c>
      <c r="F39" s="1">
        <v>7.8125E-2</v>
      </c>
      <c r="G39" t="s">
        <v>7</v>
      </c>
      <c r="H39" s="1">
        <v>0.5</v>
      </c>
      <c r="I39" t="s">
        <v>8</v>
      </c>
      <c r="J39" s="1">
        <v>0</v>
      </c>
      <c r="K39" s="1">
        <v>27.963507839908601</v>
      </c>
      <c r="L39" s="1">
        <f t="shared" si="3"/>
        <v>0.15625</v>
      </c>
      <c r="M39" s="1">
        <f t="shared" si="10"/>
        <v>13.981753919954301</v>
      </c>
      <c r="AB39" s="3"/>
      <c r="AC39">
        <v>123379</v>
      </c>
      <c r="AD39" s="1">
        <v>0.390625</v>
      </c>
      <c r="AE39" s="1">
        <v>9.8813800000000001</v>
      </c>
      <c r="AF39" s="1">
        <f t="shared" si="5"/>
        <v>0.78125</v>
      </c>
      <c r="AG39" s="1">
        <f t="shared" si="6"/>
        <v>9.8813800000000001</v>
      </c>
      <c r="AI39" s="3"/>
      <c r="AJ39">
        <v>58366</v>
      </c>
      <c r="AK39" s="1">
        <v>0.26041700000000001</v>
      </c>
      <c r="AL39" s="1">
        <v>11.915100000000001</v>
      </c>
      <c r="AM39" s="1">
        <f t="shared" si="7"/>
        <v>0.52083400000000002</v>
      </c>
      <c r="AN39" s="1">
        <f t="shared" si="8"/>
        <v>11.915100000000001</v>
      </c>
      <c r="AQ39" t="s">
        <v>7</v>
      </c>
      <c r="AR39" s="1">
        <v>0.5</v>
      </c>
      <c r="AS39" t="s">
        <v>8</v>
      </c>
      <c r="AT39" s="1">
        <v>0</v>
      </c>
      <c r="AU39" s="1">
        <v>3.3265805768199097E-2</v>
      </c>
      <c r="AW39" t="s">
        <v>4</v>
      </c>
      <c r="AX39">
        <v>0</v>
      </c>
      <c r="AY39" t="s">
        <v>5</v>
      </c>
      <c r="AZ39">
        <v>37</v>
      </c>
      <c r="BA39" t="s">
        <v>6</v>
      </c>
      <c r="BB39" s="1">
        <v>5.859375E-2</v>
      </c>
      <c r="BC39" t="s">
        <v>7</v>
      </c>
      <c r="BD39" s="1">
        <v>0.5</v>
      </c>
      <c r="BE39" t="s">
        <v>8</v>
      </c>
      <c r="BF39" s="1">
        <v>0</v>
      </c>
      <c r="BG39" s="1">
        <f t="shared" si="0"/>
        <v>0.1171875</v>
      </c>
      <c r="BH39" s="1">
        <v>13.6189807396922</v>
      </c>
      <c r="BJ39" t="s">
        <v>4</v>
      </c>
      <c r="BK39">
        <v>0</v>
      </c>
      <c r="BL39" t="s">
        <v>5</v>
      </c>
      <c r="BM39">
        <v>37</v>
      </c>
      <c r="BN39" t="s">
        <v>6</v>
      </c>
      <c r="BO39" s="1">
        <v>5.859375E-2</v>
      </c>
      <c r="BP39" t="s">
        <v>7</v>
      </c>
      <c r="BQ39" s="1">
        <v>0.5</v>
      </c>
      <c r="BR39" t="s">
        <v>8</v>
      </c>
      <c r="BS39" s="1">
        <v>0</v>
      </c>
      <c r="BT39" s="1">
        <v>13.6378247003203</v>
      </c>
      <c r="BU39" s="1">
        <f t="shared" si="1"/>
        <v>0.1171875</v>
      </c>
      <c r="BV39" s="1">
        <f t="shared" si="2"/>
        <v>13.6378247003203</v>
      </c>
      <c r="BX39" s="1">
        <v>37</v>
      </c>
      <c r="BY39" s="1">
        <v>17.4029152412785</v>
      </c>
      <c r="CA39" t="s">
        <v>4</v>
      </c>
      <c r="CB39">
        <v>0</v>
      </c>
      <c r="CC39" t="s">
        <v>5</v>
      </c>
      <c r="CD39">
        <v>37</v>
      </c>
      <c r="CE39" t="s">
        <v>6</v>
      </c>
      <c r="CF39" s="1">
        <v>5.859375E-2</v>
      </c>
      <c r="CG39" t="s">
        <v>7</v>
      </c>
      <c r="CH39" s="1">
        <v>0.5</v>
      </c>
      <c r="CI39" t="s">
        <v>8</v>
      </c>
      <c r="CJ39" s="1">
        <v>0</v>
      </c>
      <c r="CK39" s="1">
        <v>14.2324593680333</v>
      </c>
    </row>
    <row r="40" spans="1:89">
      <c r="A40" t="s">
        <v>4</v>
      </c>
      <c r="B40">
        <v>0</v>
      </c>
      <c r="C40" t="s">
        <v>5</v>
      </c>
      <c r="D40">
        <v>3</v>
      </c>
      <c r="E40" t="s">
        <v>6</v>
      </c>
      <c r="F40" s="1">
        <v>0.109375</v>
      </c>
      <c r="G40" t="s">
        <v>7</v>
      </c>
      <c r="H40" s="1">
        <v>0.5</v>
      </c>
      <c r="I40" t="s">
        <v>8</v>
      </c>
      <c r="J40" s="1">
        <v>0</v>
      </c>
      <c r="K40" s="1">
        <v>28.091072533317998</v>
      </c>
      <c r="L40" s="1">
        <f t="shared" si="3"/>
        <v>0.21875</v>
      </c>
      <c r="M40" s="1">
        <f t="shared" si="10"/>
        <v>14.045536266658999</v>
      </c>
      <c r="AB40" s="3"/>
      <c r="AC40">
        <v>25214</v>
      </c>
      <c r="AD40" s="1">
        <v>0.40625</v>
      </c>
      <c r="AE40" s="1">
        <v>9.5255299999999998</v>
      </c>
      <c r="AF40" s="1">
        <f t="shared" si="5"/>
        <v>0.8125</v>
      </c>
      <c r="AG40" s="1">
        <f t="shared" si="6"/>
        <v>9.5255299999999998</v>
      </c>
      <c r="AI40" s="3"/>
      <c r="AJ40">
        <v>5726</v>
      </c>
      <c r="AK40" s="1">
        <v>0.27083299999999999</v>
      </c>
      <c r="AL40" s="1">
        <v>11.791499999999999</v>
      </c>
      <c r="AM40" s="1">
        <f t="shared" si="7"/>
        <v>0.54166599999999998</v>
      </c>
      <c r="AN40" s="1">
        <f t="shared" si="8"/>
        <v>11.791499999999999</v>
      </c>
      <c r="AQ40" t="s">
        <v>7</v>
      </c>
      <c r="AR40" s="1">
        <v>0.5</v>
      </c>
      <c r="AS40" t="s">
        <v>8</v>
      </c>
      <c r="AT40" s="1">
        <v>0</v>
      </c>
      <c r="AU40" s="1">
        <v>3.3267383636714401E-2</v>
      </c>
      <c r="AW40" t="s">
        <v>4</v>
      </c>
      <c r="AX40">
        <v>0</v>
      </c>
      <c r="AY40" t="s">
        <v>5</v>
      </c>
      <c r="AZ40">
        <v>38</v>
      </c>
      <c r="BA40" t="s">
        <v>6</v>
      </c>
      <c r="BB40" s="1">
        <v>6.0156250000000001E-2</v>
      </c>
      <c r="BC40" t="s">
        <v>7</v>
      </c>
      <c r="BD40" s="1">
        <v>0.5</v>
      </c>
      <c r="BE40" t="s">
        <v>8</v>
      </c>
      <c r="BF40" s="1">
        <v>0</v>
      </c>
      <c r="BG40" s="1">
        <f t="shared" si="0"/>
        <v>0.1203125</v>
      </c>
      <c r="BH40" s="1">
        <v>13.615098126457401</v>
      </c>
      <c r="BJ40" t="s">
        <v>4</v>
      </c>
      <c r="BK40">
        <v>0</v>
      </c>
      <c r="BL40" t="s">
        <v>5</v>
      </c>
      <c r="BM40">
        <v>38</v>
      </c>
      <c r="BN40" t="s">
        <v>6</v>
      </c>
      <c r="BO40" s="1">
        <v>6.0156250000000001E-2</v>
      </c>
      <c r="BP40" t="s">
        <v>7</v>
      </c>
      <c r="BQ40" s="1">
        <v>0.5</v>
      </c>
      <c r="BR40" t="s">
        <v>8</v>
      </c>
      <c r="BS40" s="1">
        <v>0</v>
      </c>
      <c r="BT40" s="1">
        <v>13.6380417762514</v>
      </c>
      <c r="BU40" s="1">
        <f t="shared" si="1"/>
        <v>0.1203125</v>
      </c>
      <c r="BV40" s="1">
        <f t="shared" si="2"/>
        <v>13.6380417762514</v>
      </c>
      <c r="BX40" s="1">
        <v>38</v>
      </c>
      <c r="BY40" s="1">
        <v>17.4124024853846</v>
      </c>
      <c r="CA40" t="s">
        <v>4</v>
      </c>
      <c r="CB40">
        <v>0</v>
      </c>
      <c r="CC40" t="s">
        <v>5</v>
      </c>
      <c r="CD40">
        <v>38</v>
      </c>
      <c r="CE40" t="s">
        <v>6</v>
      </c>
      <c r="CF40" s="1">
        <v>6.0156250000000001E-2</v>
      </c>
      <c r="CG40" t="s">
        <v>7</v>
      </c>
      <c r="CH40" s="1">
        <v>0.5</v>
      </c>
      <c r="CI40" t="s">
        <v>8</v>
      </c>
      <c r="CJ40" s="1">
        <v>0</v>
      </c>
      <c r="CK40" s="1">
        <v>14.2318569473089</v>
      </c>
    </row>
    <row r="41" spans="1:89">
      <c r="A41" t="s">
        <v>4</v>
      </c>
      <c r="B41">
        <v>0</v>
      </c>
      <c r="C41" t="s">
        <v>5</v>
      </c>
      <c r="D41">
        <v>4</v>
      </c>
      <c r="E41" t="s">
        <v>6</v>
      </c>
      <c r="F41" s="1">
        <v>0.140625</v>
      </c>
      <c r="G41" t="s">
        <v>7</v>
      </c>
      <c r="H41" s="1">
        <v>0.5</v>
      </c>
      <c r="I41" t="s">
        <v>8</v>
      </c>
      <c r="J41" s="1">
        <v>0</v>
      </c>
      <c r="K41" s="1">
        <v>27.309346029344901</v>
      </c>
      <c r="L41" s="1">
        <f t="shared" si="3"/>
        <v>0.28125</v>
      </c>
      <c r="M41" s="1">
        <f t="shared" si="10"/>
        <v>13.654673014672451</v>
      </c>
      <c r="AB41" s="3"/>
      <c r="AC41">
        <v>123382</v>
      </c>
      <c r="AD41" s="1">
        <v>0.421875</v>
      </c>
      <c r="AE41" s="1">
        <v>9.1795799999999996</v>
      </c>
      <c r="AF41" s="1">
        <f t="shared" si="5"/>
        <v>0.84375</v>
      </c>
      <c r="AG41" s="1">
        <f t="shared" si="6"/>
        <v>9.1795799999999996</v>
      </c>
      <c r="AI41" s="3"/>
      <c r="AJ41">
        <v>58370</v>
      </c>
      <c r="AK41" s="1">
        <v>0.28125</v>
      </c>
      <c r="AL41" s="1">
        <v>11.656000000000001</v>
      </c>
      <c r="AM41" s="1">
        <f t="shared" si="7"/>
        <v>0.5625</v>
      </c>
      <c r="AN41" s="1">
        <f t="shared" si="8"/>
        <v>11.656000000000001</v>
      </c>
      <c r="AQ41" t="s">
        <v>7</v>
      </c>
      <c r="AR41" s="1">
        <v>0.5</v>
      </c>
      <c r="AS41" t="s">
        <v>8</v>
      </c>
      <c r="AT41" s="1">
        <v>0</v>
      </c>
      <c r="AU41" s="1">
        <v>3.3268980648451699E-2</v>
      </c>
      <c r="AW41" t="s">
        <v>4</v>
      </c>
      <c r="AX41">
        <v>0</v>
      </c>
      <c r="AY41" t="s">
        <v>5</v>
      </c>
      <c r="AZ41">
        <v>39</v>
      </c>
      <c r="BA41" t="s">
        <v>6</v>
      </c>
      <c r="BB41" s="1">
        <v>6.1718750000000003E-2</v>
      </c>
      <c r="BC41" t="s">
        <v>7</v>
      </c>
      <c r="BD41" s="1">
        <v>0.5</v>
      </c>
      <c r="BE41" t="s">
        <v>8</v>
      </c>
      <c r="BF41" s="1">
        <v>0</v>
      </c>
      <c r="BG41" s="1">
        <f t="shared" si="0"/>
        <v>0.12343750000000001</v>
      </c>
      <c r="BH41" s="1">
        <v>13.611157545201801</v>
      </c>
      <c r="BJ41" t="s">
        <v>4</v>
      </c>
      <c r="BK41">
        <v>0</v>
      </c>
      <c r="BL41" t="s">
        <v>5</v>
      </c>
      <c r="BM41">
        <v>39</v>
      </c>
      <c r="BN41" t="s">
        <v>6</v>
      </c>
      <c r="BO41" s="1">
        <v>6.1718750000000003E-2</v>
      </c>
      <c r="BP41" t="s">
        <v>7</v>
      </c>
      <c r="BQ41" s="1">
        <v>0.5</v>
      </c>
      <c r="BR41" t="s">
        <v>8</v>
      </c>
      <c r="BS41" s="1">
        <v>0</v>
      </c>
      <c r="BT41" s="1">
        <v>13.638849659457</v>
      </c>
      <c r="BU41" s="1">
        <f t="shared" si="1"/>
        <v>0.12343750000000001</v>
      </c>
      <c r="BV41" s="1">
        <f t="shared" si="2"/>
        <v>13.638849659457</v>
      </c>
      <c r="BX41" s="1">
        <v>39</v>
      </c>
      <c r="BY41" s="1">
        <v>17.421885638805101</v>
      </c>
      <c r="CA41" t="s">
        <v>4</v>
      </c>
      <c r="CB41">
        <v>0</v>
      </c>
      <c r="CC41" t="s">
        <v>5</v>
      </c>
      <c r="CD41">
        <v>39</v>
      </c>
      <c r="CE41" t="s">
        <v>6</v>
      </c>
      <c r="CF41" s="1">
        <v>6.1718750000000003E-2</v>
      </c>
      <c r="CG41" t="s">
        <v>7</v>
      </c>
      <c r="CH41" s="1">
        <v>0.5</v>
      </c>
      <c r="CI41" t="s">
        <v>8</v>
      </c>
      <c r="CJ41" s="1">
        <v>0</v>
      </c>
      <c r="CK41" s="1">
        <v>14.2312506272629</v>
      </c>
    </row>
    <row r="42" spans="1:89">
      <c r="A42" t="s">
        <v>4</v>
      </c>
      <c r="B42">
        <v>0</v>
      </c>
      <c r="C42" t="s">
        <v>5</v>
      </c>
      <c r="D42">
        <v>5</v>
      </c>
      <c r="E42" t="s">
        <v>6</v>
      </c>
      <c r="F42" s="1">
        <v>0.171875</v>
      </c>
      <c r="G42" t="s">
        <v>7</v>
      </c>
      <c r="H42" s="1">
        <v>0.5</v>
      </c>
      <c r="I42" t="s">
        <v>8</v>
      </c>
      <c r="J42" s="1">
        <v>0</v>
      </c>
      <c r="K42" s="1">
        <v>26.774924801826199</v>
      </c>
      <c r="L42" s="1">
        <f t="shared" si="3"/>
        <v>0.34375</v>
      </c>
      <c r="M42" s="1">
        <f t="shared" si="10"/>
        <v>13.387462400913099</v>
      </c>
      <c r="AB42" s="3"/>
      <c r="AC42">
        <v>25215</v>
      </c>
      <c r="AD42" s="1">
        <v>0.4375</v>
      </c>
      <c r="AE42" s="1">
        <v>8.8336199999999998</v>
      </c>
      <c r="AF42" s="1">
        <f t="shared" si="5"/>
        <v>0.875</v>
      </c>
      <c r="AG42" s="1">
        <f t="shared" si="6"/>
        <v>8.8336199999999998</v>
      </c>
      <c r="AI42" s="3"/>
      <c r="AJ42">
        <v>5727</v>
      </c>
      <c r="AK42" s="1">
        <v>0.29166700000000001</v>
      </c>
      <c r="AL42" s="1">
        <v>11.5205</v>
      </c>
      <c r="AM42" s="1">
        <f t="shared" si="7"/>
        <v>0.58333400000000002</v>
      </c>
      <c r="AN42" s="1">
        <f t="shared" si="8"/>
        <v>11.5205</v>
      </c>
      <c r="AQ42" t="s">
        <v>7</v>
      </c>
      <c r="AR42" s="1">
        <v>0.5</v>
      </c>
      <c r="AS42" t="s">
        <v>8</v>
      </c>
      <c r="AT42" s="1">
        <v>0</v>
      </c>
      <c r="AU42" s="1">
        <v>3.3270891156083102E-2</v>
      </c>
      <c r="AW42" t="s">
        <v>4</v>
      </c>
      <c r="AX42">
        <v>0</v>
      </c>
      <c r="AY42" t="s">
        <v>5</v>
      </c>
      <c r="AZ42">
        <v>40</v>
      </c>
      <c r="BA42" t="s">
        <v>6</v>
      </c>
      <c r="BB42" s="1">
        <v>6.3281249999999997E-2</v>
      </c>
      <c r="BC42" t="s">
        <v>7</v>
      </c>
      <c r="BD42" s="1">
        <v>0.5</v>
      </c>
      <c r="BE42" t="s">
        <v>8</v>
      </c>
      <c r="BF42" s="1">
        <v>0</v>
      </c>
      <c r="BG42" s="1">
        <f t="shared" si="0"/>
        <v>0.12656249999999999</v>
      </c>
      <c r="BH42" s="1">
        <v>13.606776832530601</v>
      </c>
      <c r="BJ42" t="s">
        <v>4</v>
      </c>
      <c r="BK42">
        <v>0</v>
      </c>
      <c r="BL42" t="s">
        <v>5</v>
      </c>
      <c r="BM42">
        <v>40</v>
      </c>
      <c r="BN42" t="s">
        <v>6</v>
      </c>
      <c r="BO42" s="1">
        <v>6.3281249999999997E-2</v>
      </c>
      <c r="BP42" t="s">
        <v>7</v>
      </c>
      <c r="BQ42" s="1">
        <v>0.5</v>
      </c>
      <c r="BR42" t="s">
        <v>8</v>
      </c>
      <c r="BS42" s="1">
        <v>0</v>
      </c>
      <c r="BT42" s="1">
        <v>13.637451682506301</v>
      </c>
      <c r="BU42" s="1">
        <f t="shared" si="1"/>
        <v>0.12656249999999999</v>
      </c>
      <c r="BV42" s="1">
        <f t="shared" si="2"/>
        <v>13.637451682506301</v>
      </c>
      <c r="BX42" s="1">
        <v>40</v>
      </c>
      <c r="BY42" s="1">
        <v>17.351457182985602</v>
      </c>
      <c r="CA42" t="s">
        <v>4</v>
      </c>
      <c r="CB42">
        <v>0</v>
      </c>
      <c r="CC42" t="s">
        <v>5</v>
      </c>
      <c r="CD42">
        <v>40</v>
      </c>
      <c r="CE42" t="s">
        <v>6</v>
      </c>
      <c r="CF42" s="1">
        <v>6.3281249999999997E-2</v>
      </c>
      <c r="CG42" t="s">
        <v>7</v>
      </c>
      <c r="CH42" s="1">
        <v>0.5</v>
      </c>
      <c r="CI42" t="s">
        <v>8</v>
      </c>
      <c r="CJ42" s="1">
        <v>0</v>
      </c>
      <c r="CK42" s="1">
        <v>14.181362128698799</v>
      </c>
    </row>
    <row r="43" spans="1:89">
      <c r="A43" t="s">
        <v>4</v>
      </c>
      <c r="B43">
        <v>0</v>
      </c>
      <c r="C43" t="s">
        <v>5</v>
      </c>
      <c r="D43">
        <v>6</v>
      </c>
      <c r="E43" t="s">
        <v>6</v>
      </c>
      <c r="F43" s="1">
        <v>0.203125</v>
      </c>
      <c r="G43" t="s">
        <v>7</v>
      </c>
      <c r="H43" s="1">
        <v>0.5</v>
      </c>
      <c r="I43" t="s">
        <v>8</v>
      </c>
      <c r="J43" s="1">
        <v>0</v>
      </c>
      <c r="K43" s="1">
        <v>26.7268961441345</v>
      </c>
      <c r="L43" s="1">
        <f t="shared" si="3"/>
        <v>0.40625</v>
      </c>
      <c r="M43" s="1">
        <f t="shared" si="10"/>
        <v>13.36344807206725</v>
      </c>
      <c r="AB43" s="3"/>
      <c r="AC43">
        <v>123385</v>
      </c>
      <c r="AD43" s="1">
        <v>0.453125</v>
      </c>
      <c r="AE43" s="1">
        <v>7.9292999999999996</v>
      </c>
      <c r="AF43" s="1">
        <f t="shared" si="5"/>
        <v>0.90625</v>
      </c>
      <c r="AG43" s="1">
        <f t="shared" si="6"/>
        <v>7.9292999999999996</v>
      </c>
      <c r="AI43" s="3"/>
      <c r="AJ43">
        <v>58374</v>
      </c>
      <c r="AK43" s="1">
        <v>0.30208299999999999</v>
      </c>
      <c r="AL43" s="1">
        <v>11.3714</v>
      </c>
      <c r="AM43" s="1">
        <f t="shared" si="7"/>
        <v>0.60416599999999998</v>
      </c>
      <c r="AN43" s="1">
        <f t="shared" si="8"/>
        <v>11.3714</v>
      </c>
      <c r="AQ43" t="s">
        <v>7</v>
      </c>
      <c r="AR43" s="1">
        <v>0.5</v>
      </c>
      <c r="AS43" t="s">
        <v>8</v>
      </c>
      <c r="AT43" s="1">
        <v>0</v>
      </c>
      <c r="AU43" s="1">
        <v>3.3273117152742102E-2</v>
      </c>
      <c r="AW43" t="s">
        <v>4</v>
      </c>
      <c r="AX43">
        <v>0</v>
      </c>
      <c r="AY43" t="s">
        <v>5</v>
      </c>
      <c r="AZ43">
        <v>41</v>
      </c>
      <c r="BA43" t="s">
        <v>6</v>
      </c>
      <c r="BB43" s="1">
        <v>6.4843750000000006E-2</v>
      </c>
      <c r="BC43" t="s">
        <v>7</v>
      </c>
      <c r="BD43" s="1">
        <v>0.5</v>
      </c>
      <c r="BE43" t="s">
        <v>8</v>
      </c>
      <c r="BF43" s="1">
        <v>0</v>
      </c>
      <c r="BG43" s="1">
        <f t="shared" si="0"/>
        <v>0.12968750000000001</v>
      </c>
      <c r="BH43" s="1">
        <v>13.6019262999499</v>
      </c>
      <c r="BJ43" t="s">
        <v>4</v>
      </c>
      <c r="BK43">
        <v>0</v>
      </c>
      <c r="BL43" t="s">
        <v>5</v>
      </c>
      <c r="BM43">
        <v>41</v>
      </c>
      <c r="BN43" t="s">
        <v>6</v>
      </c>
      <c r="BO43" s="1">
        <v>6.4843750000000006E-2</v>
      </c>
      <c r="BP43" t="s">
        <v>7</v>
      </c>
      <c r="BQ43" s="1">
        <v>0.5</v>
      </c>
      <c r="BR43" t="s">
        <v>8</v>
      </c>
      <c r="BS43" s="1">
        <v>0</v>
      </c>
      <c r="BT43" s="1">
        <v>13.633016796975999</v>
      </c>
      <c r="BU43" s="1">
        <f t="shared" si="1"/>
        <v>0.12968750000000001</v>
      </c>
      <c r="BV43" s="1">
        <f t="shared" si="2"/>
        <v>13.633016796975999</v>
      </c>
      <c r="BX43" s="1">
        <v>41</v>
      </c>
      <c r="BY43" s="1">
        <v>17.361021925554201</v>
      </c>
      <c r="CA43" t="s">
        <v>4</v>
      </c>
      <c r="CB43">
        <v>0</v>
      </c>
      <c r="CC43" t="s">
        <v>5</v>
      </c>
      <c r="CD43">
        <v>41</v>
      </c>
      <c r="CE43" t="s">
        <v>6</v>
      </c>
      <c r="CF43" s="1">
        <v>6.4843750000000006E-2</v>
      </c>
      <c r="CG43" t="s">
        <v>7</v>
      </c>
      <c r="CH43" s="1">
        <v>0.5</v>
      </c>
      <c r="CI43" t="s">
        <v>8</v>
      </c>
      <c r="CJ43" s="1">
        <v>0</v>
      </c>
      <c r="CK43" s="1">
        <v>14.1807632365385</v>
      </c>
    </row>
    <row r="44" spans="1:89">
      <c r="A44" t="s">
        <v>4</v>
      </c>
      <c r="B44">
        <v>0</v>
      </c>
      <c r="C44" t="s">
        <v>5</v>
      </c>
      <c r="D44">
        <v>7</v>
      </c>
      <c r="E44" t="s">
        <v>6</v>
      </c>
      <c r="F44" s="1">
        <v>0.234375</v>
      </c>
      <c r="G44" t="s">
        <v>7</v>
      </c>
      <c r="H44" s="1">
        <v>0.5</v>
      </c>
      <c r="I44" t="s">
        <v>8</v>
      </c>
      <c r="J44" s="1">
        <v>0</v>
      </c>
      <c r="K44" s="1">
        <v>25.553030896681701</v>
      </c>
      <c r="L44" s="1">
        <f t="shared" si="3"/>
        <v>0.46875</v>
      </c>
      <c r="M44" s="1">
        <f t="shared" si="10"/>
        <v>12.776515448340851</v>
      </c>
      <c r="AB44" s="3"/>
      <c r="AC44">
        <v>25216</v>
      </c>
      <c r="AD44" s="1">
        <v>0.46875</v>
      </c>
      <c r="AE44" s="1">
        <v>7.0249800000000002</v>
      </c>
      <c r="AF44" s="1">
        <f t="shared" si="5"/>
        <v>0.9375</v>
      </c>
      <c r="AG44" s="1">
        <f t="shared" si="6"/>
        <v>7.0249800000000002</v>
      </c>
      <c r="AI44" s="3"/>
      <c r="AJ44">
        <v>5728</v>
      </c>
      <c r="AK44" s="1">
        <v>0.3125</v>
      </c>
      <c r="AL44" s="1">
        <v>11.222300000000001</v>
      </c>
      <c r="AM44" s="1">
        <f t="shared" si="7"/>
        <v>0.625</v>
      </c>
      <c r="AN44" s="1">
        <f t="shared" si="8"/>
        <v>11.222300000000001</v>
      </c>
      <c r="AQ44" t="s">
        <v>7</v>
      </c>
      <c r="AR44" s="1">
        <v>0.5</v>
      </c>
      <c r="AS44" t="s">
        <v>8</v>
      </c>
      <c r="AT44" s="1">
        <v>0</v>
      </c>
      <c r="AU44" s="1">
        <v>3.3275362014423597E-2</v>
      </c>
      <c r="AW44" t="s">
        <v>4</v>
      </c>
      <c r="AX44">
        <v>0</v>
      </c>
      <c r="AY44" t="s">
        <v>5</v>
      </c>
      <c r="AZ44">
        <v>42</v>
      </c>
      <c r="BA44" t="s">
        <v>6</v>
      </c>
      <c r="BB44" s="1">
        <v>6.640625E-2</v>
      </c>
      <c r="BC44" t="s">
        <v>7</v>
      </c>
      <c r="BD44" s="1">
        <v>0.5</v>
      </c>
      <c r="BE44" t="s">
        <v>8</v>
      </c>
      <c r="BF44" s="1">
        <v>0</v>
      </c>
      <c r="BG44" s="1">
        <f t="shared" si="0"/>
        <v>0.1328125</v>
      </c>
      <c r="BH44" s="1">
        <v>13.5969826919765</v>
      </c>
      <c r="BJ44" t="s">
        <v>4</v>
      </c>
      <c r="BK44">
        <v>0</v>
      </c>
      <c r="BL44" t="s">
        <v>5</v>
      </c>
      <c r="BM44">
        <v>42</v>
      </c>
      <c r="BN44" t="s">
        <v>6</v>
      </c>
      <c r="BO44" s="1">
        <v>6.640625E-2</v>
      </c>
      <c r="BP44" t="s">
        <v>7</v>
      </c>
      <c r="BQ44" s="1">
        <v>0.5</v>
      </c>
      <c r="BR44" t="s">
        <v>8</v>
      </c>
      <c r="BS44" s="1">
        <v>0</v>
      </c>
      <c r="BT44" s="1">
        <v>13.6279819020657</v>
      </c>
      <c r="BU44" s="1">
        <f t="shared" si="1"/>
        <v>0.1328125</v>
      </c>
      <c r="BV44" s="1">
        <f t="shared" si="2"/>
        <v>13.6279819020657</v>
      </c>
      <c r="BX44" s="1">
        <v>42</v>
      </c>
      <c r="BY44" s="1">
        <v>17.370560404458999</v>
      </c>
      <c r="CA44" t="s">
        <v>4</v>
      </c>
      <c r="CB44">
        <v>0</v>
      </c>
      <c r="CC44" t="s">
        <v>5</v>
      </c>
      <c r="CD44">
        <v>42</v>
      </c>
      <c r="CE44" t="s">
        <v>6</v>
      </c>
      <c r="CF44" s="1">
        <v>6.640625E-2</v>
      </c>
      <c r="CG44" t="s">
        <v>7</v>
      </c>
      <c r="CH44" s="1">
        <v>0.5</v>
      </c>
      <c r="CI44" t="s">
        <v>8</v>
      </c>
      <c r="CJ44" s="1">
        <v>0</v>
      </c>
      <c r="CK44" s="1">
        <v>14.180149184655299</v>
      </c>
    </row>
    <row r="45" spans="1:89">
      <c r="A45" t="s">
        <v>4</v>
      </c>
      <c r="B45">
        <v>0</v>
      </c>
      <c r="C45" t="s">
        <v>5</v>
      </c>
      <c r="D45">
        <v>8</v>
      </c>
      <c r="E45" t="s">
        <v>6</v>
      </c>
      <c r="F45" s="1">
        <v>0.265625</v>
      </c>
      <c r="G45" t="s">
        <v>7</v>
      </c>
      <c r="H45" s="1">
        <v>0.5</v>
      </c>
      <c r="I45" t="s">
        <v>8</v>
      </c>
      <c r="J45" s="1">
        <v>0</v>
      </c>
      <c r="K45" s="1">
        <v>24.750429286114102</v>
      </c>
      <c r="L45" s="1">
        <f t="shared" si="3"/>
        <v>0.53125</v>
      </c>
      <c r="M45" s="1">
        <f t="shared" si="10"/>
        <v>12.375214643057051</v>
      </c>
      <c r="AB45" s="3"/>
      <c r="AC45">
        <v>123388</v>
      </c>
      <c r="AD45" s="1">
        <v>0.484375</v>
      </c>
      <c r="AE45" s="1">
        <v>6.2415000000000003</v>
      </c>
      <c r="AF45" s="1">
        <f t="shared" si="5"/>
        <v>0.96875</v>
      </c>
      <c r="AG45" s="1">
        <f t="shared" si="6"/>
        <v>6.2415000000000003</v>
      </c>
      <c r="AI45" s="3"/>
      <c r="AJ45">
        <v>58378</v>
      </c>
      <c r="AK45" s="1">
        <v>0.32291700000000001</v>
      </c>
      <c r="AL45" s="1">
        <v>11.0572</v>
      </c>
      <c r="AM45" s="1">
        <f t="shared" si="7"/>
        <v>0.64583400000000002</v>
      </c>
      <c r="AN45" s="1">
        <f t="shared" si="8"/>
        <v>11.0572</v>
      </c>
      <c r="AQ45" t="s">
        <v>7</v>
      </c>
      <c r="AR45" s="1">
        <v>0.5</v>
      </c>
      <c r="AS45" t="s">
        <v>8</v>
      </c>
      <c r="AT45" s="1">
        <v>0</v>
      </c>
      <c r="AU45" s="1">
        <v>3.3277625653881197E-2</v>
      </c>
      <c r="AW45" t="s">
        <v>4</v>
      </c>
      <c r="AX45">
        <v>0</v>
      </c>
      <c r="AY45" t="s">
        <v>5</v>
      </c>
      <c r="AZ45">
        <v>43</v>
      </c>
      <c r="BA45" t="s">
        <v>6</v>
      </c>
      <c r="BB45" s="1">
        <v>6.7968749999999994E-2</v>
      </c>
      <c r="BC45" t="s">
        <v>7</v>
      </c>
      <c r="BD45" s="1">
        <v>0.5</v>
      </c>
      <c r="BE45" t="s">
        <v>8</v>
      </c>
      <c r="BF45" s="1">
        <v>0</v>
      </c>
      <c r="BG45" s="1">
        <f t="shared" si="0"/>
        <v>0.13593749999999999</v>
      </c>
      <c r="BH45" s="1">
        <v>13.5919504169745</v>
      </c>
      <c r="BJ45" t="s">
        <v>4</v>
      </c>
      <c r="BK45">
        <v>0</v>
      </c>
      <c r="BL45" t="s">
        <v>5</v>
      </c>
      <c r="BM45">
        <v>43</v>
      </c>
      <c r="BN45" t="s">
        <v>6</v>
      </c>
      <c r="BO45" s="1">
        <v>6.7968749999999994E-2</v>
      </c>
      <c r="BP45" t="s">
        <v>7</v>
      </c>
      <c r="BQ45" s="1">
        <v>0.5</v>
      </c>
      <c r="BR45" t="s">
        <v>8</v>
      </c>
      <c r="BS45" s="1">
        <v>0</v>
      </c>
      <c r="BT45" s="1">
        <v>13.622282745379099</v>
      </c>
      <c r="BU45" s="1">
        <f t="shared" si="1"/>
        <v>0.13593749999999999</v>
      </c>
      <c r="BV45" s="1">
        <f t="shared" si="2"/>
        <v>13.622282745379099</v>
      </c>
      <c r="BX45" s="1">
        <v>43</v>
      </c>
      <c r="BY45" s="1">
        <v>17.3800716695171</v>
      </c>
      <c r="CA45" t="s">
        <v>4</v>
      </c>
      <c r="CB45">
        <v>0</v>
      </c>
      <c r="CC45" t="s">
        <v>5</v>
      </c>
      <c r="CD45">
        <v>43</v>
      </c>
      <c r="CE45" t="s">
        <v>6</v>
      </c>
      <c r="CF45" s="1">
        <v>6.7968749999999994E-2</v>
      </c>
      <c r="CG45" t="s">
        <v>7</v>
      </c>
      <c r="CH45" s="1">
        <v>0.5</v>
      </c>
      <c r="CI45" t="s">
        <v>8</v>
      </c>
      <c r="CJ45" s="1">
        <v>0</v>
      </c>
      <c r="CK45" s="1">
        <v>14.1795215525283</v>
      </c>
    </row>
    <row r="46" spans="1:89">
      <c r="A46" t="s">
        <v>4</v>
      </c>
      <c r="B46">
        <v>0</v>
      </c>
      <c r="C46" t="s">
        <v>5</v>
      </c>
      <c r="D46">
        <v>9</v>
      </c>
      <c r="E46" t="s">
        <v>6</v>
      </c>
      <c r="F46" s="1">
        <v>0.296875</v>
      </c>
      <c r="G46" t="s">
        <v>7</v>
      </c>
      <c r="H46" s="1">
        <v>0.5</v>
      </c>
      <c r="I46" t="s">
        <v>8</v>
      </c>
      <c r="J46" s="1">
        <v>0</v>
      </c>
      <c r="K46" s="1">
        <v>24.1553782498472</v>
      </c>
      <c r="L46" s="1">
        <f t="shared" si="3"/>
        <v>0.59375</v>
      </c>
      <c r="M46" s="1">
        <f t="shared" si="10"/>
        <v>12.0776891249236</v>
      </c>
      <c r="AB46" s="4"/>
      <c r="AC46">
        <v>25217</v>
      </c>
      <c r="AD46" s="1">
        <v>0.5</v>
      </c>
      <c r="AE46" s="1">
        <v>5.4580200000000003</v>
      </c>
      <c r="AF46" s="1">
        <f t="shared" si="5"/>
        <v>1</v>
      </c>
      <c r="AG46" s="1">
        <f t="shared" si="6"/>
        <v>5.4580200000000003</v>
      </c>
      <c r="AI46" s="3"/>
      <c r="AJ46">
        <v>5729</v>
      </c>
      <c r="AK46" s="1">
        <v>0.33333299999999999</v>
      </c>
      <c r="AL46" s="1">
        <v>10.891999999999999</v>
      </c>
      <c r="AM46" s="1">
        <f t="shared" si="7"/>
        <v>0.66666599999999998</v>
      </c>
      <c r="AN46" s="1">
        <f t="shared" si="8"/>
        <v>10.891999999999999</v>
      </c>
      <c r="AQ46" t="s">
        <v>7</v>
      </c>
      <c r="AR46" s="1">
        <v>0.5</v>
      </c>
      <c r="AS46" t="s">
        <v>8</v>
      </c>
      <c r="AT46" s="1">
        <v>0</v>
      </c>
      <c r="AU46" s="1">
        <v>3.3279907985781697E-2</v>
      </c>
      <c r="AW46" t="s">
        <v>4</v>
      </c>
      <c r="AX46">
        <v>0</v>
      </c>
      <c r="AY46" t="s">
        <v>5</v>
      </c>
      <c r="AZ46">
        <v>44</v>
      </c>
      <c r="BA46" t="s">
        <v>6</v>
      </c>
      <c r="BB46" s="1">
        <v>6.9531250000000003E-2</v>
      </c>
      <c r="BC46" t="s">
        <v>7</v>
      </c>
      <c r="BD46" s="1">
        <v>0.5</v>
      </c>
      <c r="BE46" t="s">
        <v>8</v>
      </c>
      <c r="BF46" s="1">
        <v>0</v>
      </c>
      <c r="BG46" s="1">
        <f t="shared" si="0"/>
        <v>0.13906250000000001</v>
      </c>
      <c r="BH46" s="1">
        <v>13.586834570627699</v>
      </c>
      <c r="BJ46" t="s">
        <v>4</v>
      </c>
      <c r="BK46">
        <v>0</v>
      </c>
      <c r="BL46" t="s">
        <v>5</v>
      </c>
      <c r="BM46">
        <v>44</v>
      </c>
      <c r="BN46" t="s">
        <v>6</v>
      </c>
      <c r="BO46" s="1">
        <v>6.9531250000000003E-2</v>
      </c>
      <c r="BP46" t="s">
        <v>7</v>
      </c>
      <c r="BQ46" s="1">
        <v>0.5</v>
      </c>
      <c r="BR46" t="s">
        <v>8</v>
      </c>
      <c r="BS46" s="1">
        <v>0</v>
      </c>
      <c r="BT46" s="1">
        <v>13.615855696360599</v>
      </c>
      <c r="BU46" s="1">
        <f t="shared" si="1"/>
        <v>0.13906250000000001</v>
      </c>
      <c r="BV46" s="1">
        <f t="shared" si="2"/>
        <v>13.615855696360599</v>
      </c>
      <c r="BX46" s="1">
        <v>44</v>
      </c>
      <c r="BY46" s="1">
        <v>17.3895581176475</v>
      </c>
      <c r="CA46" t="s">
        <v>4</v>
      </c>
      <c r="CB46">
        <v>0</v>
      </c>
      <c r="CC46" t="s">
        <v>5</v>
      </c>
      <c r="CD46">
        <v>44</v>
      </c>
      <c r="CE46" t="s">
        <v>6</v>
      </c>
      <c r="CF46" s="1">
        <v>6.9531250000000003E-2</v>
      </c>
      <c r="CG46" t="s">
        <v>7</v>
      </c>
      <c r="CH46" s="1">
        <v>0.5</v>
      </c>
      <c r="CI46" t="s">
        <v>8</v>
      </c>
      <c r="CJ46" s="1">
        <v>0</v>
      </c>
      <c r="CK46" s="1">
        <v>14.1788783085407</v>
      </c>
    </row>
    <row r="47" spans="1:89">
      <c r="A47" t="s">
        <v>4</v>
      </c>
      <c r="B47">
        <v>0</v>
      </c>
      <c r="C47" t="s">
        <v>5</v>
      </c>
      <c r="D47">
        <v>10</v>
      </c>
      <c r="E47" t="s">
        <v>6</v>
      </c>
      <c r="F47" s="1">
        <v>0.328125</v>
      </c>
      <c r="G47" t="s">
        <v>7</v>
      </c>
      <c r="H47" s="1">
        <v>0.5</v>
      </c>
      <c r="I47" t="s">
        <v>8</v>
      </c>
      <c r="J47" s="1">
        <v>0</v>
      </c>
      <c r="K47" s="1">
        <v>23.1508463591672</v>
      </c>
      <c r="L47" s="1">
        <f t="shared" si="3"/>
        <v>0.65625</v>
      </c>
      <c r="M47" s="1">
        <f t="shared" si="10"/>
        <v>11.5754231795836</v>
      </c>
      <c r="AI47" s="3"/>
      <c r="AJ47">
        <v>58382</v>
      </c>
      <c r="AK47" s="1">
        <v>0.34375</v>
      </c>
      <c r="AL47" s="1">
        <v>10.707599999999999</v>
      </c>
      <c r="AM47" s="1">
        <f t="shared" si="7"/>
        <v>0.6875</v>
      </c>
      <c r="AN47" s="1">
        <f t="shared" si="8"/>
        <v>10.707599999999999</v>
      </c>
      <c r="AQ47" t="s">
        <v>7</v>
      </c>
      <c r="AR47" s="1">
        <v>0.5</v>
      </c>
      <c r="AS47" t="s">
        <v>8</v>
      </c>
      <c r="AT47" s="1">
        <v>0</v>
      </c>
      <c r="AU47" s="1">
        <v>3.3282208926702798E-2</v>
      </c>
      <c r="AW47" t="s">
        <v>4</v>
      </c>
      <c r="AX47">
        <v>0</v>
      </c>
      <c r="AY47" t="s">
        <v>5</v>
      </c>
      <c r="AZ47">
        <v>45</v>
      </c>
      <c r="BA47" t="s">
        <v>6</v>
      </c>
      <c r="BB47" s="1">
        <v>7.1093749999999997E-2</v>
      </c>
      <c r="BC47" t="s">
        <v>7</v>
      </c>
      <c r="BD47" s="1">
        <v>0.5</v>
      </c>
      <c r="BE47" t="s">
        <v>8</v>
      </c>
      <c r="BF47" s="1">
        <v>0</v>
      </c>
      <c r="BG47" s="1">
        <f t="shared" si="0"/>
        <v>0.14218749999999999</v>
      </c>
      <c r="BH47" s="1">
        <v>13.581639817137001</v>
      </c>
      <c r="BJ47" t="s">
        <v>4</v>
      </c>
      <c r="BK47">
        <v>0</v>
      </c>
      <c r="BL47" t="s">
        <v>5</v>
      </c>
      <c r="BM47">
        <v>45</v>
      </c>
      <c r="BN47" t="s">
        <v>6</v>
      </c>
      <c r="BO47" s="1">
        <v>7.1093749999999997E-2</v>
      </c>
      <c r="BP47" t="s">
        <v>7</v>
      </c>
      <c r="BQ47" s="1">
        <v>0.5</v>
      </c>
      <c r="BR47" t="s">
        <v>8</v>
      </c>
      <c r="BS47" s="1">
        <v>0</v>
      </c>
      <c r="BT47" s="1">
        <v>13.6086369950453</v>
      </c>
      <c r="BU47" s="1">
        <f t="shared" si="1"/>
        <v>0.14218749999999999</v>
      </c>
      <c r="BV47" s="1">
        <f t="shared" si="2"/>
        <v>13.6086369950453</v>
      </c>
      <c r="BX47" s="1">
        <v>45</v>
      </c>
      <c r="BY47" s="1">
        <v>17.3990189802782</v>
      </c>
      <c r="CA47" t="s">
        <v>4</v>
      </c>
      <c r="CB47">
        <v>0</v>
      </c>
      <c r="CC47" t="s">
        <v>5</v>
      </c>
      <c r="CD47">
        <v>45</v>
      </c>
      <c r="CE47" t="s">
        <v>6</v>
      </c>
      <c r="CF47" s="1">
        <v>7.1093749999999997E-2</v>
      </c>
      <c r="CG47" t="s">
        <v>7</v>
      </c>
      <c r="CH47" s="1">
        <v>0.5</v>
      </c>
      <c r="CI47" t="s">
        <v>8</v>
      </c>
      <c r="CJ47" s="1">
        <v>0</v>
      </c>
      <c r="CK47" s="1">
        <v>14.1782201236713</v>
      </c>
    </row>
    <row r="48" spans="1:89">
      <c r="A48" t="s">
        <v>4</v>
      </c>
      <c r="B48">
        <v>0</v>
      </c>
      <c r="C48" t="s">
        <v>5</v>
      </c>
      <c r="D48">
        <v>11</v>
      </c>
      <c r="E48" t="s">
        <v>6</v>
      </c>
      <c r="F48" s="1">
        <v>0.359375</v>
      </c>
      <c r="G48" t="s">
        <v>7</v>
      </c>
      <c r="H48" s="1">
        <v>0.5</v>
      </c>
      <c r="I48" t="s">
        <v>8</v>
      </c>
      <c r="J48" s="1">
        <v>0</v>
      </c>
      <c r="K48" s="1">
        <v>21.663894072745599</v>
      </c>
      <c r="L48" s="1">
        <f t="shared" si="3"/>
        <v>0.71875</v>
      </c>
      <c r="M48" s="1">
        <f t="shared" si="10"/>
        <v>10.831947036372799</v>
      </c>
      <c r="AI48" s="3"/>
      <c r="AJ48">
        <v>5730</v>
      </c>
      <c r="AK48" s="1">
        <v>0.35416700000000001</v>
      </c>
      <c r="AL48" s="1">
        <v>10.523099999999999</v>
      </c>
      <c r="AM48" s="1">
        <f t="shared" si="7"/>
        <v>0.70833400000000002</v>
      </c>
      <c r="AN48" s="1">
        <f t="shared" si="8"/>
        <v>10.523099999999999</v>
      </c>
      <c r="AQ48" t="s">
        <v>7</v>
      </c>
      <c r="AR48" s="1">
        <v>0.5</v>
      </c>
      <c r="AS48" t="s">
        <v>8</v>
      </c>
      <c r="AT48" s="1">
        <v>0</v>
      </c>
      <c r="AU48" s="1">
        <v>3.3284528395157602E-2</v>
      </c>
      <c r="AW48" t="s">
        <v>4</v>
      </c>
      <c r="AX48">
        <v>0</v>
      </c>
      <c r="AY48" t="s">
        <v>5</v>
      </c>
      <c r="AZ48">
        <v>46</v>
      </c>
      <c r="BA48" t="s">
        <v>6</v>
      </c>
      <c r="BB48" s="1">
        <v>7.2656250000000006E-2</v>
      </c>
      <c r="BC48" t="s">
        <v>7</v>
      </c>
      <c r="BD48" s="1">
        <v>0.5</v>
      </c>
      <c r="BE48" t="s">
        <v>8</v>
      </c>
      <c r="BF48" s="1">
        <v>0</v>
      </c>
      <c r="BG48" s="1">
        <f t="shared" si="0"/>
        <v>0.14531250000000001</v>
      </c>
      <c r="BH48" s="1">
        <v>13.576371029163701</v>
      </c>
      <c r="BJ48" t="s">
        <v>4</v>
      </c>
      <c r="BK48">
        <v>0</v>
      </c>
      <c r="BL48" t="s">
        <v>5</v>
      </c>
      <c r="BM48">
        <v>46</v>
      </c>
      <c r="BN48" t="s">
        <v>6</v>
      </c>
      <c r="BO48" s="1">
        <v>7.2656250000000006E-2</v>
      </c>
      <c r="BP48" t="s">
        <v>7</v>
      </c>
      <c r="BQ48" s="1">
        <v>0.5</v>
      </c>
      <c r="BR48" t="s">
        <v>8</v>
      </c>
      <c r="BS48" s="1">
        <v>0</v>
      </c>
      <c r="BT48" s="1">
        <v>13.600562962204</v>
      </c>
      <c r="BU48" s="1">
        <f t="shared" si="1"/>
        <v>0.14531250000000001</v>
      </c>
      <c r="BV48" s="1">
        <f t="shared" si="2"/>
        <v>13.600562962204</v>
      </c>
      <c r="BX48" s="1">
        <v>46</v>
      </c>
      <c r="BY48" s="1">
        <v>17.408454856294298</v>
      </c>
      <c r="CA48" t="s">
        <v>4</v>
      </c>
      <c r="CB48">
        <v>0</v>
      </c>
      <c r="CC48" t="s">
        <v>5</v>
      </c>
      <c r="CD48">
        <v>46</v>
      </c>
      <c r="CE48" t="s">
        <v>6</v>
      </c>
      <c r="CF48" s="1">
        <v>7.2656250000000006E-2</v>
      </c>
      <c r="CG48" t="s">
        <v>7</v>
      </c>
      <c r="CH48" s="1">
        <v>0.5</v>
      </c>
      <c r="CI48" t="s">
        <v>8</v>
      </c>
      <c r="CJ48" s="1">
        <v>0</v>
      </c>
      <c r="CK48" s="1">
        <v>14.177547251078201</v>
      </c>
    </row>
    <row r="49" spans="1:89">
      <c r="A49" t="s">
        <v>4</v>
      </c>
      <c r="B49">
        <v>0</v>
      </c>
      <c r="C49" t="s">
        <v>5</v>
      </c>
      <c r="D49">
        <v>12</v>
      </c>
      <c r="E49" t="s">
        <v>6</v>
      </c>
      <c r="F49" s="1">
        <v>0.390625</v>
      </c>
      <c r="G49" t="s">
        <v>7</v>
      </c>
      <c r="H49" s="1">
        <v>0.5</v>
      </c>
      <c r="I49" t="s">
        <v>8</v>
      </c>
      <c r="J49" s="1">
        <v>0</v>
      </c>
      <c r="K49" s="1">
        <v>21.119529854613699</v>
      </c>
      <c r="L49" s="1">
        <f t="shared" si="3"/>
        <v>0.78125</v>
      </c>
      <c r="M49" s="1">
        <f t="shared" si="10"/>
        <v>10.559764927306849</v>
      </c>
      <c r="AI49" s="3"/>
      <c r="AJ49">
        <v>58386</v>
      </c>
      <c r="AK49" s="1">
        <v>0.36458299999999999</v>
      </c>
      <c r="AL49" s="1">
        <v>10.3154</v>
      </c>
      <c r="AM49" s="1">
        <f t="shared" si="7"/>
        <v>0.72916599999999998</v>
      </c>
      <c r="AN49" s="1">
        <f t="shared" si="8"/>
        <v>10.3154</v>
      </c>
      <c r="AQ49" t="s">
        <v>7</v>
      </c>
      <c r="AR49" s="1">
        <v>0.5</v>
      </c>
      <c r="AS49" t="s">
        <v>8</v>
      </c>
      <c r="AT49" s="1">
        <v>0</v>
      </c>
      <c r="AU49" s="1">
        <v>3.3286866311570899E-2</v>
      </c>
      <c r="AW49" t="s">
        <v>4</v>
      </c>
      <c r="AX49">
        <v>0</v>
      </c>
      <c r="AY49" t="s">
        <v>5</v>
      </c>
      <c r="AZ49">
        <v>47</v>
      </c>
      <c r="BA49" t="s">
        <v>6</v>
      </c>
      <c r="BB49" s="1">
        <v>7.421875E-2</v>
      </c>
      <c r="BC49" t="s">
        <v>7</v>
      </c>
      <c r="BD49" s="1">
        <v>0.5</v>
      </c>
      <c r="BE49" t="s">
        <v>8</v>
      </c>
      <c r="BF49" s="1">
        <v>0</v>
      </c>
      <c r="BG49" s="1">
        <f t="shared" si="0"/>
        <v>0.1484375</v>
      </c>
      <c r="BH49" s="1">
        <v>13.571033504495</v>
      </c>
      <c r="BJ49" t="s">
        <v>4</v>
      </c>
      <c r="BK49">
        <v>0</v>
      </c>
      <c r="BL49" t="s">
        <v>5</v>
      </c>
      <c r="BM49">
        <v>47</v>
      </c>
      <c r="BN49" t="s">
        <v>6</v>
      </c>
      <c r="BO49" s="1">
        <v>7.421875E-2</v>
      </c>
      <c r="BP49" t="s">
        <v>7</v>
      </c>
      <c r="BQ49" s="1">
        <v>0.5</v>
      </c>
      <c r="BR49" t="s">
        <v>8</v>
      </c>
      <c r="BS49" s="1">
        <v>0</v>
      </c>
      <c r="BT49" s="1">
        <v>13.591570148332</v>
      </c>
      <c r="BU49" s="1">
        <f t="shared" si="1"/>
        <v>0.1484375</v>
      </c>
      <c r="BV49" s="1">
        <f t="shared" si="2"/>
        <v>13.591570148332</v>
      </c>
      <c r="BX49" s="1">
        <v>47</v>
      </c>
      <c r="BY49" s="1">
        <v>17.417865561079701</v>
      </c>
      <c r="CA49" t="s">
        <v>4</v>
      </c>
      <c r="CB49">
        <v>0</v>
      </c>
      <c r="CC49" t="s">
        <v>5</v>
      </c>
      <c r="CD49">
        <v>47</v>
      </c>
      <c r="CE49" t="s">
        <v>6</v>
      </c>
      <c r="CF49" s="1">
        <v>7.421875E-2</v>
      </c>
      <c r="CG49" t="s">
        <v>7</v>
      </c>
      <c r="CH49" s="1">
        <v>0.5</v>
      </c>
      <c r="CI49" t="s">
        <v>8</v>
      </c>
      <c r="CJ49" s="1">
        <v>0</v>
      </c>
      <c r="CK49" s="1">
        <v>14.1768591430532</v>
      </c>
    </row>
    <row r="50" spans="1:89">
      <c r="A50" t="s">
        <v>4</v>
      </c>
      <c r="B50">
        <v>0</v>
      </c>
      <c r="C50" t="s">
        <v>5</v>
      </c>
      <c r="D50">
        <v>13</v>
      </c>
      <c r="E50" t="s">
        <v>6</v>
      </c>
      <c r="F50" s="1">
        <v>0.421875</v>
      </c>
      <c r="G50" t="s">
        <v>7</v>
      </c>
      <c r="H50" s="1">
        <v>0.5</v>
      </c>
      <c r="I50" t="s">
        <v>8</v>
      </c>
      <c r="J50" s="1">
        <v>0</v>
      </c>
      <c r="K50" s="1">
        <v>17.616052103124499</v>
      </c>
      <c r="L50" s="1">
        <f t="shared" si="3"/>
        <v>0.84375</v>
      </c>
      <c r="M50" s="1">
        <f t="shared" si="10"/>
        <v>8.8080260515622495</v>
      </c>
      <c r="AI50" s="3"/>
      <c r="AJ50">
        <v>5731</v>
      </c>
      <c r="AK50" s="1">
        <v>0.375</v>
      </c>
      <c r="AL50" s="1">
        <v>10.1076</v>
      </c>
      <c r="AM50" s="1">
        <f t="shared" si="7"/>
        <v>0.75</v>
      </c>
      <c r="AN50" s="1">
        <f t="shared" si="8"/>
        <v>10.1076</v>
      </c>
      <c r="AQ50" t="s">
        <v>7</v>
      </c>
      <c r="AR50" s="1">
        <v>0.5</v>
      </c>
      <c r="AS50" t="s">
        <v>8</v>
      </c>
      <c r="AT50" s="1">
        <v>0</v>
      </c>
      <c r="AU50" s="1">
        <v>3.3289222598298099E-2</v>
      </c>
      <c r="AW50" t="s">
        <v>4</v>
      </c>
      <c r="AX50">
        <v>0</v>
      </c>
      <c r="AY50" t="s">
        <v>5</v>
      </c>
      <c r="AZ50">
        <v>48</v>
      </c>
      <c r="BA50" t="s">
        <v>6</v>
      </c>
      <c r="BB50" s="1">
        <v>7.5781249999999994E-2</v>
      </c>
      <c r="BC50" t="s">
        <v>7</v>
      </c>
      <c r="BD50" s="1">
        <v>0.5</v>
      </c>
      <c r="BE50" t="s">
        <v>8</v>
      </c>
      <c r="BF50" s="1">
        <v>0</v>
      </c>
      <c r="BG50" s="1">
        <f t="shared" si="0"/>
        <v>0.15156249999999999</v>
      </c>
      <c r="BH50" s="1">
        <v>13.565631877785201</v>
      </c>
      <c r="BJ50" t="s">
        <v>4</v>
      </c>
      <c r="BK50">
        <v>0</v>
      </c>
      <c r="BL50" t="s">
        <v>5</v>
      </c>
      <c r="BM50">
        <v>48</v>
      </c>
      <c r="BN50" t="s">
        <v>6</v>
      </c>
      <c r="BO50" s="1">
        <v>7.5781249999999994E-2</v>
      </c>
      <c r="BP50" t="s">
        <v>7</v>
      </c>
      <c r="BQ50" s="1">
        <v>0.5</v>
      </c>
      <c r="BR50" t="s">
        <v>8</v>
      </c>
      <c r="BS50" s="1">
        <v>0</v>
      </c>
      <c r="BT50" s="1">
        <v>13.581595004432399</v>
      </c>
      <c r="BU50" s="1">
        <f t="shared" si="1"/>
        <v>0.15156249999999999</v>
      </c>
      <c r="BV50" s="1">
        <f t="shared" si="2"/>
        <v>13.581595004432399</v>
      </c>
      <c r="BX50" s="1">
        <v>48</v>
      </c>
      <c r="BY50" s="1">
        <v>17.427251085988001</v>
      </c>
      <c r="CA50" t="s">
        <v>4</v>
      </c>
      <c r="CB50">
        <v>0</v>
      </c>
      <c r="CC50" t="s">
        <v>5</v>
      </c>
      <c r="CD50">
        <v>48</v>
      </c>
      <c r="CE50" t="s">
        <v>6</v>
      </c>
      <c r="CF50" s="1">
        <v>7.5781249999999994E-2</v>
      </c>
      <c r="CG50" t="s">
        <v>7</v>
      </c>
      <c r="CH50" s="1">
        <v>0.5</v>
      </c>
      <c r="CI50" t="s">
        <v>8</v>
      </c>
      <c r="CJ50" s="1">
        <v>0</v>
      </c>
      <c r="CK50" s="1">
        <v>14.176156093418401</v>
      </c>
    </row>
    <row r="51" spans="1:89">
      <c r="A51" t="s">
        <v>4</v>
      </c>
      <c r="B51">
        <v>0</v>
      </c>
      <c r="C51" t="s">
        <v>5</v>
      </c>
      <c r="D51">
        <v>14</v>
      </c>
      <c r="E51" t="s">
        <v>6</v>
      </c>
      <c r="F51" s="1">
        <v>0.453125</v>
      </c>
      <c r="G51" t="s">
        <v>7</v>
      </c>
      <c r="H51" s="1">
        <v>0.5</v>
      </c>
      <c r="I51" t="s">
        <v>8</v>
      </c>
      <c r="J51" s="1">
        <v>0</v>
      </c>
      <c r="K51" s="1">
        <v>18.8696665871365</v>
      </c>
      <c r="L51" s="1">
        <f t="shared" si="3"/>
        <v>0.90625</v>
      </c>
      <c r="M51" s="1">
        <f t="shared" si="10"/>
        <v>9.43483329356825</v>
      </c>
      <c r="AI51" s="3"/>
      <c r="AJ51">
        <v>58390</v>
      </c>
      <c r="AK51" s="1">
        <v>0.38541700000000001</v>
      </c>
      <c r="AL51" s="1">
        <v>9.8723100000000006</v>
      </c>
      <c r="AM51" s="1">
        <f t="shared" si="7"/>
        <v>0.77083400000000002</v>
      </c>
      <c r="AN51" s="1">
        <f t="shared" si="8"/>
        <v>9.8723100000000006</v>
      </c>
      <c r="AQ51" t="s">
        <v>7</v>
      </c>
      <c r="AR51" s="1">
        <v>0.5</v>
      </c>
      <c r="AS51" t="s">
        <v>8</v>
      </c>
      <c r="AT51" s="1">
        <v>0</v>
      </c>
      <c r="AU51" s="1">
        <v>3.32915971796253E-2</v>
      </c>
      <c r="AW51" t="s">
        <v>4</v>
      </c>
      <c r="AX51">
        <v>0</v>
      </c>
      <c r="AY51" t="s">
        <v>5</v>
      </c>
      <c r="AZ51">
        <v>49</v>
      </c>
      <c r="BA51" t="s">
        <v>6</v>
      </c>
      <c r="BB51" s="1">
        <v>7.7343750000000003E-2</v>
      </c>
      <c r="BC51" t="s">
        <v>7</v>
      </c>
      <c r="BD51" s="1">
        <v>0.5</v>
      </c>
      <c r="BE51" t="s">
        <v>8</v>
      </c>
      <c r="BF51" s="1">
        <v>0</v>
      </c>
      <c r="BG51" s="1">
        <f t="shared" si="0"/>
        <v>0.15468750000000001</v>
      </c>
      <c r="BH51" s="1">
        <v>13.5601713673954</v>
      </c>
      <c r="BJ51" t="s">
        <v>4</v>
      </c>
      <c r="BK51">
        <v>0</v>
      </c>
      <c r="BL51" t="s">
        <v>5</v>
      </c>
      <c r="BM51">
        <v>49</v>
      </c>
      <c r="BN51" t="s">
        <v>6</v>
      </c>
      <c r="BO51" s="1">
        <v>7.7343750000000003E-2</v>
      </c>
      <c r="BP51" t="s">
        <v>7</v>
      </c>
      <c r="BQ51" s="1">
        <v>0.5</v>
      </c>
      <c r="BR51" t="s">
        <v>8</v>
      </c>
      <c r="BS51" s="1">
        <v>0</v>
      </c>
      <c r="BT51" s="1">
        <v>13.5705722641466</v>
      </c>
      <c r="BU51" s="1">
        <f t="shared" si="1"/>
        <v>0.15468750000000001</v>
      </c>
      <c r="BV51" s="1">
        <f t="shared" si="2"/>
        <v>13.5705722641466</v>
      </c>
      <c r="BX51" s="1">
        <v>49</v>
      </c>
      <c r="BY51" s="1">
        <v>17.436611870589001</v>
      </c>
      <c r="CA51" t="s">
        <v>4</v>
      </c>
      <c r="CB51">
        <v>0</v>
      </c>
      <c r="CC51" t="s">
        <v>5</v>
      </c>
      <c r="CD51">
        <v>49</v>
      </c>
      <c r="CE51" t="s">
        <v>6</v>
      </c>
      <c r="CF51" s="1">
        <v>7.7343750000000003E-2</v>
      </c>
      <c r="CG51" t="s">
        <v>7</v>
      </c>
      <c r="CH51" s="1">
        <v>0.5</v>
      </c>
      <c r="CI51" t="s">
        <v>8</v>
      </c>
      <c r="CJ51" s="1">
        <v>0</v>
      </c>
      <c r="CK51" s="1">
        <v>14.175438231102</v>
      </c>
    </row>
    <row r="52" spans="1:89">
      <c r="A52" t="s">
        <v>4</v>
      </c>
      <c r="B52">
        <v>0</v>
      </c>
      <c r="C52" t="s">
        <v>5</v>
      </c>
      <c r="D52">
        <v>15</v>
      </c>
      <c r="E52" t="s">
        <v>6</v>
      </c>
      <c r="F52" s="1">
        <v>0.484375</v>
      </c>
      <c r="G52" t="s">
        <v>7</v>
      </c>
      <c r="H52" s="1">
        <v>0.5</v>
      </c>
      <c r="I52" t="s">
        <v>8</v>
      </c>
      <c r="J52" s="1">
        <v>0</v>
      </c>
      <c r="K52" s="1">
        <v>10.311261893477401</v>
      </c>
      <c r="L52" s="1">
        <f t="shared" si="3"/>
        <v>0.96875</v>
      </c>
      <c r="M52" s="1">
        <f t="shared" si="10"/>
        <v>5.1556309467387003</v>
      </c>
      <c r="AI52" s="3"/>
      <c r="AJ52">
        <v>5732</v>
      </c>
      <c r="AK52" s="1">
        <v>0.39583299999999999</v>
      </c>
      <c r="AL52" s="1">
        <v>9.6369900000000008</v>
      </c>
      <c r="AM52" s="1">
        <f t="shared" si="7"/>
        <v>0.79166599999999998</v>
      </c>
      <c r="AN52" s="1">
        <f t="shared" si="8"/>
        <v>9.6369900000000008</v>
      </c>
      <c r="AQ52" t="s">
        <v>7</v>
      </c>
      <c r="AR52" s="1">
        <v>0.5</v>
      </c>
      <c r="AS52" t="s">
        <v>8</v>
      </c>
      <c r="AT52" s="1">
        <v>0</v>
      </c>
      <c r="AU52" s="1">
        <v>3.3293989981763202E-2</v>
      </c>
      <c r="AW52" t="s">
        <v>4</v>
      </c>
      <c r="AX52">
        <v>0</v>
      </c>
      <c r="AY52" t="s">
        <v>5</v>
      </c>
      <c r="AZ52">
        <v>50</v>
      </c>
      <c r="BA52" t="s">
        <v>6</v>
      </c>
      <c r="BB52" s="1">
        <v>7.8906249999999997E-2</v>
      </c>
      <c r="BC52" t="s">
        <v>7</v>
      </c>
      <c r="BD52" s="1">
        <v>0.5</v>
      </c>
      <c r="BE52" t="s">
        <v>8</v>
      </c>
      <c r="BF52" s="1">
        <v>0</v>
      </c>
      <c r="BG52" s="1">
        <f t="shared" si="0"/>
        <v>0.15781249999999999</v>
      </c>
      <c r="BH52" s="1">
        <v>13.5546569321838</v>
      </c>
      <c r="BJ52" t="s">
        <v>4</v>
      </c>
      <c r="BK52">
        <v>0</v>
      </c>
      <c r="BL52" t="s">
        <v>5</v>
      </c>
      <c r="BM52">
        <v>50</v>
      </c>
      <c r="BN52" t="s">
        <v>6</v>
      </c>
      <c r="BO52" s="1">
        <v>7.8906249999999997E-2</v>
      </c>
      <c r="BP52" t="s">
        <v>7</v>
      </c>
      <c r="BQ52" s="1">
        <v>0.5</v>
      </c>
      <c r="BR52" t="s">
        <v>8</v>
      </c>
      <c r="BS52" s="1">
        <v>0</v>
      </c>
      <c r="BT52" s="1">
        <v>13.5584455349645</v>
      </c>
      <c r="BU52" s="1">
        <f t="shared" si="1"/>
        <v>0.15781249999999999</v>
      </c>
      <c r="BV52" s="1">
        <f t="shared" si="2"/>
        <v>13.5584455349645</v>
      </c>
      <c r="BX52" s="1">
        <v>50</v>
      </c>
      <c r="BY52" s="1">
        <v>17.445945715438199</v>
      </c>
      <c r="CA52" t="s">
        <v>4</v>
      </c>
      <c r="CB52">
        <v>0</v>
      </c>
      <c r="CC52" t="s">
        <v>5</v>
      </c>
      <c r="CD52">
        <v>50</v>
      </c>
      <c r="CE52" t="s">
        <v>6</v>
      </c>
      <c r="CF52" s="1">
        <v>7.8906249999999997E-2</v>
      </c>
      <c r="CG52" t="s">
        <v>7</v>
      </c>
      <c r="CH52" s="1">
        <v>0.5</v>
      </c>
      <c r="CI52" t="s">
        <v>8</v>
      </c>
      <c r="CJ52" s="1">
        <v>0</v>
      </c>
      <c r="CK52" s="1">
        <v>14.1747061534055</v>
      </c>
    </row>
    <row r="53" spans="1:89">
      <c r="AI53" s="3"/>
      <c r="AJ53">
        <v>58394</v>
      </c>
      <c r="AK53" s="1">
        <v>0.40625</v>
      </c>
      <c r="AL53" s="1">
        <v>9.3722799999999999</v>
      </c>
      <c r="AM53" s="1">
        <f t="shared" si="7"/>
        <v>0.8125</v>
      </c>
      <c r="AN53" s="1">
        <f t="shared" si="8"/>
        <v>9.3722799999999999</v>
      </c>
      <c r="AQ53" t="s">
        <v>7</v>
      </c>
      <c r="AR53" s="1">
        <v>0.5</v>
      </c>
      <c r="AS53" t="s">
        <v>8</v>
      </c>
      <c r="AT53" s="1">
        <v>0</v>
      </c>
      <c r="AU53" s="1">
        <v>3.3296400932877203E-2</v>
      </c>
      <c r="AW53" t="s">
        <v>4</v>
      </c>
      <c r="AX53">
        <v>0</v>
      </c>
      <c r="AY53" t="s">
        <v>5</v>
      </c>
      <c r="AZ53">
        <v>51</v>
      </c>
      <c r="BA53" t="s">
        <v>6</v>
      </c>
      <c r="BB53" s="1">
        <v>8.0468750000000006E-2</v>
      </c>
      <c r="BC53" t="s">
        <v>7</v>
      </c>
      <c r="BD53" s="1">
        <v>0.5</v>
      </c>
      <c r="BE53" t="s">
        <v>8</v>
      </c>
      <c r="BF53" s="1">
        <v>0</v>
      </c>
      <c r="BG53" s="1">
        <f t="shared" si="0"/>
        <v>0.16093750000000001</v>
      </c>
      <c r="BH53" s="1">
        <v>13.5490936477688</v>
      </c>
      <c r="BJ53" t="s">
        <v>4</v>
      </c>
      <c r="BK53">
        <v>0</v>
      </c>
      <c r="BL53" t="s">
        <v>5</v>
      </c>
      <c r="BM53">
        <v>51</v>
      </c>
      <c r="BN53" t="s">
        <v>6</v>
      </c>
      <c r="BO53" s="1">
        <v>8.0468750000000006E-2</v>
      </c>
      <c r="BP53" t="s">
        <v>7</v>
      </c>
      <c r="BQ53" s="1">
        <v>0.5</v>
      </c>
      <c r="BR53" t="s">
        <v>8</v>
      </c>
      <c r="BS53" s="1">
        <v>0</v>
      </c>
      <c r="BT53" s="1">
        <v>13.545147166103201</v>
      </c>
      <c r="BU53" s="1">
        <f t="shared" si="1"/>
        <v>0.16093750000000001</v>
      </c>
      <c r="BV53" s="1">
        <f t="shared" si="2"/>
        <v>13.545147166103201</v>
      </c>
      <c r="BX53" s="1">
        <v>51</v>
      </c>
      <c r="BY53" s="1">
        <v>17.455193327261799</v>
      </c>
      <c r="CA53" t="s">
        <v>4</v>
      </c>
      <c r="CB53">
        <v>0</v>
      </c>
      <c r="CC53" t="s">
        <v>5</v>
      </c>
      <c r="CD53">
        <v>51</v>
      </c>
      <c r="CE53" t="s">
        <v>6</v>
      </c>
      <c r="CF53" s="1">
        <v>8.0468750000000006E-2</v>
      </c>
      <c r="CG53" t="s">
        <v>7</v>
      </c>
      <c r="CH53" s="1">
        <v>0.5</v>
      </c>
      <c r="CI53" t="s">
        <v>8</v>
      </c>
      <c r="CJ53" s="1">
        <v>0</v>
      </c>
      <c r="CK53" s="1">
        <v>14.173945733676</v>
      </c>
    </row>
    <row r="54" spans="1:89">
      <c r="AI54" s="3"/>
      <c r="AJ54">
        <v>5733</v>
      </c>
      <c r="AK54" s="1">
        <v>0.41666700000000001</v>
      </c>
      <c r="AL54" s="1">
        <v>9.1075700000000008</v>
      </c>
      <c r="AM54" s="1">
        <f t="shared" si="7"/>
        <v>0.83333400000000002</v>
      </c>
      <c r="AN54" s="1">
        <f t="shared" si="8"/>
        <v>9.1075700000000008</v>
      </c>
      <c r="AQ54" t="s">
        <v>7</v>
      </c>
      <c r="AR54" s="1">
        <v>0.5</v>
      </c>
      <c r="AS54" t="s">
        <v>8</v>
      </c>
      <c r="AT54" s="1">
        <v>0</v>
      </c>
      <c r="AU54" s="1">
        <v>3.3298829963045E-2</v>
      </c>
      <c r="AW54" t="s">
        <v>4</v>
      </c>
      <c r="AX54">
        <v>0</v>
      </c>
      <c r="AY54" t="s">
        <v>5</v>
      </c>
      <c r="AZ54">
        <v>52</v>
      </c>
      <c r="BA54" t="s">
        <v>6</v>
      </c>
      <c r="BB54" s="1">
        <v>8.203125E-2</v>
      </c>
      <c r="BC54" t="s">
        <v>7</v>
      </c>
      <c r="BD54" s="1">
        <v>0.5</v>
      </c>
      <c r="BE54" t="s">
        <v>8</v>
      </c>
      <c r="BF54" s="1">
        <v>0</v>
      </c>
      <c r="BG54" s="1">
        <f t="shared" si="0"/>
        <v>0.1640625</v>
      </c>
      <c r="BH54" s="1">
        <v>13.5434867295234</v>
      </c>
      <c r="BJ54" t="s">
        <v>4</v>
      </c>
      <c r="BK54">
        <v>0</v>
      </c>
      <c r="BL54" t="s">
        <v>5</v>
      </c>
      <c r="BM54">
        <v>52</v>
      </c>
      <c r="BN54" t="s">
        <v>6</v>
      </c>
      <c r="BO54" s="1">
        <v>8.203125E-2</v>
      </c>
      <c r="BP54" t="s">
        <v>7</v>
      </c>
      <c r="BQ54" s="1">
        <v>0.5</v>
      </c>
      <c r="BR54" t="s">
        <v>8</v>
      </c>
      <c r="BS54" s="1">
        <v>0</v>
      </c>
      <c r="BT54" s="1">
        <v>13.5306123930255</v>
      </c>
      <c r="BU54" s="1">
        <f t="shared" si="1"/>
        <v>0.1640625</v>
      </c>
      <c r="BV54" s="1">
        <f t="shared" si="2"/>
        <v>13.5306123930255</v>
      </c>
      <c r="BX54" s="1">
        <v>52</v>
      </c>
      <c r="BY54" s="1">
        <v>17.464476227255599</v>
      </c>
      <c r="CA54" t="s">
        <v>4</v>
      </c>
      <c r="CB54">
        <v>0</v>
      </c>
      <c r="CC54" t="s">
        <v>5</v>
      </c>
      <c r="CD54">
        <v>52</v>
      </c>
      <c r="CE54" t="s">
        <v>6</v>
      </c>
      <c r="CF54" s="1">
        <v>8.203125E-2</v>
      </c>
      <c r="CG54" t="s">
        <v>7</v>
      </c>
      <c r="CH54" s="1">
        <v>0.5</v>
      </c>
      <c r="CI54" t="s">
        <v>8</v>
      </c>
      <c r="CJ54" s="1">
        <v>0</v>
      </c>
      <c r="CK54" s="1">
        <v>14.1731815171942</v>
      </c>
    </row>
    <row r="55" spans="1:89">
      <c r="AI55" s="3"/>
      <c r="AJ55">
        <v>58398</v>
      </c>
      <c r="AK55" s="1">
        <v>0.42708299999999999</v>
      </c>
      <c r="AL55" s="1">
        <v>8.8015799999999995</v>
      </c>
      <c r="AM55" s="1">
        <f t="shared" si="7"/>
        <v>0.85416599999999998</v>
      </c>
      <c r="AN55" s="1">
        <f t="shared" si="8"/>
        <v>8.8015799999999995</v>
      </c>
      <c r="AQ55" t="s">
        <v>7</v>
      </c>
      <c r="AR55" s="1">
        <v>0.5</v>
      </c>
      <c r="AS55" t="s">
        <v>8</v>
      </c>
      <c r="AT55" s="1">
        <v>0</v>
      </c>
      <c r="AU55" s="1">
        <v>3.33012770043042E-2</v>
      </c>
      <c r="AW55" t="s">
        <v>4</v>
      </c>
      <c r="AX55">
        <v>0</v>
      </c>
      <c r="AY55" t="s">
        <v>5</v>
      </c>
      <c r="AZ55">
        <v>53</v>
      </c>
      <c r="BA55" t="s">
        <v>6</v>
      </c>
      <c r="BB55" s="1">
        <v>8.3593749999999994E-2</v>
      </c>
      <c r="BC55" t="s">
        <v>7</v>
      </c>
      <c r="BD55" s="1">
        <v>0.5</v>
      </c>
      <c r="BE55" t="s">
        <v>8</v>
      </c>
      <c r="BF55" s="1">
        <v>0</v>
      </c>
      <c r="BG55" s="1">
        <f t="shared" si="0"/>
        <v>0.16718749999999999</v>
      </c>
      <c r="BH55" s="1">
        <v>13.5378402386362</v>
      </c>
      <c r="BJ55" t="s">
        <v>4</v>
      </c>
      <c r="BK55">
        <v>0</v>
      </c>
      <c r="BL55" t="s">
        <v>5</v>
      </c>
      <c r="BM55">
        <v>53</v>
      </c>
      <c r="BN55" t="s">
        <v>6</v>
      </c>
      <c r="BO55" s="1">
        <v>8.3593749999999994E-2</v>
      </c>
      <c r="BP55" t="s">
        <v>7</v>
      </c>
      <c r="BQ55" s="1">
        <v>0.5</v>
      </c>
      <c r="BR55" t="s">
        <v>8</v>
      </c>
      <c r="BS55" s="1">
        <v>0</v>
      </c>
      <c r="BT55" s="1">
        <v>13.5147877887131</v>
      </c>
      <c r="BU55" s="1">
        <f t="shared" si="1"/>
        <v>0.16718749999999999</v>
      </c>
      <c r="BV55" s="1">
        <f t="shared" si="2"/>
        <v>13.5147877887131</v>
      </c>
      <c r="BX55" s="1">
        <v>53</v>
      </c>
      <c r="BY55" s="1">
        <v>17.473725884438402</v>
      </c>
      <c r="CA55" t="s">
        <v>4</v>
      </c>
      <c r="CB55">
        <v>0</v>
      </c>
      <c r="CC55" t="s">
        <v>5</v>
      </c>
      <c r="CD55">
        <v>53</v>
      </c>
      <c r="CE55" t="s">
        <v>6</v>
      </c>
      <c r="CF55" s="1">
        <v>8.3593749999999994E-2</v>
      </c>
      <c r="CG55" t="s">
        <v>7</v>
      </c>
      <c r="CH55" s="1">
        <v>0.5</v>
      </c>
      <c r="CI55" t="s">
        <v>8</v>
      </c>
      <c r="CJ55" s="1">
        <v>0</v>
      </c>
      <c r="CK55" s="1">
        <v>14.172399457149201</v>
      </c>
    </row>
    <row r="56" spans="1:89">
      <c r="AI56" s="3"/>
      <c r="AJ56">
        <v>5734</v>
      </c>
      <c r="AK56" s="1">
        <v>0.4375</v>
      </c>
      <c r="AL56" s="1">
        <v>8.4955999999999996</v>
      </c>
      <c r="AM56" s="1">
        <f t="shared" si="7"/>
        <v>0.875</v>
      </c>
      <c r="AN56" s="1">
        <f t="shared" si="8"/>
        <v>8.4955999999999996</v>
      </c>
      <c r="AQ56" t="s">
        <v>7</v>
      </c>
      <c r="AR56" s="1">
        <v>0.5</v>
      </c>
      <c r="AS56" t="s">
        <v>8</v>
      </c>
      <c r="AT56" s="1">
        <v>0</v>
      </c>
      <c r="AU56" s="1">
        <v>3.3303741990626003E-2</v>
      </c>
      <c r="AW56" t="s">
        <v>4</v>
      </c>
      <c r="AX56">
        <v>0</v>
      </c>
      <c r="AY56" t="s">
        <v>5</v>
      </c>
      <c r="AZ56">
        <v>54</v>
      </c>
      <c r="BA56" t="s">
        <v>6</v>
      </c>
      <c r="BB56" s="1">
        <v>8.5156250000000003E-2</v>
      </c>
      <c r="BC56" t="s">
        <v>7</v>
      </c>
      <c r="BD56" s="1">
        <v>0.5</v>
      </c>
      <c r="BE56" t="s">
        <v>8</v>
      </c>
      <c r="BF56" s="1">
        <v>0</v>
      </c>
      <c r="BG56" s="1">
        <f t="shared" si="0"/>
        <v>0.17031250000000001</v>
      </c>
      <c r="BH56" s="1">
        <v>13.5321611186466</v>
      </c>
      <c r="BJ56" t="s">
        <v>4</v>
      </c>
      <c r="BK56">
        <v>0</v>
      </c>
      <c r="BL56" t="s">
        <v>5</v>
      </c>
      <c r="BM56">
        <v>54</v>
      </c>
      <c r="BN56" t="s">
        <v>6</v>
      </c>
      <c r="BO56" s="1">
        <v>8.5156250000000003E-2</v>
      </c>
      <c r="BP56" t="s">
        <v>7</v>
      </c>
      <c r="BQ56" s="1">
        <v>0.5</v>
      </c>
      <c r="BR56" t="s">
        <v>8</v>
      </c>
      <c r="BS56" s="1">
        <v>0</v>
      </c>
      <c r="BT56" s="1">
        <v>13.497606584574299</v>
      </c>
      <c r="BU56" s="1">
        <f t="shared" si="1"/>
        <v>0.17031250000000001</v>
      </c>
      <c r="BV56" s="1">
        <f t="shared" si="2"/>
        <v>13.497606584574299</v>
      </c>
      <c r="BX56" s="1">
        <v>54</v>
      </c>
      <c r="BY56" s="1">
        <v>17.482948362563999</v>
      </c>
      <c r="CA56" t="s">
        <v>4</v>
      </c>
      <c r="CB56">
        <v>0</v>
      </c>
      <c r="CC56" t="s">
        <v>5</v>
      </c>
      <c r="CD56">
        <v>54</v>
      </c>
      <c r="CE56" t="s">
        <v>6</v>
      </c>
      <c r="CF56" s="1">
        <v>8.5156250000000003E-2</v>
      </c>
      <c r="CG56" t="s">
        <v>7</v>
      </c>
      <c r="CH56" s="1">
        <v>0.5</v>
      </c>
      <c r="CI56" t="s">
        <v>8</v>
      </c>
      <c r="CJ56" s="1">
        <v>0</v>
      </c>
      <c r="CK56" s="1">
        <v>14.1716030816848</v>
      </c>
    </row>
    <row r="57" spans="1:89">
      <c r="AI57" s="3"/>
      <c r="AJ57">
        <v>58402</v>
      </c>
      <c r="AK57" s="1">
        <v>0.44791700000000001</v>
      </c>
      <c r="AL57" s="1">
        <v>8.2087299999999992</v>
      </c>
      <c r="AM57" s="1">
        <f t="shared" si="7"/>
        <v>0.89583400000000002</v>
      </c>
      <c r="AN57" s="1">
        <f t="shared" si="8"/>
        <v>8.2087299999999992</v>
      </c>
      <c r="AQ57" t="s">
        <v>7</v>
      </c>
      <c r="AR57" s="1">
        <v>0.5</v>
      </c>
      <c r="AS57" t="s">
        <v>8</v>
      </c>
      <c r="AT57" s="1">
        <v>0</v>
      </c>
      <c r="AU57" s="1">
        <v>3.3306224857939097E-2</v>
      </c>
      <c r="AW57" t="s">
        <v>4</v>
      </c>
      <c r="AX57">
        <v>0</v>
      </c>
      <c r="AY57" t="s">
        <v>5</v>
      </c>
      <c r="AZ57">
        <v>55</v>
      </c>
      <c r="BA57" t="s">
        <v>6</v>
      </c>
      <c r="BB57" s="1">
        <v>8.6718749999999997E-2</v>
      </c>
      <c r="BC57" t="s">
        <v>7</v>
      </c>
      <c r="BD57" s="1">
        <v>0.5</v>
      </c>
      <c r="BE57" t="s">
        <v>8</v>
      </c>
      <c r="BF57" s="1">
        <v>0</v>
      </c>
      <c r="BG57" s="1">
        <f t="shared" si="0"/>
        <v>0.17343749999999999</v>
      </c>
      <c r="BH57" s="1">
        <v>13.5264532552153</v>
      </c>
      <c r="BJ57" t="s">
        <v>4</v>
      </c>
      <c r="BK57">
        <v>0</v>
      </c>
      <c r="BL57" t="s">
        <v>5</v>
      </c>
      <c r="BM57">
        <v>55</v>
      </c>
      <c r="BN57" t="s">
        <v>6</v>
      </c>
      <c r="BO57" s="1">
        <v>8.6718749999999997E-2</v>
      </c>
      <c r="BP57" t="s">
        <v>7</v>
      </c>
      <c r="BQ57" s="1">
        <v>0.5</v>
      </c>
      <c r="BR57" t="s">
        <v>8</v>
      </c>
      <c r="BS57" s="1">
        <v>0</v>
      </c>
      <c r="BT57" s="1">
        <v>13.4790074616336</v>
      </c>
      <c r="BU57" s="1">
        <f t="shared" si="1"/>
        <v>0.17343749999999999</v>
      </c>
      <c r="BV57" s="1">
        <f t="shared" si="2"/>
        <v>13.4790074616336</v>
      </c>
      <c r="BX57" s="1">
        <v>55</v>
      </c>
      <c r="BY57" s="1">
        <v>17.492156446996798</v>
      </c>
      <c r="CA57" t="s">
        <v>4</v>
      </c>
      <c r="CB57">
        <v>0</v>
      </c>
      <c r="CC57" t="s">
        <v>5</v>
      </c>
      <c r="CD57">
        <v>55</v>
      </c>
      <c r="CE57" t="s">
        <v>6</v>
      </c>
      <c r="CF57" s="1">
        <v>8.6718749999999997E-2</v>
      </c>
      <c r="CG57" t="s">
        <v>7</v>
      </c>
      <c r="CH57" s="1">
        <v>0.5</v>
      </c>
      <c r="CI57" t="s">
        <v>8</v>
      </c>
      <c r="CJ57" s="1">
        <v>0</v>
      </c>
      <c r="CK57" s="1">
        <v>14.170793701249201</v>
      </c>
    </row>
    <row r="58" spans="1:89">
      <c r="AI58" s="3"/>
      <c r="AJ58">
        <v>5735</v>
      </c>
      <c r="AK58" s="1">
        <v>0.45833299999999999</v>
      </c>
      <c r="AL58" s="1">
        <v>7.9218599999999997</v>
      </c>
      <c r="AM58" s="1">
        <f t="shared" si="7"/>
        <v>0.91666599999999998</v>
      </c>
      <c r="AN58" s="1">
        <f t="shared" si="8"/>
        <v>7.9218599999999997</v>
      </c>
      <c r="AQ58" t="s">
        <v>7</v>
      </c>
      <c r="AR58" s="1">
        <v>0.5</v>
      </c>
      <c r="AS58" t="s">
        <v>8</v>
      </c>
      <c r="AT58" s="1">
        <v>0</v>
      </c>
      <c r="AU58" s="1">
        <v>3.3308725544110199E-2</v>
      </c>
      <c r="AW58" t="s">
        <v>4</v>
      </c>
      <c r="AX58">
        <v>0</v>
      </c>
      <c r="AY58" t="s">
        <v>5</v>
      </c>
      <c r="AZ58">
        <v>56</v>
      </c>
      <c r="BA58" t="s">
        <v>6</v>
      </c>
      <c r="BB58" s="1">
        <v>8.8281250000000006E-2</v>
      </c>
      <c r="BC58" t="s">
        <v>7</v>
      </c>
      <c r="BD58" s="1">
        <v>0.5</v>
      </c>
      <c r="BE58" t="s">
        <v>8</v>
      </c>
      <c r="BF58" s="1">
        <v>0</v>
      </c>
      <c r="BG58" s="1">
        <f t="shared" si="0"/>
        <v>0.17656250000000001</v>
      </c>
      <c r="BH58" s="1">
        <v>13.5207230836739</v>
      </c>
      <c r="BJ58" t="s">
        <v>4</v>
      </c>
      <c r="BK58">
        <v>0</v>
      </c>
      <c r="BL58" t="s">
        <v>5</v>
      </c>
      <c r="BM58">
        <v>56</v>
      </c>
      <c r="BN58" t="s">
        <v>6</v>
      </c>
      <c r="BO58" s="1">
        <v>8.8281250000000006E-2</v>
      </c>
      <c r="BP58" t="s">
        <v>7</v>
      </c>
      <c r="BQ58" s="1">
        <v>0.5</v>
      </c>
      <c r="BR58" t="s">
        <v>8</v>
      </c>
      <c r="BS58" s="1">
        <v>0</v>
      </c>
      <c r="BT58" s="1">
        <v>13.458930073064201</v>
      </c>
      <c r="BU58" s="1">
        <f t="shared" si="1"/>
        <v>0.17656250000000001</v>
      </c>
      <c r="BV58" s="1">
        <f t="shared" si="2"/>
        <v>13.458930073064201</v>
      </c>
      <c r="BX58" s="1">
        <v>56</v>
      </c>
      <c r="BY58" s="1">
        <v>17.501329243333601</v>
      </c>
      <c r="CA58" t="s">
        <v>4</v>
      </c>
      <c r="CB58">
        <v>0</v>
      </c>
      <c r="CC58" t="s">
        <v>5</v>
      </c>
      <c r="CD58">
        <v>56</v>
      </c>
      <c r="CE58" t="s">
        <v>6</v>
      </c>
      <c r="CF58" s="1">
        <v>8.8281250000000006E-2</v>
      </c>
      <c r="CG58" t="s">
        <v>7</v>
      </c>
      <c r="CH58" s="1">
        <v>0.5</v>
      </c>
      <c r="CI58" t="s">
        <v>8</v>
      </c>
      <c r="CJ58" s="1">
        <v>0</v>
      </c>
      <c r="CK58" s="1">
        <v>14.1699673514737</v>
      </c>
    </row>
    <row r="59" spans="1:89">
      <c r="AI59" s="3"/>
      <c r="AJ59">
        <v>58406</v>
      </c>
      <c r="AK59" s="1">
        <v>0.46875</v>
      </c>
      <c r="AL59" s="1">
        <v>6.7829300000000003</v>
      </c>
      <c r="AM59" s="1">
        <f t="shared" si="7"/>
        <v>0.9375</v>
      </c>
      <c r="AN59" s="1">
        <f t="shared" si="8"/>
        <v>6.7829300000000003</v>
      </c>
      <c r="AQ59" t="s">
        <v>7</v>
      </c>
      <c r="AR59" s="1">
        <v>0.5</v>
      </c>
      <c r="AS59" t="s">
        <v>8</v>
      </c>
      <c r="AT59" s="1">
        <v>0</v>
      </c>
      <c r="AU59" s="1">
        <v>3.3311243988963402E-2</v>
      </c>
      <c r="AW59" t="s">
        <v>4</v>
      </c>
      <c r="AX59">
        <v>0</v>
      </c>
      <c r="AY59" t="s">
        <v>5</v>
      </c>
      <c r="AZ59">
        <v>57</v>
      </c>
      <c r="BA59" t="s">
        <v>6</v>
      </c>
      <c r="BB59" s="1">
        <v>8.984375E-2</v>
      </c>
      <c r="BC59" t="s">
        <v>7</v>
      </c>
      <c r="BD59" s="1">
        <v>0.5</v>
      </c>
      <c r="BE59" t="s">
        <v>8</v>
      </c>
      <c r="BF59" s="1">
        <v>0</v>
      </c>
      <c r="BG59" s="1">
        <f t="shared" si="0"/>
        <v>0.1796875</v>
      </c>
      <c r="BH59" s="1">
        <v>13.5149750715862</v>
      </c>
      <c r="BJ59" t="s">
        <v>4</v>
      </c>
      <c r="BK59">
        <v>0</v>
      </c>
      <c r="BL59" t="s">
        <v>5</v>
      </c>
      <c r="BM59">
        <v>57</v>
      </c>
      <c r="BN59" t="s">
        <v>6</v>
      </c>
      <c r="BO59" s="1">
        <v>8.984375E-2</v>
      </c>
      <c r="BP59" t="s">
        <v>7</v>
      </c>
      <c r="BQ59" s="1">
        <v>0.5</v>
      </c>
      <c r="BR59" t="s">
        <v>8</v>
      </c>
      <c r="BS59" s="1">
        <v>0</v>
      </c>
      <c r="BT59" s="1">
        <v>13.437313342741399</v>
      </c>
      <c r="BU59" s="1">
        <f t="shared" si="1"/>
        <v>0.1796875</v>
      </c>
      <c r="BV59" s="1">
        <f t="shared" si="2"/>
        <v>13.437313342741399</v>
      </c>
      <c r="BX59" s="1">
        <v>57</v>
      </c>
      <c r="BY59" s="1">
        <v>17.510488968817199</v>
      </c>
      <c r="CA59" t="s">
        <v>4</v>
      </c>
      <c r="CB59">
        <v>0</v>
      </c>
      <c r="CC59" t="s">
        <v>5</v>
      </c>
      <c r="CD59">
        <v>57</v>
      </c>
      <c r="CE59" t="s">
        <v>6</v>
      </c>
      <c r="CF59" s="1">
        <v>8.984375E-2</v>
      </c>
      <c r="CG59" t="s">
        <v>7</v>
      </c>
      <c r="CH59" s="1">
        <v>0.5</v>
      </c>
      <c r="CI59" t="s">
        <v>8</v>
      </c>
      <c r="CJ59" s="1">
        <v>0</v>
      </c>
      <c r="CK59" s="1">
        <v>14.1691277920538</v>
      </c>
    </row>
    <row r="60" spans="1:89">
      <c r="AI60" s="3"/>
      <c r="AJ60">
        <v>5736</v>
      </c>
      <c r="AK60" s="1">
        <v>0.47916700000000001</v>
      </c>
      <c r="AL60" s="1">
        <v>5.6440000000000001</v>
      </c>
      <c r="AM60" s="1">
        <f t="shared" si="7"/>
        <v>0.95833400000000002</v>
      </c>
      <c r="AN60" s="1">
        <f t="shared" si="8"/>
        <v>5.6440000000000001</v>
      </c>
      <c r="AQ60" t="s">
        <v>7</v>
      </c>
      <c r="AR60" s="1">
        <v>0.5</v>
      </c>
      <c r="AS60" t="s">
        <v>8</v>
      </c>
      <c r="AT60" s="1">
        <v>0</v>
      </c>
      <c r="AU60" s="1">
        <v>3.33137801342804E-2</v>
      </c>
      <c r="AW60" t="s">
        <v>4</v>
      </c>
      <c r="AX60">
        <v>0</v>
      </c>
      <c r="AY60" t="s">
        <v>5</v>
      </c>
      <c r="AZ60">
        <v>58</v>
      </c>
      <c r="BA60" t="s">
        <v>6</v>
      </c>
      <c r="BB60" s="1">
        <v>9.1406249999999994E-2</v>
      </c>
      <c r="BC60" t="s">
        <v>7</v>
      </c>
      <c r="BD60" s="1">
        <v>0.5</v>
      </c>
      <c r="BE60" t="s">
        <v>8</v>
      </c>
      <c r="BF60" s="1">
        <v>0</v>
      </c>
      <c r="BG60" s="1">
        <f t="shared" si="0"/>
        <v>0.18281249999999999</v>
      </c>
      <c r="BH60" s="1">
        <v>13.5092130512458</v>
      </c>
      <c r="BJ60" t="s">
        <v>4</v>
      </c>
      <c r="BK60">
        <v>0</v>
      </c>
      <c r="BL60" t="s">
        <v>5</v>
      </c>
      <c r="BM60">
        <v>58</v>
      </c>
      <c r="BN60" t="s">
        <v>6</v>
      </c>
      <c r="BO60" s="1">
        <v>9.1406249999999994E-2</v>
      </c>
      <c r="BP60" t="s">
        <v>7</v>
      </c>
      <c r="BQ60" s="1">
        <v>0.5</v>
      </c>
      <c r="BR60" t="s">
        <v>8</v>
      </c>
      <c r="BS60" s="1">
        <v>0</v>
      </c>
      <c r="BT60" s="1">
        <v>13.414096463418501</v>
      </c>
      <c r="BU60" s="1">
        <f t="shared" si="1"/>
        <v>0.18281249999999999</v>
      </c>
      <c r="BV60" s="1">
        <f t="shared" si="2"/>
        <v>13.414096463418501</v>
      </c>
      <c r="BX60" s="1">
        <v>58</v>
      </c>
      <c r="BY60" s="1">
        <v>17.519625130631699</v>
      </c>
      <c r="CA60" t="s">
        <v>4</v>
      </c>
      <c r="CB60">
        <v>0</v>
      </c>
      <c r="CC60" t="s">
        <v>5</v>
      </c>
      <c r="CD60">
        <v>58</v>
      </c>
      <c r="CE60" t="s">
        <v>6</v>
      </c>
      <c r="CF60" s="1">
        <v>9.1406249999999994E-2</v>
      </c>
      <c r="CG60" t="s">
        <v>7</v>
      </c>
      <c r="CH60" s="1">
        <v>0.5</v>
      </c>
      <c r="CI60" t="s">
        <v>8</v>
      </c>
      <c r="CJ60" s="1">
        <v>0</v>
      </c>
      <c r="CK60" s="1">
        <v>14.168272961864</v>
      </c>
    </row>
    <row r="61" spans="1:89">
      <c r="AI61" s="3"/>
      <c r="AJ61">
        <v>58410</v>
      </c>
      <c r="AK61" s="1">
        <v>0.48958299999999999</v>
      </c>
      <c r="AL61" s="1">
        <v>5.7351599999999996</v>
      </c>
      <c r="AM61" s="1">
        <f t="shared" si="7"/>
        <v>0.97916599999999998</v>
      </c>
      <c r="AN61" s="1">
        <f t="shared" si="8"/>
        <v>5.7351599999999996</v>
      </c>
      <c r="AQ61" t="s">
        <v>7</v>
      </c>
      <c r="AR61" s="1">
        <v>0.5</v>
      </c>
      <c r="AS61" t="s">
        <v>8</v>
      </c>
      <c r="AT61" s="1">
        <v>0</v>
      </c>
      <c r="AU61" s="1">
        <v>3.3316333923792199E-2</v>
      </c>
      <c r="AW61" t="s">
        <v>4</v>
      </c>
      <c r="AX61">
        <v>0</v>
      </c>
      <c r="AY61" t="s">
        <v>5</v>
      </c>
      <c r="AZ61">
        <v>59</v>
      </c>
      <c r="BA61" t="s">
        <v>6</v>
      </c>
      <c r="BB61" s="1">
        <v>9.2968750000000003E-2</v>
      </c>
      <c r="BC61" t="s">
        <v>7</v>
      </c>
      <c r="BD61" s="1">
        <v>0.5</v>
      </c>
      <c r="BE61" t="s">
        <v>8</v>
      </c>
      <c r="BF61" s="1">
        <v>0</v>
      </c>
      <c r="BG61" s="1">
        <f t="shared" si="0"/>
        <v>0.18593750000000001</v>
      </c>
      <c r="BH61" s="1">
        <v>13.503440807539</v>
      </c>
      <c r="BJ61" t="s">
        <v>4</v>
      </c>
      <c r="BK61">
        <v>0</v>
      </c>
      <c r="BL61" t="s">
        <v>5</v>
      </c>
      <c r="BM61">
        <v>59</v>
      </c>
      <c r="BN61" t="s">
        <v>6</v>
      </c>
      <c r="BO61" s="1">
        <v>9.2968750000000003E-2</v>
      </c>
      <c r="BP61" t="s">
        <v>7</v>
      </c>
      <c r="BQ61" s="1">
        <v>0.5</v>
      </c>
      <c r="BR61" t="s">
        <v>8</v>
      </c>
      <c r="BS61" s="1">
        <v>0</v>
      </c>
      <c r="BT61" s="1">
        <v>13.389218338544101</v>
      </c>
      <c r="BU61" s="1">
        <f t="shared" si="1"/>
        <v>0.18593750000000001</v>
      </c>
      <c r="BV61" s="1">
        <f t="shared" si="2"/>
        <v>13.389218338544101</v>
      </c>
      <c r="BX61" s="1">
        <v>59</v>
      </c>
      <c r="BY61" s="1">
        <v>17.5287383474755</v>
      </c>
      <c r="CA61" t="s">
        <v>4</v>
      </c>
      <c r="CB61">
        <v>0</v>
      </c>
      <c r="CC61" t="s">
        <v>5</v>
      </c>
      <c r="CD61">
        <v>59</v>
      </c>
      <c r="CE61" t="s">
        <v>6</v>
      </c>
      <c r="CF61" s="1">
        <v>9.2968750000000003E-2</v>
      </c>
      <c r="CG61" t="s">
        <v>7</v>
      </c>
      <c r="CH61" s="1">
        <v>0.5</v>
      </c>
      <c r="CI61" t="s">
        <v>8</v>
      </c>
      <c r="CJ61" s="1">
        <v>0</v>
      </c>
      <c r="CK61" s="1">
        <v>14.167402158489001</v>
      </c>
    </row>
    <row r="62" spans="1:89">
      <c r="AI62" s="4"/>
      <c r="AJ62">
        <v>5737</v>
      </c>
      <c r="AK62" s="1">
        <v>0.5</v>
      </c>
      <c r="AL62" s="1">
        <v>5.8263100000000003</v>
      </c>
      <c r="AM62" s="1">
        <f t="shared" si="7"/>
        <v>1</v>
      </c>
      <c r="AN62" s="1">
        <f t="shared" si="8"/>
        <v>5.8263100000000003</v>
      </c>
      <c r="AQ62" t="s">
        <v>7</v>
      </c>
      <c r="AR62" s="1">
        <v>0.5</v>
      </c>
      <c r="AS62" t="s">
        <v>8</v>
      </c>
      <c r="AT62" s="1">
        <v>0</v>
      </c>
      <c r="AU62" s="1">
        <v>3.3319166343395198E-2</v>
      </c>
      <c r="AW62" t="s">
        <v>4</v>
      </c>
      <c r="AX62">
        <v>0</v>
      </c>
      <c r="AY62" t="s">
        <v>5</v>
      </c>
      <c r="AZ62">
        <v>60</v>
      </c>
      <c r="BA62" t="s">
        <v>6</v>
      </c>
      <c r="BB62" s="1">
        <v>9.4531249999999997E-2</v>
      </c>
      <c r="BC62" t="s">
        <v>7</v>
      </c>
      <c r="BD62" s="1">
        <v>0.5</v>
      </c>
      <c r="BE62" t="s">
        <v>8</v>
      </c>
      <c r="BF62" s="1">
        <v>0</v>
      </c>
      <c r="BG62" s="1">
        <f t="shared" si="0"/>
        <v>0.18906249999999999</v>
      </c>
      <c r="BH62" s="1">
        <v>13.4969804803817</v>
      </c>
      <c r="BJ62" t="s">
        <v>4</v>
      </c>
      <c r="BK62">
        <v>0</v>
      </c>
      <c r="BL62" t="s">
        <v>5</v>
      </c>
      <c r="BM62">
        <v>60</v>
      </c>
      <c r="BN62" t="s">
        <v>6</v>
      </c>
      <c r="BO62" s="1">
        <v>9.4531249999999997E-2</v>
      </c>
      <c r="BP62" t="s">
        <v>7</v>
      </c>
      <c r="BQ62" s="1">
        <v>0.5</v>
      </c>
      <c r="BR62" t="s">
        <v>8</v>
      </c>
      <c r="BS62" s="1">
        <v>0</v>
      </c>
      <c r="BT62" s="1">
        <v>13.397482279588599</v>
      </c>
      <c r="BU62" s="1">
        <f t="shared" si="1"/>
        <v>0.18906249999999999</v>
      </c>
      <c r="BV62" s="1">
        <f t="shared" si="2"/>
        <v>13.397482279588599</v>
      </c>
      <c r="BX62" s="1">
        <v>60</v>
      </c>
      <c r="BY62" s="1">
        <v>17.440893807727701</v>
      </c>
      <c r="CA62" t="s">
        <v>4</v>
      </c>
      <c r="CB62">
        <v>0</v>
      </c>
      <c r="CC62" t="s">
        <v>5</v>
      </c>
      <c r="CD62">
        <v>60</v>
      </c>
      <c r="CE62" t="s">
        <v>6</v>
      </c>
      <c r="CF62" s="1">
        <v>9.4531249999999997E-2</v>
      </c>
      <c r="CG62" t="s">
        <v>7</v>
      </c>
      <c r="CH62" s="1">
        <v>0.5</v>
      </c>
      <c r="CI62" t="s">
        <v>8</v>
      </c>
      <c r="CJ62" s="1">
        <v>0</v>
      </c>
      <c r="CK62" s="1">
        <v>14.0931348454539</v>
      </c>
    </row>
    <row r="63" spans="1:89">
      <c r="AQ63" t="s">
        <v>7</v>
      </c>
      <c r="AR63" s="1">
        <v>0.5</v>
      </c>
      <c r="AS63" t="s">
        <v>8</v>
      </c>
      <c r="AT63" s="1">
        <v>0</v>
      </c>
      <c r="AU63" s="1">
        <v>3.3322278242201298E-2</v>
      </c>
      <c r="AW63" t="s">
        <v>4</v>
      </c>
      <c r="AX63">
        <v>0</v>
      </c>
      <c r="AY63" t="s">
        <v>5</v>
      </c>
      <c r="AZ63">
        <v>61</v>
      </c>
      <c r="BA63" t="s">
        <v>6</v>
      </c>
      <c r="BB63" s="1">
        <v>9.6093750000000006E-2</v>
      </c>
      <c r="BC63" t="s">
        <v>7</v>
      </c>
      <c r="BD63" s="1">
        <v>0.5</v>
      </c>
      <c r="BE63" t="s">
        <v>8</v>
      </c>
      <c r="BF63" s="1">
        <v>0</v>
      </c>
      <c r="BG63" s="1">
        <f t="shared" si="0"/>
        <v>0.19218750000000001</v>
      </c>
      <c r="BH63" s="1">
        <v>13.4897884958901</v>
      </c>
      <c r="BJ63" t="s">
        <v>4</v>
      </c>
      <c r="BK63">
        <v>0</v>
      </c>
      <c r="BL63" t="s">
        <v>5</v>
      </c>
      <c r="BM63">
        <v>61</v>
      </c>
      <c r="BN63" t="s">
        <v>6</v>
      </c>
      <c r="BO63" s="1">
        <v>9.6093750000000006E-2</v>
      </c>
      <c r="BP63" t="s">
        <v>7</v>
      </c>
      <c r="BQ63" s="1">
        <v>0.5</v>
      </c>
      <c r="BR63" t="s">
        <v>8</v>
      </c>
      <c r="BS63" s="1">
        <v>0</v>
      </c>
      <c r="BT63" s="1">
        <v>13.443883786259001</v>
      </c>
      <c r="BU63" s="1">
        <f t="shared" si="1"/>
        <v>0.19218750000000001</v>
      </c>
      <c r="BV63" s="1">
        <f t="shared" si="2"/>
        <v>13.443883786259001</v>
      </c>
      <c r="BX63" s="1">
        <v>61</v>
      </c>
      <c r="BY63" s="1">
        <v>17.449694419397101</v>
      </c>
      <c r="CA63" t="s">
        <v>4</v>
      </c>
      <c r="CB63">
        <v>0</v>
      </c>
      <c r="CC63" t="s">
        <v>5</v>
      </c>
      <c r="CD63">
        <v>61</v>
      </c>
      <c r="CE63" t="s">
        <v>6</v>
      </c>
      <c r="CF63" s="1">
        <v>9.6093750000000006E-2</v>
      </c>
      <c r="CG63" t="s">
        <v>7</v>
      </c>
      <c r="CH63" s="1">
        <v>0.5</v>
      </c>
      <c r="CI63" t="s">
        <v>8</v>
      </c>
      <c r="CJ63" s="1">
        <v>0</v>
      </c>
      <c r="CK63" s="1">
        <v>14.092058221819901</v>
      </c>
    </row>
    <row r="64" spans="1:89">
      <c r="AQ64" t="s">
        <v>7</v>
      </c>
      <c r="AR64" s="1">
        <v>0.5</v>
      </c>
      <c r="AS64" t="s">
        <v>8</v>
      </c>
      <c r="AT64" s="1">
        <v>0</v>
      </c>
      <c r="AU64" s="1">
        <v>3.3325408756121097E-2</v>
      </c>
      <c r="AW64" t="s">
        <v>4</v>
      </c>
      <c r="AX64">
        <v>0</v>
      </c>
      <c r="AY64" t="s">
        <v>5</v>
      </c>
      <c r="AZ64">
        <v>62</v>
      </c>
      <c r="BA64" t="s">
        <v>6</v>
      </c>
      <c r="BB64" s="1">
        <v>9.765625E-2</v>
      </c>
      <c r="BC64" t="s">
        <v>7</v>
      </c>
      <c r="BD64" s="1">
        <v>0.5</v>
      </c>
      <c r="BE64" t="s">
        <v>8</v>
      </c>
      <c r="BF64" s="1">
        <v>0</v>
      </c>
      <c r="BG64" s="1">
        <f t="shared" si="0"/>
        <v>0.1953125</v>
      </c>
      <c r="BH64" s="1">
        <v>13.482520605655001</v>
      </c>
      <c r="BJ64" t="s">
        <v>4</v>
      </c>
      <c r="BK64">
        <v>0</v>
      </c>
      <c r="BL64" t="s">
        <v>5</v>
      </c>
      <c r="BM64">
        <v>62</v>
      </c>
      <c r="BN64" t="s">
        <v>6</v>
      </c>
      <c r="BO64" s="1">
        <v>9.765625E-2</v>
      </c>
      <c r="BP64" t="s">
        <v>7</v>
      </c>
      <c r="BQ64" s="1">
        <v>0.5</v>
      </c>
      <c r="BR64" t="s">
        <v>8</v>
      </c>
      <c r="BS64" s="1">
        <v>0</v>
      </c>
      <c r="BT64" s="1">
        <v>13.495790104850499</v>
      </c>
      <c r="BU64" s="1">
        <f t="shared" si="1"/>
        <v>0.1953125</v>
      </c>
      <c r="BV64" s="1">
        <f t="shared" si="2"/>
        <v>13.495790104850499</v>
      </c>
      <c r="BX64" s="1">
        <v>62</v>
      </c>
      <c r="BY64" s="1">
        <v>17.4584721380809</v>
      </c>
      <c r="CA64" t="s">
        <v>4</v>
      </c>
      <c r="CB64">
        <v>0</v>
      </c>
      <c r="CC64" t="s">
        <v>5</v>
      </c>
      <c r="CD64">
        <v>62</v>
      </c>
      <c r="CE64" t="s">
        <v>6</v>
      </c>
      <c r="CF64" s="1">
        <v>9.765625E-2</v>
      </c>
      <c r="CG64" t="s">
        <v>7</v>
      </c>
      <c r="CH64" s="1">
        <v>0.5</v>
      </c>
      <c r="CI64" t="s">
        <v>8</v>
      </c>
      <c r="CJ64" s="1">
        <v>0</v>
      </c>
      <c r="CK64" s="1">
        <v>14.0909731473863</v>
      </c>
    </row>
    <row r="65" spans="43:89">
      <c r="AQ65" t="s">
        <v>7</v>
      </c>
      <c r="AR65" s="1">
        <v>0.5</v>
      </c>
      <c r="AS65" t="s">
        <v>8</v>
      </c>
      <c r="AT65" s="1">
        <v>0</v>
      </c>
      <c r="AU65" s="1">
        <v>3.3328557654856601E-2</v>
      </c>
      <c r="AW65" t="s">
        <v>4</v>
      </c>
      <c r="AX65">
        <v>0</v>
      </c>
      <c r="AY65" t="s">
        <v>5</v>
      </c>
      <c r="AZ65">
        <v>63</v>
      </c>
      <c r="BA65" t="s">
        <v>6</v>
      </c>
      <c r="BB65" s="1">
        <v>9.9218749999999994E-2</v>
      </c>
      <c r="BC65" t="s">
        <v>7</v>
      </c>
      <c r="BD65" s="1">
        <v>0.5</v>
      </c>
      <c r="BE65" t="s">
        <v>8</v>
      </c>
      <c r="BF65" s="1">
        <v>0</v>
      </c>
      <c r="BG65" s="1">
        <f t="shared" si="0"/>
        <v>0.19843749999999999</v>
      </c>
      <c r="BH65" s="1">
        <v>13.4751815705035</v>
      </c>
      <c r="BJ65" t="s">
        <v>4</v>
      </c>
      <c r="BK65">
        <v>0</v>
      </c>
      <c r="BL65" t="s">
        <v>5</v>
      </c>
      <c r="BM65">
        <v>63</v>
      </c>
      <c r="BN65" t="s">
        <v>6</v>
      </c>
      <c r="BO65" s="1">
        <v>9.9218749999999994E-2</v>
      </c>
      <c r="BP65" t="s">
        <v>7</v>
      </c>
      <c r="BQ65" s="1">
        <v>0.5</v>
      </c>
      <c r="BR65" t="s">
        <v>8</v>
      </c>
      <c r="BS65" s="1">
        <v>0</v>
      </c>
      <c r="BT65" s="1">
        <v>13.5533873541258</v>
      </c>
      <c r="BU65" s="1">
        <f t="shared" si="1"/>
        <v>0.19843749999999999</v>
      </c>
      <c r="BV65" s="1">
        <f t="shared" si="2"/>
        <v>13.5533873541258</v>
      </c>
      <c r="BX65" s="1">
        <v>63</v>
      </c>
      <c r="BY65" s="1">
        <v>17.467226763553299</v>
      </c>
      <c r="CA65" t="s">
        <v>4</v>
      </c>
      <c r="CB65">
        <v>0</v>
      </c>
      <c r="CC65" t="s">
        <v>5</v>
      </c>
      <c r="CD65">
        <v>63</v>
      </c>
      <c r="CE65" t="s">
        <v>6</v>
      </c>
      <c r="CF65" s="1">
        <v>9.9218749999999994E-2</v>
      </c>
      <c r="CG65" t="s">
        <v>7</v>
      </c>
      <c r="CH65" s="1">
        <v>0.5</v>
      </c>
      <c r="CI65" t="s">
        <v>8</v>
      </c>
      <c r="CJ65" s="1">
        <v>0</v>
      </c>
      <c r="CK65" s="1">
        <v>14.0898814718624</v>
      </c>
    </row>
    <row r="66" spans="43:89">
      <c r="AQ66" t="s">
        <v>7</v>
      </c>
      <c r="AR66" s="1">
        <v>0.5</v>
      </c>
      <c r="AS66" t="s">
        <v>8</v>
      </c>
      <c r="AT66" s="1">
        <v>0</v>
      </c>
      <c r="AU66" s="1">
        <v>3.3331724710433101E-2</v>
      </c>
      <c r="AW66" t="s">
        <v>4</v>
      </c>
      <c r="AX66">
        <v>0</v>
      </c>
      <c r="AY66" t="s">
        <v>5</v>
      </c>
      <c r="AZ66">
        <v>64</v>
      </c>
      <c r="BA66" t="s">
        <v>6</v>
      </c>
      <c r="BB66" s="1">
        <v>0.1007813</v>
      </c>
      <c r="BC66" t="s">
        <v>7</v>
      </c>
      <c r="BD66" s="1">
        <v>0.5</v>
      </c>
      <c r="BE66" t="s">
        <v>8</v>
      </c>
      <c r="BF66" s="1">
        <v>0</v>
      </c>
      <c r="BG66" s="1">
        <f t="shared" si="0"/>
        <v>0.20156260000000001</v>
      </c>
      <c r="BH66" s="1">
        <v>13.467775741632</v>
      </c>
      <c r="BJ66" t="s">
        <v>4</v>
      </c>
      <c r="BK66">
        <v>0</v>
      </c>
      <c r="BL66" t="s">
        <v>5</v>
      </c>
      <c r="BM66">
        <v>64</v>
      </c>
      <c r="BN66" t="s">
        <v>6</v>
      </c>
      <c r="BO66" s="1">
        <v>0.1007813</v>
      </c>
      <c r="BP66" t="s">
        <v>7</v>
      </c>
      <c r="BQ66" s="1">
        <v>0.5</v>
      </c>
      <c r="BR66" t="s">
        <v>8</v>
      </c>
      <c r="BS66" s="1">
        <v>0</v>
      </c>
      <c r="BT66" s="1">
        <v>13.578243900729801</v>
      </c>
      <c r="BU66" s="1">
        <f t="shared" si="1"/>
        <v>0.20156260000000001</v>
      </c>
      <c r="BV66" s="1">
        <f t="shared" si="2"/>
        <v>13.578243900729801</v>
      </c>
      <c r="BX66" s="1">
        <v>64</v>
      </c>
      <c r="BY66" s="1">
        <v>17.475959910069999</v>
      </c>
      <c r="CA66" t="s">
        <v>4</v>
      </c>
      <c r="CB66">
        <v>0</v>
      </c>
      <c r="CC66" t="s">
        <v>5</v>
      </c>
      <c r="CD66">
        <v>64</v>
      </c>
      <c r="CE66" t="s">
        <v>6</v>
      </c>
      <c r="CF66" s="1">
        <v>0.1007813</v>
      </c>
      <c r="CG66" t="s">
        <v>7</v>
      </c>
      <c r="CH66" s="1">
        <v>0.5</v>
      </c>
      <c r="CI66" t="s">
        <v>8</v>
      </c>
      <c r="CJ66" s="1">
        <v>0</v>
      </c>
      <c r="CK66" s="1">
        <v>14.0887839556764</v>
      </c>
    </row>
    <row r="67" spans="43:89">
      <c r="AQ67" t="s">
        <v>7</v>
      </c>
      <c r="AR67" s="1">
        <v>0.5</v>
      </c>
      <c r="AS67" t="s">
        <v>8</v>
      </c>
      <c r="AT67" s="1">
        <v>0</v>
      </c>
      <c r="AU67" s="1">
        <v>3.3334909697166799E-2</v>
      </c>
      <c r="AW67" t="s">
        <v>4</v>
      </c>
      <c r="AX67">
        <v>0</v>
      </c>
      <c r="AY67" t="s">
        <v>5</v>
      </c>
      <c r="AZ67">
        <v>65</v>
      </c>
      <c r="BA67" t="s">
        <v>6</v>
      </c>
      <c r="BB67" s="1">
        <v>0.1023438</v>
      </c>
      <c r="BC67" t="s">
        <v>7</v>
      </c>
      <c r="BD67" s="1">
        <v>0.5</v>
      </c>
      <c r="BE67" t="s">
        <v>8</v>
      </c>
      <c r="BF67" s="1">
        <v>0</v>
      </c>
      <c r="BG67" s="1">
        <f t="shared" ref="BG67:BG130" si="11">BB67/0.5</f>
        <v>0.2046876</v>
      </c>
      <c r="BH67" s="1">
        <v>13.4602971306751</v>
      </c>
      <c r="BJ67" t="s">
        <v>4</v>
      </c>
      <c r="BK67">
        <v>0</v>
      </c>
      <c r="BL67" t="s">
        <v>5</v>
      </c>
      <c r="BM67">
        <v>65</v>
      </c>
      <c r="BN67" t="s">
        <v>6</v>
      </c>
      <c r="BO67" s="1">
        <v>0.1023438</v>
      </c>
      <c r="BP67" t="s">
        <v>7</v>
      </c>
      <c r="BQ67" s="1">
        <v>0.5</v>
      </c>
      <c r="BR67" t="s">
        <v>8</v>
      </c>
      <c r="BS67" s="1">
        <v>0</v>
      </c>
      <c r="BT67" s="1">
        <v>13.565808714708</v>
      </c>
      <c r="BU67" s="1">
        <f t="shared" ref="BU67:BU130" si="12">BO67/0.5</f>
        <v>0.2046876</v>
      </c>
      <c r="BV67" s="1">
        <f t="shared" ref="BV67:BV130" si="13">BT67</f>
        <v>13.565808714708</v>
      </c>
      <c r="BX67" s="1">
        <v>65</v>
      </c>
      <c r="BY67" s="1">
        <v>17.484672995081102</v>
      </c>
      <c r="CA67" t="s">
        <v>4</v>
      </c>
      <c r="CB67">
        <v>0</v>
      </c>
      <c r="CC67" t="s">
        <v>5</v>
      </c>
      <c r="CD67">
        <v>65</v>
      </c>
      <c r="CE67" t="s">
        <v>6</v>
      </c>
      <c r="CF67" s="1">
        <v>0.1023438</v>
      </c>
      <c r="CG67" t="s">
        <v>7</v>
      </c>
      <c r="CH67" s="1">
        <v>0.5</v>
      </c>
      <c r="CI67" t="s">
        <v>8</v>
      </c>
      <c r="CJ67" s="1">
        <v>0</v>
      </c>
      <c r="CK67" s="1">
        <v>14.0876798544629</v>
      </c>
    </row>
    <row r="68" spans="43:89">
      <c r="AQ68" t="s">
        <v>7</v>
      </c>
      <c r="AR68" s="1">
        <v>0.5</v>
      </c>
      <c r="AS68" t="s">
        <v>8</v>
      </c>
      <c r="AT68" s="1">
        <v>0</v>
      </c>
      <c r="AU68" s="1">
        <v>3.3338112391638502E-2</v>
      </c>
      <c r="AW68" t="s">
        <v>4</v>
      </c>
      <c r="AX68">
        <v>0</v>
      </c>
      <c r="AY68" t="s">
        <v>5</v>
      </c>
      <c r="AZ68">
        <v>66</v>
      </c>
      <c r="BA68" t="s">
        <v>6</v>
      </c>
      <c r="BB68" s="1">
        <v>0.10390629999999999</v>
      </c>
      <c r="BC68" t="s">
        <v>7</v>
      </c>
      <c r="BD68" s="1">
        <v>0.5</v>
      </c>
      <c r="BE68" t="s">
        <v>8</v>
      </c>
      <c r="BF68" s="1">
        <v>0</v>
      </c>
      <c r="BG68" s="1">
        <f t="shared" si="11"/>
        <v>0.20781259999999999</v>
      </c>
      <c r="BH68" s="1">
        <v>13.4527676223227</v>
      </c>
      <c r="BJ68" t="s">
        <v>4</v>
      </c>
      <c r="BK68">
        <v>0</v>
      </c>
      <c r="BL68" t="s">
        <v>5</v>
      </c>
      <c r="BM68">
        <v>66</v>
      </c>
      <c r="BN68" t="s">
        <v>6</v>
      </c>
      <c r="BO68" s="1">
        <v>0.10390629999999999</v>
      </c>
      <c r="BP68" t="s">
        <v>7</v>
      </c>
      <c r="BQ68" s="1">
        <v>0.5</v>
      </c>
      <c r="BR68" t="s">
        <v>8</v>
      </c>
      <c r="BS68" s="1">
        <v>0</v>
      </c>
      <c r="BT68" s="1">
        <v>13.552795550102299</v>
      </c>
      <c r="BU68" s="1">
        <f t="shared" si="12"/>
        <v>0.20781259999999999</v>
      </c>
      <c r="BV68" s="1">
        <f t="shared" si="13"/>
        <v>13.552795550102299</v>
      </c>
      <c r="BX68" s="1">
        <v>66</v>
      </c>
      <c r="BY68" s="1">
        <v>17.493365986871801</v>
      </c>
      <c r="CA68" t="s">
        <v>4</v>
      </c>
      <c r="CB68">
        <v>0</v>
      </c>
      <c r="CC68" t="s">
        <v>5</v>
      </c>
      <c r="CD68">
        <v>66</v>
      </c>
      <c r="CE68" t="s">
        <v>6</v>
      </c>
      <c r="CF68" s="1">
        <v>0.10390629999999999</v>
      </c>
      <c r="CG68" t="s">
        <v>7</v>
      </c>
      <c r="CH68" s="1">
        <v>0.5</v>
      </c>
      <c r="CI68" t="s">
        <v>8</v>
      </c>
      <c r="CJ68" s="1">
        <v>0</v>
      </c>
      <c r="CK68" s="1">
        <v>14.086568231019699</v>
      </c>
    </row>
    <row r="69" spans="43:89">
      <c r="AQ69" t="s">
        <v>7</v>
      </c>
      <c r="AR69" s="1">
        <v>0.5</v>
      </c>
      <c r="AS69" t="s">
        <v>8</v>
      </c>
      <c r="AT69" s="1">
        <v>0</v>
      </c>
      <c r="AU69" s="1">
        <v>3.33413327285145E-2</v>
      </c>
      <c r="AW69" t="s">
        <v>4</v>
      </c>
      <c r="AX69">
        <v>0</v>
      </c>
      <c r="AY69" t="s">
        <v>5</v>
      </c>
      <c r="AZ69">
        <v>67</v>
      </c>
      <c r="BA69" t="s">
        <v>6</v>
      </c>
      <c r="BB69" s="1">
        <v>0.1054688</v>
      </c>
      <c r="BC69" t="s">
        <v>7</v>
      </c>
      <c r="BD69" s="1">
        <v>0.5</v>
      </c>
      <c r="BE69" t="s">
        <v>8</v>
      </c>
      <c r="BF69" s="1">
        <v>0</v>
      </c>
      <c r="BG69" s="1">
        <f t="shared" si="11"/>
        <v>0.2109376</v>
      </c>
      <c r="BH69" s="1">
        <v>13.4451844973894</v>
      </c>
      <c r="BJ69" t="s">
        <v>4</v>
      </c>
      <c r="BK69">
        <v>0</v>
      </c>
      <c r="BL69" t="s">
        <v>5</v>
      </c>
      <c r="BM69">
        <v>67</v>
      </c>
      <c r="BN69" t="s">
        <v>6</v>
      </c>
      <c r="BO69" s="1">
        <v>0.1054688</v>
      </c>
      <c r="BP69" t="s">
        <v>7</v>
      </c>
      <c r="BQ69" s="1">
        <v>0.5</v>
      </c>
      <c r="BR69" t="s">
        <v>8</v>
      </c>
      <c r="BS69" s="1">
        <v>0</v>
      </c>
      <c r="BT69" s="1">
        <v>13.539202557782099</v>
      </c>
      <c r="BU69" s="1">
        <f t="shared" si="12"/>
        <v>0.2109376</v>
      </c>
      <c r="BV69" s="1">
        <f t="shared" si="13"/>
        <v>13.539202557782099</v>
      </c>
      <c r="BX69" s="1">
        <v>67</v>
      </c>
      <c r="BY69" s="1">
        <v>17.502031118221598</v>
      </c>
      <c r="CA69" t="s">
        <v>4</v>
      </c>
      <c r="CB69">
        <v>0</v>
      </c>
      <c r="CC69" t="s">
        <v>5</v>
      </c>
      <c r="CD69">
        <v>67</v>
      </c>
      <c r="CE69" t="s">
        <v>6</v>
      </c>
      <c r="CF69" s="1">
        <v>0.1054688</v>
      </c>
      <c r="CG69" t="s">
        <v>7</v>
      </c>
      <c r="CH69" s="1">
        <v>0.5</v>
      </c>
      <c r="CI69" t="s">
        <v>8</v>
      </c>
      <c r="CJ69" s="1">
        <v>0</v>
      </c>
      <c r="CK69" s="1">
        <v>14.0854475187736</v>
      </c>
    </row>
    <row r="70" spans="43:89">
      <c r="AQ70" t="s">
        <v>7</v>
      </c>
      <c r="AR70" s="1">
        <v>0.5</v>
      </c>
      <c r="AS70" t="s">
        <v>8</v>
      </c>
      <c r="AT70" s="1">
        <v>0</v>
      </c>
      <c r="AU70" s="1">
        <v>3.3344577480478199E-2</v>
      </c>
      <c r="AW70" t="s">
        <v>4</v>
      </c>
      <c r="AX70">
        <v>0</v>
      </c>
      <c r="AY70" t="s">
        <v>5</v>
      </c>
      <c r="AZ70">
        <v>68</v>
      </c>
      <c r="BA70" t="s">
        <v>6</v>
      </c>
      <c r="BB70" s="1">
        <v>0.1070313</v>
      </c>
      <c r="BC70" t="s">
        <v>7</v>
      </c>
      <c r="BD70" s="1">
        <v>0.5</v>
      </c>
      <c r="BE70" t="s">
        <v>8</v>
      </c>
      <c r="BF70" s="1">
        <v>0</v>
      </c>
      <c r="BG70" s="1">
        <f t="shared" si="11"/>
        <v>0.21406259999999999</v>
      </c>
      <c r="BH70" s="1">
        <v>13.437553778855699</v>
      </c>
      <c r="BJ70" t="s">
        <v>4</v>
      </c>
      <c r="BK70">
        <v>0</v>
      </c>
      <c r="BL70" t="s">
        <v>5</v>
      </c>
      <c r="BM70">
        <v>68</v>
      </c>
      <c r="BN70" t="s">
        <v>6</v>
      </c>
      <c r="BO70" s="1">
        <v>0.1070313</v>
      </c>
      <c r="BP70" t="s">
        <v>7</v>
      </c>
      <c r="BQ70" s="1">
        <v>0.5</v>
      </c>
      <c r="BR70" t="s">
        <v>8</v>
      </c>
      <c r="BS70" s="1">
        <v>0</v>
      </c>
      <c r="BT70" s="1">
        <v>13.525032488849799</v>
      </c>
      <c r="BU70" s="1">
        <f t="shared" si="12"/>
        <v>0.21406259999999999</v>
      </c>
      <c r="BV70" s="1">
        <f t="shared" si="13"/>
        <v>13.525032488849799</v>
      </c>
      <c r="BX70" s="1">
        <v>68</v>
      </c>
      <c r="BY70" s="1">
        <v>17.5106604861049</v>
      </c>
      <c r="CA70" t="s">
        <v>4</v>
      </c>
      <c r="CB70">
        <v>0</v>
      </c>
      <c r="CC70" t="s">
        <v>5</v>
      </c>
      <c r="CD70">
        <v>68</v>
      </c>
      <c r="CE70" t="s">
        <v>6</v>
      </c>
      <c r="CF70" s="1">
        <v>0.1070313</v>
      </c>
      <c r="CG70" t="s">
        <v>7</v>
      </c>
      <c r="CH70" s="1">
        <v>0.5</v>
      </c>
      <c r="CI70" t="s">
        <v>8</v>
      </c>
      <c r="CJ70" s="1">
        <v>0</v>
      </c>
      <c r="CK70" s="1">
        <v>14.0843158548606</v>
      </c>
    </row>
    <row r="71" spans="43:89">
      <c r="AQ71" t="s">
        <v>7</v>
      </c>
      <c r="AR71" s="1">
        <v>0.5</v>
      </c>
      <c r="AS71" t="s">
        <v>8</v>
      </c>
      <c r="AT71" s="1">
        <v>0</v>
      </c>
      <c r="AU71" s="1">
        <v>3.3347831729557298E-2</v>
      </c>
      <c r="AW71" t="s">
        <v>4</v>
      </c>
      <c r="AX71">
        <v>0</v>
      </c>
      <c r="AY71" t="s">
        <v>5</v>
      </c>
      <c r="AZ71">
        <v>69</v>
      </c>
      <c r="BA71" t="s">
        <v>6</v>
      </c>
      <c r="BB71" s="1">
        <v>0.1085938</v>
      </c>
      <c r="BC71" t="s">
        <v>7</v>
      </c>
      <c r="BD71" s="1">
        <v>0.5</v>
      </c>
      <c r="BE71" t="s">
        <v>8</v>
      </c>
      <c r="BF71" s="1">
        <v>0</v>
      </c>
      <c r="BG71" s="1">
        <f t="shared" si="11"/>
        <v>0.21718760000000001</v>
      </c>
      <c r="BH71" s="1">
        <v>13.429879049398499</v>
      </c>
      <c r="BJ71" t="s">
        <v>4</v>
      </c>
      <c r="BK71">
        <v>0</v>
      </c>
      <c r="BL71" t="s">
        <v>5</v>
      </c>
      <c r="BM71">
        <v>69</v>
      </c>
      <c r="BN71" t="s">
        <v>6</v>
      </c>
      <c r="BO71" s="1">
        <v>0.1085938</v>
      </c>
      <c r="BP71" t="s">
        <v>7</v>
      </c>
      <c r="BQ71" s="1">
        <v>0.5</v>
      </c>
      <c r="BR71" t="s">
        <v>8</v>
      </c>
      <c r="BS71" s="1">
        <v>0</v>
      </c>
      <c r="BT71" s="1">
        <v>13.5102860328265</v>
      </c>
      <c r="BU71" s="1">
        <f t="shared" si="12"/>
        <v>0.21718760000000001</v>
      </c>
      <c r="BV71" s="1">
        <f t="shared" si="13"/>
        <v>13.5102860328265</v>
      </c>
      <c r="BX71" s="1">
        <v>69</v>
      </c>
      <c r="BY71" s="1">
        <v>17.519293834749099</v>
      </c>
      <c r="CA71" t="s">
        <v>4</v>
      </c>
      <c r="CB71">
        <v>0</v>
      </c>
      <c r="CC71" t="s">
        <v>5</v>
      </c>
      <c r="CD71">
        <v>69</v>
      </c>
      <c r="CE71" t="s">
        <v>6</v>
      </c>
      <c r="CF71" s="1">
        <v>0.1085938</v>
      </c>
      <c r="CG71" t="s">
        <v>7</v>
      </c>
      <c r="CH71" s="1">
        <v>0.5</v>
      </c>
      <c r="CI71" t="s">
        <v>8</v>
      </c>
      <c r="CJ71" s="1">
        <v>0</v>
      </c>
      <c r="CK71" s="1">
        <v>14.0831868491276</v>
      </c>
    </row>
    <row r="72" spans="43:89">
      <c r="AQ72" t="s">
        <v>7</v>
      </c>
      <c r="AR72" s="1">
        <v>0.5</v>
      </c>
      <c r="AS72" t="s">
        <v>8</v>
      </c>
      <c r="AT72" s="1">
        <v>0</v>
      </c>
      <c r="AU72" s="1">
        <v>3.3351102810973698E-2</v>
      </c>
      <c r="AW72" t="s">
        <v>4</v>
      </c>
      <c r="AX72">
        <v>0</v>
      </c>
      <c r="AY72" t="s">
        <v>5</v>
      </c>
      <c r="AZ72">
        <v>70</v>
      </c>
      <c r="BA72" t="s">
        <v>6</v>
      </c>
      <c r="BB72" s="1">
        <v>0.1101563</v>
      </c>
      <c r="BC72" t="s">
        <v>7</v>
      </c>
      <c r="BD72" s="1">
        <v>0.5</v>
      </c>
      <c r="BE72" t="s">
        <v>8</v>
      </c>
      <c r="BF72" s="1">
        <v>0</v>
      </c>
      <c r="BG72" s="1">
        <f t="shared" si="11"/>
        <v>0.2203126</v>
      </c>
      <c r="BH72" s="1">
        <v>13.422167070259601</v>
      </c>
      <c r="BJ72" t="s">
        <v>4</v>
      </c>
      <c r="BK72">
        <v>0</v>
      </c>
      <c r="BL72" t="s">
        <v>5</v>
      </c>
      <c r="BM72">
        <v>70</v>
      </c>
      <c r="BN72" t="s">
        <v>6</v>
      </c>
      <c r="BO72" s="1">
        <v>0.1101563</v>
      </c>
      <c r="BP72" t="s">
        <v>7</v>
      </c>
      <c r="BQ72" s="1">
        <v>0.5</v>
      </c>
      <c r="BR72" t="s">
        <v>8</v>
      </c>
      <c r="BS72" s="1">
        <v>0</v>
      </c>
      <c r="BT72" s="1">
        <v>13.494965214210399</v>
      </c>
      <c r="BU72" s="1">
        <f t="shared" si="12"/>
        <v>0.2203126</v>
      </c>
      <c r="BV72" s="1">
        <f t="shared" si="13"/>
        <v>13.494965214210399</v>
      </c>
      <c r="BX72" s="1">
        <v>70</v>
      </c>
      <c r="BY72" s="1">
        <v>17.5279098083987</v>
      </c>
      <c r="CA72" t="s">
        <v>4</v>
      </c>
      <c r="CB72">
        <v>0</v>
      </c>
      <c r="CC72" t="s">
        <v>5</v>
      </c>
      <c r="CD72">
        <v>70</v>
      </c>
      <c r="CE72" t="s">
        <v>6</v>
      </c>
      <c r="CF72" s="1">
        <v>0.1101563</v>
      </c>
      <c r="CG72" t="s">
        <v>7</v>
      </c>
      <c r="CH72" s="1">
        <v>0.5</v>
      </c>
      <c r="CI72" t="s">
        <v>8</v>
      </c>
      <c r="CJ72" s="1">
        <v>0</v>
      </c>
      <c r="CK72" s="1">
        <v>14.082052343027501</v>
      </c>
    </row>
    <row r="73" spans="43:89">
      <c r="AQ73" t="s">
        <v>7</v>
      </c>
      <c r="AR73" s="1">
        <v>0.5</v>
      </c>
      <c r="AS73" t="s">
        <v>8</v>
      </c>
      <c r="AT73" s="1">
        <v>0</v>
      </c>
      <c r="AU73" s="1">
        <v>3.33543905120132E-2</v>
      </c>
      <c r="AW73" t="s">
        <v>4</v>
      </c>
      <c r="AX73">
        <v>0</v>
      </c>
      <c r="AY73" t="s">
        <v>5</v>
      </c>
      <c r="AZ73">
        <v>71</v>
      </c>
      <c r="BA73" t="s">
        <v>6</v>
      </c>
      <c r="BB73" s="1">
        <v>0.11171879999999999</v>
      </c>
      <c r="BC73" t="s">
        <v>7</v>
      </c>
      <c r="BD73" s="1">
        <v>0.5</v>
      </c>
      <c r="BE73" t="s">
        <v>8</v>
      </c>
      <c r="BF73" s="1">
        <v>0</v>
      </c>
      <c r="BG73" s="1">
        <f t="shared" si="11"/>
        <v>0.22343759999999999</v>
      </c>
      <c r="BH73" s="1">
        <v>13.414418488301401</v>
      </c>
      <c r="BJ73" t="s">
        <v>4</v>
      </c>
      <c r="BK73">
        <v>0</v>
      </c>
      <c r="BL73" t="s">
        <v>5</v>
      </c>
      <c r="BM73">
        <v>71</v>
      </c>
      <c r="BN73" t="s">
        <v>6</v>
      </c>
      <c r="BO73" s="1">
        <v>0.11171879999999999</v>
      </c>
      <c r="BP73" t="s">
        <v>7</v>
      </c>
      <c r="BQ73" s="1">
        <v>0.5</v>
      </c>
      <c r="BR73" t="s">
        <v>8</v>
      </c>
      <c r="BS73" s="1">
        <v>0</v>
      </c>
      <c r="BT73" s="1">
        <v>13.4790733482437</v>
      </c>
      <c r="BU73" s="1">
        <f t="shared" si="12"/>
        <v>0.22343759999999999</v>
      </c>
      <c r="BV73" s="1">
        <f t="shared" si="13"/>
        <v>13.4790733482437</v>
      </c>
      <c r="BX73" s="1">
        <v>71</v>
      </c>
      <c r="BY73" s="1">
        <v>17.536511517820198</v>
      </c>
      <c r="CA73" t="s">
        <v>4</v>
      </c>
      <c r="CB73">
        <v>0</v>
      </c>
      <c r="CC73" t="s">
        <v>5</v>
      </c>
      <c r="CD73">
        <v>71</v>
      </c>
      <c r="CE73" t="s">
        <v>6</v>
      </c>
      <c r="CF73" s="1">
        <v>0.11171879999999999</v>
      </c>
      <c r="CG73" t="s">
        <v>7</v>
      </c>
      <c r="CH73" s="1">
        <v>0.5</v>
      </c>
      <c r="CI73" t="s">
        <v>8</v>
      </c>
      <c r="CJ73" s="1">
        <v>0</v>
      </c>
      <c r="CK73" s="1">
        <v>14.080911166685301</v>
      </c>
    </row>
    <row r="74" spans="43:89">
      <c r="AQ74" t="s">
        <v>7</v>
      </c>
      <c r="AR74" s="1">
        <v>0.5</v>
      </c>
      <c r="AS74" t="s">
        <v>8</v>
      </c>
      <c r="AT74" s="1">
        <v>0</v>
      </c>
      <c r="AU74" s="1">
        <v>3.3357694621957999E-2</v>
      </c>
      <c r="AW74" t="s">
        <v>4</v>
      </c>
      <c r="AX74">
        <v>0</v>
      </c>
      <c r="AY74" t="s">
        <v>5</v>
      </c>
      <c r="AZ74">
        <v>72</v>
      </c>
      <c r="BA74" t="s">
        <v>6</v>
      </c>
      <c r="BB74" s="1">
        <v>0.1132813</v>
      </c>
      <c r="BC74" t="s">
        <v>7</v>
      </c>
      <c r="BD74" s="1">
        <v>0.5</v>
      </c>
      <c r="BE74" t="s">
        <v>8</v>
      </c>
      <c r="BF74" s="1">
        <v>0</v>
      </c>
      <c r="BG74" s="1">
        <f t="shared" si="11"/>
        <v>0.2265626</v>
      </c>
      <c r="BH74" s="1">
        <v>13.4066378942991</v>
      </c>
      <c r="BJ74" t="s">
        <v>4</v>
      </c>
      <c r="BK74">
        <v>0</v>
      </c>
      <c r="BL74" t="s">
        <v>5</v>
      </c>
      <c r="BM74">
        <v>72</v>
      </c>
      <c r="BN74" t="s">
        <v>6</v>
      </c>
      <c r="BO74" s="1">
        <v>0.1132813</v>
      </c>
      <c r="BP74" t="s">
        <v>7</v>
      </c>
      <c r="BQ74" s="1">
        <v>0.5</v>
      </c>
      <c r="BR74" t="s">
        <v>8</v>
      </c>
      <c r="BS74" s="1">
        <v>0</v>
      </c>
      <c r="BT74" s="1">
        <v>13.4626110589225</v>
      </c>
      <c r="BU74" s="1">
        <f t="shared" si="12"/>
        <v>0.2265626</v>
      </c>
      <c r="BV74" s="1">
        <f t="shared" si="13"/>
        <v>13.4626110589225</v>
      </c>
      <c r="BX74" s="1">
        <v>72</v>
      </c>
      <c r="BY74" s="1">
        <v>17.545095092329301</v>
      </c>
      <c r="CA74" t="s">
        <v>4</v>
      </c>
      <c r="CB74">
        <v>0</v>
      </c>
      <c r="CC74" t="s">
        <v>5</v>
      </c>
      <c r="CD74">
        <v>72</v>
      </c>
      <c r="CE74" t="s">
        <v>6</v>
      </c>
      <c r="CF74" s="1">
        <v>0.1132813</v>
      </c>
      <c r="CG74" t="s">
        <v>7</v>
      </c>
      <c r="CH74" s="1">
        <v>0.5</v>
      </c>
      <c r="CI74" t="s">
        <v>8</v>
      </c>
      <c r="CJ74" s="1">
        <v>0</v>
      </c>
      <c r="CK74" s="1">
        <v>14.0797644176911</v>
      </c>
    </row>
    <row r="75" spans="43:89">
      <c r="AQ75" t="s">
        <v>7</v>
      </c>
      <c r="AR75" s="1">
        <v>0.5</v>
      </c>
      <c r="AS75" t="s">
        <v>8</v>
      </c>
      <c r="AT75" s="1">
        <v>0</v>
      </c>
      <c r="AU75" s="1">
        <v>3.3361014932092002E-2</v>
      </c>
      <c r="AW75" t="s">
        <v>4</v>
      </c>
      <c r="AX75">
        <v>0</v>
      </c>
      <c r="AY75" t="s">
        <v>5</v>
      </c>
      <c r="AZ75">
        <v>73</v>
      </c>
      <c r="BA75" t="s">
        <v>6</v>
      </c>
      <c r="BB75" s="1">
        <v>0.11484370000000001</v>
      </c>
      <c r="BC75" t="s">
        <v>7</v>
      </c>
      <c r="BD75" s="1">
        <v>0.5</v>
      </c>
      <c r="BE75" t="s">
        <v>8</v>
      </c>
      <c r="BF75" s="1">
        <v>0</v>
      </c>
      <c r="BG75" s="1">
        <f t="shared" si="11"/>
        <v>0.22968740000000001</v>
      </c>
      <c r="BH75" s="1">
        <v>13.398833647243301</v>
      </c>
      <c r="BJ75" t="s">
        <v>4</v>
      </c>
      <c r="BK75">
        <v>0</v>
      </c>
      <c r="BL75" t="s">
        <v>5</v>
      </c>
      <c r="BM75">
        <v>73</v>
      </c>
      <c r="BN75" t="s">
        <v>6</v>
      </c>
      <c r="BO75" s="1">
        <v>0.11484370000000001</v>
      </c>
      <c r="BP75" t="s">
        <v>7</v>
      </c>
      <c r="BQ75" s="1">
        <v>0.5</v>
      </c>
      <c r="BR75" t="s">
        <v>8</v>
      </c>
      <c r="BS75" s="1">
        <v>0</v>
      </c>
      <c r="BT75" s="1">
        <v>13.445582264900899</v>
      </c>
      <c r="BU75" s="1">
        <f t="shared" si="12"/>
        <v>0.22968740000000001</v>
      </c>
      <c r="BV75" s="1">
        <f t="shared" si="13"/>
        <v>13.445582264900899</v>
      </c>
      <c r="BX75" s="1">
        <v>73</v>
      </c>
      <c r="BY75" s="1">
        <v>17.553663630849499</v>
      </c>
      <c r="CA75" t="s">
        <v>4</v>
      </c>
      <c r="CB75">
        <v>0</v>
      </c>
      <c r="CC75" t="s">
        <v>5</v>
      </c>
      <c r="CD75">
        <v>73</v>
      </c>
      <c r="CE75" t="s">
        <v>6</v>
      </c>
      <c r="CF75" s="1">
        <v>0.11484370000000001</v>
      </c>
      <c r="CG75" t="s">
        <v>7</v>
      </c>
      <c r="CH75" s="1">
        <v>0.5</v>
      </c>
      <c r="CI75" t="s">
        <v>8</v>
      </c>
      <c r="CJ75" s="1">
        <v>0</v>
      </c>
      <c r="CK75" s="1">
        <v>14.0786124541526</v>
      </c>
    </row>
    <row r="76" spans="43:89">
      <c r="AQ76" t="s">
        <v>7</v>
      </c>
      <c r="AR76" s="1">
        <v>0.5</v>
      </c>
      <c r="AS76" t="s">
        <v>8</v>
      </c>
      <c r="AT76" s="1">
        <v>0</v>
      </c>
      <c r="AU76" s="1">
        <v>3.3364351235638301E-2</v>
      </c>
      <c r="AW76" t="s">
        <v>4</v>
      </c>
      <c r="AX76">
        <v>0</v>
      </c>
      <c r="AY76" t="s">
        <v>5</v>
      </c>
      <c r="AZ76">
        <v>74</v>
      </c>
      <c r="BA76" t="s">
        <v>6</v>
      </c>
      <c r="BB76" s="1">
        <v>0.1164063</v>
      </c>
      <c r="BC76" t="s">
        <v>7</v>
      </c>
      <c r="BD76" s="1">
        <v>0.5</v>
      </c>
      <c r="BE76" t="s">
        <v>8</v>
      </c>
      <c r="BF76" s="1">
        <v>0</v>
      </c>
      <c r="BG76" s="1">
        <f t="shared" si="11"/>
        <v>0.23281260000000001</v>
      </c>
      <c r="BH76" s="1">
        <v>13.3910126024559</v>
      </c>
      <c r="BJ76" t="s">
        <v>4</v>
      </c>
      <c r="BK76">
        <v>0</v>
      </c>
      <c r="BL76" t="s">
        <v>5</v>
      </c>
      <c r="BM76">
        <v>74</v>
      </c>
      <c r="BN76" t="s">
        <v>6</v>
      </c>
      <c r="BO76" s="1">
        <v>0.1164063</v>
      </c>
      <c r="BP76" t="s">
        <v>7</v>
      </c>
      <c r="BQ76" s="1">
        <v>0.5</v>
      </c>
      <c r="BR76" t="s">
        <v>8</v>
      </c>
      <c r="BS76" s="1">
        <v>0</v>
      </c>
      <c r="BT76" s="1">
        <v>13.4279873991724</v>
      </c>
      <c r="BU76" s="1">
        <f t="shared" si="12"/>
        <v>0.23281260000000001</v>
      </c>
      <c r="BV76" s="1">
        <f t="shared" si="13"/>
        <v>13.4279873991724</v>
      </c>
      <c r="BX76" s="1">
        <v>74</v>
      </c>
      <c r="BY76" s="1">
        <v>17.5622152128267</v>
      </c>
      <c r="CA76" t="s">
        <v>4</v>
      </c>
      <c r="CB76">
        <v>0</v>
      </c>
      <c r="CC76" t="s">
        <v>5</v>
      </c>
      <c r="CD76">
        <v>74</v>
      </c>
      <c r="CE76" t="s">
        <v>6</v>
      </c>
      <c r="CF76" s="1">
        <v>0.1164063</v>
      </c>
      <c r="CG76" t="s">
        <v>7</v>
      </c>
      <c r="CH76" s="1">
        <v>0.5</v>
      </c>
      <c r="CI76" t="s">
        <v>8</v>
      </c>
      <c r="CJ76" s="1">
        <v>0</v>
      </c>
      <c r="CK76" s="1">
        <v>14.0774575909159</v>
      </c>
    </row>
    <row r="77" spans="43:89">
      <c r="AQ77" t="s">
        <v>7</v>
      </c>
      <c r="AR77" s="1">
        <v>0.5</v>
      </c>
      <c r="AS77" t="s">
        <v>8</v>
      </c>
      <c r="AT77" s="1">
        <v>0</v>
      </c>
      <c r="AU77" s="1">
        <v>3.3367703327733797E-2</v>
      </c>
      <c r="AW77" t="s">
        <v>4</v>
      </c>
      <c r="AX77">
        <v>0</v>
      </c>
      <c r="AY77" t="s">
        <v>5</v>
      </c>
      <c r="AZ77">
        <v>75</v>
      </c>
      <c r="BA77" t="s">
        <v>6</v>
      </c>
      <c r="BB77" s="1">
        <v>0.1179687</v>
      </c>
      <c r="BC77" t="s">
        <v>7</v>
      </c>
      <c r="BD77" s="1">
        <v>0.5</v>
      </c>
      <c r="BE77" t="s">
        <v>8</v>
      </c>
      <c r="BF77" s="1">
        <v>0</v>
      </c>
      <c r="BG77" s="1">
        <f t="shared" si="11"/>
        <v>0.23593739999999999</v>
      </c>
      <c r="BH77" s="1">
        <v>13.383175116492801</v>
      </c>
      <c r="BJ77" t="s">
        <v>4</v>
      </c>
      <c r="BK77">
        <v>0</v>
      </c>
      <c r="BL77" t="s">
        <v>5</v>
      </c>
      <c r="BM77">
        <v>75</v>
      </c>
      <c r="BN77" t="s">
        <v>6</v>
      </c>
      <c r="BO77" s="1">
        <v>0.1179687</v>
      </c>
      <c r="BP77" t="s">
        <v>7</v>
      </c>
      <c r="BQ77" s="1">
        <v>0.5</v>
      </c>
      <c r="BR77" t="s">
        <v>8</v>
      </c>
      <c r="BS77" s="1">
        <v>0</v>
      </c>
      <c r="BT77" s="1">
        <v>13.409832345012401</v>
      </c>
      <c r="BU77" s="1">
        <f t="shared" si="12"/>
        <v>0.23593739999999999</v>
      </c>
      <c r="BV77" s="1">
        <f t="shared" si="13"/>
        <v>13.409832345012401</v>
      </c>
      <c r="BX77" s="1">
        <v>75</v>
      </c>
      <c r="BY77" s="1">
        <v>17.570753592688899</v>
      </c>
      <c r="CA77" t="s">
        <v>4</v>
      </c>
      <c r="CB77">
        <v>0</v>
      </c>
      <c r="CC77" t="s">
        <v>5</v>
      </c>
      <c r="CD77">
        <v>75</v>
      </c>
      <c r="CE77" t="s">
        <v>6</v>
      </c>
      <c r="CF77" s="1">
        <v>0.1179687</v>
      </c>
      <c r="CG77" t="s">
        <v>7</v>
      </c>
      <c r="CH77" s="1">
        <v>0.5</v>
      </c>
      <c r="CI77" t="s">
        <v>8</v>
      </c>
      <c r="CJ77" s="1">
        <v>0</v>
      </c>
      <c r="CK77" s="1">
        <v>14.0762959062207</v>
      </c>
    </row>
    <row r="78" spans="43:89">
      <c r="AQ78" t="s">
        <v>7</v>
      </c>
      <c r="AR78" s="1">
        <v>0.5</v>
      </c>
      <c r="AS78" t="s">
        <v>8</v>
      </c>
      <c r="AT78" s="1">
        <v>0</v>
      </c>
      <c r="AU78" s="1">
        <v>3.3371071005372198E-2</v>
      </c>
      <c r="AW78" t="s">
        <v>4</v>
      </c>
      <c r="AX78">
        <v>0</v>
      </c>
      <c r="AY78" t="s">
        <v>5</v>
      </c>
      <c r="AZ78">
        <v>76</v>
      </c>
      <c r="BA78" t="s">
        <v>6</v>
      </c>
      <c r="BB78" s="1">
        <v>0.11953129999999999</v>
      </c>
      <c r="BC78" t="s">
        <v>7</v>
      </c>
      <c r="BD78" s="1">
        <v>0.5</v>
      </c>
      <c r="BE78" t="s">
        <v>8</v>
      </c>
      <c r="BF78" s="1">
        <v>0</v>
      </c>
      <c r="BG78" s="1">
        <f t="shared" si="11"/>
        <v>0.23906259999999999</v>
      </c>
      <c r="BH78" s="1">
        <v>13.3753271179755</v>
      </c>
      <c r="BJ78" t="s">
        <v>4</v>
      </c>
      <c r="BK78">
        <v>0</v>
      </c>
      <c r="BL78" t="s">
        <v>5</v>
      </c>
      <c r="BM78">
        <v>76</v>
      </c>
      <c r="BN78" t="s">
        <v>6</v>
      </c>
      <c r="BO78" s="1">
        <v>0.11953129999999999</v>
      </c>
      <c r="BP78" t="s">
        <v>7</v>
      </c>
      <c r="BQ78" s="1">
        <v>0.5</v>
      </c>
      <c r="BR78" t="s">
        <v>8</v>
      </c>
      <c r="BS78" s="1">
        <v>0</v>
      </c>
      <c r="BT78" s="1">
        <v>13.391122153487499</v>
      </c>
      <c r="BU78" s="1">
        <f t="shared" si="12"/>
        <v>0.23906259999999999</v>
      </c>
      <c r="BV78" s="1">
        <f t="shared" si="13"/>
        <v>13.391122153487499</v>
      </c>
      <c r="BX78" s="1">
        <v>76</v>
      </c>
      <c r="BY78" s="1">
        <v>17.579278062975401</v>
      </c>
      <c r="CA78" t="s">
        <v>4</v>
      </c>
      <c r="CB78">
        <v>0</v>
      </c>
      <c r="CC78" t="s">
        <v>5</v>
      </c>
      <c r="CD78">
        <v>76</v>
      </c>
      <c r="CE78" t="s">
        <v>6</v>
      </c>
      <c r="CF78" s="1">
        <v>0.11953129999999999</v>
      </c>
      <c r="CG78" t="s">
        <v>7</v>
      </c>
      <c r="CH78" s="1">
        <v>0.5</v>
      </c>
      <c r="CI78" t="s">
        <v>8</v>
      </c>
      <c r="CJ78" s="1">
        <v>0</v>
      </c>
      <c r="CK78" s="1">
        <v>14.0751304403741</v>
      </c>
    </row>
    <row r="79" spans="43:89">
      <c r="AQ79" t="s">
        <v>7</v>
      </c>
      <c r="AR79" s="1">
        <v>0.5</v>
      </c>
      <c r="AS79" t="s">
        <v>8</v>
      </c>
      <c r="AT79" s="1">
        <v>0</v>
      </c>
      <c r="AU79" s="1">
        <v>3.3374454067379301E-2</v>
      </c>
      <c r="AW79" t="s">
        <v>4</v>
      </c>
      <c r="AX79">
        <v>0</v>
      </c>
      <c r="AY79" t="s">
        <v>5</v>
      </c>
      <c r="AZ79">
        <v>77</v>
      </c>
      <c r="BA79" t="s">
        <v>6</v>
      </c>
      <c r="BB79" s="1">
        <v>0.1210938</v>
      </c>
      <c r="BC79" t="s">
        <v>7</v>
      </c>
      <c r="BD79" s="1">
        <v>0.5</v>
      </c>
      <c r="BE79" t="s">
        <v>8</v>
      </c>
      <c r="BF79" s="1">
        <v>0</v>
      </c>
      <c r="BG79" s="1">
        <f t="shared" si="11"/>
        <v>0.2421876</v>
      </c>
      <c r="BH79" s="1">
        <v>13.367475158050899</v>
      </c>
      <c r="BJ79" t="s">
        <v>4</v>
      </c>
      <c r="BK79">
        <v>0</v>
      </c>
      <c r="BL79" t="s">
        <v>5</v>
      </c>
      <c r="BM79">
        <v>77</v>
      </c>
      <c r="BN79" t="s">
        <v>6</v>
      </c>
      <c r="BO79" s="1">
        <v>0.1210938</v>
      </c>
      <c r="BP79" t="s">
        <v>7</v>
      </c>
      <c r="BQ79" s="1">
        <v>0.5</v>
      </c>
      <c r="BR79" t="s">
        <v>8</v>
      </c>
      <c r="BS79" s="1">
        <v>0</v>
      </c>
      <c r="BT79" s="1">
        <v>13.3718597476488</v>
      </c>
      <c r="BU79" s="1">
        <f t="shared" si="12"/>
        <v>0.2421876</v>
      </c>
      <c r="BV79" s="1">
        <f t="shared" si="13"/>
        <v>13.3718597476488</v>
      </c>
      <c r="BX79" s="1">
        <v>77</v>
      </c>
      <c r="BY79" s="1">
        <v>17.587767918708501</v>
      </c>
      <c r="CA79" t="s">
        <v>4</v>
      </c>
      <c r="CB79">
        <v>0</v>
      </c>
      <c r="CC79" t="s">
        <v>5</v>
      </c>
      <c r="CD79">
        <v>77</v>
      </c>
      <c r="CE79" t="s">
        <v>6</v>
      </c>
      <c r="CF79" s="1">
        <v>0.1210938</v>
      </c>
      <c r="CG79" t="s">
        <v>7</v>
      </c>
      <c r="CH79" s="1">
        <v>0.5</v>
      </c>
      <c r="CI79" t="s">
        <v>8</v>
      </c>
      <c r="CJ79" s="1">
        <v>0</v>
      </c>
      <c r="CK79" s="1">
        <v>14.073955890102599</v>
      </c>
    </row>
    <row r="80" spans="43:89">
      <c r="AQ80" t="s">
        <v>7</v>
      </c>
      <c r="AR80" s="1">
        <v>0.5</v>
      </c>
      <c r="AS80" t="s">
        <v>8</v>
      </c>
      <c r="AT80" s="1">
        <v>0</v>
      </c>
      <c r="AU80" s="1">
        <v>3.3377852314367303E-2</v>
      </c>
      <c r="AW80" t="s">
        <v>4</v>
      </c>
      <c r="AX80">
        <v>0</v>
      </c>
      <c r="AY80" t="s">
        <v>5</v>
      </c>
      <c r="AZ80">
        <v>78</v>
      </c>
      <c r="BA80" t="s">
        <v>6</v>
      </c>
      <c r="BB80" s="1">
        <v>0.12265620000000001</v>
      </c>
      <c r="BC80" t="s">
        <v>7</v>
      </c>
      <c r="BD80" s="1">
        <v>0.5</v>
      </c>
      <c r="BE80" t="s">
        <v>8</v>
      </c>
      <c r="BF80" s="1">
        <v>0</v>
      </c>
      <c r="BG80" s="1">
        <f t="shared" si="11"/>
        <v>0.24531240000000001</v>
      </c>
      <c r="BH80" s="1">
        <v>13.359624801774601</v>
      </c>
      <c r="BJ80" t="s">
        <v>4</v>
      </c>
      <c r="BK80">
        <v>0</v>
      </c>
      <c r="BL80" t="s">
        <v>5</v>
      </c>
      <c r="BM80">
        <v>78</v>
      </c>
      <c r="BN80" t="s">
        <v>6</v>
      </c>
      <c r="BO80" s="1">
        <v>0.12265620000000001</v>
      </c>
      <c r="BP80" t="s">
        <v>7</v>
      </c>
      <c r="BQ80" s="1">
        <v>0.5</v>
      </c>
      <c r="BR80" t="s">
        <v>8</v>
      </c>
      <c r="BS80" s="1">
        <v>0</v>
      </c>
      <c r="BT80" s="1">
        <v>13.352052746889701</v>
      </c>
      <c r="BU80" s="1">
        <f t="shared" si="12"/>
        <v>0.24531240000000001</v>
      </c>
      <c r="BV80" s="1">
        <f t="shared" si="13"/>
        <v>13.352052746889701</v>
      </c>
      <c r="BX80" s="1">
        <v>78</v>
      </c>
      <c r="BY80" s="1">
        <v>17.5962643179159</v>
      </c>
      <c r="CA80" t="s">
        <v>4</v>
      </c>
      <c r="CB80">
        <v>0</v>
      </c>
      <c r="CC80" t="s">
        <v>5</v>
      </c>
      <c r="CD80">
        <v>78</v>
      </c>
      <c r="CE80" t="s">
        <v>6</v>
      </c>
      <c r="CF80" s="1">
        <v>0.12265620000000001</v>
      </c>
      <c r="CG80" t="s">
        <v>7</v>
      </c>
      <c r="CH80" s="1">
        <v>0.5</v>
      </c>
      <c r="CI80" t="s">
        <v>8</v>
      </c>
      <c r="CJ80" s="1">
        <v>0</v>
      </c>
      <c r="CK80" s="1">
        <v>14.0727812550856</v>
      </c>
    </row>
    <row r="81" spans="43:89">
      <c r="AQ81" t="s">
        <v>7</v>
      </c>
      <c r="AR81" s="1">
        <v>0.5</v>
      </c>
      <c r="AS81" t="s">
        <v>8</v>
      </c>
      <c r="AT81" s="1">
        <v>0</v>
      </c>
      <c r="AU81" s="1">
        <v>3.3381265548693098E-2</v>
      </c>
      <c r="AW81" t="s">
        <v>4</v>
      </c>
      <c r="AX81">
        <v>0</v>
      </c>
      <c r="AY81" t="s">
        <v>5</v>
      </c>
      <c r="AZ81">
        <v>79</v>
      </c>
      <c r="BA81" t="s">
        <v>6</v>
      </c>
      <c r="BB81" s="1">
        <v>0.1242188</v>
      </c>
      <c r="BC81" t="s">
        <v>7</v>
      </c>
      <c r="BD81" s="1">
        <v>0.5</v>
      </c>
      <c r="BE81" t="s">
        <v>8</v>
      </c>
      <c r="BF81" s="1">
        <v>0</v>
      </c>
      <c r="BG81" s="1">
        <f t="shared" si="11"/>
        <v>0.24843760000000001</v>
      </c>
      <c r="BH81" s="1">
        <v>13.351780177260499</v>
      </c>
      <c r="BJ81" t="s">
        <v>4</v>
      </c>
      <c r="BK81">
        <v>0</v>
      </c>
      <c r="BL81" t="s">
        <v>5</v>
      </c>
      <c r="BM81">
        <v>79</v>
      </c>
      <c r="BN81" t="s">
        <v>6</v>
      </c>
      <c r="BO81" s="1">
        <v>0.1242188</v>
      </c>
      <c r="BP81" t="s">
        <v>7</v>
      </c>
      <c r="BQ81" s="1">
        <v>0.5</v>
      </c>
      <c r="BR81" t="s">
        <v>8</v>
      </c>
      <c r="BS81" s="1">
        <v>0</v>
      </c>
      <c r="BT81" s="1">
        <v>13.331703621183101</v>
      </c>
      <c r="BU81" s="1">
        <f t="shared" si="12"/>
        <v>0.24843760000000001</v>
      </c>
      <c r="BV81" s="1">
        <f t="shared" si="13"/>
        <v>13.331703621183101</v>
      </c>
      <c r="BX81" s="1">
        <v>79</v>
      </c>
      <c r="BY81" s="1">
        <v>17.6047405874879</v>
      </c>
      <c r="CA81" t="s">
        <v>4</v>
      </c>
      <c r="CB81">
        <v>0</v>
      </c>
      <c r="CC81" t="s">
        <v>5</v>
      </c>
      <c r="CD81">
        <v>79</v>
      </c>
      <c r="CE81" t="s">
        <v>6</v>
      </c>
      <c r="CF81" s="1">
        <v>0.1242188</v>
      </c>
      <c r="CG81" t="s">
        <v>7</v>
      </c>
      <c r="CH81" s="1">
        <v>0.5</v>
      </c>
      <c r="CI81" t="s">
        <v>8</v>
      </c>
      <c r="CJ81" s="1">
        <v>0</v>
      </c>
      <c r="CK81" s="1">
        <v>14.0716052786894</v>
      </c>
    </row>
    <row r="82" spans="43:89">
      <c r="AQ82" t="s">
        <v>7</v>
      </c>
      <c r="AR82" s="1">
        <v>0.5</v>
      </c>
      <c r="AS82" t="s">
        <v>8</v>
      </c>
      <c r="AT82" s="1">
        <v>0</v>
      </c>
      <c r="AU82" s="1">
        <v>3.3385063021438198E-2</v>
      </c>
      <c r="AW82" t="s">
        <v>4</v>
      </c>
      <c r="AX82">
        <v>0</v>
      </c>
      <c r="AY82" t="s">
        <v>5</v>
      </c>
      <c r="AZ82">
        <v>80</v>
      </c>
      <c r="BA82" t="s">
        <v>6</v>
      </c>
      <c r="BB82" s="1">
        <v>0.12578130000000001</v>
      </c>
      <c r="BC82" t="s">
        <v>7</v>
      </c>
      <c r="BD82" s="1">
        <v>0.5</v>
      </c>
      <c r="BE82" t="s">
        <v>8</v>
      </c>
      <c r="BF82" s="1">
        <v>0</v>
      </c>
      <c r="BG82" s="1">
        <f t="shared" si="11"/>
        <v>0.25156260000000003</v>
      </c>
      <c r="BH82" s="1">
        <v>13.3430492651822</v>
      </c>
      <c r="BJ82" t="s">
        <v>4</v>
      </c>
      <c r="BK82">
        <v>0</v>
      </c>
      <c r="BL82" t="s">
        <v>5</v>
      </c>
      <c r="BM82">
        <v>80</v>
      </c>
      <c r="BN82" t="s">
        <v>6</v>
      </c>
      <c r="BO82" s="1">
        <v>0.12578130000000001</v>
      </c>
      <c r="BP82" t="s">
        <v>7</v>
      </c>
      <c r="BQ82" s="1">
        <v>0.5</v>
      </c>
      <c r="BR82" t="s">
        <v>8</v>
      </c>
      <c r="BS82" s="1">
        <v>0</v>
      </c>
      <c r="BT82" s="1">
        <v>13.315984083399099</v>
      </c>
      <c r="BU82" s="1">
        <f t="shared" si="12"/>
        <v>0.25156260000000003</v>
      </c>
      <c r="BV82" s="1">
        <f t="shared" si="13"/>
        <v>13.315984083399099</v>
      </c>
      <c r="BX82" s="1">
        <v>80</v>
      </c>
      <c r="BY82" s="1">
        <v>17.499133766280298</v>
      </c>
      <c r="CA82" t="s">
        <v>4</v>
      </c>
      <c r="CB82">
        <v>0</v>
      </c>
      <c r="CC82" t="s">
        <v>5</v>
      </c>
      <c r="CD82">
        <v>80</v>
      </c>
      <c r="CE82" t="s">
        <v>6</v>
      </c>
      <c r="CF82" s="1">
        <v>0.12578130000000001</v>
      </c>
      <c r="CG82" t="s">
        <v>7</v>
      </c>
      <c r="CH82" s="1">
        <v>0.5</v>
      </c>
      <c r="CI82" t="s">
        <v>8</v>
      </c>
      <c r="CJ82" s="1">
        <v>0</v>
      </c>
      <c r="CK82" s="1">
        <v>13.972543410335501</v>
      </c>
    </row>
    <row r="83" spans="43:89">
      <c r="AQ83" t="s">
        <v>7</v>
      </c>
      <c r="AR83" s="1">
        <v>0.5</v>
      </c>
      <c r="AS83" t="s">
        <v>8</v>
      </c>
      <c r="AT83" s="1">
        <v>0</v>
      </c>
      <c r="AU83" s="1">
        <v>3.3389247239765198E-2</v>
      </c>
      <c r="AW83" t="s">
        <v>4</v>
      </c>
      <c r="AX83">
        <v>0</v>
      </c>
      <c r="AY83" t="s">
        <v>5</v>
      </c>
      <c r="AZ83">
        <v>81</v>
      </c>
      <c r="BA83" t="s">
        <v>6</v>
      </c>
      <c r="BB83" s="1">
        <v>0.12734380000000001</v>
      </c>
      <c r="BC83" t="s">
        <v>7</v>
      </c>
      <c r="BD83" s="1">
        <v>0.5</v>
      </c>
      <c r="BE83" t="s">
        <v>8</v>
      </c>
      <c r="BF83" s="1">
        <v>0</v>
      </c>
      <c r="BG83" s="1">
        <f t="shared" si="11"/>
        <v>0.25468760000000001</v>
      </c>
      <c r="BH83" s="1">
        <v>13.3333919940331</v>
      </c>
      <c r="BJ83" t="s">
        <v>4</v>
      </c>
      <c r="BK83">
        <v>0</v>
      </c>
      <c r="BL83" t="s">
        <v>5</v>
      </c>
      <c r="BM83">
        <v>81</v>
      </c>
      <c r="BN83" t="s">
        <v>6</v>
      </c>
      <c r="BO83" s="1">
        <v>0.12734380000000001</v>
      </c>
      <c r="BP83" t="s">
        <v>7</v>
      </c>
      <c r="BQ83" s="1">
        <v>0.5</v>
      </c>
      <c r="BR83" t="s">
        <v>8</v>
      </c>
      <c r="BS83" s="1">
        <v>0</v>
      </c>
      <c r="BT83" s="1">
        <v>13.3055147568721</v>
      </c>
      <c r="BU83" s="1">
        <f t="shared" si="12"/>
        <v>0.25468760000000001</v>
      </c>
      <c r="BV83" s="1">
        <f t="shared" si="13"/>
        <v>13.3055147568721</v>
      </c>
      <c r="BX83" s="1">
        <v>81</v>
      </c>
      <c r="BY83" s="1">
        <v>17.507470932227399</v>
      </c>
      <c r="CA83" t="s">
        <v>4</v>
      </c>
      <c r="CB83">
        <v>0</v>
      </c>
      <c r="CC83" t="s">
        <v>5</v>
      </c>
      <c r="CD83">
        <v>81</v>
      </c>
      <c r="CE83" t="s">
        <v>6</v>
      </c>
      <c r="CF83" s="1">
        <v>0.12734380000000001</v>
      </c>
      <c r="CG83" t="s">
        <v>7</v>
      </c>
      <c r="CH83" s="1">
        <v>0.5</v>
      </c>
      <c r="CI83" t="s">
        <v>8</v>
      </c>
      <c r="CJ83" s="1">
        <v>0</v>
      </c>
      <c r="CK83" s="1">
        <v>13.971489022359799</v>
      </c>
    </row>
    <row r="84" spans="43:89">
      <c r="AQ84" t="s">
        <v>7</v>
      </c>
      <c r="AR84" s="1">
        <v>0.5</v>
      </c>
      <c r="AS84" t="s">
        <v>8</v>
      </c>
      <c r="AT84" s="1">
        <v>0</v>
      </c>
      <c r="AU84" s="1">
        <v>3.3393449825814499E-2</v>
      </c>
      <c r="AW84" t="s">
        <v>4</v>
      </c>
      <c r="AX84">
        <v>0</v>
      </c>
      <c r="AY84" t="s">
        <v>5</v>
      </c>
      <c r="AZ84">
        <v>82</v>
      </c>
      <c r="BA84" t="s">
        <v>6</v>
      </c>
      <c r="BB84" s="1">
        <v>0.1289062</v>
      </c>
      <c r="BC84" t="s">
        <v>7</v>
      </c>
      <c r="BD84" s="1">
        <v>0.5</v>
      </c>
      <c r="BE84" t="s">
        <v>8</v>
      </c>
      <c r="BF84" s="1">
        <v>0</v>
      </c>
      <c r="BG84" s="1">
        <f t="shared" si="11"/>
        <v>0.2578124</v>
      </c>
      <c r="BH84" s="1">
        <v>13.3237048248742</v>
      </c>
      <c r="BJ84" t="s">
        <v>4</v>
      </c>
      <c r="BK84">
        <v>0</v>
      </c>
      <c r="BL84" t="s">
        <v>5</v>
      </c>
      <c r="BM84">
        <v>82</v>
      </c>
      <c r="BN84" t="s">
        <v>6</v>
      </c>
      <c r="BO84" s="1">
        <v>0.1289062</v>
      </c>
      <c r="BP84" t="s">
        <v>7</v>
      </c>
      <c r="BQ84" s="1">
        <v>0.5</v>
      </c>
      <c r="BR84" t="s">
        <v>8</v>
      </c>
      <c r="BS84" s="1">
        <v>0</v>
      </c>
      <c r="BT84" s="1">
        <v>13.2953907305497</v>
      </c>
      <c r="BU84" s="1">
        <f t="shared" si="12"/>
        <v>0.2578124</v>
      </c>
      <c r="BV84" s="1">
        <f t="shared" si="13"/>
        <v>13.2953907305497</v>
      </c>
      <c r="BX84" s="1">
        <v>82</v>
      </c>
      <c r="BY84" s="1">
        <v>17.515793836713001</v>
      </c>
      <c r="CA84" t="s">
        <v>4</v>
      </c>
      <c r="CB84">
        <v>0</v>
      </c>
      <c r="CC84" t="s">
        <v>5</v>
      </c>
      <c r="CD84">
        <v>82</v>
      </c>
      <c r="CE84" t="s">
        <v>6</v>
      </c>
      <c r="CF84" s="1">
        <v>0.1289062</v>
      </c>
      <c r="CG84" t="s">
        <v>7</v>
      </c>
      <c r="CH84" s="1">
        <v>0.5</v>
      </c>
      <c r="CI84" t="s">
        <v>8</v>
      </c>
      <c r="CJ84" s="1">
        <v>0</v>
      </c>
      <c r="CK84" s="1">
        <v>13.9704164068193</v>
      </c>
    </row>
    <row r="85" spans="43:89">
      <c r="AQ85" t="s">
        <v>7</v>
      </c>
      <c r="AR85" s="1">
        <v>0.5</v>
      </c>
      <c r="AS85" t="s">
        <v>8</v>
      </c>
      <c r="AT85" s="1">
        <v>0</v>
      </c>
      <c r="AU85" s="1">
        <v>3.3397670779630698E-2</v>
      </c>
      <c r="AW85" t="s">
        <v>4</v>
      </c>
      <c r="AX85">
        <v>0</v>
      </c>
      <c r="AY85" t="s">
        <v>5</v>
      </c>
      <c r="AZ85">
        <v>83</v>
      </c>
      <c r="BA85" t="s">
        <v>6</v>
      </c>
      <c r="BB85" s="1">
        <v>0.13046869999999999</v>
      </c>
      <c r="BC85" t="s">
        <v>7</v>
      </c>
      <c r="BD85" s="1">
        <v>0.5</v>
      </c>
      <c r="BE85" t="s">
        <v>8</v>
      </c>
      <c r="BF85" s="1">
        <v>0</v>
      </c>
      <c r="BG85" s="1">
        <f t="shared" si="11"/>
        <v>0.26093739999999999</v>
      </c>
      <c r="BH85" s="1">
        <v>13.313995431583001</v>
      </c>
      <c r="BJ85" t="s">
        <v>4</v>
      </c>
      <c r="BK85">
        <v>0</v>
      </c>
      <c r="BL85" t="s">
        <v>5</v>
      </c>
      <c r="BM85">
        <v>83</v>
      </c>
      <c r="BN85" t="s">
        <v>6</v>
      </c>
      <c r="BO85" s="1">
        <v>0.13046869999999999</v>
      </c>
      <c r="BP85" t="s">
        <v>7</v>
      </c>
      <c r="BQ85" s="1">
        <v>0.5</v>
      </c>
      <c r="BR85" t="s">
        <v>8</v>
      </c>
      <c r="BS85" s="1">
        <v>0</v>
      </c>
      <c r="BT85" s="1">
        <v>13.285645481515999</v>
      </c>
      <c r="BU85" s="1">
        <f t="shared" si="12"/>
        <v>0.26093739999999999</v>
      </c>
      <c r="BV85" s="1">
        <f t="shared" si="13"/>
        <v>13.285645481515999</v>
      </c>
      <c r="BX85" s="1">
        <v>83</v>
      </c>
      <c r="BY85" s="1">
        <v>17.5241015669863</v>
      </c>
      <c r="CA85" t="s">
        <v>4</v>
      </c>
      <c r="CB85">
        <v>0</v>
      </c>
      <c r="CC85" t="s">
        <v>5</v>
      </c>
      <c r="CD85">
        <v>83</v>
      </c>
      <c r="CE85" t="s">
        <v>6</v>
      </c>
      <c r="CF85" s="1">
        <v>0.13046869999999999</v>
      </c>
      <c r="CG85" t="s">
        <v>7</v>
      </c>
      <c r="CH85" s="1">
        <v>0.5</v>
      </c>
      <c r="CI85" t="s">
        <v>8</v>
      </c>
      <c r="CJ85" s="1">
        <v>0</v>
      </c>
      <c r="CK85" s="1">
        <v>13.969330472808</v>
      </c>
    </row>
    <row r="86" spans="43:89">
      <c r="AQ86" t="s">
        <v>7</v>
      </c>
      <c r="AR86" s="1">
        <v>0.5</v>
      </c>
      <c r="AS86" t="s">
        <v>8</v>
      </c>
      <c r="AT86" s="1">
        <v>0</v>
      </c>
      <c r="AU86" s="1">
        <v>3.3401910106242903E-2</v>
      </c>
      <c r="AW86" t="s">
        <v>4</v>
      </c>
      <c r="AX86">
        <v>0</v>
      </c>
      <c r="AY86" t="s">
        <v>5</v>
      </c>
      <c r="AZ86">
        <v>84</v>
      </c>
      <c r="BA86" t="s">
        <v>6</v>
      </c>
      <c r="BB86" s="1">
        <v>0.13203119999999999</v>
      </c>
      <c r="BC86" t="s">
        <v>7</v>
      </c>
      <c r="BD86" s="1">
        <v>0.5</v>
      </c>
      <c r="BE86" t="s">
        <v>8</v>
      </c>
      <c r="BF86" s="1">
        <v>0</v>
      </c>
      <c r="BG86" s="1">
        <f t="shared" si="11"/>
        <v>0.26406239999999997</v>
      </c>
      <c r="BH86" s="1">
        <v>13.304273338201901</v>
      </c>
      <c r="BJ86" t="s">
        <v>4</v>
      </c>
      <c r="BK86">
        <v>0</v>
      </c>
      <c r="BL86" t="s">
        <v>5</v>
      </c>
      <c r="BM86">
        <v>84</v>
      </c>
      <c r="BN86" t="s">
        <v>6</v>
      </c>
      <c r="BO86" s="1">
        <v>0.13203119999999999</v>
      </c>
      <c r="BP86" t="s">
        <v>7</v>
      </c>
      <c r="BQ86" s="1">
        <v>0.5</v>
      </c>
      <c r="BR86" t="s">
        <v>8</v>
      </c>
      <c r="BS86" s="1">
        <v>0</v>
      </c>
      <c r="BT86" s="1">
        <v>13.276318111221901</v>
      </c>
      <c r="BU86" s="1">
        <f t="shared" si="12"/>
        <v>0.26406239999999997</v>
      </c>
      <c r="BV86" s="1">
        <f t="shared" si="13"/>
        <v>13.276318111221901</v>
      </c>
      <c r="BX86" s="1">
        <v>84</v>
      </c>
      <c r="BY86" s="1">
        <v>17.5324067488907</v>
      </c>
      <c r="CA86" t="s">
        <v>4</v>
      </c>
      <c r="CB86">
        <v>0</v>
      </c>
      <c r="CC86" t="s">
        <v>5</v>
      </c>
      <c r="CD86">
        <v>84</v>
      </c>
      <c r="CE86" t="s">
        <v>6</v>
      </c>
      <c r="CF86" s="1">
        <v>0.13203119999999999</v>
      </c>
      <c r="CG86" t="s">
        <v>7</v>
      </c>
      <c r="CH86" s="1">
        <v>0.5</v>
      </c>
      <c r="CI86" t="s">
        <v>8</v>
      </c>
      <c r="CJ86" s="1">
        <v>0</v>
      </c>
      <c r="CK86" s="1">
        <v>13.968224898244699</v>
      </c>
    </row>
    <row r="87" spans="43:89">
      <c r="AQ87" t="s">
        <v>7</v>
      </c>
      <c r="AR87" s="1">
        <v>0.5</v>
      </c>
      <c r="AS87" t="s">
        <v>8</v>
      </c>
      <c r="AT87" s="1">
        <v>0</v>
      </c>
      <c r="AU87" s="1">
        <v>3.3406167815612002E-2</v>
      </c>
      <c r="AW87" t="s">
        <v>4</v>
      </c>
      <c r="AX87">
        <v>0</v>
      </c>
      <c r="AY87" t="s">
        <v>5</v>
      </c>
      <c r="AZ87">
        <v>85</v>
      </c>
      <c r="BA87" t="s">
        <v>6</v>
      </c>
      <c r="BB87" s="1">
        <v>0.13359380000000001</v>
      </c>
      <c r="BC87" t="s">
        <v>7</v>
      </c>
      <c r="BD87" s="1">
        <v>0.5</v>
      </c>
      <c r="BE87" t="s">
        <v>8</v>
      </c>
      <c r="BF87" s="1">
        <v>0</v>
      </c>
      <c r="BG87" s="1">
        <f t="shared" si="11"/>
        <v>0.26718760000000003</v>
      </c>
      <c r="BH87" s="1">
        <v>13.2945256852604</v>
      </c>
      <c r="BJ87" t="s">
        <v>4</v>
      </c>
      <c r="BK87">
        <v>0</v>
      </c>
      <c r="BL87" t="s">
        <v>5</v>
      </c>
      <c r="BM87">
        <v>85</v>
      </c>
      <c r="BN87" t="s">
        <v>6</v>
      </c>
      <c r="BO87" s="1">
        <v>0.13359380000000001</v>
      </c>
      <c r="BP87" t="s">
        <v>7</v>
      </c>
      <c r="BQ87" s="1">
        <v>0.5</v>
      </c>
      <c r="BR87" t="s">
        <v>8</v>
      </c>
      <c r="BS87" s="1">
        <v>0</v>
      </c>
      <c r="BT87" s="1">
        <v>13.267443250806201</v>
      </c>
      <c r="BU87" s="1">
        <f t="shared" si="12"/>
        <v>0.26718760000000003</v>
      </c>
      <c r="BV87" s="1">
        <f t="shared" si="13"/>
        <v>13.267443250806201</v>
      </c>
      <c r="BX87" s="1">
        <v>85</v>
      </c>
      <c r="BY87" s="1">
        <v>17.540695820923901</v>
      </c>
      <c r="CA87" t="s">
        <v>4</v>
      </c>
      <c r="CB87">
        <v>0</v>
      </c>
      <c r="CC87" t="s">
        <v>5</v>
      </c>
      <c r="CD87">
        <v>85</v>
      </c>
      <c r="CE87" t="s">
        <v>6</v>
      </c>
      <c r="CF87" s="1">
        <v>0.13359380000000001</v>
      </c>
      <c r="CG87" t="s">
        <v>7</v>
      </c>
      <c r="CH87" s="1">
        <v>0.5</v>
      </c>
      <c r="CI87" t="s">
        <v>8</v>
      </c>
      <c r="CJ87" s="1">
        <v>0</v>
      </c>
      <c r="CK87" s="1">
        <v>13.9671060778329</v>
      </c>
    </row>
    <row r="88" spans="43:89">
      <c r="AQ88" t="s">
        <v>7</v>
      </c>
      <c r="AR88" s="1">
        <v>0.5</v>
      </c>
      <c r="AS88" t="s">
        <v>8</v>
      </c>
      <c r="AT88" s="1">
        <v>0</v>
      </c>
      <c r="AU88" s="1">
        <v>3.3410443922538398E-2</v>
      </c>
      <c r="AW88" t="s">
        <v>4</v>
      </c>
      <c r="AX88">
        <v>0</v>
      </c>
      <c r="AY88" t="s">
        <v>5</v>
      </c>
      <c r="AZ88">
        <v>86</v>
      </c>
      <c r="BA88" t="s">
        <v>6</v>
      </c>
      <c r="BB88" s="1">
        <v>0.13515630000000001</v>
      </c>
      <c r="BC88" t="s">
        <v>7</v>
      </c>
      <c r="BD88" s="1">
        <v>0.5</v>
      </c>
      <c r="BE88" t="s">
        <v>8</v>
      </c>
      <c r="BF88" s="1">
        <v>0</v>
      </c>
      <c r="BG88" s="1">
        <f t="shared" si="11"/>
        <v>0.27031260000000001</v>
      </c>
      <c r="BH88" s="1">
        <v>13.2847901424241</v>
      </c>
      <c r="BJ88" t="s">
        <v>4</v>
      </c>
      <c r="BK88">
        <v>0</v>
      </c>
      <c r="BL88" t="s">
        <v>5</v>
      </c>
      <c r="BM88">
        <v>86</v>
      </c>
      <c r="BN88" t="s">
        <v>6</v>
      </c>
      <c r="BO88" s="1">
        <v>0.13515630000000001</v>
      </c>
      <c r="BP88" t="s">
        <v>7</v>
      </c>
      <c r="BQ88" s="1">
        <v>0.5</v>
      </c>
      <c r="BR88" t="s">
        <v>8</v>
      </c>
      <c r="BS88" s="1">
        <v>0</v>
      </c>
      <c r="BT88" s="1">
        <v>13.2590550887303</v>
      </c>
      <c r="BU88" s="1">
        <f t="shared" si="12"/>
        <v>0.27031260000000001</v>
      </c>
      <c r="BV88" s="1">
        <f t="shared" si="13"/>
        <v>13.2590550887303</v>
      </c>
      <c r="BX88" s="1">
        <v>86</v>
      </c>
      <c r="BY88" s="1">
        <v>17.548979385144101</v>
      </c>
      <c r="CA88" t="s">
        <v>4</v>
      </c>
      <c r="CB88">
        <v>0</v>
      </c>
      <c r="CC88" t="s">
        <v>5</v>
      </c>
      <c r="CD88">
        <v>86</v>
      </c>
      <c r="CE88" t="s">
        <v>6</v>
      </c>
      <c r="CF88" s="1">
        <v>0.13515630000000001</v>
      </c>
      <c r="CG88" t="s">
        <v>7</v>
      </c>
      <c r="CH88" s="1">
        <v>0.5</v>
      </c>
      <c r="CI88" t="s">
        <v>8</v>
      </c>
      <c r="CJ88" s="1">
        <v>0</v>
      </c>
      <c r="CK88" s="1">
        <v>13.965964436366299</v>
      </c>
    </row>
    <row r="89" spans="43:89">
      <c r="AQ89" t="s">
        <v>7</v>
      </c>
      <c r="AR89" s="1">
        <v>0.5</v>
      </c>
      <c r="AS89" t="s">
        <v>8</v>
      </c>
      <c r="AT89" s="1">
        <v>0</v>
      </c>
      <c r="AU89" s="1">
        <v>3.3414738446638802E-2</v>
      </c>
      <c r="AW89" t="s">
        <v>4</v>
      </c>
      <c r="AX89">
        <v>0</v>
      </c>
      <c r="AY89" t="s">
        <v>5</v>
      </c>
      <c r="AZ89">
        <v>87</v>
      </c>
      <c r="BA89" t="s">
        <v>6</v>
      </c>
      <c r="BB89" s="1">
        <v>0.1367188</v>
      </c>
      <c r="BC89" t="s">
        <v>7</v>
      </c>
      <c r="BD89" s="1">
        <v>0.5</v>
      </c>
      <c r="BE89" t="s">
        <v>8</v>
      </c>
      <c r="BF89" s="1">
        <v>0</v>
      </c>
      <c r="BG89" s="1">
        <f t="shared" si="11"/>
        <v>0.2734376</v>
      </c>
      <c r="BH89" s="1">
        <v>13.2750605781834</v>
      </c>
      <c r="BJ89" t="s">
        <v>4</v>
      </c>
      <c r="BK89">
        <v>0</v>
      </c>
      <c r="BL89" t="s">
        <v>5</v>
      </c>
      <c r="BM89">
        <v>87</v>
      </c>
      <c r="BN89" t="s">
        <v>6</v>
      </c>
      <c r="BO89" s="1">
        <v>0.1367188</v>
      </c>
      <c r="BP89" t="s">
        <v>7</v>
      </c>
      <c r="BQ89" s="1">
        <v>0.5</v>
      </c>
      <c r="BR89" t="s">
        <v>8</v>
      </c>
      <c r="BS89" s="1">
        <v>0</v>
      </c>
      <c r="BT89" s="1">
        <v>13.2511863644055</v>
      </c>
      <c r="BU89" s="1">
        <f t="shared" si="12"/>
        <v>0.2734376</v>
      </c>
      <c r="BV89" s="1">
        <f t="shared" si="13"/>
        <v>13.2511863644055</v>
      </c>
      <c r="BX89" s="1">
        <v>87</v>
      </c>
      <c r="BY89" s="1">
        <v>17.557253511839399</v>
      </c>
      <c r="CA89" t="s">
        <v>4</v>
      </c>
      <c r="CB89">
        <v>0</v>
      </c>
      <c r="CC89" t="s">
        <v>5</v>
      </c>
      <c r="CD89">
        <v>87</v>
      </c>
      <c r="CE89" t="s">
        <v>6</v>
      </c>
      <c r="CF89" s="1">
        <v>0.1367188</v>
      </c>
      <c r="CG89" t="s">
        <v>7</v>
      </c>
      <c r="CH89" s="1">
        <v>0.5</v>
      </c>
      <c r="CI89" t="s">
        <v>8</v>
      </c>
      <c r="CJ89" s="1">
        <v>0</v>
      </c>
      <c r="CK89" s="1">
        <v>13.964804205897799</v>
      </c>
    </row>
    <row r="90" spans="43:89">
      <c r="AQ90" t="s">
        <v>7</v>
      </c>
      <c r="AR90" s="1">
        <v>0.5</v>
      </c>
      <c r="AS90" t="s">
        <v>8</v>
      </c>
      <c r="AT90" s="1">
        <v>0</v>
      </c>
      <c r="AU90" s="1">
        <v>3.3419051412213498E-2</v>
      </c>
      <c r="AW90" t="s">
        <v>4</v>
      </c>
      <c r="AX90">
        <v>0</v>
      </c>
      <c r="AY90" t="s">
        <v>5</v>
      </c>
      <c r="AZ90">
        <v>88</v>
      </c>
      <c r="BA90" t="s">
        <v>6</v>
      </c>
      <c r="BB90" s="1">
        <v>0.13828119999999999</v>
      </c>
      <c r="BC90" t="s">
        <v>7</v>
      </c>
      <c r="BD90" s="1">
        <v>0.5</v>
      </c>
      <c r="BE90" t="s">
        <v>8</v>
      </c>
      <c r="BF90" s="1">
        <v>0</v>
      </c>
      <c r="BG90" s="1">
        <f t="shared" si="11"/>
        <v>0.27656239999999999</v>
      </c>
      <c r="BH90" s="1">
        <v>13.2653400996254</v>
      </c>
      <c r="BJ90" t="s">
        <v>4</v>
      </c>
      <c r="BK90">
        <v>0</v>
      </c>
      <c r="BL90" t="s">
        <v>5</v>
      </c>
      <c r="BM90">
        <v>88</v>
      </c>
      <c r="BN90" t="s">
        <v>6</v>
      </c>
      <c r="BO90" s="1">
        <v>0.13828119999999999</v>
      </c>
      <c r="BP90" t="s">
        <v>7</v>
      </c>
      <c r="BQ90" s="1">
        <v>0.5</v>
      </c>
      <c r="BR90" t="s">
        <v>8</v>
      </c>
      <c r="BS90" s="1">
        <v>0</v>
      </c>
      <c r="BT90" s="1">
        <v>13.243875550438499</v>
      </c>
      <c r="BU90" s="1">
        <f t="shared" si="12"/>
        <v>0.27656239999999999</v>
      </c>
      <c r="BV90" s="1">
        <f t="shared" si="13"/>
        <v>13.243875550438499</v>
      </c>
      <c r="BX90" s="1">
        <v>88</v>
      </c>
      <c r="BY90" s="1">
        <v>17.5655174694013</v>
      </c>
      <c r="CA90" t="s">
        <v>4</v>
      </c>
      <c r="CB90">
        <v>0</v>
      </c>
      <c r="CC90" t="s">
        <v>5</v>
      </c>
      <c r="CD90">
        <v>88</v>
      </c>
      <c r="CE90" t="s">
        <v>6</v>
      </c>
      <c r="CF90" s="1">
        <v>0.13828119999999999</v>
      </c>
      <c r="CG90" t="s">
        <v>7</v>
      </c>
      <c r="CH90" s="1">
        <v>0.5</v>
      </c>
      <c r="CI90" t="s">
        <v>8</v>
      </c>
      <c r="CJ90" s="1">
        <v>0</v>
      </c>
      <c r="CK90" s="1">
        <v>13.963624474731199</v>
      </c>
    </row>
    <row r="91" spans="43:89">
      <c r="AQ91" t="s">
        <v>7</v>
      </c>
      <c r="AR91" s="1">
        <v>0.5</v>
      </c>
      <c r="AS91" t="s">
        <v>8</v>
      </c>
      <c r="AT91" s="1">
        <v>0</v>
      </c>
      <c r="AU91" s="1">
        <v>3.3423382848230702E-2</v>
      </c>
      <c r="AW91" t="s">
        <v>4</v>
      </c>
      <c r="AX91">
        <v>0</v>
      </c>
      <c r="AY91" t="s">
        <v>5</v>
      </c>
      <c r="AZ91">
        <v>89</v>
      </c>
      <c r="BA91" t="s">
        <v>6</v>
      </c>
      <c r="BB91" s="1">
        <v>0.13984369999999999</v>
      </c>
      <c r="BC91" t="s">
        <v>7</v>
      </c>
      <c r="BD91" s="1">
        <v>0.5</v>
      </c>
      <c r="BE91" t="s">
        <v>8</v>
      </c>
      <c r="BF91" s="1">
        <v>0</v>
      </c>
      <c r="BG91" s="1">
        <f t="shared" si="11"/>
        <v>0.27968739999999997</v>
      </c>
      <c r="BH91" s="1">
        <v>13.2556340507185</v>
      </c>
      <c r="BJ91" t="s">
        <v>4</v>
      </c>
      <c r="BK91">
        <v>0</v>
      </c>
      <c r="BL91" t="s">
        <v>5</v>
      </c>
      <c r="BM91">
        <v>89</v>
      </c>
      <c r="BN91" t="s">
        <v>6</v>
      </c>
      <c r="BO91" s="1">
        <v>0.13984369999999999</v>
      </c>
      <c r="BP91" t="s">
        <v>7</v>
      </c>
      <c r="BQ91" s="1">
        <v>0.5</v>
      </c>
      <c r="BR91" t="s">
        <v>8</v>
      </c>
      <c r="BS91" s="1">
        <v>0</v>
      </c>
      <c r="BT91" s="1">
        <v>13.237153759001499</v>
      </c>
      <c r="BU91" s="1">
        <f t="shared" si="12"/>
        <v>0.27968739999999997</v>
      </c>
      <c r="BV91" s="1">
        <f t="shared" si="13"/>
        <v>13.237153759001499</v>
      </c>
      <c r="BX91" s="1">
        <v>89</v>
      </c>
      <c r="BY91" s="1">
        <v>17.573771329882099</v>
      </c>
      <c r="CA91" t="s">
        <v>4</v>
      </c>
      <c r="CB91">
        <v>0</v>
      </c>
      <c r="CC91" t="s">
        <v>5</v>
      </c>
      <c r="CD91">
        <v>89</v>
      </c>
      <c r="CE91" t="s">
        <v>6</v>
      </c>
      <c r="CF91" s="1">
        <v>0.13984369999999999</v>
      </c>
      <c r="CG91" t="s">
        <v>7</v>
      </c>
      <c r="CH91" s="1">
        <v>0.5</v>
      </c>
      <c r="CI91" t="s">
        <v>8</v>
      </c>
      <c r="CJ91" s="1">
        <v>0</v>
      </c>
      <c r="CK91" s="1">
        <v>13.9624260001239</v>
      </c>
    </row>
    <row r="92" spans="43:89">
      <c r="AQ92" t="s">
        <v>7</v>
      </c>
      <c r="AR92" s="1">
        <v>0.5</v>
      </c>
      <c r="AS92" t="s">
        <v>8</v>
      </c>
      <c r="AT92" s="1">
        <v>0</v>
      </c>
      <c r="AU92" s="1">
        <v>3.3427752784450503E-2</v>
      </c>
      <c r="AW92" t="s">
        <v>4</v>
      </c>
      <c r="AX92">
        <v>0</v>
      </c>
      <c r="AY92" t="s">
        <v>5</v>
      </c>
      <c r="AZ92">
        <v>90</v>
      </c>
      <c r="BA92" t="s">
        <v>6</v>
      </c>
      <c r="BB92" s="1">
        <v>0.14140630000000001</v>
      </c>
      <c r="BC92" t="s">
        <v>7</v>
      </c>
      <c r="BD92" s="1">
        <v>0.5</v>
      </c>
      <c r="BE92" t="s">
        <v>8</v>
      </c>
      <c r="BF92" s="1">
        <v>0</v>
      </c>
      <c r="BG92" s="1">
        <f t="shared" si="11"/>
        <v>0.28281260000000003</v>
      </c>
      <c r="BH92" s="1">
        <v>13.2459519421897</v>
      </c>
      <c r="BJ92" t="s">
        <v>4</v>
      </c>
      <c r="BK92">
        <v>0</v>
      </c>
      <c r="BL92" t="s">
        <v>5</v>
      </c>
      <c r="BM92">
        <v>90</v>
      </c>
      <c r="BN92" t="s">
        <v>6</v>
      </c>
      <c r="BO92" s="1">
        <v>0.14140630000000001</v>
      </c>
      <c r="BP92" t="s">
        <v>7</v>
      </c>
      <c r="BQ92" s="1">
        <v>0.5</v>
      </c>
      <c r="BR92" t="s">
        <v>8</v>
      </c>
      <c r="BS92" s="1">
        <v>0</v>
      </c>
      <c r="BT92" s="1">
        <v>13.2310473422505</v>
      </c>
      <c r="BU92" s="1">
        <f t="shared" si="12"/>
        <v>0.28281260000000003</v>
      </c>
      <c r="BV92" s="1">
        <f t="shared" si="13"/>
        <v>13.2310473422505</v>
      </c>
      <c r="BX92" s="1">
        <v>90</v>
      </c>
      <c r="BY92" s="1">
        <v>17.5820021038653</v>
      </c>
      <c r="CA92" t="s">
        <v>4</v>
      </c>
      <c r="CB92">
        <v>0</v>
      </c>
      <c r="CC92" t="s">
        <v>5</v>
      </c>
      <c r="CD92">
        <v>90</v>
      </c>
      <c r="CE92" t="s">
        <v>6</v>
      </c>
      <c r="CF92" s="1">
        <v>0.14140630000000001</v>
      </c>
      <c r="CG92" t="s">
        <v>7</v>
      </c>
      <c r="CH92" s="1">
        <v>0.5</v>
      </c>
      <c r="CI92" t="s">
        <v>8</v>
      </c>
      <c r="CJ92" s="1">
        <v>0</v>
      </c>
      <c r="CK92" s="1">
        <v>13.9612125228454</v>
      </c>
    </row>
    <row r="93" spans="43:89">
      <c r="AQ93" t="s">
        <v>7</v>
      </c>
      <c r="AR93" s="1">
        <v>0.5</v>
      </c>
      <c r="AS93" t="s">
        <v>8</v>
      </c>
      <c r="AT93" s="1">
        <v>0</v>
      </c>
      <c r="AU93" s="1">
        <v>3.3432135240214503E-2</v>
      </c>
      <c r="AW93" t="s">
        <v>4</v>
      </c>
      <c r="AX93">
        <v>0</v>
      </c>
      <c r="AY93" t="s">
        <v>5</v>
      </c>
      <c r="AZ93">
        <v>91</v>
      </c>
      <c r="BA93" t="s">
        <v>6</v>
      </c>
      <c r="BB93" s="1">
        <v>0.14296880000000001</v>
      </c>
      <c r="BC93" t="s">
        <v>7</v>
      </c>
      <c r="BD93" s="1">
        <v>0.5</v>
      </c>
      <c r="BE93" t="s">
        <v>8</v>
      </c>
      <c r="BF93" s="1">
        <v>0</v>
      </c>
      <c r="BG93" s="1">
        <f t="shared" si="11"/>
        <v>0.28593760000000001</v>
      </c>
      <c r="BH93" s="1">
        <v>13.236301787418499</v>
      </c>
      <c r="BJ93" t="s">
        <v>4</v>
      </c>
      <c r="BK93">
        <v>0</v>
      </c>
      <c r="BL93" t="s">
        <v>5</v>
      </c>
      <c r="BM93">
        <v>91</v>
      </c>
      <c r="BN93" t="s">
        <v>6</v>
      </c>
      <c r="BO93" s="1">
        <v>0.14296880000000001</v>
      </c>
      <c r="BP93" t="s">
        <v>7</v>
      </c>
      <c r="BQ93" s="1">
        <v>0.5</v>
      </c>
      <c r="BR93" t="s">
        <v>8</v>
      </c>
      <c r="BS93" s="1">
        <v>0</v>
      </c>
      <c r="BT93" s="1">
        <v>13.2256058084778</v>
      </c>
      <c r="BU93" s="1">
        <f t="shared" si="12"/>
        <v>0.28593760000000001</v>
      </c>
      <c r="BV93" s="1">
        <f t="shared" si="13"/>
        <v>13.2256058084778</v>
      </c>
      <c r="BX93" s="1">
        <v>91</v>
      </c>
      <c r="BY93" s="1">
        <v>17.5902334339455</v>
      </c>
      <c r="CA93" t="s">
        <v>4</v>
      </c>
      <c r="CB93">
        <v>0</v>
      </c>
      <c r="CC93" t="s">
        <v>5</v>
      </c>
      <c r="CD93">
        <v>91</v>
      </c>
      <c r="CE93" t="s">
        <v>6</v>
      </c>
      <c r="CF93" s="1">
        <v>0.14296880000000001</v>
      </c>
      <c r="CG93" t="s">
        <v>7</v>
      </c>
      <c r="CH93" s="1">
        <v>0.5</v>
      </c>
      <c r="CI93" t="s">
        <v>8</v>
      </c>
      <c r="CJ93" s="1">
        <v>0</v>
      </c>
      <c r="CK93" s="1">
        <v>13.959976306240399</v>
      </c>
    </row>
    <row r="94" spans="43:89">
      <c r="AQ94" t="s">
        <v>7</v>
      </c>
      <c r="AR94" s="1">
        <v>0.5</v>
      </c>
      <c r="AS94" t="s">
        <v>8</v>
      </c>
      <c r="AT94" s="1">
        <v>0</v>
      </c>
      <c r="AU94" s="1">
        <v>3.34365217012602E-2</v>
      </c>
      <c r="AW94" t="s">
        <v>4</v>
      </c>
      <c r="AX94">
        <v>0</v>
      </c>
      <c r="AY94" t="s">
        <v>5</v>
      </c>
      <c r="AZ94">
        <v>92</v>
      </c>
      <c r="BA94" t="s">
        <v>6</v>
      </c>
      <c r="BB94" s="1">
        <v>0.1445312</v>
      </c>
      <c r="BC94" t="s">
        <v>7</v>
      </c>
      <c r="BD94" s="1">
        <v>0.5</v>
      </c>
      <c r="BE94" t="s">
        <v>8</v>
      </c>
      <c r="BF94" s="1">
        <v>0</v>
      </c>
      <c r="BG94" s="1">
        <f t="shared" si="11"/>
        <v>0.2890624</v>
      </c>
      <c r="BH94" s="1">
        <v>13.2266893432319</v>
      </c>
      <c r="BJ94" t="s">
        <v>4</v>
      </c>
      <c r="BK94">
        <v>0</v>
      </c>
      <c r="BL94" t="s">
        <v>5</v>
      </c>
      <c r="BM94">
        <v>92</v>
      </c>
      <c r="BN94" t="s">
        <v>6</v>
      </c>
      <c r="BO94" s="1">
        <v>0.1445312</v>
      </c>
      <c r="BP94" t="s">
        <v>7</v>
      </c>
      <c r="BQ94" s="1">
        <v>0.5</v>
      </c>
      <c r="BR94" t="s">
        <v>8</v>
      </c>
      <c r="BS94" s="1">
        <v>0</v>
      </c>
      <c r="BT94" s="1">
        <v>13.220855290379699</v>
      </c>
      <c r="BU94" s="1">
        <f t="shared" si="12"/>
        <v>0.2890624</v>
      </c>
      <c r="BV94" s="1">
        <f t="shared" si="13"/>
        <v>13.220855290379699</v>
      </c>
      <c r="BX94" s="1">
        <v>92</v>
      </c>
      <c r="BY94" s="1">
        <v>17.598448370556898</v>
      </c>
      <c r="CA94" t="s">
        <v>4</v>
      </c>
      <c r="CB94">
        <v>0</v>
      </c>
      <c r="CC94" t="s">
        <v>5</v>
      </c>
      <c r="CD94">
        <v>92</v>
      </c>
      <c r="CE94" t="s">
        <v>6</v>
      </c>
      <c r="CF94" s="1">
        <v>0.1445312</v>
      </c>
      <c r="CG94" t="s">
        <v>7</v>
      </c>
      <c r="CH94" s="1">
        <v>0.5</v>
      </c>
      <c r="CI94" t="s">
        <v>8</v>
      </c>
      <c r="CJ94" s="1">
        <v>0</v>
      </c>
      <c r="CK94" s="1">
        <v>13.958721378719</v>
      </c>
    </row>
    <row r="95" spans="43:89">
      <c r="AQ95" t="s">
        <v>7</v>
      </c>
      <c r="AR95" s="1">
        <v>0.5</v>
      </c>
      <c r="AS95" t="s">
        <v>8</v>
      </c>
      <c r="AT95" s="1">
        <v>0</v>
      </c>
      <c r="AU95" s="1">
        <v>3.3440926783829303E-2</v>
      </c>
      <c r="AW95" t="s">
        <v>4</v>
      </c>
      <c r="AX95">
        <v>0</v>
      </c>
      <c r="AY95" t="s">
        <v>5</v>
      </c>
      <c r="AZ95">
        <v>93</v>
      </c>
      <c r="BA95" t="s">
        <v>6</v>
      </c>
      <c r="BB95" s="1">
        <v>0.14609369999999999</v>
      </c>
      <c r="BC95" t="s">
        <v>7</v>
      </c>
      <c r="BD95" s="1">
        <v>0.5</v>
      </c>
      <c r="BE95" t="s">
        <v>8</v>
      </c>
      <c r="BF95" s="1">
        <v>0</v>
      </c>
      <c r="BG95" s="1">
        <f t="shared" si="11"/>
        <v>0.29218739999999999</v>
      </c>
      <c r="BH95" s="1">
        <v>13.217122327912</v>
      </c>
      <c r="BJ95" t="s">
        <v>4</v>
      </c>
      <c r="BK95">
        <v>0</v>
      </c>
      <c r="BL95" t="s">
        <v>5</v>
      </c>
      <c r="BM95">
        <v>93</v>
      </c>
      <c r="BN95" t="s">
        <v>6</v>
      </c>
      <c r="BO95" s="1">
        <v>0.14609369999999999</v>
      </c>
      <c r="BP95" t="s">
        <v>7</v>
      </c>
      <c r="BQ95" s="1">
        <v>0.5</v>
      </c>
      <c r="BR95" t="s">
        <v>8</v>
      </c>
      <c r="BS95" s="1">
        <v>0</v>
      </c>
      <c r="BT95" s="1">
        <v>13.216833798609599</v>
      </c>
      <c r="BU95" s="1">
        <f t="shared" si="12"/>
        <v>0.29218739999999999</v>
      </c>
      <c r="BV95" s="1">
        <f t="shared" si="13"/>
        <v>13.216833798609599</v>
      </c>
      <c r="BX95" s="1">
        <v>93</v>
      </c>
      <c r="BY95" s="1">
        <v>17.606633723497499</v>
      </c>
      <c r="CA95" t="s">
        <v>4</v>
      </c>
      <c r="CB95">
        <v>0</v>
      </c>
      <c r="CC95" t="s">
        <v>5</v>
      </c>
      <c r="CD95">
        <v>93</v>
      </c>
      <c r="CE95" t="s">
        <v>6</v>
      </c>
      <c r="CF95" s="1">
        <v>0.14609369999999999</v>
      </c>
      <c r="CG95" t="s">
        <v>7</v>
      </c>
      <c r="CH95" s="1">
        <v>0.5</v>
      </c>
      <c r="CI95" t="s">
        <v>8</v>
      </c>
      <c r="CJ95" s="1">
        <v>0</v>
      </c>
      <c r="CK95" s="1">
        <v>13.957439492839899</v>
      </c>
    </row>
    <row r="96" spans="43:89">
      <c r="AQ96" t="s">
        <v>7</v>
      </c>
      <c r="AR96" s="1">
        <v>0.5</v>
      </c>
      <c r="AS96" t="s">
        <v>8</v>
      </c>
      <c r="AT96" s="1">
        <v>0</v>
      </c>
      <c r="AU96" s="1">
        <v>3.3445350538961E-2</v>
      </c>
      <c r="AW96" t="s">
        <v>4</v>
      </c>
      <c r="AX96">
        <v>0</v>
      </c>
      <c r="AY96" t="s">
        <v>5</v>
      </c>
      <c r="AZ96">
        <v>94</v>
      </c>
      <c r="BA96" t="s">
        <v>6</v>
      </c>
      <c r="BB96" s="1">
        <v>0.14765619999999999</v>
      </c>
      <c r="BC96" t="s">
        <v>7</v>
      </c>
      <c r="BD96" s="1">
        <v>0.5</v>
      </c>
      <c r="BE96" t="s">
        <v>8</v>
      </c>
      <c r="BF96" s="1">
        <v>0</v>
      </c>
      <c r="BG96" s="1">
        <f t="shared" si="11"/>
        <v>0.29531239999999997</v>
      </c>
      <c r="BH96" s="1">
        <v>13.2076056060603</v>
      </c>
      <c r="BJ96" t="s">
        <v>4</v>
      </c>
      <c r="BK96">
        <v>0</v>
      </c>
      <c r="BL96" t="s">
        <v>5</v>
      </c>
      <c r="BM96">
        <v>94</v>
      </c>
      <c r="BN96" t="s">
        <v>6</v>
      </c>
      <c r="BO96" s="1">
        <v>0.14765619999999999</v>
      </c>
      <c r="BP96" t="s">
        <v>7</v>
      </c>
      <c r="BQ96" s="1">
        <v>0.5</v>
      </c>
      <c r="BR96" t="s">
        <v>8</v>
      </c>
      <c r="BS96" s="1">
        <v>0</v>
      </c>
      <c r="BT96" s="1">
        <v>13.2135739558942</v>
      </c>
      <c r="BU96" s="1">
        <f t="shared" si="12"/>
        <v>0.29531239999999997</v>
      </c>
      <c r="BV96" s="1">
        <f t="shared" si="13"/>
        <v>13.2135739558942</v>
      </c>
      <c r="BX96" s="1">
        <v>94</v>
      </c>
      <c r="BY96" s="1">
        <v>17.6148261718943</v>
      </c>
      <c r="CA96" t="s">
        <v>4</v>
      </c>
      <c r="CB96">
        <v>0</v>
      </c>
      <c r="CC96" t="s">
        <v>5</v>
      </c>
      <c r="CD96">
        <v>94</v>
      </c>
      <c r="CE96" t="s">
        <v>6</v>
      </c>
      <c r="CF96" s="1">
        <v>0.14765619999999999</v>
      </c>
      <c r="CG96" t="s">
        <v>7</v>
      </c>
      <c r="CH96" s="1">
        <v>0.5</v>
      </c>
      <c r="CI96" t="s">
        <v>8</v>
      </c>
      <c r="CJ96" s="1">
        <v>0</v>
      </c>
      <c r="CK96" s="1">
        <v>13.9561454346024</v>
      </c>
    </row>
    <row r="97" spans="43:89">
      <c r="AQ97" t="s">
        <v>7</v>
      </c>
      <c r="AR97" s="1">
        <v>0.5</v>
      </c>
      <c r="AS97" t="s">
        <v>8</v>
      </c>
      <c r="AT97" s="1">
        <v>0</v>
      </c>
      <c r="AU97" s="1">
        <v>3.34497930219151E-2</v>
      </c>
      <c r="AW97" t="s">
        <v>4</v>
      </c>
      <c r="AX97">
        <v>0</v>
      </c>
      <c r="AY97" t="s">
        <v>5</v>
      </c>
      <c r="AZ97">
        <v>95</v>
      </c>
      <c r="BA97" t="s">
        <v>6</v>
      </c>
      <c r="BB97" s="1">
        <v>0.14921880000000001</v>
      </c>
      <c r="BC97" t="s">
        <v>7</v>
      </c>
      <c r="BD97" s="1">
        <v>0.5</v>
      </c>
      <c r="BE97" t="s">
        <v>8</v>
      </c>
      <c r="BF97" s="1">
        <v>0</v>
      </c>
      <c r="BG97" s="1">
        <f t="shared" si="11"/>
        <v>0.29843760000000003</v>
      </c>
      <c r="BH97" s="1">
        <v>13.1981482484743</v>
      </c>
      <c r="BJ97" t="s">
        <v>4</v>
      </c>
      <c r="BK97">
        <v>0</v>
      </c>
      <c r="BL97" t="s">
        <v>5</v>
      </c>
      <c r="BM97">
        <v>95</v>
      </c>
      <c r="BN97" t="s">
        <v>6</v>
      </c>
      <c r="BO97" s="1">
        <v>0.14921880000000001</v>
      </c>
      <c r="BP97" t="s">
        <v>7</v>
      </c>
      <c r="BQ97" s="1">
        <v>0.5</v>
      </c>
      <c r="BR97" t="s">
        <v>8</v>
      </c>
      <c r="BS97" s="1">
        <v>0</v>
      </c>
      <c r="BT97" s="1">
        <v>13.211110648938799</v>
      </c>
      <c r="BU97" s="1">
        <f t="shared" si="12"/>
        <v>0.29843760000000003</v>
      </c>
      <c r="BV97" s="1">
        <f t="shared" si="13"/>
        <v>13.211110648938799</v>
      </c>
      <c r="BX97" s="1">
        <v>95</v>
      </c>
      <c r="BY97" s="1">
        <v>17.623009386474799</v>
      </c>
      <c r="CA97" t="s">
        <v>4</v>
      </c>
      <c r="CB97">
        <v>0</v>
      </c>
      <c r="CC97" t="s">
        <v>5</v>
      </c>
      <c r="CD97">
        <v>95</v>
      </c>
      <c r="CE97" t="s">
        <v>6</v>
      </c>
      <c r="CF97" s="1">
        <v>0.14921880000000001</v>
      </c>
      <c r="CG97" t="s">
        <v>7</v>
      </c>
      <c r="CH97" s="1">
        <v>0.5</v>
      </c>
      <c r="CI97" t="s">
        <v>8</v>
      </c>
      <c r="CJ97" s="1">
        <v>0</v>
      </c>
      <c r="CK97" s="1">
        <v>13.9548341718047</v>
      </c>
    </row>
    <row r="98" spans="43:89">
      <c r="AQ98" t="s">
        <v>7</v>
      </c>
      <c r="AR98" s="1">
        <v>0.5</v>
      </c>
      <c r="AS98" t="s">
        <v>8</v>
      </c>
      <c r="AT98" s="1">
        <v>0</v>
      </c>
      <c r="AU98" s="1">
        <v>3.3454254292080599E-2</v>
      </c>
      <c r="AW98" t="s">
        <v>4</v>
      </c>
      <c r="AX98">
        <v>0</v>
      </c>
      <c r="AY98" t="s">
        <v>5</v>
      </c>
      <c r="AZ98">
        <v>96</v>
      </c>
      <c r="BA98" t="s">
        <v>6</v>
      </c>
      <c r="BB98" s="1">
        <v>0.15078130000000001</v>
      </c>
      <c r="BC98" t="s">
        <v>7</v>
      </c>
      <c r="BD98" s="1">
        <v>0.5</v>
      </c>
      <c r="BE98" t="s">
        <v>8</v>
      </c>
      <c r="BF98" s="1">
        <v>0</v>
      </c>
      <c r="BG98" s="1">
        <f t="shared" si="11"/>
        <v>0.30156260000000001</v>
      </c>
      <c r="BH98" s="1">
        <v>13.188759353968701</v>
      </c>
      <c r="BJ98" t="s">
        <v>4</v>
      </c>
      <c r="BK98">
        <v>0</v>
      </c>
      <c r="BL98" t="s">
        <v>5</v>
      </c>
      <c r="BM98">
        <v>96</v>
      </c>
      <c r="BN98" t="s">
        <v>6</v>
      </c>
      <c r="BO98" s="1">
        <v>0.15078130000000001</v>
      </c>
      <c r="BP98" t="s">
        <v>7</v>
      </c>
      <c r="BQ98" s="1">
        <v>0.5</v>
      </c>
      <c r="BR98" t="s">
        <v>8</v>
      </c>
      <c r="BS98" s="1">
        <v>0</v>
      </c>
      <c r="BT98" s="1">
        <v>13.2094752177491</v>
      </c>
      <c r="BU98" s="1">
        <f t="shared" si="12"/>
        <v>0.30156260000000001</v>
      </c>
      <c r="BV98" s="1">
        <f t="shared" si="13"/>
        <v>13.2094752177491</v>
      </c>
      <c r="BX98" s="1">
        <v>96</v>
      </c>
      <c r="BY98" s="1">
        <v>17.631183259168701</v>
      </c>
      <c r="CA98" t="s">
        <v>4</v>
      </c>
      <c r="CB98">
        <v>0</v>
      </c>
      <c r="CC98" t="s">
        <v>5</v>
      </c>
      <c r="CD98">
        <v>96</v>
      </c>
      <c r="CE98" t="s">
        <v>6</v>
      </c>
      <c r="CF98" s="1">
        <v>0.15078130000000001</v>
      </c>
      <c r="CG98" t="s">
        <v>7</v>
      </c>
      <c r="CH98" s="1">
        <v>0.5</v>
      </c>
      <c r="CI98" t="s">
        <v>8</v>
      </c>
      <c r="CJ98" s="1">
        <v>0</v>
      </c>
      <c r="CK98" s="1">
        <v>13.9534982603718</v>
      </c>
    </row>
    <row r="99" spans="43:89">
      <c r="AQ99" t="s">
        <v>7</v>
      </c>
      <c r="AR99" s="1">
        <v>0.5</v>
      </c>
      <c r="AS99" t="s">
        <v>8</v>
      </c>
      <c r="AT99" s="1">
        <v>0</v>
      </c>
      <c r="AU99" s="1">
        <v>3.3458734412950102E-2</v>
      </c>
      <c r="AW99" t="s">
        <v>4</v>
      </c>
      <c r="AX99">
        <v>0</v>
      </c>
      <c r="AY99" t="s">
        <v>5</v>
      </c>
      <c r="AZ99">
        <v>97</v>
      </c>
      <c r="BA99" t="s">
        <v>6</v>
      </c>
      <c r="BB99" s="1">
        <v>0.1523438</v>
      </c>
      <c r="BC99" t="s">
        <v>7</v>
      </c>
      <c r="BD99" s="1">
        <v>0.5</v>
      </c>
      <c r="BE99" t="s">
        <v>8</v>
      </c>
      <c r="BF99" s="1">
        <v>0</v>
      </c>
      <c r="BG99" s="1">
        <f t="shared" si="11"/>
        <v>0.3046876</v>
      </c>
      <c r="BH99" s="1">
        <v>13.179444415469501</v>
      </c>
      <c r="BJ99" t="s">
        <v>4</v>
      </c>
      <c r="BK99">
        <v>0</v>
      </c>
      <c r="BL99" t="s">
        <v>5</v>
      </c>
      <c r="BM99">
        <v>97</v>
      </c>
      <c r="BN99" t="s">
        <v>6</v>
      </c>
      <c r="BO99" s="1">
        <v>0.1523438</v>
      </c>
      <c r="BP99" t="s">
        <v>7</v>
      </c>
      <c r="BQ99" s="1">
        <v>0.5</v>
      </c>
      <c r="BR99" t="s">
        <v>8</v>
      </c>
      <c r="BS99" s="1">
        <v>0</v>
      </c>
      <c r="BT99" s="1">
        <v>13.208704265577101</v>
      </c>
      <c r="BU99" s="1">
        <f t="shared" si="12"/>
        <v>0.3046876</v>
      </c>
      <c r="BV99" s="1">
        <f t="shared" si="13"/>
        <v>13.208704265577101</v>
      </c>
      <c r="BX99" s="1">
        <v>97</v>
      </c>
      <c r="BY99" s="1">
        <v>17.639345051001701</v>
      </c>
      <c r="CA99" t="s">
        <v>4</v>
      </c>
      <c r="CB99">
        <v>0</v>
      </c>
      <c r="CC99" t="s">
        <v>5</v>
      </c>
      <c r="CD99">
        <v>97</v>
      </c>
      <c r="CE99" t="s">
        <v>6</v>
      </c>
      <c r="CF99" s="1">
        <v>0.1523438</v>
      </c>
      <c r="CG99" t="s">
        <v>7</v>
      </c>
      <c r="CH99" s="1">
        <v>0.5</v>
      </c>
      <c r="CI99" t="s">
        <v>8</v>
      </c>
      <c r="CJ99" s="1">
        <v>0</v>
      </c>
      <c r="CK99" s="1">
        <v>13.9521401657493</v>
      </c>
    </row>
    <row r="100" spans="43:89">
      <c r="AQ100" t="s">
        <v>7</v>
      </c>
      <c r="AR100" s="1">
        <v>0.5</v>
      </c>
      <c r="AS100" t="s">
        <v>8</v>
      </c>
      <c r="AT100" s="1">
        <v>0</v>
      </c>
      <c r="AU100" s="1">
        <v>3.3463233451994902E-2</v>
      </c>
      <c r="AW100" t="s">
        <v>4</v>
      </c>
      <c r="AX100">
        <v>0</v>
      </c>
      <c r="AY100" t="s">
        <v>5</v>
      </c>
      <c r="AZ100">
        <v>98</v>
      </c>
      <c r="BA100" t="s">
        <v>6</v>
      </c>
      <c r="BB100" s="1">
        <v>0.1539063</v>
      </c>
      <c r="BC100" t="s">
        <v>7</v>
      </c>
      <c r="BD100" s="1">
        <v>0.5</v>
      </c>
      <c r="BE100" t="s">
        <v>8</v>
      </c>
      <c r="BF100" s="1">
        <v>0</v>
      </c>
      <c r="BG100" s="1">
        <f t="shared" si="11"/>
        <v>0.30781259999999999</v>
      </c>
      <c r="BH100" s="1">
        <v>13.1702108524668</v>
      </c>
      <c r="BJ100" t="s">
        <v>4</v>
      </c>
      <c r="BK100">
        <v>0</v>
      </c>
      <c r="BL100" t="s">
        <v>5</v>
      </c>
      <c r="BM100">
        <v>98</v>
      </c>
      <c r="BN100" t="s">
        <v>6</v>
      </c>
      <c r="BO100" s="1">
        <v>0.1539063</v>
      </c>
      <c r="BP100" t="s">
        <v>7</v>
      </c>
      <c r="BQ100" s="1">
        <v>0.5</v>
      </c>
      <c r="BR100" t="s">
        <v>8</v>
      </c>
      <c r="BS100" s="1">
        <v>0</v>
      </c>
      <c r="BT100" s="1">
        <v>13.2088321871129</v>
      </c>
      <c r="BU100" s="1">
        <f t="shared" si="12"/>
        <v>0.30781259999999999</v>
      </c>
      <c r="BV100" s="1">
        <f t="shared" si="13"/>
        <v>13.2088321871129</v>
      </c>
      <c r="BX100" s="1">
        <v>98</v>
      </c>
      <c r="BY100" s="1">
        <v>17.647458780279401</v>
      </c>
      <c r="CA100" t="s">
        <v>4</v>
      </c>
      <c r="CB100">
        <v>0</v>
      </c>
      <c r="CC100" t="s">
        <v>5</v>
      </c>
      <c r="CD100">
        <v>98</v>
      </c>
      <c r="CE100" t="s">
        <v>6</v>
      </c>
      <c r="CF100" s="1">
        <v>0.1539063</v>
      </c>
      <c r="CG100" t="s">
        <v>7</v>
      </c>
      <c r="CH100" s="1">
        <v>0.5</v>
      </c>
      <c r="CI100" t="s">
        <v>8</v>
      </c>
      <c r="CJ100" s="1">
        <v>0</v>
      </c>
      <c r="CK100" s="1">
        <v>13.950756901016399</v>
      </c>
    </row>
    <row r="101" spans="43:89">
      <c r="AQ101" t="s">
        <v>7</v>
      </c>
      <c r="AR101" s="1">
        <v>0.5</v>
      </c>
      <c r="AS101" t="s">
        <v>8</v>
      </c>
      <c r="AT101" s="1">
        <v>0</v>
      </c>
      <c r="AU101" s="1">
        <v>3.3467751480612103E-2</v>
      </c>
      <c r="AW101" t="s">
        <v>4</v>
      </c>
      <c r="AX101">
        <v>0</v>
      </c>
      <c r="AY101" t="s">
        <v>5</v>
      </c>
      <c r="AZ101">
        <v>99</v>
      </c>
      <c r="BA101" t="s">
        <v>6</v>
      </c>
      <c r="BB101" s="1">
        <v>0.15546869999999999</v>
      </c>
      <c r="BC101" t="s">
        <v>7</v>
      </c>
      <c r="BD101" s="1">
        <v>0.5</v>
      </c>
      <c r="BE101" t="s">
        <v>8</v>
      </c>
      <c r="BF101" s="1">
        <v>0</v>
      </c>
      <c r="BG101" s="1">
        <f t="shared" si="11"/>
        <v>0.31093739999999997</v>
      </c>
      <c r="BH101" s="1">
        <v>13.161066594102699</v>
      </c>
      <c r="BJ101" t="s">
        <v>4</v>
      </c>
      <c r="BK101">
        <v>0</v>
      </c>
      <c r="BL101" t="s">
        <v>5</v>
      </c>
      <c r="BM101">
        <v>99</v>
      </c>
      <c r="BN101" t="s">
        <v>6</v>
      </c>
      <c r="BO101" s="1">
        <v>0.15546869999999999</v>
      </c>
      <c r="BP101" t="s">
        <v>7</v>
      </c>
      <c r="BQ101" s="1">
        <v>0.5</v>
      </c>
      <c r="BR101" t="s">
        <v>8</v>
      </c>
      <c r="BS101" s="1">
        <v>0</v>
      </c>
      <c r="BT101" s="1">
        <v>13.209896768996501</v>
      </c>
      <c r="BU101" s="1">
        <f t="shared" si="12"/>
        <v>0.31093739999999997</v>
      </c>
      <c r="BV101" s="1">
        <f t="shared" si="13"/>
        <v>13.209896768996501</v>
      </c>
      <c r="BX101" s="1">
        <v>99</v>
      </c>
      <c r="BY101" s="1">
        <v>17.6555899793787</v>
      </c>
      <c r="CA101" t="s">
        <v>4</v>
      </c>
      <c r="CB101">
        <v>0</v>
      </c>
      <c r="CC101" t="s">
        <v>5</v>
      </c>
      <c r="CD101">
        <v>99</v>
      </c>
      <c r="CE101" t="s">
        <v>6</v>
      </c>
      <c r="CF101" s="1">
        <v>0.15546869999999999</v>
      </c>
      <c r="CG101" t="s">
        <v>7</v>
      </c>
      <c r="CH101" s="1">
        <v>0.5</v>
      </c>
      <c r="CI101" t="s">
        <v>8</v>
      </c>
      <c r="CJ101" s="1">
        <v>0</v>
      </c>
      <c r="CK101" s="1">
        <v>13.949360746073101</v>
      </c>
    </row>
    <row r="102" spans="43:89">
      <c r="AQ102" t="s">
        <v>7</v>
      </c>
      <c r="AR102" s="1">
        <v>0.5</v>
      </c>
      <c r="AS102" t="s">
        <v>8</v>
      </c>
      <c r="AT102" s="1">
        <v>0</v>
      </c>
      <c r="AU102" s="1">
        <v>3.3472389593445603E-2</v>
      </c>
      <c r="AW102" t="s">
        <v>4</v>
      </c>
      <c r="AX102">
        <v>0</v>
      </c>
      <c r="AY102" t="s">
        <v>5</v>
      </c>
      <c r="AZ102">
        <v>100</v>
      </c>
      <c r="BA102" t="s">
        <v>6</v>
      </c>
      <c r="BB102" s="1">
        <v>0.15703130000000001</v>
      </c>
      <c r="BC102" t="s">
        <v>7</v>
      </c>
      <c r="BD102" s="1">
        <v>0.5</v>
      </c>
      <c r="BE102" t="s">
        <v>8</v>
      </c>
      <c r="BF102" s="1">
        <v>0</v>
      </c>
      <c r="BG102" s="1">
        <f t="shared" si="11"/>
        <v>0.31406260000000003</v>
      </c>
      <c r="BH102" s="1">
        <v>13.149762975155401</v>
      </c>
      <c r="BJ102" t="s">
        <v>4</v>
      </c>
      <c r="BK102">
        <v>0</v>
      </c>
      <c r="BL102" t="s">
        <v>5</v>
      </c>
      <c r="BM102">
        <v>100</v>
      </c>
      <c r="BN102" t="s">
        <v>6</v>
      </c>
      <c r="BO102" s="1">
        <v>0.15703130000000001</v>
      </c>
      <c r="BP102" t="s">
        <v>7</v>
      </c>
      <c r="BQ102" s="1">
        <v>0.5</v>
      </c>
      <c r="BR102" t="s">
        <v>8</v>
      </c>
      <c r="BS102" s="1">
        <v>0</v>
      </c>
      <c r="BT102" s="1">
        <v>13.2061064731106</v>
      </c>
      <c r="BU102" s="1">
        <f t="shared" si="12"/>
        <v>0.31406260000000003</v>
      </c>
      <c r="BV102" s="1">
        <f t="shared" si="13"/>
        <v>13.2061064731106</v>
      </c>
      <c r="BX102" s="1">
        <v>100</v>
      </c>
      <c r="BY102" s="1">
        <v>17.532443391737601</v>
      </c>
      <c r="CA102" t="s">
        <v>4</v>
      </c>
      <c r="CB102">
        <v>0</v>
      </c>
      <c r="CC102" t="s">
        <v>5</v>
      </c>
      <c r="CD102">
        <v>100</v>
      </c>
      <c r="CE102" t="s">
        <v>6</v>
      </c>
      <c r="CF102" s="1">
        <v>0.15703130000000001</v>
      </c>
      <c r="CG102" t="s">
        <v>7</v>
      </c>
      <c r="CH102" s="1">
        <v>0.5</v>
      </c>
      <c r="CI102" t="s">
        <v>8</v>
      </c>
      <c r="CJ102" s="1">
        <v>0</v>
      </c>
      <c r="CK102" s="1">
        <v>13.8254677533326</v>
      </c>
    </row>
    <row r="103" spans="43:89">
      <c r="AQ103" t="s">
        <v>7</v>
      </c>
      <c r="AR103" s="1">
        <v>0.5</v>
      </c>
      <c r="AS103" t="s">
        <v>8</v>
      </c>
      <c r="AT103" s="1">
        <v>0</v>
      </c>
      <c r="AU103" s="1">
        <v>3.3477155312497502E-2</v>
      </c>
      <c r="AW103" t="s">
        <v>4</v>
      </c>
      <c r="AX103">
        <v>0</v>
      </c>
      <c r="AY103" t="s">
        <v>5</v>
      </c>
      <c r="AZ103">
        <v>101</v>
      </c>
      <c r="BA103" t="s">
        <v>6</v>
      </c>
      <c r="BB103" s="1">
        <v>0.15859380000000001</v>
      </c>
      <c r="BC103" t="s">
        <v>7</v>
      </c>
      <c r="BD103" s="1">
        <v>0.5</v>
      </c>
      <c r="BE103" t="s">
        <v>8</v>
      </c>
      <c r="BF103" s="1">
        <v>0</v>
      </c>
      <c r="BG103" s="1">
        <f t="shared" si="11"/>
        <v>0.31718760000000001</v>
      </c>
      <c r="BH103" s="1">
        <v>13.136304830377901</v>
      </c>
      <c r="BJ103" t="s">
        <v>4</v>
      </c>
      <c r="BK103">
        <v>0</v>
      </c>
      <c r="BL103" t="s">
        <v>5</v>
      </c>
      <c r="BM103">
        <v>101</v>
      </c>
      <c r="BN103" t="s">
        <v>6</v>
      </c>
      <c r="BO103" s="1">
        <v>0.15859380000000001</v>
      </c>
      <c r="BP103" t="s">
        <v>7</v>
      </c>
      <c r="BQ103" s="1">
        <v>0.5</v>
      </c>
      <c r="BR103" t="s">
        <v>8</v>
      </c>
      <c r="BS103" s="1">
        <v>0</v>
      </c>
      <c r="BT103" s="1">
        <v>13.195996790894499</v>
      </c>
      <c r="BU103" s="1">
        <f t="shared" si="12"/>
        <v>0.31718760000000001</v>
      </c>
      <c r="BV103" s="1">
        <f t="shared" si="13"/>
        <v>13.195996790894499</v>
      </c>
      <c r="BX103" s="1">
        <v>101</v>
      </c>
      <c r="BY103" s="1">
        <v>17.540010478696999</v>
      </c>
      <c r="CA103" t="s">
        <v>4</v>
      </c>
      <c r="CB103">
        <v>0</v>
      </c>
      <c r="CC103" t="s">
        <v>5</v>
      </c>
      <c r="CD103">
        <v>101</v>
      </c>
      <c r="CE103" t="s">
        <v>6</v>
      </c>
      <c r="CF103" s="1">
        <v>0.15859380000000001</v>
      </c>
      <c r="CG103" t="s">
        <v>7</v>
      </c>
      <c r="CH103" s="1">
        <v>0.5</v>
      </c>
      <c r="CI103" t="s">
        <v>8</v>
      </c>
      <c r="CJ103" s="1">
        <v>0</v>
      </c>
      <c r="CK103" s="1">
        <v>13.823840159967901</v>
      </c>
    </row>
    <row r="104" spans="43:89">
      <c r="AQ104" t="s">
        <v>7</v>
      </c>
      <c r="AR104" s="1">
        <v>0.5</v>
      </c>
      <c r="AS104" t="s">
        <v>8</v>
      </c>
      <c r="AT104" s="1">
        <v>0</v>
      </c>
      <c r="AU104" s="1">
        <v>3.3481950356109097E-2</v>
      </c>
      <c r="AW104" t="s">
        <v>4</v>
      </c>
      <c r="AX104">
        <v>0</v>
      </c>
      <c r="AY104" t="s">
        <v>5</v>
      </c>
      <c r="AZ104">
        <v>102</v>
      </c>
      <c r="BA104" t="s">
        <v>6</v>
      </c>
      <c r="BB104" s="1">
        <v>0.1601562</v>
      </c>
      <c r="BC104" t="s">
        <v>7</v>
      </c>
      <c r="BD104" s="1">
        <v>0.5</v>
      </c>
      <c r="BE104" t="s">
        <v>8</v>
      </c>
      <c r="BF104" s="1">
        <v>0</v>
      </c>
      <c r="BG104" s="1">
        <f t="shared" si="11"/>
        <v>0.3203124</v>
      </c>
      <c r="BH104" s="1">
        <v>13.122958164976399</v>
      </c>
      <c r="BJ104" t="s">
        <v>4</v>
      </c>
      <c r="BK104">
        <v>0</v>
      </c>
      <c r="BL104" t="s">
        <v>5</v>
      </c>
      <c r="BM104">
        <v>102</v>
      </c>
      <c r="BN104" t="s">
        <v>6</v>
      </c>
      <c r="BO104" s="1">
        <v>0.1601562</v>
      </c>
      <c r="BP104" t="s">
        <v>7</v>
      </c>
      <c r="BQ104" s="1">
        <v>0.5</v>
      </c>
      <c r="BR104" t="s">
        <v>8</v>
      </c>
      <c r="BS104" s="1">
        <v>0</v>
      </c>
      <c r="BT104" s="1">
        <v>13.184739339161601</v>
      </c>
      <c r="BU104" s="1">
        <f t="shared" si="12"/>
        <v>0.3203124</v>
      </c>
      <c r="BV104" s="1">
        <f t="shared" si="13"/>
        <v>13.184739339161601</v>
      </c>
      <c r="BX104" s="1">
        <v>102</v>
      </c>
      <c r="BY104" s="1">
        <v>17.547543695170098</v>
      </c>
      <c r="CA104" t="s">
        <v>4</v>
      </c>
      <c r="CB104">
        <v>0</v>
      </c>
      <c r="CC104" t="s">
        <v>5</v>
      </c>
      <c r="CD104">
        <v>102</v>
      </c>
      <c r="CE104" t="s">
        <v>6</v>
      </c>
      <c r="CF104" s="1">
        <v>0.1601562</v>
      </c>
      <c r="CG104" t="s">
        <v>7</v>
      </c>
      <c r="CH104" s="1">
        <v>0.5</v>
      </c>
      <c r="CI104" t="s">
        <v>8</v>
      </c>
      <c r="CJ104" s="1">
        <v>0</v>
      </c>
      <c r="CK104" s="1">
        <v>13.822208525166699</v>
      </c>
    </row>
    <row r="105" spans="43:89">
      <c r="AQ105" t="s">
        <v>7</v>
      </c>
      <c r="AR105" s="1">
        <v>0.5</v>
      </c>
      <c r="AS105" t="s">
        <v>8</v>
      </c>
      <c r="AT105" s="1">
        <v>0</v>
      </c>
      <c r="AU105" s="1">
        <v>3.3486774295615099E-2</v>
      </c>
      <c r="AW105" t="s">
        <v>4</v>
      </c>
      <c r="AX105">
        <v>0</v>
      </c>
      <c r="AY105" t="s">
        <v>5</v>
      </c>
      <c r="AZ105">
        <v>103</v>
      </c>
      <c r="BA105" t="s">
        <v>6</v>
      </c>
      <c r="BB105" s="1">
        <v>0.16171869999999999</v>
      </c>
      <c r="BC105" t="s">
        <v>7</v>
      </c>
      <c r="BD105" s="1">
        <v>0.5</v>
      </c>
      <c r="BE105" t="s">
        <v>8</v>
      </c>
      <c r="BF105" s="1">
        <v>0</v>
      </c>
      <c r="BG105" s="1">
        <f t="shared" si="11"/>
        <v>0.32343739999999999</v>
      </c>
      <c r="BH105" s="1">
        <v>13.109744534395499</v>
      </c>
      <c r="BJ105" t="s">
        <v>4</v>
      </c>
      <c r="BK105">
        <v>0</v>
      </c>
      <c r="BL105" t="s">
        <v>5</v>
      </c>
      <c r="BM105">
        <v>103</v>
      </c>
      <c r="BN105" t="s">
        <v>6</v>
      </c>
      <c r="BO105" s="1">
        <v>0.16171869999999999</v>
      </c>
      <c r="BP105" t="s">
        <v>7</v>
      </c>
      <c r="BQ105" s="1">
        <v>0.5</v>
      </c>
      <c r="BR105" t="s">
        <v>8</v>
      </c>
      <c r="BS105" s="1">
        <v>0</v>
      </c>
      <c r="BT105" s="1">
        <v>13.1722647326218</v>
      </c>
      <c r="BU105" s="1">
        <f t="shared" si="12"/>
        <v>0.32343739999999999</v>
      </c>
      <c r="BV105" s="1">
        <f t="shared" si="13"/>
        <v>13.1722647326218</v>
      </c>
      <c r="BX105" s="1">
        <v>103</v>
      </c>
      <c r="BY105" s="1">
        <v>17.555062276363401</v>
      </c>
      <c r="CA105" t="s">
        <v>4</v>
      </c>
      <c r="CB105">
        <v>0</v>
      </c>
      <c r="CC105" t="s">
        <v>5</v>
      </c>
      <c r="CD105">
        <v>103</v>
      </c>
      <c r="CE105" t="s">
        <v>6</v>
      </c>
      <c r="CF105" s="1">
        <v>0.16171869999999999</v>
      </c>
      <c r="CG105" t="s">
        <v>7</v>
      </c>
      <c r="CH105" s="1">
        <v>0.5</v>
      </c>
      <c r="CI105" t="s">
        <v>8</v>
      </c>
      <c r="CJ105" s="1">
        <v>0</v>
      </c>
      <c r="CK105" s="1">
        <v>13.8205784101613</v>
      </c>
    </row>
    <row r="106" spans="43:89">
      <c r="AQ106" t="s">
        <v>7</v>
      </c>
      <c r="AR106" s="1">
        <v>0.5</v>
      </c>
      <c r="AS106" t="s">
        <v>8</v>
      </c>
      <c r="AT106" s="1">
        <v>0</v>
      </c>
      <c r="AU106" s="1">
        <v>3.34916478856776E-2</v>
      </c>
      <c r="AW106" t="s">
        <v>4</v>
      </c>
      <c r="AX106">
        <v>0</v>
      </c>
      <c r="AY106" t="s">
        <v>5</v>
      </c>
      <c r="AZ106">
        <v>104</v>
      </c>
      <c r="BA106" t="s">
        <v>6</v>
      </c>
      <c r="BB106" s="1">
        <v>0.16328119999999999</v>
      </c>
      <c r="BC106" t="s">
        <v>7</v>
      </c>
      <c r="BD106" s="1">
        <v>0.5</v>
      </c>
      <c r="BE106" t="s">
        <v>8</v>
      </c>
      <c r="BF106" s="1">
        <v>0</v>
      </c>
      <c r="BG106" s="1">
        <f t="shared" si="11"/>
        <v>0.32656239999999997</v>
      </c>
      <c r="BH106" s="1">
        <v>13.0966780242876</v>
      </c>
      <c r="BJ106" t="s">
        <v>4</v>
      </c>
      <c r="BK106">
        <v>0</v>
      </c>
      <c r="BL106" t="s">
        <v>5</v>
      </c>
      <c r="BM106">
        <v>104</v>
      </c>
      <c r="BN106" t="s">
        <v>6</v>
      </c>
      <c r="BO106" s="1">
        <v>0.16328119999999999</v>
      </c>
      <c r="BP106" t="s">
        <v>7</v>
      </c>
      <c r="BQ106" s="1">
        <v>0.5</v>
      </c>
      <c r="BR106" t="s">
        <v>8</v>
      </c>
      <c r="BS106" s="1">
        <v>0</v>
      </c>
      <c r="BT106" s="1">
        <v>13.1585107496762</v>
      </c>
      <c r="BU106" s="1">
        <f t="shared" si="12"/>
        <v>0.32656239999999997</v>
      </c>
      <c r="BV106" s="1">
        <f t="shared" si="13"/>
        <v>13.1585107496762</v>
      </c>
      <c r="BX106" s="1">
        <v>104</v>
      </c>
      <c r="BY106" s="1">
        <v>17.562576579862402</v>
      </c>
      <c r="CA106" t="s">
        <v>4</v>
      </c>
      <c r="CB106">
        <v>0</v>
      </c>
      <c r="CC106" t="s">
        <v>5</v>
      </c>
      <c r="CD106">
        <v>104</v>
      </c>
      <c r="CE106" t="s">
        <v>6</v>
      </c>
      <c r="CF106" s="1">
        <v>0.16328119999999999</v>
      </c>
      <c r="CG106" t="s">
        <v>7</v>
      </c>
      <c r="CH106" s="1">
        <v>0.5</v>
      </c>
      <c r="CI106" t="s">
        <v>8</v>
      </c>
      <c r="CJ106" s="1">
        <v>0</v>
      </c>
      <c r="CK106" s="1">
        <v>13.8189437210162</v>
      </c>
    </row>
    <row r="107" spans="43:89">
      <c r="AQ107" t="s">
        <v>7</v>
      </c>
      <c r="AR107" s="1">
        <v>0.5</v>
      </c>
      <c r="AS107" t="s">
        <v>8</v>
      </c>
      <c r="AT107" s="1">
        <v>0</v>
      </c>
      <c r="AU107" s="1">
        <v>3.3496529740044099E-2</v>
      </c>
      <c r="AW107" t="s">
        <v>4</v>
      </c>
      <c r="AX107">
        <v>0</v>
      </c>
      <c r="AY107" t="s">
        <v>5</v>
      </c>
      <c r="AZ107">
        <v>105</v>
      </c>
      <c r="BA107" t="s">
        <v>6</v>
      </c>
      <c r="BB107" s="1">
        <v>0.16484380000000001</v>
      </c>
      <c r="BC107" t="s">
        <v>7</v>
      </c>
      <c r="BD107" s="1">
        <v>0.5</v>
      </c>
      <c r="BE107" t="s">
        <v>8</v>
      </c>
      <c r="BF107" s="1">
        <v>0</v>
      </c>
      <c r="BG107" s="1">
        <f t="shared" si="11"/>
        <v>0.32968760000000003</v>
      </c>
      <c r="BH107" s="1">
        <v>13.0837726809347</v>
      </c>
      <c r="BJ107" t="s">
        <v>4</v>
      </c>
      <c r="BK107">
        <v>0</v>
      </c>
      <c r="BL107" t="s">
        <v>5</v>
      </c>
      <c r="BM107">
        <v>105</v>
      </c>
      <c r="BN107" t="s">
        <v>6</v>
      </c>
      <c r="BO107" s="1">
        <v>0.16484380000000001</v>
      </c>
      <c r="BP107" t="s">
        <v>7</v>
      </c>
      <c r="BQ107" s="1">
        <v>0.5</v>
      </c>
      <c r="BR107" t="s">
        <v>8</v>
      </c>
      <c r="BS107" s="1">
        <v>0</v>
      </c>
      <c r="BT107" s="1">
        <v>13.143412613572</v>
      </c>
      <c r="BU107" s="1">
        <f t="shared" si="12"/>
        <v>0.32968760000000003</v>
      </c>
      <c r="BV107" s="1">
        <f t="shared" si="13"/>
        <v>13.143412613572</v>
      </c>
      <c r="BX107" s="1">
        <v>105</v>
      </c>
      <c r="BY107" s="1">
        <v>17.570086784091</v>
      </c>
      <c r="CA107" t="s">
        <v>4</v>
      </c>
      <c r="CB107">
        <v>0</v>
      </c>
      <c r="CC107" t="s">
        <v>5</v>
      </c>
      <c r="CD107">
        <v>105</v>
      </c>
      <c r="CE107" t="s">
        <v>6</v>
      </c>
      <c r="CF107" s="1">
        <v>0.16484380000000001</v>
      </c>
      <c r="CG107" t="s">
        <v>7</v>
      </c>
      <c r="CH107" s="1">
        <v>0.5</v>
      </c>
      <c r="CI107" t="s">
        <v>8</v>
      </c>
      <c r="CJ107" s="1">
        <v>0</v>
      </c>
      <c r="CK107" s="1">
        <v>13.817302203873799</v>
      </c>
    </row>
    <row r="108" spans="43:89">
      <c r="AQ108" t="s">
        <v>7</v>
      </c>
      <c r="AR108" s="1">
        <v>0.5</v>
      </c>
      <c r="AS108" t="s">
        <v>8</v>
      </c>
      <c r="AT108" s="1">
        <v>0</v>
      </c>
      <c r="AU108" s="1">
        <v>3.35014376584582E-2</v>
      </c>
      <c r="AW108" t="s">
        <v>4</v>
      </c>
      <c r="AX108">
        <v>0</v>
      </c>
      <c r="AY108" t="s">
        <v>5</v>
      </c>
      <c r="AZ108">
        <v>106</v>
      </c>
      <c r="BA108" t="s">
        <v>6</v>
      </c>
      <c r="BB108" s="1">
        <v>0.16640630000000001</v>
      </c>
      <c r="BC108" t="s">
        <v>7</v>
      </c>
      <c r="BD108" s="1">
        <v>0.5</v>
      </c>
      <c r="BE108" t="s">
        <v>8</v>
      </c>
      <c r="BF108" s="1">
        <v>0</v>
      </c>
      <c r="BG108" s="1">
        <f t="shared" si="11"/>
        <v>0.33281260000000001</v>
      </c>
      <c r="BH108" s="1">
        <v>13.071044775138599</v>
      </c>
      <c r="BJ108" t="s">
        <v>4</v>
      </c>
      <c r="BK108">
        <v>0</v>
      </c>
      <c r="BL108" t="s">
        <v>5</v>
      </c>
      <c r="BM108">
        <v>106</v>
      </c>
      <c r="BN108" t="s">
        <v>6</v>
      </c>
      <c r="BO108" s="1">
        <v>0.16640630000000001</v>
      </c>
      <c r="BP108" t="s">
        <v>7</v>
      </c>
      <c r="BQ108" s="1">
        <v>0.5</v>
      </c>
      <c r="BR108" t="s">
        <v>8</v>
      </c>
      <c r="BS108" s="1">
        <v>0</v>
      </c>
      <c r="BT108" s="1">
        <v>13.126912162432401</v>
      </c>
      <c r="BU108" s="1">
        <f t="shared" si="12"/>
        <v>0.33281260000000001</v>
      </c>
      <c r="BV108" s="1">
        <f t="shared" si="13"/>
        <v>13.126912162432401</v>
      </c>
      <c r="BX108" s="1">
        <v>106</v>
      </c>
      <c r="BY108" s="1">
        <v>17.577588343057599</v>
      </c>
      <c r="CA108" t="s">
        <v>4</v>
      </c>
      <c r="CB108">
        <v>0</v>
      </c>
      <c r="CC108" t="s">
        <v>5</v>
      </c>
      <c r="CD108">
        <v>106</v>
      </c>
      <c r="CE108" t="s">
        <v>6</v>
      </c>
      <c r="CF108" s="1">
        <v>0.16640630000000001</v>
      </c>
      <c r="CG108" t="s">
        <v>7</v>
      </c>
      <c r="CH108" s="1">
        <v>0.5</v>
      </c>
      <c r="CI108" t="s">
        <v>8</v>
      </c>
      <c r="CJ108" s="1">
        <v>0</v>
      </c>
      <c r="CK108" s="1">
        <v>13.815660132539801</v>
      </c>
    </row>
    <row r="109" spans="43:89">
      <c r="AQ109" t="s">
        <v>7</v>
      </c>
      <c r="AR109" s="1">
        <v>0.5</v>
      </c>
      <c r="AS109" t="s">
        <v>8</v>
      </c>
      <c r="AT109" s="1">
        <v>0</v>
      </c>
      <c r="AU109" s="1">
        <v>3.3506372846998402E-2</v>
      </c>
      <c r="AW109" t="s">
        <v>4</v>
      </c>
      <c r="AX109">
        <v>0</v>
      </c>
      <c r="AY109" t="s">
        <v>5</v>
      </c>
      <c r="AZ109">
        <v>107</v>
      </c>
      <c r="BA109" t="s">
        <v>6</v>
      </c>
      <c r="BB109" s="1">
        <v>0.1679688</v>
      </c>
      <c r="BC109" t="s">
        <v>7</v>
      </c>
      <c r="BD109" s="1">
        <v>0.5</v>
      </c>
      <c r="BE109" t="s">
        <v>8</v>
      </c>
      <c r="BF109" s="1">
        <v>0</v>
      </c>
      <c r="BG109" s="1">
        <f t="shared" si="11"/>
        <v>0.3359376</v>
      </c>
      <c r="BH109" s="1">
        <v>13.058510620695399</v>
      </c>
      <c r="BJ109" t="s">
        <v>4</v>
      </c>
      <c r="BK109">
        <v>0</v>
      </c>
      <c r="BL109" t="s">
        <v>5</v>
      </c>
      <c r="BM109">
        <v>107</v>
      </c>
      <c r="BN109" t="s">
        <v>6</v>
      </c>
      <c r="BO109" s="1">
        <v>0.1679688</v>
      </c>
      <c r="BP109" t="s">
        <v>7</v>
      </c>
      <c r="BQ109" s="1">
        <v>0.5</v>
      </c>
      <c r="BR109" t="s">
        <v>8</v>
      </c>
      <c r="BS109" s="1">
        <v>0</v>
      </c>
      <c r="BT109" s="1">
        <v>13.108942388229901</v>
      </c>
      <c r="BU109" s="1">
        <f t="shared" si="12"/>
        <v>0.3359376</v>
      </c>
      <c r="BV109" s="1">
        <f t="shared" si="13"/>
        <v>13.108942388229901</v>
      </c>
      <c r="BX109" s="1">
        <v>107</v>
      </c>
      <c r="BY109" s="1">
        <v>17.5850919382626</v>
      </c>
      <c r="CA109" t="s">
        <v>4</v>
      </c>
      <c r="CB109">
        <v>0</v>
      </c>
      <c r="CC109" t="s">
        <v>5</v>
      </c>
      <c r="CD109">
        <v>107</v>
      </c>
      <c r="CE109" t="s">
        <v>6</v>
      </c>
      <c r="CF109" s="1">
        <v>0.1679688</v>
      </c>
      <c r="CG109" t="s">
        <v>7</v>
      </c>
      <c r="CH109" s="1">
        <v>0.5</v>
      </c>
      <c r="CI109" t="s">
        <v>8</v>
      </c>
      <c r="CJ109" s="1">
        <v>0</v>
      </c>
      <c r="CK109" s="1">
        <v>13.8140147086471</v>
      </c>
    </row>
    <row r="110" spans="43:89">
      <c r="AQ110" t="s">
        <v>7</v>
      </c>
      <c r="AR110" s="1">
        <v>0.5</v>
      </c>
      <c r="AS110" t="s">
        <v>8</v>
      </c>
      <c r="AT110" s="1">
        <v>0</v>
      </c>
      <c r="AU110" s="1">
        <v>3.3511334902340199E-2</v>
      </c>
      <c r="AW110" t="s">
        <v>4</v>
      </c>
      <c r="AX110">
        <v>0</v>
      </c>
      <c r="AY110" t="s">
        <v>5</v>
      </c>
      <c r="AZ110">
        <v>108</v>
      </c>
      <c r="BA110" t="s">
        <v>6</v>
      </c>
      <c r="BB110" s="1">
        <v>0.16953119999999999</v>
      </c>
      <c r="BC110" t="s">
        <v>7</v>
      </c>
      <c r="BD110" s="1">
        <v>0.5</v>
      </c>
      <c r="BE110" t="s">
        <v>8</v>
      </c>
      <c r="BF110" s="1">
        <v>0</v>
      </c>
      <c r="BG110" s="1">
        <f t="shared" si="11"/>
        <v>0.33906239999999999</v>
      </c>
      <c r="BH110" s="1">
        <v>13.0461924766972</v>
      </c>
      <c r="BJ110" t="s">
        <v>4</v>
      </c>
      <c r="BK110">
        <v>0</v>
      </c>
      <c r="BL110" t="s">
        <v>5</v>
      </c>
      <c r="BM110">
        <v>108</v>
      </c>
      <c r="BN110" t="s">
        <v>6</v>
      </c>
      <c r="BO110" s="1">
        <v>0.16953119999999999</v>
      </c>
      <c r="BP110" t="s">
        <v>7</v>
      </c>
      <c r="BQ110" s="1">
        <v>0.5</v>
      </c>
      <c r="BR110" t="s">
        <v>8</v>
      </c>
      <c r="BS110" s="1">
        <v>0</v>
      </c>
      <c r="BT110" s="1">
        <v>13.089442129817799</v>
      </c>
      <c r="BU110" s="1">
        <f t="shared" si="12"/>
        <v>0.33906239999999999</v>
      </c>
      <c r="BV110" s="1">
        <f t="shared" si="13"/>
        <v>13.089442129817799</v>
      </c>
      <c r="BX110" s="1">
        <v>108</v>
      </c>
      <c r="BY110" s="1">
        <v>17.592590832923101</v>
      </c>
      <c r="CA110" t="s">
        <v>4</v>
      </c>
      <c r="CB110">
        <v>0</v>
      </c>
      <c r="CC110" t="s">
        <v>5</v>
      </c>
      <c r="CD110">
        <v>108</v>
      </c>
      <c r="CE110" t="s">
        <v>6</v>
      </c>
      <c r="CF110" s="1">
        <v>0.16953119999999999</v>
      </c>
      <c r="CG110" t="s">
        <v>7</v>
      </c>
      <c r="CH110" s="1">
        <v>0.5</v>
      </c>
      <c r="CI110" t="s">
        <v>8</v>
      </c>
      <c r="CJ110" s="1">
        <v>0</v>
      </c>
      <c r="CK110" s="1">
        <v>13.8123689212845</v>
      </c>
    </row>
    <row r="111" spans="43:89">
      <c r="AQ111" t="s">
        <v>7</v>
      </c>
      <c r="AR111" s="1">
        <v>0.5</v>
      </c>
      <c r="AS111" t="s">
        <v>8</v>
      </c>
      <c r="AT111" s="1">
        <v>0</v>
      </c>
      <c r="AU111" s="1">
        <v>3.3516323425855497E-2</v>
      </c>
      <c r="AW111" t="s">
        <v>4</v>
      </c>
      <c r="AX111">
        <v>0</v>
      </c>
      <c r="AY111" t="s">
        <v>5</v>
      </c>
      <c r="AZ111">
        <v>109</v>
      </c>
      <c r="BA111" t="s">
        <v>6</v>
      </c>
      <c r="BB111" s="1">
        <v>0.17109369999999999</v>
      </c>
      <c r="BC111" t="s">
        <v>7</v>
      </c>
      <c r="BD111" s="1">
        <v>0.5</v>
      </c>
      <c r="BE111" t="s">
        <v>8</v>
      </c>
      <c r="BF111" s="1">
        <v>0</v>
      </c>
      <c r="BG111" s="1">
        <f t="shared" si="11"/>
        <v>0.34218739999999997</v>
      </c>
      <c r="BH111" s="1">
        <v>13.0341075135621</v>
      </c>
      <c r="BJ111" t="s">
        <v>4</v>
      </c>
      <c r="BK111">
        <v>0</v>
      </c>
      <c r="BL111" t="s">
        <v>5</v>
      </c>
      <c r="BM111">
        <v>109</v>
      </c>
      <c r="BN111" t="s">
        <v>6</v>
      </c>
      <c r="BO111" s="1">
        <v>0.17109369999999999</v>
      </c>
      <c r="BP111" t="s">
        <v>7</v>
      </c>
      <c r="BQ111" s="1">
        <v>0.5</v>
      </c>
      <c r="BR111" t="s">
        <v>8</v>
      </c>
      <c r="BS111" s="1">
        <v>0</v>
      </c>
      <c r="BT111" s="1">
        <v>13.068352046910499</v>
      </c>
      <c r="BU111" s="1">
        <f t="shared" si="12"/>
        <v>0.34218739999999997</v>
      </c>
      <c r="BV111" s="1">
        <f t="shared" si="13"/>
        <v>13.068352046910499</v>
      </c>
      <c r="BX111" s="1">
        <v>109</v>
      </c>
      <c r="BY111" s="1">
        <v>17.600062758514099</v>
      </c>
      <c r="CA111" t="s">
        <v>4</v>
      </c>
      <c r="CB111">
        <v>0</v>
      </c>
      <c r="CC111" t="s">
        <v>5</v>
      </c>
      <c r="CD111">
        <v>109</v>
      </c>
      <c r="CE111" t="s">
        <v>6</v>
      </c>
      <c r="CF111" s="1">
        <v>0.17109369999999999</v>
      </c>
      <c r="CG111" t="s">
        <v>7</v>
      </c>
      <c r="CH111" s="1">
        <v>0.5</v>
      </c>
      <c r="CI111" t="s">
        <v>8</v>
      </c>
      <c r="CJ111" s="1">
        <v>0</v>
      </c>
      <c r="CK111" s="1">
        <v>13.8107284774165</v>
      </c>
    </row>
    <row r="112" spans="43:89">
      <c r="AQ112" t="s">
        <v>7</v>
      </c>
      <c r="AR112" s="1">
        <v>0.5</v>
      </c>
      <c r="AS112" t="s">
        <v>8</v>
      </c>
      <c r="AT112" s="1">
        <v>0</v>
      </c>
      <c r="AU112" s="1">
        <v>3.3521339905936899E-2</v>
      </c>
      <c r="AW112" t="s">
        <v>4</v>
      </c>
      <c r="AX112">
        <v>0</v>
      </c>
      <c r="AY112" t="s">
        <v>5</v>
      </c>
      <c r="AZ112">
        <v>110</v>
      </c>
      <c r="BA112" t="s">
        <v>6</v>
      </c>
      <c r="BB112" s="1">
        <v>0.17265630000000001</v>
      </c>
      <c r="BC112" t="s">
        <v>7</v>
      </c>
      <c r="BD112" s="1">
        <v>0.5</v>
      </c>
      <c r="BE112" t="s">
        <v>8</v>
      </c>
      <c r="BF112" s="1">
        <v>0</v>
      </c>
      <c r="BG112" s="1">
        <f t="shared" si="11"/>
        <v>0.34531260000000003</v>
      </c>
      <c r="BH112" s="1">
        <v>13.022294281699599</v>
      </c>
      <c r="BJ112" t="s">
        <v>4</v>
      </c>
      <c r="BK112">
        <v>0</v>
      </c>
      <c r="BL112" t="s">
        <v>5</v>
      </c>
      <c r="BM112">
        <v>110</v>
      </c>
      <c r="BN112" t="s">
        <v>6</v>
      </c>
      <c r="BO112" s="1">
        <v>0.17265630000000001</v>
      </c>
      <c r="BP112" t="s">
        <v>7</v>
      </c>
      <c r="BQ112" s="1">
        <v>0.5</v>
      </c>
      <c r="BR112" t="s">
        <v>8</v>
      </c>
      <c r="BS112" s="1">
        <v>0</v>
      </c>
      <c r="BT112" s="1">
        <v>13.045620236524099</v>
      </c>
      <c r="BU112" s="1">
        <f t="shared" si="12"/>
        <v>0.34531260000000003</v>
      </c>
      <c r="BV112" s="1">
        <f t="shared" si="13"/>
        <v>13.045620236524099</v>
      </c>
      <c r="BX112" s="1">
        <v>110</v>
      </c>
      <c r="BY112" s="1">
        <v>17.607541221036001</v>
      </c>
      <c r="CA112" t="s">
        <v>4</v>
      </c>
      <c r="CB112">
        <v>0</v>
      </c>
      <c r="CC112" t="s">
        <v>5</v>
      </c>
      <c r="CD112">
        <v>110</v>
      </c>
      <c r="CE112" t="s">
        <v>6</v>
      </c>
      <c r="CF112" s="1">
        <v>0.17265630000000001</v>
      </c>
      <c r="CG112" t="s">
        <v>7</v>
      </c>
      <c r="CH112" s="1">
        <v>0.5</v>
      </c>
      <c r="CI112" t="s">
        <v>8</v>
      </c>
      <c r="CJ112" s="1">
        <v>0</v>
      </c>
      <c r="CK112" s="1">
        <v>13.8090915136312</v>
      </c>
    </row>
    <row r="113" spans="43:89">
      <c r="AQ113" t="s">
        <v>7</v>
      </c>
      <c r="AR113" s="1">
        <v>0.5</v>
      </c>
      <c r="AS113" t="s">
        <v>8</v>
      </c>
      <c r="AT113" s="1">
        <v>0</v>
      </c>
      <c r="AU113" s="1">
        <v>3.3526424003304203E-2</v>
      </c>
      <c r="AW113" t="s">
        <v>4</v>
      </c>
      <c r="AX113">
        <v>0</v>
      </c>
      <c r="AY113" t="s">
        <v>5</v>
      </c>
      <c r="AZ113">
        <v>111</v>
      </c>
      <c r="BA113" t="s">
        <v>6</v>
      </c>
      <c r="BB113" s="1">
        <v>0.17421880000000001</v>
      </c>
      <c r="BC113" t="s">
        <v>7</v>
      </c>
      <c r="BD113" s="1">
        <v>0.5</v>
      </c>
      <c r="BE113" t="s">
        <v>8</v>
      </c>
      <c r="BF113" s="1">
        <v>0</v>
      </c>
      <c r="BG113" s="1">
        <f t="shared" si="11"/>
        <v>0.34843760000000001</v>
      </c>
      <c r="BH113" s="1">
        <v>13.0107327855394</v>
      </c>
      <c r="BJ113" t="s">
        <v>4</v>
      </c>
      <c r="BK113">
        <v>0</v>
      </c>
      <c r="BL113" t="s">
        <v>5</v>
      </c>
      <c r="BM113">
        <v>111</v>
      </c>
      <c r="BN113" t="s">
        <v>6</v>
      </c>
      <c r="BO113" s="1">
        <v>0.17421880000000001</v>
      </c>
      <c r="BP113" t="s">
        <v>7</v>
      </c>
      <c r="BQ113" s="1">
        <v>0.5</v>
      </c>
      <c r="BR113" t="s">
        <v>8</v>
      </c>
      <c r="BS113" s="1">
        <v>0</v>
      </c>
      <c r="BT113" s="1">
        <v>13.021176966829801</v>
      </c>
      <c r="BU113" s="1">
        <f t="shared" si="12"/>
        <v>0.34843760000000001</v>
      </c>
      <c r="BV113" s="1">
        <f t="shared" si="13"/>
        <v>13.021176966829801</v>
      </c>
      <c r="BX113" s="1">
        <v>111</v>
      </c>
      <c r="BY113" s="1">
        <v>17.615033785432399</v>
      </c>
      <c r="CA113" t="s">
        <v>4</v>
      </c>
      <c r="CB113">
        <v>0</v>
      </c>
      <c r="CC113" t="s">
        <v>5</v>
      </c>
      <c r="CD113">
        <v>111</v>
      </c>
      <c r="CE113" t="s">
        <v>6</v>
      </c>
      <c r="CF113" s="1">
        <v>0.17421880000000001</v>
      </c>
      <c r="CG113" t="s">
        <v>7</v>
      </c>
      <c r="CH113" s="1">
        <v>0.5</v>
      </c>
      <c r="CI113" t="s">
        <v>8</v>
      </c>
      <c r="CJ113" s="1">
        <v>0</v>
      </c>
      <c r="CK113" s="1">
        <v>13.8074460211051</v>
      </c>
    </row>
    <row r="114" spans="43:89">
      <c r="AQ114" t="s">
        <v>7</v>
      </c>
      <c r="AR114" s="1">
        <v>0.5</v>
      </c>
      <c r="AS114" t="s">
        <v>8</v>
      </c>
      <c r="AT114" s="1">
        <v>0</v>
      </c>
      <c r="AU114" s="1">
        <v>3.3531511306110102E-2</v>
      </c>
      <c r="AW114" t="s">
        <v>4</v>
      </c>
      <c r="AX114">
        <v>0</v>
      </c>
      <c r="AY114" t="s">
        <v>5</v>
      </c>
      <c r="AZ114">
        <v>112</v>
      </c>
      <c r="BA114" t="s">
        <v>6</v>
      </c>
      <c r="BB114" s="1">
        <v>0.1757812</v>
      </c>
      <c r="BC114" t="s">
        <v>7</v>
      </c>
      <c r="BD114" s="1">
        <v>0.5</v>
      </c>
      <c r="BE114" t="s">
        <v>8</v>
      </c>
      <c r="BF114" s="1">
        <v>0</v>
      </c>
      <c r="BG114" s="1">
        <f t="shared" si="11"/>
        <v>0.3515624</v>
      </c>
      <c r="BH114" s="1">
        <v>12.9994452317632</v>
      </c>
      <c r="BJ114" t="s">
        <v>4</v>
      </c>
      <c r="BK114">
        <v>0</v>
      </c>
      <c r="BL114" t="s">
        <v>5</v>
      </c>
      <c r="BM114">
        <v>112</v>
      </c>
      <c r="BN114" t="s">
        <v>6</v>
      </c>
      <c r="BO114" s="1">
        <v>0.1757812</v>
      </c>
      <c r="BP114" t="s">
        <v>7</v>
      </c>
      <c r="BQ114" s="1">
        <v>0.5</v>
      </c>
      <c r="BR114" t="s">
        <v>8</v>
      </c>
      <c r="BS114" s="1">
        <v>0</v>
      </c>
      <c r="BT114" s="1">
        <v>12.994959295711</v>
      </c>
      <c r="BU114" s="1">
        <f t="shared" si="12"/>
        <v>0.3515624</v>
      </c>
      <c r="BV114" s="1">
        <f t="shared" si="13"/>
        <v>12.994959295711</v>
      </c>
      <c r="BX114" s="1">
        <v>112</v>
      </c>
      <c r="BY114" s="1">
        <v>17.622499921793001</v>
      </c>
      <c r="CA114" t="s">
        <v>4</v>
      </c>
      <c r="CB114">
        <v>0</v>
      </c>
      <c r="CC114" t="s">
        <v>5</v>
      </c>
      <c r="CD114">
        <v>112</v>
      </c>
      <c r="CE114" t="s">
        <v>6</v>
      </c>
      <c r="CF114" s="1">
        <v>0.1757812</v>
      </c>
      <c r="CG114" t="s">
        <v>7</v>
      </c>
      <c r="CH114" s="1">
        <v>0.5</v>
      </c>
      <c r="CI114" t="s">
        <v>8</v>
      </c>
      <c r="CJ114" s="1">
        <v>0</v>
      </c>
      <c r="CK114" s="1">
        <v>13.805808366724801</v>
      </c>
    </row>
    <row r="115" spans="43:89">
      <c r="AQ115" t="s">
        <v>7</v>
      </c>
      <c r="AR115" s="1">
        <v>0.5</v>
      </c>
      <c r="AS115" t="s">
        <v>8</v>
      </c>
      <c r="AT115" s="1">
        <v>0</v>
      </c>
      <c r="AU115" s="1">
        <v>3.3536601578947403E-2</v>
      </c>
      <c r="AW115" t="s">
        <v>4</v>
      </c>
      <c r="AX115">
        <v>0</v>
      </c>
      <c r="AY115" t="s">
        <v>5</v>
      </c>
      <c r="AZ115">
        <v>113</v>
      </c>
      <c r="BA115" t="s">
        <v>6</v>
      </c>
      <c r="BB115" s="1">
        <v>0.17734369999999999</v>
      </c>
      <c r="BC115" t="s">
        <v>7</v>
      </c>
      <c r="BD115" s="1">
        <v>0.5</v>
      </c>
      <c r="BE115" t="s">
        <v>8</v>
      </c>
      <c r="BF115" s="1">
        <v>0</v>
      </c>
      <c r="BG115" s="1">
        <f t="shared" si="11"/>
        <v>0.35468739999999999</v>
      </c>
      <c r="BH115" s="1">
        <v>12.988464104553699</v>
      </c>
      <c r="BJ115" t="s">
        <v>4</v>
      </c>
      <c r="BK115">
        <v>0</v>
      </c>
      <c r="BL115" t="s">
        <v>5</v>
      </c>
      <c r="BM115">
        <v>113</v>
      </c>
      <c r="BN115" t="s">
        <v>6</v>
      </c>
      <c r="BO115" s="1">
        <v>0.17734369999999999</v>
      </c>
      <c r="BP115" t="s">
        <v>7</v>
      </c>
      <c r="BQ115" s="1">
        <v>0.5</v>
      </c>
      <c r="BR115" t="s">
        <v>8</v>
      </c>
      <c r="BS115" s="1">
        <v>0</v>
      </c>
      <c r="BT115" s="1">
        <v>12.966916455773299</v>
      </c>
      <c r="BU115" s="1">
        <f t="shared" si="12"/>
        <v>0.35468739999999999</v>
      </c>
      <c r="BV115" s="1">
        <f t="shared" si="13"/>
        <v>12.966916455773299</v>
      </c>
      <c r="BX115" s="1">
        <v>113</v>
      </c>
      <c r="BY115" s="1">
        <v>17.629987703175999</v>
      </c>
      <c r="CA115" t="s">
        <v>4</v>
      </c>
      <c r="CB115">
        <v>0</v>
      </c>
      <c r="CC115" t="s">
        <v>5</v>
      </c>
      <c r="CD115">
        <v>113</v>
      </c>
      <c r="CE115" t="s">
        <v>6</v>
      </c>
      <c r="CF115" s="1">
        <v>0.17734369999999999</v>
      </c>
      <c r="CG115" t="s">
        <v>7</v>
      </c>
      <c r="CH115" s="1">
        <v>0.5</v>
      </c>
      <c r="CI115" t="s">
        <v>8</v>
      </c>
      <c r="CJ115" s="1">
        <v>0</v>
      </c>
      <c r="CK115" s="1">
        <v>13.804166678297999</v>
      </c>
    </row>
    <row r="116" spans="43:89">
      <c r="AQ116" t="s">
        <v>7</v>
      </c>
      <c r="AR116" s="1">
        <v>0.5</v>
      </c>
      <c r="AS116" t="s">
        <v>8</v>
      </c>
      <c r="AT116" s="1">
        <v>0</v>
      </c>
      <c r="AU116" s="1">
        <v>3.3541716412204998E-2</v>
      </c>
      <c r="AW116" t="s">
        <v>4</v>
      </c>
      <c r="AX116">
        <v>0</v>
      </c>
      <c r="AY116" t="s">
        <v>5</v>
      </c>
      <c r="AZ116">
        <v>114</v>
      </c>
      <c r="BA116" t="s">
        <v>6</v>
      </c>
      <c r="BB116" s="1">
        <v>0.17890619999999999</v>
      </c>
      <c r="BC116" t="s">
        <v>7</v>
      </c>
      <c r="BD116" s="1">
        <v>0.5</v>
      </c>
      <c r="BE116" t="s">
        <v>8</v>
      </c>
      <c r="BF116" s="1">
        <v>0</v>
      </c>
      <c r="BG116" s="1">
        <f t="shared" si="11"/>
        <v>0.35781239999999997</v>
      </c>
      <c r="BH116" s="1">
        <v>12.9778026113714</v>
      </c>
      <c r="BJ116" t="s">
        <v>4</v>
      </c>
      <c r="BK116">
        <v>0</v>
      </c>
      <c r="BL116" t="s">
        <v>5</v>
      </c>
      <c r="BM116">
        <v>114</v>
      </c>
      <c r="BN116" t="s">
        <v>6</v>
      </c>
      <c r="BO116" s="1">
        <v>0.17890619999999999</v>
      </c>
      <c r="BP116" t="s">
        <v>7</v>
      </c>
      <c r="BQ116" s="1">
        <v>0.5</v>
      </c>
      <c r="BR116" t="s">
        <v>8</v>
      </c>
      <c r="BS116" s="1">
        <v>0</v>
      </c>
      <c r="BT116" s="1">
        <v>12.936973850407499</v>
      </c>
      <c r="BU116" s="1">
        <f t="shared" si="12"/>
        <v>0.35781239999999997</v>
      </c>
      <c r="BV116" s="1">
        <f t="shared" si="13"/>
        <v>12.936973850407499</v>
      </c>
      <c r="BX116" s="1">
        <v>114</v>
      </c>
      <c r="BY116" s="1">
        <v>17.637485571908599</v>
      </c>
      <c r="CA116" t="s">
        <v>4</v>
      </c>
      <c r="CB116">
        <v>0</v>
      </c>
      <c r="CC116" t="s">
        <v>5</v>
      </c>
      <c r="CD116">
        <v>114</v>
      </c>
      <c r="CE116" t="s">
        <v>6</v>
      </c>
      <c r="CF116" s="1">
        <v>0.17890619999999999</v>
      </c>
      <c r="CG116" t="s">
        <v>7</v>
      </c>
      <c r="CH116" s="1">
        <v>0.5</v>
      </c>
      <c r="CI116" t="s">
        <v>8</v>
      </c>
      <c r="CJ116" s="1">
        <v>0</v>
      </c>
      <c r="CK116" s="1">
        <v>13.802525906023201</v>
      </c>
    </row>
    <row r="117" spans="43:89">
      <c r="AQ117" t="s">
        <v>7</v>
      </c>
      <c r="AR117" s="1">
        <v>0.5</v>
      </c>
      <c r="AS117" t="s">
        <v>8</v>
      </c>
      <c r="AT117" s="1">
        <v>0</v>
      </c>
      <c r="AU117" s="1">
        <v>3.3546855435214303E-2</v>
      </c>
      <c r="AW117" t="s">
        <v>4</v>
      </c>
      <c r="AX117">
        <v>0</v>
      </c>
      <c r="AY117" t="s">
        <v>5</v>
      </c>
      <c r="AZ117">
        <v>115</v>
      </c>
      <c r="BA117" t="s">
        <v>6</v>
      </c>
      <c r="BB117" s="1">
        <v>0.18046880000000001</v>
      </c>
      <c r="BC117" t="s">
        <v>7</v>
      </c>
      <c r="BD117" s="1">
        <v>0.5</v>
      </c>
      <c r="BE117" t="s">
        <v>8</v>
      </c>
      <c r="BF117" s="1">
        <v>0</v>
      </c>
      <c r="BG117" s="1">
        <f t="shared" si="11"/>
        <v>0.36093760000000003</v>
      </c>
      <c r="BH117" s="1">
        <v>12.9674791367485</v>
      </c>
      <c r="BJ117" t="s">
        <v>4</v>
      </c>
      <c r="BK117">
        <v>0</v>
      </c>
      <c r="BL117" t="s">
        <v>5</v>
      </c>
      <c r="BM117">
        <v>115</v>
      </c>
      <c r="BN117" t="s">
        <v>6</v>
      </c>
      <c r="BO117" s="1">
        <v>0.18046880000000001</v>
      </c>
      <c r="BP117" t="s">
        <v>7</v>
      </c>
      <c r="BQ117" s="1">
        <v>0.5</v>
      </c>
      <c r="BR117" t="s">
        <v>8</v>
      </c>
      <c r="BS117" s="1">
        <v>0</v>
      </c>
      <c r="BT117" s="1">
        <v>12.905088465362899</v>
      </c>
      <c r="BU117" s="1">
        <f t="shared" si="12"/>
        <v>0.36093760000000003</v>
      </c>
      <c r="BV117" s="1">
        <f t="shared" si="13"/>
        <v>12.905088465362899</v>
      </c>
      <c r="BX117" s="1">
        <v>115</v>
      </c>
      <c r="BY117" s="1">
        <v>17.644987140033599</v>
      </c>
      <c r="CA117" t="s">
        <v>4</v>
      </c>
      <c r="CB117">
        <v>0</v>
      </c>
      <c r="CC117" t="s">
        <v>5</v>
      </c>
      <c r="CD117">
        <v>115</v>
      </c>
      <c r="CE117" t="s">
        <v>6</v>
      </c>
      <c r="CF117" s="1">
        <v>0.18046880000000001</v>
      </c>
      <c r="CG117" t="s">
        <v>7</v>
      </c>
      <c r="CH117" s="1">
        <v>0.5</v>
      </c>
      <c r="CI117" t="s">
        <v>8</v>
      </c>
      <c r="CJ117" s="1">
        <v>0</v>
      </c>
      <c r="CK117" s="1">
        <v>13.800887453704201</v>
      </c>
    </row>
    <row r="118" spans="43:89">
      <c r="AQ118" t="s">
        <v>7</v>
      </c>
      <c r="AR118" s="1">
        <v>0.5</v>
      </c>
      <c r="AS118" t="s">
        <v>8</v>
      </c>
      <c r="AT118" s="1">
        <v>0</v>
      </c>
      <c r="AU118" s="1">
        <v>3.3552018281879002E-2</v>
      </c>
      <c r="AW118" t="s">
        <v>4</v>
      </c>
      <c r="AX118">
        <v>0</v>
      </c>
      <c r="AY118" t="s">
        <v>5</v>
      </c>
      <c r="AZ118">
        <v>116</v>
      </c>
      <c r="BA118" t="s">
        <v>6</v>
      </c>
      <c r="BB118" s="1">
        <v>0.18203130000000001</v>
      </c>
      <c r="BC118" t="s">
        <v>7</v>
      </c>
      <c r="BD118" s="1">
        <v>0.5</v>
      </c>
      <c r="BE118" t="s">
        <v>8</v>
      </c>
      <c r="BF118" s="1">
        <v>0</v>
      </c>
      <c r="BG118" s="1">
        <f t="shared" si="11"/>
        <v>0.36406260000000001</v>
      </c>
      <c r="BH118" s="1">
        <v>12.957512908256801</v>
      </c>
      <c r="BJ118" t="s">
        <v>4</v>
      </c>
      <c r="BK118">
        <v>0</v>
      </c>
      <c r="BL118" t="s">
        <v>5</v>
      </c>
      <c r="BM118">
        <v>116</v>
      </c>
      <c r="BN118" t="s">
        <v>6</v>
      </c>
      <c r="BO118" s="1">
        <v>0.18203130000000001</v>
      </c>
      <c r="BP118" t="s">
        <v>7</v>
      </c>
      <c r="BQ118" s="1">
        <v>0.5</v>
      </c>
      <c r="BR118" t="s">
        <v>8</v>
      </c>
      <c r="BS118" s="1">
        <v>0</v>
      </c>
      <c r="BT118" s="1">
        <v>12.8711863174992</v>
      </c>
      <c r="BU118" s="1">
        <f t="shared" si="12"/>
        <v>0.36406260000000001</v>
      </c>
      <c r="BV118" s="1">
        <f t="shared" si="13"/>
        <v>12.8711863174992</v>
      </c>
      <c r="BX118" s="1">
        <v>116</v>
      </c>
      <c r="BY118" s="1">
        <v>17.652499821547899</v>
      </c>
      <c r="CA118" t="s">
        <v>4</v>
      </c>
      <c r="CB118">
        <v>0</v>
      </c>
      <c r="CC118" t="s">
        <v>5</v>
      </c>
      <c r="CD118">
        <v>116</v>
      </c>
      <c r="CE118" t="s">
        <v>6</v>
      </c>
      <c r="CF118" s="1">
        <v>0.18203130000000001</v>
      </c>
      <c r="CG118" t="s">
        <v>7</v>
      </c>
      <c r="CH118" s="1">
        <v>0.5</v>
      </c>
      <c r="CI118" t="s">
        <v>8</v>
      </c>
      <c r="CJ118" s="1">
        <v>0</v>
      </c>
      <c r="CK118" s="1">
        <v>13.7992543187435</v>
      </c>
    </row>
    <row r="119" spans="43:89">
      <c r="AQ119" t="s">
        <v>7</v>
      </c>
      <c r="AR119" s="1">
        <v>0.5</v>
      </c>
      <c r="AS119" t="s">
        <v>8</v>
      </c>
      <c r="AT119" s="1">
        <v>0</v>
      </c>
      <c r="AU119" s="1">
        <v>3.3557204590748901E-2</v>
      </c>
      <c r="AW119" t="s">
        <v>4</v>
      </c>
      <c r="AX119">
        <v>0</v>
      </c>
      <c r="AY119" t="s">
        <v>5</v>
      </c>
      <c r="AZ119">
        <v>117</v>
      </c>
      <c r="BA119" t="s">
        <v>6</v>
      </c>
      <c r="BB119" s="1">
        <v>0.1835938</v>
      </c>
      <c r="BC119" t="s">
        <v>7</v>
      </c>
      <c r="BD119" s="1">
        <v>0.5</v>
      </c>
      <c r="BE119" t="s">
        <v>8</v>
      </c>
      <c r="BF119" s="1">
        <v>0</v>
      </c>
      <c r="BG119" s="1">
        <f t="shared" si="11"/>
        <v>0.3671876</v>
      </c>
      <c r="BH119" s="1">
        <v>12.947923155468599</v>
      </c>
      <c r="BJ119" t="s">
        <v>4</v>
      </c>
      <c r="BK119">
        <v>0</v>
      </c>
      <c r="BL119" t="s">
        <v>5</v>
      </c>
      <c r="BM119">
        <v>117</v>
      </c>
      <c r="BN119" t="s">
        <v>6</v>
      </c>
      <c r="BO119" s="1">
        <v>0.1835938</v>
      </c>
      <c r="BP119" t="s">
        <v>7</v>
      </c>
      <c r="BQ119" s="1">
        <v>0.5</v>
      </c>
      <c r="BR119" t="s">
        <v>8</v>
      </c>
      <c r="BS119" s="1">
        <v>0</v>
      </c>
      <c r="BT119" s="1">
        <v>12.8352213209428</v>
      </c>
      <c r="BU119" s="1">
        <f t="shared" si="12"/>
        <v>0.3671876</v>
      </c>
      <c r="BV119" s="1">
        <f t="shared" si="13"/>
        <v>12.8352213209428</v>
      </c>
      <c r="BX119" s="1">
        <v>117</v>
      </c>
      <c r="BY119" s="1">
        <v>17.6600022670664</v>
      </c>
      <c r="CA119" t="s">
        <v>4</v>
      </c>
      <c r="CB119">
        <v>0</v>
      </c>
      <c r="CC119" t="s">
        <v>5</v>
      </c>
      <c r="CD119">
        <v>117</v>
      </c>
      <c r="CE119" t="s">
        <v>6</v>
      </c>
      <c r="CF119" s="1">
        <v>0.1835938</v>
      </c>
      <c r="CG119" t="s">
        <v>7</v>
      </c>
      <c r="CH119" s="1">
        <v>0.5</v>
      </c>
      <c r="CI119" t="s">
        <v>8</v>
      </c>
      <c r="CJ119" s="1">
        <v>0</v>
      </c>
      <c r="CK119" s="1">
        <v>13.797627643863899</v>
      </c>
    </row>
    <row r="120" spans="43:89">
      <c r="AQ120" t="s">
        <v>7</v>
      </c>
      <c r="AR120" s="1">
        <v>0.5</v>
      </c>
      <c r="AS120" t="s">
        <v>8</v>
      </c>
      <c r="AT120" s="1">
        <v>0</v>
      </c>
      <c r="AU120" s="1">
        <v>3.3562414004934697E-2</v>
      </c>
      <c r="AW120" t="s">
        <v>4</v>
      </c>
      <c r="AX120">
        <v>0</v>
      </c>
      <c r="AY120" t="s">
        <v>5</v>
      </c>
      <c r="AZ120">
        <v>118</v>
      </c>
      <c r="BA120" t="s">
        <v>6</v>
      </c>
      <c r="BB120" s="1">
        <v>0.18515619999999999</v>
      </c>
      <c r="BC120" t="s">
        <v>7</v>
      </c>
      <c r="BD120" s="1">
        <v>0.5</v>
      </c>
      <c r="BE120" t="s">
        <v>8</v>
      </c>
      <c r="BF120" s="1">
        <v>0</v>
      </c>
      <c r="BG120" s="1">
        <f t="shared" si="11"/>
        <v>0.37031239999999999</v>
      </c>
      <c r="BH120" s="1">
        <v>12.938742226069399</v>
      </c>
      <c r="BJ120" t="s">
        <v>4</v>
      </c>
      <c r="BK120">
        <v>0</v>
      </c>
      <c r="BL120" t="s">
        <v>5</v>
      </c>
      <c r="BM120">
        <v>118</v>
      </c>
      <c r="BN120" t="s">
        <v>6</v>
      </c>
      <c r="BO120" s="1">
        <v>0.18515619999999999</v>
      </c>
      <c r="BP120" t="s">
        <v>7</v>
      </c>
      <c r="BQ120" s="1">
        <v>0.5</v>
      </c>
      <c r="BR120" t="s">
        <v>8</v>
      </c>
      <c r="BS120" s="1">
        <v>0</v>
      </c>
      <c r="BT120" s="1">
        <v>12.797136317514299</v>
      </c>
      <c r="BU120" s="1">
        <f t="shared" si="12"/>
        <v>0.37031239999999999</v>
      </c>
      <c r="BV120" s="1">
        <f t="shared" si="13"/>
        <v>12.797136317514299</v>
      </c>
      <c r="BX120" s="1">
        <v>118</v>
      </c>
      <c r="BY120" s="1">
        <v>17.667526833786798</v>
      </c>
      <c r="CA120" t="s">
        <v>4</v>
      </c>
      <c r="CB120">
        <v>0</v>
      </c>
      <c r="CC120" t="s">
        <v>5</v>
      </c>
      <c r="CD120">
        <v>118</v>
      </c>
      <c r="CE120" t="s">
        <v>6</v>
      </c>
      <c r="CF120" s="1">
        <v>0.18515619999999999</v>
      </c>
      <c r="CG120" t="s">
        <v>7</v>
      </c>
      <c r="CH120" s="1">
        <v>0.5</v>
      </c>
      <c r="CI120" t="s">
        <v>8</v>
      </c>
      <c r="CJ120" s="1">
        <v>0</v>
      </c>
      <c r="CK120" s="1">
        <v>13.7960068640551</v>
      </c>
    </row>
    <row r="121" spans="43:89">
      <c r="AQ121" t="s">
        <v>7</v>
      </c>
      <c r="AR121" s="1">
        <v>0.5</v>
      </c>
      <c r="AS121" t="s">
        <v>8</v>
      </c>
      <c r="AT121" s="1">
        <v>0</v>
      </c>
      <c r="AU121" s="1">
        <v>3.3567646172131399E-2</v>
      </c>
      <c r="AW121" t="s">
        <v>4</v>
      </c>
      <c r="AX121">
        <v>0</v>
      </c>
      <c r="AY121" t="s">
        <v>5</v>
      </c>
      <c r="AZ121">
        <v>119</v>
      </c>
      <c r="BA121" t="s">
        <v>6</v>
      </c>
      <c r="BB121" s="1">
        <v>0.18671869999999999</v>
      </c>
      <c r="BC121" t="s">
        <v>7</v>
      </c>
      <c r="BD121" s="1">
        <v>0.5</v>
      </c>
      <c r="BE121" t="s">
        <v>8</v>
      </c>
      <c r="BF121" s="1">
        <v>0</v>
      </c>
      <c r="BG121" s="1">
        <f t="shared" si="11"/>
        <v>0.37343739999999997</v>
      </c>
      <c r="BH121" s="1">
        <v>12.9299643930486</v>
      </c>
      <c r="BJ121" t="s">
        <v>4</v>
      </c>
      <c r="BK121">
        <v>0</v>
      </c>
      <c r="BL121" t="s">
        <v>5</v>
      </c>
      <c r="BM121">
        <v>119</v>
      </c>
      <c r="BN121" t="s">
        <v>6</v>
      </c>
      <c r="BO121" s="1">
        <v>0.18671869999999999</v>
      </c>
      <c r="BP121" t="s">
        <v>7</v>
      </c>
      <c r="BQ121" s="1">
        <v>0.5</v>
      </c>
      <c r="BR121" t="s">
        <v>8</v>
      </c>
      <c r="BS121" s="1">
        <v>0</v>
      </c>
      <c r="BT121" s="1">
        <v>12.7568777515446</v>
      </c>
      <c r="BU121" s="1">
        <f t="shared" si="12"/>
        <v>0.37343739999999997</v>
      </c>
      <c r="BV121" s="1">
        <f t="shared" si="13"/>
        <v>12.7568777515446</v>
      </c>
      <c r="BX121" s="1">
        <v>119</v>
      </c>
      <c r="BY121" s="1">
        <v>17.675068850913199</v>
      </c>
      <c r="CA121" t="s">
        <v>4</v>
      </c>
      <c r="CB121">
        <v>0</v>
      </c>
      <c r="CC121" t="s">
        <v>5</v>
      </c>
      <c r="CD121">
        <v>119</v>
      </c>
      <c r="CE121" t="s">
        <v>6</v>
      </c>
      <c r="CF121" s="1">
        <v>0.18671869999999999</v>
      </c>
      <c r="CG121" t="s">
        <v>7</v>
      </c>
      <c r="CH121" s="1">
        <v>0.5</v>
      </c>
      <c r="CI121" t="s">
        <v>8</v>
      </c>
      <c r="CJ121" s="1">
        <v>0</v>
      </c>
      <c r="CK121" s="1">
        <v>13.7943870855254</v>
      </c>
    </row>
    <row r="122" spans="43:89">
      <c r="AQ122" t="s">
        <v>7</v>
      </c>
      <c r="AR122" s="1">
        <v>0.5</v>
      </c>
      <c r="AS122" t="s">
        <v>8</v>
      </c>
      <c r="AT122" s="1">
        <v>0</v>
      </c>
      <c r="AU122" s="1">
        <v>3.3573342479659103E-2</v>
      </c>
      <c r="AW122" t="s">
        <v>4</v>
      </c>
      <c r="AX122">
        <v>0</v>
      </c>
      <c r="AY122" t="s">
        <v>5</v>
      </c>
      <c r="AZ122">
        <v>120</v>
      </c>
      <c r="BA122" t="s">
        <v>6</v>
      </c>
      <c r="BB122" s="1">
        <v>0.18828130000000001</v>
      </c>
      <c r="BC122" t="s">
        <v>7</v>
      </c>
      <c r="BD122" s="1">
        <v>0.5</v>
      </c>
      <c r="BE122" t="s">
        <v>8</v>
      </c>
      <c r="BF122" s="1">
        <v>0</v>
      </c>
      <c r="BG122" s="1">
        <f t="shared" si="11"/>
        <v>0.37656260000000003</v>
      </c>
      <c r="BH122" s="1">
        <v>12.9177706401058</v>
      </c>
      <c r="BJ122" t="s">
        <v>4</v>
      </c>
      <c r="BK122">
        <v>0</v>
      </c>
      <c r="BL122" t="s">
        <v>5</v>
      </c>
      <c r="BM122">
        <v>120</v>
      </c>
      <c r="BN122" t="s">
        <v>6</v>
      </c>
      <c r="BO122" s="1">
        <v>0.18828130000000001</v>
      </c>
      <c r="BP122" t="s">
        <v>7</v>
      </c>
      <c r="BQ122" s="1">
        <v>0.5</v>
      </c>
      <c r="BR122" t="s">
        <v>8</v>
      </c>
      <c r="BS122" s="1">
        <v>0</v>
      </c>
      <c r="BT122" s="1">
        <v>12.7402997892105</v>
      </c>
      <c r="BU122" s="1">
        <f t="shared" si="12"/>
        <v>0.37656260000000003</v>
      </c>
      <c r="BV122" s="1">
        <f t="shared" si="13"/>
        <v>12.7402997892105</v>
      </c>
      <c r="BX122" s="1">
        <v>120</v>
      </c>
      <c r="BY122" s="1">
        <v>17.534185457422598</v>
      </c>
      <c r="CA122" t="s">
        <v>4</v>
      </c>
      <c r="CB122">
        <v>0</v>
      </c>
      <c r="CC122" t="s">
        <v>5</v>
      </c>
      <c r="CD122">
        <v>120</v>
      </c>
      <c r="CE122" t="s">
        <v>6</v>
      </c>
      <c r="CF122" s="1">
        <v>0.18828130000000001</v>
      </c>
      <c r="CG122" t="s">
        <v>7</v>
      </c>
      <c r="CH122" s="1">
        <v>0.5</v>
      </c>
      <c r="CI122" t="s">
        <v>8</v>
      </c>
      <c r="CJ122" s="1">
        <v>0</v>
      </c>
      <c r="CK122" s="1">
        <v>13.6459624816911</v>
      </c>
    </row>
    <row r="123" spans="43:89">
      <c r="AQ123" t="s">
        <v>7</v>
      </c>
      <c r="AR123" s="1">
        <v>0.5</v>
      </c>
      <c r="AS123" t="s">
        <v>8</v>
      </c>
      <c r="AT123" s="1">
        <v>0</v>
      </c>
      <c r="AU123" s="1">
        <v>3.3579499557329903E-2</v>
      </c>
      <c r="AW123" t="s">
        <v>4</v>
      </c>
      <c r="AX123">
        <v>0</v>
      </c>
      <c r="AY123" t="s">
        <v>5</v>
      </c>
      <c r="AZ123">
        <v>121</v>
      </c>
      <c r="BA123" t="s">
        <v>6</v>
      </c>
      <c r="BB123" s="1">
        <v>0.18984380000000001</v>
      </c>
      <c r="BC123" t="s">
        <v>7</v>
      </c>
      <c r="BD123" s="1">
        <v>0.5</v>
      </c>
      <c r="BE123" t="s">
        <v>8</v>
      </c>
      <c r="BF123" s="1">
        <v>0</v>
      </c>
      <c r="BG123" s="1">
        <f t="shared" si="11"/>
        <v>0.37968760000000001</v>
      </c>
      <c r="BH123" s="1">
        <v>12.9018493547714</v>
      </c>
      <c r="BJ123" t="s">
        <v>4</v>
      </c>
      <c r="BK123">
        <v>0</v>
      </c>
      <c r="BL123" t="s">
        <v>5</v>
      </c>
      <c r="BM123">
        <v>121</v>
      </c>
      <c r="BN123" t="s">
        <v>6</v>
      </c>
      <c r="BO123" s="1">
        <v>0.18984380000000001</v>
      </c>
      <c r="BP123" t="s">
        <v>7</v>
      </c>
      <c r="BQ123" s="1">
        <v>0.5</v>
      </c>
      <c r="BR123" t="s">
        <v>8</v>
      </c>
      <c r="BS123" s="1">
        <v>0</v>
      </c>
      <c r="BT123" s="1">
        <v>12.754085868022299</v>
      </c>
      <c r="BU123" s="1">
        <f t="shared" si="12"/>
        <v>0.37968760000000001</v>
      </c>
      <c r="BV123" s="1">
        <f t="shared" si="13"/>
        <v>12.754085868022299</v>
      </c>
      <c r="BX123" s="1">
        <v>121</v>
      </c>
      <c r="BY123" s="1">
        <v>17.5409390564318</v>
      </c>
      <c r="CA123" t="s">
        <v>4</v>
      </c>
      <c r="CB123">
        <v>0</v>
      </c>
      <c r="CC123" t="s">
        <v>5</v>
      </c>
      <c r="CD123">
        <v>121</v>
      </c>
      <c r="CE123" t="s">
        <v>6</v>
      </c>
      <c r="CF123" s="1">
        <v>0.18984380000000001</v>
      </c>
      <c r="CG123" t="s">
        <v>7</v>
      </c>
      <c r="CH123" s="1">
        <v>0.5</v>
      </c>
      <c r="CI123" t="s">
        <v>8</v>
      </c>
      <c r="CJ123" s="1">
        <v>0</v>
      </c>
      <c r="CK123" s="1">
        <v>13.644595583799299</v>
      </c>
    </row>
    <row r="124" spans="43:89">
      <c r="AQ124" t="s">
        <v>7</v>
      </c>
      <c r="AR124" s="1">
        <v>0.5</v>
      </c>
      <c r="AS124" t="s">
        <v>8</v>
      </c>
      <c r="AT124" s="1">
        <v>0</v>
      </c>
      <c r="AU124" s="1">
        <v>3.3585674226441403E-2</v>
      </c>
      <c r="AW124" t="s">
        <v>4</v>
      </c>
      <c r="AX124">
        <v>0</v>
      </c>
      <c r="AY124" t="s">
        <v>5</v>
      </c>
      <c r="AZ124">
        <v>122</v>
      </c>
      <c r="BA124" t="s">
        <v>6</v>
      </c>
      <c r="BB124" s="1">
        <v>0.1914063</v>
      </c>
      <c r="BC124" t="s">
        <v>7</v>
      </c>
      <c r="BD124" s="1">
        <v>0.5</v>
      </c>
      <c r="BE124" t="s">
        <v>8</v>
      </c>
      <c r="BF124" s="1">
        <v>0</v>
      </c>
      <c r="BG124" s="1">
        <f t="shared" si="11"/>
        <v>0.3828126</v>
      </c>
      <c r="BH124" s="1">
        <v>12.8859322693088</v>
      </c>
      <c r="BJ124" t="s">
        <v>4</v>
      </c>
      <c r="BK124">
        <v>0</v>
      </c>
      <c r="BL124" t="s">
        <v>5</v>
      </c>
      <c r="BM124">
        <v>122</v>
      </c>
      <c r="BN124" t="s">
        <v>6</v>
      </c>
      <c r="BO124" s="1">
        <v>0.1914063</v>
      </c>
      <c r="BP124" t="s">
        <v>7</v>
      </c>
      <c r="BQ124" s="1">
        <v>0.5</v>
      </c>
      <c r="BR124" t="s">
        <v>8</v>
      </c>
      <c r="BS124" s="1">
        <v>0</v>
      </c>
      <c r="BT124" s="1">
        <v>12.7754572202187</v>
      </c>
      <c r="BU124" s="1">
        <f t="shared" si="12"/>
        <v>0.3828126</v>
      </c>
      <c r="BV124" s="1">
        <f t="shared" si="13"/>
        <v>12.7754572202187</v>
      </c>
      <c r="BX124" s="1">
        <v>122</v>
      </c>
      <c r="BY124" s="1">
        <v>17.547681904235599</v>
      </c>
      <c r="CA124" t="s">
        <v>4</v>
      </c>
      <c r="CB124">
        <v>0</v>
      </c>
      <c r="CC124" t="s">
        <v>5</v>
      </c>
      <c r="CD124">
        <v>122</v>
      </c>
      <c r="CE124" t="s">
        <v>6</v>
      </c>
      <c r="CF124" s="1">
        <v>0.1914063</v>
      </c>
      <c r="CG124" t="s">
        <v>7</v>
      </c>
      <c r="CH124" s="1">
        <v>0.5</v>
      </c>
      <c r="CI124" t="s">
        <v>8</v>
      </c>
      <c r="CJ124" s="1">
        <v>0</v>
      </c>
      <c r="CK124" s="1">
        <v>13.6431931962883</v>
      </c>
    </row>
    <row r="125" spans="43:89">
      <c r="AQ125" t="s">
        <v>7</v>
      </c>
      <c r="AR125" s="1">
        <v>0.5</v>
      </c>
      <c r="AS125" t="s">
        <v>8</v>
      </c>
      <c r="AT125" s="1">
        <v>0</v>
      </c>
      <c r="AU125" s="1">
        <v>3.3591866334009499E-2</v>
      </c>
      <c r="AW125" t="s">
        <v>4</v>
      </c>
      <c r="AX125">
        <v>0</v>
      </c>
      <c r="AY125" t="s">
        <v>5</v>
      </c>
      <c r="AZ125">
        <v>123</v>
      </c>
      <c r="BA125" t="s">
        <v>6</v>
      </c>
      <c r="BB125" s="1">
        <v>0.19296869999999999</v>
      </c>
      <c r="BC125" t="s">
        <v>7</v>
      </c>
      <c r="BD125" s="1">
        <v>0.5</v>
      </c>
      <c r="BE125" t="s">
        <v>8</v>
      </c>
      <c r="BF125" s="1">
        <v>0</v>
      </c>
      <c r="BG125" s="1">
        <f t="shared" si="11"/>
        <v>0.38593739999999999</v>
      </c>
      <c r="BH125" s="1">
        <v>12.870020426558799</v>
      </c>
      <c r="BJ125" t="s">
        <v>4</v>
      </c>
      <c r="BK125">
        <v>0</v>
      </c>
      <c r="BL125" t="s">
        <v>5</v>
      </c>
      <c r="BM125">
        <v>123</v>
      </c>
      <c r="BN125" t="s">
        <v>6</v>
      </c>
      <c r="BO125" s="1">
        <v>0.19296869999999999</v>
      </c>
      <c r="BP125" t="s">
        <v>7</v>
      </c>
      <c r="BQ125" s="1">
        <v>0.5</v>
      </c>
      <c r="BR125" t="s">
        <v>8</v>
      </c>
      <c r="BS125" s="1">
        <v>0</v>
      </c>
      <c r="BT125" s="1">
        <v>12.804740989772901</v>
      </c>
      <c r="BU125" s="1">
        <f t="shared" si="12"/>
        <v>0.38593739999999999</v>
      </c>
      <c r="BV125" s="1">
        <f t="shared" si="13"/>
        <v>12.804740989772901</v>
      </c>
      <c r="BX125" s="1">
        <v>123</v>
      </c>
      <c r="BY125" s="1">
        <v>17.554412474105401</v>
      </c>
      <c r="CA125" t="s">
        <v>4</v>
      </c>
      <c r="CB125">
        <v>0</v>
      </c>
      <c r="CC125" t="s">
        <v>5</v>
      </c>
      <c r="CD125">
        <v>123</v>
      </c>
      <c r="CE125" t="s">
        <v>6</v>
      </c>
      <c r="CF125" s="1">
        <v>0.19296869999999999</v>
      </c>
      <c r="CG125" t="s">
        <v>7</v>
      </c>
      <c r="CH125" s="1">
        <v>0.5</v>
      </c>
      <c r="CI125" t="s">
        <v>8</v>
      </c>
      <c r="CJ125" s="1">
        <v>0</v>
      </c>
      <c r="CK125" s="1">
        <v>13.6417696978405</v>
      </c>
    </row>
    <row r="126" spans="43:89">
      <c r="AQ126" t="s">
        <v>7</v>
      </c>
      <c r="AR126" s="1">
        <v>0.5</v>
      </c>
      <c r="AS126" t="s">
        <v>8</v>
      </c>
      <c r="AT126" s="1">
        <v>0</v>
      </c>
      <c r="AU126" s="1">
        <v>3.3598075735357599E-2</v>
      </c>
      <c r="AW126" t="s">
        <v>4</v>
      </c>
      <c r="AX126">
        <v>0</v>
      </c>
      <c r="AY126" t="s">
        <v>5</v>
      </c>
      <c r="AZ126">
        <v>124</v>
      </c>
      <c r="BA126" t="s">
        <v>6</v>
      </c>
      <c r="BB126" s="1">
        <v>0.19453129999999999</v>
      </c>
      <c r="BC126" t="s">
        <v>7</v>
      </c>
      <c r="BD126" s="1">
        <v>0.5</v>
      </c>
      <c r="BE126" t="s">
        <v>8</v>
      </c>
      <c r="BF126" s="1">
        <v>0</v>
      </c>
      <c r="BG126" s="1">
        <f t="shared" si="11"/>
        <v>0.38906259999999998</v>
      </c>
      <c r="BH126" s="1">
        <v>12.854130165041299</v>
      </c>
      <c r="BJ126" t="s">
        <v>4</v>
      </c>
      <c r="BK126">
        <v>0</v>
      </c>
      <c r="BL126" t="s">
        <v>5</v>
      </c>
      <c r="BM126">
        <v>124</v>
      </c>
      <c r="BN126" t="s">
        <v>6</v>
      </c>
      <c r="BO126" s="1">
        <v>0.19453129999999999</v>
      </c>
      <c r="BP126" t="s">
        <v>7</v>
      </c>
      <c r="BQ126" s="1">
        <v>0.5</v>
      </c>
      <c r="BR126" t="s">
        <v>8</v>
      </c>
      <c r="BS126" s="1">
        <v>0</v>
      </c>
      <c r="BT126" s="1">
        <v>12.842268344056899</v>
      </c>
      <c r="BU126" s="1">
        <f t="shared" si="12"/>
        <v>0.38906259999999998</v>
      </c>
      <c r="BV126" s="1">
        <f t="shared" si="13"/>
        <v>12.842268344056899</v>
      </c>
      <c r="BX126" s="1">
        <v>124</v>
      </c>
      <c r="BY126" s="1">
        <v>17.561146881145799</v>
      </c>
      <c r="CA126" t="s">
        <v>4</v>
      </c>
      <c r="CB126">
        <v>0</v>
      </c>
      <c r="CC126" t="s">
        <v>5</v>
      </c>
      <c r="CD126">
        <v>124</v>
      </c>
      <c r="CE126" t="s">
        <v>6</v>
      </c>
      <c r="CF126" s="1">
        <v>0.19453129999999999</v>
      </c>
      <c r="CG126" t="s">
        <v>7</v>
      </c>
      <c r="CH126" s="1">
        <v>0.5</v>
      </c>
      <c r="CI126" t="s">
        <v>8</v>
      </c>
      <c r="CJ126" s="1">
        <v>0</v>
      </c>
      <c r="CK126" s="1">
        <v>13.640317324804601</v>
      </c>
    </row>
    <row r="127" spans="43:89">
      <c r="AQ127" t="s">
        <v>7</v>
      </c>
      <c r="AR127" s="1">
        <v>0.5</v>
      </c>
      <c r="AS127" t="s">
        <v>8</v>
      </c>
      <c r="AT127" s="1">
        <v>0</v>
      </c>
      <c r="AU127" s="1">
        <v>3.3604302294222198E-2</v>
      </c>
      <c r="AW127" t="s">
        <v>4</v>
      </c>
      <c r="AX127">
        <v>0</v>
      </c>
      <c r="AY127" t="s">
        <v>5</v>
      </c>
      <c r="AZ127">
        <v>125</v>
      </c>
      <c r="BA127" t="s">
        <v>6</v>
      </c>
      <c r="BB127" s="1">
        <v>0.19609380000000001</v>
      </c>
      <c r="BC127" t="s">
        <v>7</v>
      </c>
      <c r="BD127" s="1">
        <v>0.5</v>
      </c>
      <c r="BE127" t="s">
        <v>8</v>
      </c>
      <c r="BF127" s="1">
        <v>0</v>
      </c>
      <c r="BG127" s="1">
        <f t="shared" si="11"/>
        <v>0.39218760000000003</v>
      </c>
      <c r="BH127" s="1">
        <v>12.838273407045</v>
      </c>
      <c r="BJ127" t="s">
        <v>4</v>
      </c>
      <c r="BK127">
        <v>0</v>
      </c>
      <c r="BL127" t="s">
        <v>5</v>
      </c>
      <c r="BM127">
        <v>125</v>
      </c>
      <c r="BN127" t="s">
        <v>6</v>
      </c>
      <c r="BO127" s="1">
        <v>0.19609380000000001</v>
      </c>
      <c r="BP127" t="s">
        <v>7</v>
      </c>
      <c r="BQ127" s="1">
        <v>0.5</v>
      </c>
      <c r="BR127" t="s">
        <v>8</v>
      </c>
      <c r="BS127" s="1">
        <v>0</v>
      </c>
      <c r="BT127" s="1">
        <v>12.8883538289572</v>
      </c>
      <c r="BU127" s="1">
        <f t="shared" si="12"/>
        <v>0.39218760000000003</v>
      </c>
      <c r="BV127" s="1">
        <f t="shared" si="13"/>
        <v>12.8883538289572</v>
      </c>
      <c r="BX127" s="1">
        <v>125</v>
      </c>
      <c r="BY127" s="1">
        <v>17.567871346200999</v>
      </c>
      <c r="CA127" t="s">
        <v>4</v>
      </c>
      <c r="CB127">
        <v>0</v>
      </c>
      <c r="CC127" t="s">
        <v>5</v>
      </c>
      <c r="CD127">
        <v>125</v>
      </c>
      <c r="CE127" t="s">
        <v>6</v>
      </c>
      <c r="CF127" s="1">
        <v>0.19609380000000001</v>
      </c>
      <c r="CG127" t="s">
        <v>7</v>
      </c>
      <c r="CH127" s="1">
        <v>0.5</v>
      </c>
      <c r="CI127" t="s">
        <v>8</v>
      </c>
      <c r="CJ127" s="1">
        <v>0</v>
      </c>
      <c r="CK127" s="1">
        <v>13.638827348034001</v>
      </c>
    </row>
    <row r="128" spans="43:89">
      <c r="AQ128" t="s">
        <v>7</v>
      </c>
      <c r="AR128" s="1">
        <v>0.5</v>
      </c>
      <c r="AS128" t="s">
        <v>8</v>
      </c>
      <c r="AT128" s="1">
        <v>0</v>
      </c>
      <c r="AU128" s="1">
        <v>3.36105458827766E-2</v>
      </c>
      <c r="AW128" t="s">
        <v>4</v>
      </c>
      <c r="AX128">
        <v>0</v>
      </c>
      <c r="AY128" t="s">
        <v>5</v>
      </c>
      <c r="AZ128">
        <v>126</v>
      </c>
      <c r="BA128" t="s">
        <v>6</v>
      </c>
      <c r="BB128" s="1">
        <v>0.19765630000000001</v>
      </c>
      <c r="BC128" t="s">
        <v>7</v>
      </c>
      <c r="BD128" s="1">
        <v>0.5</v>
      </c>
      <c r="BE128" t="s">
        <v>8</v>
      </c>
      <c r="BF128" s="1">
        <v>0</v>
      </c>
      <c r="BG128" s="1">
        <f t="shared" si="11"/>
        <v>0.39531260000000001</v>
      </c>
      <c r="BH128" s="1">
        <v>12.822461977906601</v>
      </c>
      <c r="BJ128" t="s">
        <v>4</v>
      </c>
      <c r="BK128">
        <v>0</v>
      </c>
      <c r="BL128" t="s">
        <v>5</v>
      </c>
      <c r="BM128">
        <v>126</v>
      </c>
      <c r="BN128" t="s">
        <v>6</v>
      </c>
      <c r="BO128" s="1">
        <v>0.19765630000000001</v>
      </c>
      <c r="BP128" t="s">
        <v>7</v>
      </c>
      <c r="BQ128" s="1">
        <v>0.5</v>
      </c>
      <c r="BR128" t="s">
        <v>8</v>
      </c>
      <c r="BS128" s="1">
        <v>0</v>
      </c>
      <c r="BT128" s="1">
        <v>12.9433119625863</v>
      </c>
      <c r="BU128" s="1">
        <f t="shared" si="12"/>
        <v>0.39531260000000001</v>
      </c>
      <c r="BV128" s="1">
        <f t="shared" si="13"/>
        <v>12.9433119625863</v>
      </c>
      <c r="BX128" s="1">
        <v>126</v>
      </c>
      <c r="BY128" s="1">
        <v>17.5745481228426</v>
      </c>
      <c r="CA128" t="s">
        <v>4</v>
      </c>
      <c r="CB128">
        <v>0</v>
      </c>
      <c r="CC128" t="s">
        <v>5</v>
      </c>
      <c r="CD128">
        <v>126</v>
      </c>
      <c r="CE128" t="s">
        <v>6</v>
      </c>
      <c r="CF128" s="1">
        <v>0.19765630000000001</v>
      </c>
      <c r="CG128" t="s">
        <v>7</v>
      </c>
      <c r="CH128" s="1">
        <v>0.5</v>
      </c>
      <c r="CI128" t="s">
        <v>8</v>
      </c>
      <c r="CJ128" s="1">
        <v>0</v>
      </c>
      <c r="CK128" s="1">
        <v>13.637298963666099</v>
      </c>
    </row>
    <row r="129" spans="43:89">
      <c r="AQ129" t="s">
        <v>7</v>
      </c>
      <c r="AR129" s="1">
        <v>0.5</v>
      </c>
      <c r="AS129" t="s">
        <v>8</v>
      </c>
      <c r="AT129" s="1">
        <v>0</v>
      </c>
      <c r="AU129" s="1">
        <v>3.3616831429382002E-2</v>
      </c>
      <c r="AW129" t="s">
        <v>4</v>
      </c>
      <c r="AX129">
        <v>0</v>
      </c>
      <c r="AY129" t="s">
        <v>5</v>
      </c>
      <c r="AZ129">
        <v>127</v>
      </c>
      <c r="BA129" t="s">
        <v>6</v>
      </c>
      <c r="BB129" s="1">
        <v>0.1992188</v>
      </c>
      <c r="BC129" t="s">
        <v>7</v>
      </c>
      <c r="BD129" s="1">
        <v>0.5</v>
      </c>
      <c r="BE129" t="s">
        <v>8</v>
      </c>
      <c r="BF129" s="1">
        <v>0</v>
      </c>
      <c r="BG129" s="1">
        <f t="shared" si="11"/>
        <v>0.3984376</v>
      </c>
      <c r="BH129" s="1">
        <v>12.806710347853</v>
      </c>
      <c r="BJ129" t="s">
        <v>4</v>
      </c>
      <c r="BK129">
        <v>0</v>
      </c>
      <c r="BL129" t="s">
        <v>5</v>
      </c>
      <c r="BM129">
        <v>127</v>
      </c>
      <c r="BN129" t="s">
        <v>6</v>
      </c>
      <c r="BO129" s="1">
        <v>0.1992188</v>
      </c>
      <c r="BP129" t="s">
        <v>7</v>
      </c>
      <c r="BQ129" s="1">
        <v>0.5</v>
      </c>
      <c r="BR129" t="s">
        <v>8</v>
      </c>
      <c r="BS129" s="1">
        <v>0</v>
      </c>
      <c r="BT129" s="1">
        <v>13.007469704284601</v>
      </c>
      <c r="BU129" s="1">
        <f t="shared" si="12"/>
        <v>0.3984376</v>
      </c>
      <c r="BV129" s="1">
        <f t="shared" si="13"/>
        <v>13.007469704284601</v>
      </c>
      <c r="BX129" s="1">
        <v>127</v>
      </c>
      <c r="BY129" s="1">
        <v>17.581243786265699</v>
      </c>
      <c r="CA129" t="s">
        <v>4</v>
      </c>
      <c r="CB129">
        <v>0</v>
      </c>
      <c r="CC129" t="s">
        <v>5</v>
      </c>
      <c r="CD129">
        <v>127</v>
      </c>
      <c r="CE129" t="s">
        <v>6</v>
      </c>
      <c r="CF129" s="1">
        <v>0.1992188</v>
      </c>
      <c r="CG129" t="s">
        <v>7</v>
      </c>
      <c r="CH129" s="1">
        <v>0.5</v>
      </c>
      <c r="CI129" t="s">
        <v>8</v>
      </c>
      <c r="CJ129" s="1">
        <v>0</v>
      </c>
      <c r="CK129" s="1">
        <v>13.6357360299415</v>
      </c>
    </row>
    <row r="130" spans="43:89">
      <c r="AQ130" t="s">
        <v>7</v>
      </c>
      <c r="AR130" s="1">
        <v>0.5</v>
      </c>
      <c r="AS130" t="s">
        <v>8</v>
      </c>
      <c r="AT130" s="1">
        <v>0</v>
      </c>
      <c r="AU130" s="1">
        <v>3.3623126644949299E-2</v>
      </c>
      <c r="AW130" t="s">
        <v>4</v>
      </c>
      <c r="AX130">
        <v>0</v>
      </c>
      <c r="AY130" t="s">
        <v>5</v>
      </c>
      <c r="AZ130">
        <v>128</v>
      </c>
      <c r="BA130" t="s">
        <v>6</v>
      </c>
      <c r="BB130" s="1">
        <v>0.20078119999999999</v>
      </c>
      <c r="BC130" t="s">
        <v>7</v>
      </c>
      <c r="BD130" s="1">
        <v>0.5</v>
      </c>
      <c r="BE130" t="s">
        <v>8</v>
      </c>
      <c r="BF130" s="1">
        <v>0</v>
      </c>
      <c r="BG130" s="1">
        <f t="shared" si="11"/>
        <v>0.40156239999999999</v>
      </c>
      <c r="BH130" s="1">
        <v>12.791020563369599</v>
      </c>
      <c r="BJ130" t="s">
        <v>4</v>
      </c>
      <c r="BK130">
        <v>0</v>
      </c>
      <c r="BL130" t="s">
        <v>5</v>
      </c>
      <c r="BM130">
        <v>128</v>
      </c>
      <c r="BN130" t="s">
        <v>6</v>
      </c>
      <c r="BO130" s="1">
        <v>0.20078119999999999</v>
      </c>
      <c r="BP130" t="s">
        <v>7</v>
      </c>
      <c r="BQ130" s="1">
        <v>0.5</v>
      </c>
      <c r="BR130" t="s">
        <v>8</v>
      </c>
      <c r="BS130" s="1">
        <v>0</v>
      </c>
      <c r="BT130" s="1">
        <v>13.0299688748348</v>
      </c>
      <c r="BU130" s="1">
        <f t="shared" si="12"/>
        <v>0.40156239999999999</v>
      </c>
      <c r="BV130" s="1">
        <f t="shared" si="13"/>
        <v>13.0299688748348</v>
      </c>
      <c r="BX130" s="1">
        <v>128</v>
      </c>
      <c r="BY130" s="1">
        <v>17.5879191826678</v>
      </c>
      <c r="CA130" t="s">
        <v>4</v>
      </c>
      <c r="CB130">
        <v>0</v>
      </c>
      <c r="CC130" t="s">
        <v>5</v>
      </c>
      <c r="CD130">
        <v>128</v>
      </c>
      <c r="CE130" t="s">
        <v>6</v>
      </c>
      <c r="CF130" s="1">
        <v>0.20078119999999999</v>
      </c>
      <c r="CG130" t="s">
        <v>7</v>
      </c>
      <c r="CH130" s="1">
        <v>0.5</v>
      </c>
      <c r="CI130" t="s">
        <v>8</v>
      </c>
      <c r="CJ130" s="1">
        <v>0</v>
      </c>
      <c r="CK130" s="1">
        <v>13.634142395371001</v>
      </c>
    </row>
    <row r="131" spans="43:89">
      <c r="AQ131" t="s">
        <v>7</v>
      </c>
      <c r="AR131" s="1">
        <v>0.5</v>
      </c>
      <c r="AS131" t="s">
        <v>8</v>
      </c>
      <c r="AT131" s="1">
        <v>0</v>
      </c>
      <c r="AU131" s="1">
        <v>3.3629419245954903E-2</v>
      </c>
      <c r="AW131" t="s">
        <v>4</v>
      </c>
      <c r="AX131">
        <v>0</v>
      </c>
      <c r="AY131" t="s">
        <v>5</v>
      </c>
      <c r="AZ131">
        <v>129</v>
      </c>
      <c r="BA131" t="s">
        <v>6</v>
      </c>
      <c r="BB131" s="1">
        <v>0.20234369999999999</v>
      </c>
      <c r="BC131" t="s">
        <v>7</v>
      </c>
      <c r="BD131" s="1">
        <v>0.5</v>
      </c>
      <c r="BE131" t="s">
        <v>8</v>
      </c>
      <c r="BF131" s="1">
        <v>0</v>
      </c>
      <c r="BG131" s="1">
        <f t="shared" ref="BG131:BG194" si="14">BB131/0.5</f>
        <v>0.40468739999999997</v>
      </c>
      <c r="BH131" s="1">
        <v>12.7754076134046</v>
      </c>
      <c r="BJ131" t="s">
        <v>4</v>
      </c>
      <c r="BK131">
        <v>0</v>
      </c>
      <c r="BL131" t="s">
        <v>5</v>
      </c>
      <c r="BM131">
        <v>129</v>
      </c>
      <c r="BN131" t="s">
        <v>6</v>
      </c>
      <c r="BO131" s="1">
        <v>0.20234369999999999</v>
      </c>
      <c r="BP131" t="s">
        <v>7</v>
      </c>
      <c r="BQ131" s="1">
        <v>0.5</v>
      </c>
      <c r="BR131" t="s">
        <v>8</v>
      </c>
      <c r="BS131" s="1">
        <v>0</v>
      </c>
      <c r="BT131" s="1">
        <v>13.001885256823901</v>
      </c>
      <c r="BU131" s="1">
        <f t="shared" ref="BU131:BU194" si="15">BO131/0.5</f>
        <v>0.40468739999999997</v>
      </c>
      <c r="BV131" s="1">
        <f t="shared" ref="BV131:BV194" si="16">BT131</f>
        <v>13.001885256823901</v>
      </c>
      <c r="BX131" s="1">
        <v>129</v>
      </c>
      <c r="BY131" s="1">
        <v>17.594571133744999</v>
      </c>
      <c r="CA131" t="s">
        <v>4</v>
      </c>
      <c r="CB131">
        <v>0</v>
      </c>
      <c r="CC131" t="s">
        <v>5</v>
      </c>
      <c r="CD131">
        <v>129</v>
      </c>
      <c r="CE131" t="s">
        <v>6</v>
      </c>
      <c r="CF131" s="1">
        <v>0.20234369999999999</v>
      </c>
      <c r="CG131" t="s">
        <v>7</v>
      </c>
      <c r="CH131" s="1">
        <v>0.5</v>
      </c>
      <c r="CI131" t="s">
        <v>8</v>
      </c>
      <c r="CJ131" s="1">
        <v>0</v>
      </c>
      <c r="CK131" s="1">
        <v>13.632509832122301</v>
      </c>
    </row>
    <row r="132" spans="43:89">
      <c r="AQ132" t="s">
        <v>7</v>
      </c>
      <c r="AR132" s="1">
        <v>0.5</v>
      </c>
      <c r="AS132" t="s">
        <v>8</v>
      </c>
      <c r="AT132" s="1">
        <v>0</v>
      </c>
      <c r="AU132" s="1">
        <v>3.3635728490269301E-2</v>
      </c>
      <c r="AW132" t="s">
        <v>4</v>
      </c>
      <c r="AX132">
        <v>0</v>
      </c>
      <c r="AY132" t="s">
        <v>5</v>
      </c>
      <c r="AZ132">
        <v>130</v>
      </c>
      <c r="BA132" t="s">
        <v>6</v>
      </c>
      <c r="BB132" s="1">
        <v>0.20390630000000001</v>
      </c>
      <c r="BC132" t="s">
        <v>7</v>
      </c>
      <c r="BD132" s="1">
        <v>0.5</v>
      </c>
      <c r="BE132" t="s">
        <v>8</v>
      </c>
      <c r="BF132" s="1">
        <v>0</v>
      </c>
      <c r="BG132" s="1">
        <f t="shared" si="14"/>
        <v>0.40781260000000003</v>
      </c>
      <c r="BH132" s="1">
        <v>12.759888684877399</v>
      </c>
      <c r="BJ132" t="s">
        <v>4</v>
      </c>
      <c r="BK132">
        <v>0</v>
      </c>
      <c r="BL132" t="s">
        <v>5</v>
      </c>
      <c r="BM132">
        <v>130</v>
      </c>
      <c r="BN132" t="s">
        <v>6</v>
      </c>
      <c r="BO132" s="1">
        <v>0.20390630000000001</v>
      </c>
      <c r="BP132" t="s">
        <v>7</v>
      </c>
      <c r="BQ132" s="1">
        <v>0.5</v>
      </c>
      <c r="BR132" t="s">
        <v>8</v>
      </c>
      <c r="BS132" s="1">
        <v>0</v>
      </c>
      <c r="BT132" s="1">
        <v>12.970553329229601</v>
      </c>
      <c r="BU132" s="1">
        <f t="shared" si="15"/>
        <v>0.40781260000000003</v>
      </c>
      <c r="BV132" s="1">
        <f t="shared" si="16"/>
        <v>12.970553329229601</v>
      </c>
      <c r="BX132" s="1">
        <v>130</v>
      </c>
      <c r="BY132" s="1">
        <v>17.601204946232901</v>
      </c>
      <c r="CA132" t="s">
        <v>4</v>
      </c>
      <c r="CB132">
        <v>0</v>
      </c>
      <c r="CC132" t="s">
        <v>5</v>
      </c>
      <c r="CD132">
        <v>130</v>
      </c>
      <c r="CE132" t="s">
        <v>6</v>
      </c>
      <c r="CF132" s="1">
        <v>0.20390630000000001</v>
      </c>
      <c r="CG132" t="s">
        <v>7</v>
      </c>
      <c r="CH132" s="1">
        <v>0.5</v>
      </c>
      <c r="CI132" t="s">
        <v>8</v>
      </c>
      <c r="CJ132" s="1">
        <v>0</v>
      </c>
      <c r="CK132" s="1">
        <v>13.6308411814761</v>
      </c>
    </row>
    <row r="133" spans="43:89">
      <c r="AQ133" t="s">
        <v>7</v>
      </c>
      <c r="AR133" s="1">
        <v>0.5</v>
      </c>
      <c r="AS133" t="s">
        <v>8</v>
      </c>
      <c r="AT133" s="1">
        <v>0</v>
      </c>
      <c r="AU133" s="1">
        <v>3.3642062828479202E-2</v>
      </c>
      <c r="AW133" t="s">
        <v>4</v>
      </c>
      <c r="AX133">
        <v>0</v>
      </c>
      <c r="AY133" t="s">
        <v>5</v>
      </c>
      <c r="AZ133">
        <v>131</v>
      </c>
      <c r="BA133" t="s">
        <v>6</v>
      </c>
      <c r="BB133" s="1">
        <v>0.20546880000000001</v>
      </c>
      <c r="BC133" t="s">
        <v>7</v>
      </c>
      <c r="BD133" s="1">
        <v>0.5</v>
      </c>
      <c r="BE133" t="s">
        <v>8</v>
      </c>
      <c r="BF133" s="1">
        <v>0</v>
      </c>
      <c r="BG133" s="1">
        <f t="shared" si="14"/>
        <v>0.41093760000000001</v>
      </c>
      <c r="BH133" s="1">
        <v>12.744465997620599</v>
      </c>
      <c r="BJ133" t="s">
        <v>4</v>
      </c>
      <c r="BK133">
        <v>0</v>
      </c>
      <c r="BL133" t="s">
        <v>5</v>
      </c>
      <c r="BM133">
        <v>131</v>
      </c>
      <c r="BN133" t="s">
        <v>6</v>
      </c>
      <c r="BO133" s="1">
        <v>0.20546880000000001</v>
      </c>
      <c r="BP133" t="s">
        <v>7</v>
      </c>
      <c r="BQ133" s="1">
        <v>0.5</v>
      </c>
      <c r="BR133" t="s">
        <v>8</v>
      </c>
      <c r="BS133" s="1">
        <v>0</v>
      </c>
      <c r="BT133" s="1">
        <v>12.935856627918501</v>
      </c>
      <c r="BU133" s="1">
        <f t="shared" si="15"/>
        <v>0.41093760000000001</v>
      </c>
      <c r="BV133" s="1">
        <f t="shared" si="16"/>
        <v>12.935856627918501</v>
      </c>
      <c r="BX133" s="1">
        <v>131</v>
      </c>
      <c r="BY133" s="1">
        <v>17.6078231159544</v>
      </c>
      <c r="CA133" t="s">
        <v>4</v>
      </c>
      <c r="CB133">
        <v>0</v>
      </c>
      <c r="CC133" t="s">
        <v>5</v>
      </c>
      <c r="CD133">
        <v>131</v>
      </c>
      <c r="CE133" t="s">
        <v>6</v>
      </c>
      <c r="CF133" s="1">
        <v>0.20546880000000001</v>
      </c>
      <c r="CG133" t="s">
        <v>7</v>
      </c>
      <c r="CH133" s="1">
        <v>0.5</v>
      </c>
      <c r="CI133" t="s">
        <v>8</v>
      </c>
      <c r="CJ133" s="1">
        <v>0</v>
      </c>
      <c r="CK133" s="1">
        <v>13.629141361316</v>
      </c>
    </row>
    <row r="134" spans="43:89">
      <c r="AQ134" t="s">
        <v>7</v>
      </c>
      <c r="AR134" s="1">
        <v>0.5</v>
      </c>
      <c r="AS134" t="s">
        <v>8</v>
      </c>
      <c r="AT134" s="1">
        <v>0</v>
      </c>
      <c r="AU134" s="1">
        <v>3.3648417303739402E-2</v>
      </c>
      <c r="AW134" t="s">
        <v>4</v>
      </c>
      <c r="AX134">
        <v>0</v>
      </c>
      <c r="AY134" t="s">
        <v>5</v>
      </c>
      <c r="AZ134">
        <v>132</v>
      </c>
      <c r="BA134" t="s">
        <v>6</v>
      </c>
      <c r="BB134" s="1">
        <v>0.2070312</v>
      </c>
      <c r="BC134" t="s">
        <v>7</v>
      </c>
      <c r="BD134" s="1">
        <v>0.5</v>
      </c>
      <c r="BE134" t="s">
        <v>8</v>
      </c>
      <c r="BF134" s="1">
        <v>0</v>
      </c>
      <c r="BG134" s="1">
        <f t="shared" si="14"/>
        <v>0.4140624</v>
      </c>
      <c r="BH134" s="1">
        <v>12.7291538804671</v>
      </c>
      <c r="BJ134" t="s">
        <v>4</v>
      </c>
      <c r="BK134">
        <v>0</v>
      </c>
      <c r="BL134" t="s">
        <v>5</v>
      </c>
      <c r="BM134">
        <v>132</v>
      </c>
      <c r="BN134" t="s">
        <v>6</v>
      </c>
      <c r="BO134" s="1">
        <v>0.2070312</v>
      </c>
      <c r="BP134" t="s">
        <v>7</v>
      </c>
      <c r="BQ134" s="1">
        <v>0.5</v>
      </c>
      <c r="BR134" t="s">
        <v>8</v>
      </c>
      <c r="BS134" s="1">
        <v>0</v>
      </c>
      <c r="BT134" s="1">
        <v>12.8976456718344</v>
      </c>
      <c r="BU134" s="1">
        <f t="shared" si="15"/>
        <v>0.4140624</v>
      </c>
      <c r="BV134" s="1">
        <f t="shared" si="16"/>
        <v>12.8976456718344</v>
      </c>
      <c r="BX134" s="1">
        <v>132</v>
      </c>
      <c r="BY134" s="1">
        <v>17.614426215496501</v>
      </c>
      <c r="CA134" t="s">
        <v>4</v>
      </c>
      <c r="CB134">
        <v>0</v>
      </c>
      <c r="CC134" t="s">
        <v>5</v>
      </c>
      <c r="CD134">
        <v>132</v>
      </c>
      <c r="CE134" t="s">
        <v>6</v>
      </c>
      <c r="CF134" s="1">
        <v>0.2070312</v>
      </c>
      <c r="CG134" t="s">
        <v>7</v>
      </c>
      <c r="CH134" s="1">
        <v>0.5</v>
      </c>
      <c r="CI134" t="s">
        <v>8</v>
      </c>
      <c r="CJ134" s="1">
        <v>0</v>
      </c>
      <c r="CK134" s="1">
        <v>13.6273938476049</v>
      </c>
    </row>
    <row r="135" spans="43:89">
      <c r="AQ135" t="s">
        <v>7</v>
      </c>
      <c r="AR135" s="1">
        <v>0.5</v>
      </c>
      <c r="AS135" t="s">
        <v>8</v>
      </c>
      <c r="AT135" s="1">
        <v>0</v>
      </c>
      <c r="AU135" s="1">
        <v>3.3654775293049402E-2</v>
      </c>
      <c r="AW135" t="s">
        <v>4</v>
      </c>
      <c r="AX135">
        <v>0</v>
      </c>
      <c r="AY135" t="s">
        <v>5</v>
      </c>
      <c r="AZ135">
        <v>133</v>
      </c>
      <c r="BA135" t="s">
        <v>6</v>
      </c>
      <c r="BB135" s="1">
        <v>0.20859369999999999</v>
      </c>
      <c r="BC135" t="s">
        <v>7</v>
      </c>
      <c r="BD135" s="1">
        <v>0.5</v>
      </c>
      <c r="BE135" t="s">
        <v>8</v>
      </c>
      <c r="BF135" s="1">
        <v>0</v>
      </c>
      <c r="BG135" s="1">
        <f t="shared" si="14"/>
        <v>0.41718739999999999</v>
      </c>
      <c r="BH135" s="1">
        <v>12.713967647655499</v>
      </c>
      <c r="BJ135" t="s">
        <v>4</v>
      </c>
      <c r="BK135">
        <v>0</v>
      </c>
      <c r="BL135" t="s">
        <v>5</v>
      </c>
      <c r="BM135">
        <v>133</v>
      </c>
      <c r="BN135" t="s">
        <v>6</v>
      </c>
      <c r="BO135" s="1">
        <v>0.20859369999999999</v>
      </c>
      <c r="BP135" t="s">
        <v>7</v>
      </c>
      <c r="BQ135" s="1">
        <v>0.5</v>
      </c>
      <c r="BR135" t="s">
        <v>8</v>
      </c>
      <c r="BS135" s="1">
        <v>0</v>
      </c>
      <c r="BT135" s="1">
        <v>12.855814124176799</v>
      </c>
      <c r="BU135" s="1">
        <f t="shared" si="15"/>
        <v>0.41718739999999999</v>
      </c>
      <c r="BV135" s="1">
        <f t="shared" si="16"/>
        <v>12.855814124176799</v>
      </c>
      <c r="BX135" s="1">
        <v>133</v>
      </c>
      <c r="BY135" s="1">
        <v>17.6210062145127</v>
      </c>
      <c r="CA135" t="s">
        <v>4</v>
      </c>
      <c r="CB135">
        <v>0</v>
      </c>
      <c r="CC135" t="s">
        <v>5</v>
      </c>
      <c r="CD135">
        <v>133</v>
      </c>
      <c r="CE135" t="s">
        <v>6</v>
      </c>
      <c r="CF135" s="1">
        <v>0.20859369999999999</v>
      </c>
      <c r="CG135" t="s">
        <v>7</v>
      </c>
      <c r="CH135" s="1">
        <v>0.5</v>
      </c>
      <c r="CI135" t="s">
        <v>8</v>
      </c>
      <c r="CJ135" s="1">
        <v>0</v>
      </c>
      <c r="CK135" s="1">
        <v>13.6256083141744</v>
      </c>
    </row>
    <row r="136" spans="43:89">
      <c r="AQ136" t="s">
        <v>7</v>
      </c>
      <c r="AR136" s="1">
        <v>0.5</v>
      </c>
      <c r="AS136" t="s">
        <v>8</v>
      </c>
      <c r="AT136" s="1">
        <v>0</v>
      </c>
      <c r="AU136" s="1">
        <v>3.3661154113723897E-2</v>
      </c>
      <c r="AW136" t="s">
        <v>4</v>
      </c>
      <c r="AX136">
        <v>0</v>
      </c>
      <c r="AY136" t="s">
        <v>5</v>
      </c>
      <c r="AZ136">
        <v>134</v>
      </c>
      <c r="BA136" t="s">
        <v>6</v>
      </c>
      <c r="BB136" s="1">
        <v>0.21015629999999999</v>
      </c>
      <c r="BC136" t="s">
        <v>7</v>
      </c>
      <c r="BD136" s="1">
        <v>0.5</v>
      </c>
      <c r="BE136" t="s">
        <v>8</v>
      </c>
      <c r="BF136" s="1">
        <v>0</v>
      </c>
      <c r="BG136" s="1">
        <f t="shared" si="14"/>
        <v>0.42031259999999998</v>
      </c>
      <c r="BH136" s="1">
        <v>12.6989200466602</v>
      </c>
      <c r="BJ136" t="s">
        <v>4</v>
      </c>
      <c r="BK136">
        <v>0</v>
      </c>
      <c r="BL136" t="s">
        <v>5</v>
      </c>
      <c r="BM136">
        <v>134</v>
      </c>
      <c r="BN136" t="s">
        <v>6</v>
      </c>
      <c r="BO136" s="1">
        <v>0.21015629999999999</v>
      </c>
      <c r="BP136" t="s">
        <v>7</v>
      </c>
      <c r="BQ136" s="1">
        <v>0.5</v>
      </c>
      <c r="BR136" t="s">
        <v>8</v>
      </c>
      <c r="BS136" s="1">
        <v>0</v>
      </c>
      <c r="BT136" s="1">
        <v>12.810218139404199</v>
      </c>
      <c r="BU136" s="1">
        <f t="shared" si="15"/>
        <v>0.42031259999999998</v>
      </c>
      <c r="BV136" s="1">
        <f t="shared" si="16"/>
        <v>12.810218139404199</v>
      </c>
      <c r="BX136" s="1">
        <v>134</v>
      </c>
      <c r="BY136" s="1">
        <v>17.6275563213478</v>
      </c>
      <c r="CA136" t="s">
        <v>4</v>
      </c>
      <c r="CB136">
        <v>0</v>
      </c>
      <c r="CC136" t="s">
        <v>5</v>
      </c>
      <c r="CD136">
        <v>134</v>
      </c>
      <c r="CE136" t="s">
        <v>6</v>
      </c>
      <c r="CF136" s="1">
        <v>0.21015629999999999</v>
      </c>
      <c r="CG136" t="s">
        <v>7</v>
      </c>
      <c r="CH136" s="1">
        <v>0.5</v>
      </c>
      <c r="CI136" t="s">
        <v>8</v>
      </c>
      <c r="CJ136" s="1">
        <v>0</v>
      </c>
      <c r="CK136" s="1">
        <v>13.623781900732601</v>
      </c>
    </row>
    <row r="137" spans="43:89">
      <c r="AQ137" t="s">
        <v>7</v>
      </c>
      <c r="AR137" s="1">
        <v>0.5</v>
      </c>
      <c r="AS137" t="s">
        <v>8</v>
      </c>
      <c r="AT137" s="1">
        <v>0</v>
      </c>
      <c r="AU137" s="1">
        <v>3.3667586453553597E-2</v>
      </c>
      <c r="AW137" t="s">
        <v>4</v>
      </c>
      <c r="AX137">
        <v>0</v>
      </c>
      <c r="AY137" t="s">
        <v>5</v>
      </c>
      <c r="AZ137">
        <v>135</v>
      </c>
      <c r="BA137" t="s">
        <v>6</v>
      </c>
      <c r="BB137" s="1">
        <v>0.21171880000000001</v>
      </c>
      <c r="BC137" t="s">
        <v>7</v>
      </c>
      <c r="BD137" s="1">
        <v>0.5</v>
      </c>
      <c r="BE137" t="s">
        <v>8</v>
      </c>
      <c r="BF137" s="1">
        <v>0</v>
      </c>
      <c r="BG137" s="1">
        <f t="shared" si="14"/>
        <v>0.42343760000000003</v>
      </c>
      <c r="BH137" s="1">
        <v>12.684026188683999</v>
      </c>
      <c r="BJ137" t="s">
        <v>4</v>
      </c>
      <c r="BK137">
        <v>0</v>
      </c>
      <c r="BL137" t="s">
        <v>5</v>
      </c>
      <c r="BM137">
        <v>135</v>
      </c>
      <c r="BN137" t="s">
        <v>6</v>
      </c>
      <c r="BO137" s="1">
        <v>0.21171880000000001</v>
      </c>
      <c r="BP137" t="s">
        <v>7</v>
      </c>
      <c r="BQ137" s="1">
        <v>0.5</v>
      </c>
      <c r="BR137" t="s">
        <v>8</v>
      </c>
      <c r="BS137" s="1">
        <v>0</v>
      </c>
      <c r="BT137" s="1">
        <v>12.7607359756585</v>
      </c>
      <c r="BU137" s="1">
        <f t="shared" si="15"/>
        <v>0.42343760000000003</v>
      </c>
      <c r="BV137" s="1">
        <f t="shared" si="16"/>
        <v>12.7607359756585</v>
      </c>
      <c r="BX137" s="1">
        <v>135</v>
      </c>
      <c r="BY137" s="1">
        <v>17.6340889598209</v>
      </c>
      <c r="CA137" t="s">
        <v>4</v>
      </c>
      <c r="CB137">
        <v>0</v>
      </c>
      <c r="CC137" t="s">
        <v>5</v>
      </c>
      <c r="CD137">
        <v>135</v>
      </c>
      <c r="CE137" t="s">
        <v>6</v>
      </c>
      <c r="CF137" s="1">
        <v>0.21171880000000001</v>
      </c>
      <c r="CG137" t="s">
        <v>7</v>
      </c>
      <c r="CH137" s="1">
        <v>0.5</v>
      </c>
      <c r="CI137" t="s">
        <v>8</v>
      </c>
      <c r="CJ137" s="1">
        <v>0</v>
      </c>
      <c r="CK137" s="1">
        <v>13.621916917996201</v>
      </c>
    </row>
    <row r="138" spans="43:89">
      <c r="AQ138" t="s">
        <v>7</v>
      </c>
      <c r="AR138" s="1">
        <v>0.5</v>
      </c>
      <c r="AS138" t="s">
        <v>8</v>
      </c>
      <c r="AT138" s="1">
        <v>0</v>
      </c>
      <c r="AU138" s="1">
        <v>3.3673991775877099E-2</v>
      </c>
      <c r="AW138" t="s">
        <v>4</v>
      </c>
      <c r="AX138">
        <v>0</v>
      </c>
      <c r="AY138" t="s">
        <v>5</v>
      </c>
      <c r="AZ138">
        <v>136</v>
      </c>
      <c r="BA138" t="s">
        <v>6</v>
      </c>
      <c r="BB138" s="1">
        <v>0.21328130000000001</v>
      </c>
      <c r="BC138" t="s">
        <v>7</v>
      </c>
      <c r="BD138" s="1">
        <v>0.5</v>
      </c>
      <c r="BE138" t="s">
        <v>8</v>
      </c>
      <c r="BF138" s="1">
        <v>0</v>
      </c>
      <c r="BG138" s="1">
        <f t="shared" si="14"/>
        <v>0.42656260000000001</v>
      </c>
      <c r="BH138" s="1">
        <v>12.669303167366399</v>
      </c>
      <c r="BJ138" t="s">
        <v>4</v>
      </c>
      <c r="BK138">
        <v>0</v>
      </c>
      <c r="BL138" t="s">
        <v>5</v>
      </c>
      <c r="BM138">
        <v>136</v>
      </c>
      <c r="BN138" t="s">
        <v>6</v>
      </c>
      <c r="BO138" s="1">
        <v>0.21328130000000001</v>
      </c>
      <c r="BP138" t="s">
        <v>7</v>
      </c>
      <c r="BQ138" s="1">
        <v>0.5</v>
      </c>
      <c r="BR138" t="s">
        <v>8</v>
      </c>
      <c r="BS138" s="1">
        <v>0</v>
      </c>
      <c r="BT138" s="1">
        <v>12.7072473747925</v>
      </c>
      <c r="BU138" s="1">
        <f t="shared" si="15"/>
        <v>0.42656260000000001</v>
      </c>
      <c r="BV138" s="1">
        <f t="shared" si="16"/>
        <v>12.7072473747925</v>
      </c>
      <c r="BX138" s="1">
        <v>136</v>
      </c>
      <c r="BY138" s="1">
        <v>17.6405949044244</v>
      </c>
      <c r="CA138" t="s">
        <v>4</v>
      </c>
      <c r="CB138">
        <v>0</v>
      </c>
      <c r="CC138" t="s">
        <v>5</v>
      </c>
      <c r="CD138">
        <v>136</v>
      </c>
      <c r="CE138" t="s">
        <v>6</v>
      </c>
      <c r="CF138" s="1">
        <v>0.21328130000000001</v>
      </c>
      <c r="CG138" t="s">
        <v>7</v>
      </c>
      <c r="CH138" s="1">
        <v>0.5</v>
      </c>
      <c r="CI138" t="s">
        <v>8</v>
      </c>
      <c r="CJ138" s="1">
        <v>0</v>
      </c>
      <c r="CK138" s="1">
        <v>13.6200130452086</v>
      </c>
    </row>
    <row r="139" spans="43:89">
      <c r="AQ139" t="s">
        <v>7</v>
      </c>
      <c r="AR139" s="1">
        <v>0.5</v>
      </c>
      <c r="AS139" t="s">
        <v>8</v>
      </c>
      <c r="AT139" s="1">
        <v>0</v>
      </c>
      <c r="AU139" s="1">
        <v>3.36804132658549E-2</v>
      </c>
      <c r="AW139" t="s">
        <v>4</v>
      </c>
      <c r="AX139">
        <v>0</v>
      </c>
      <c r="AY139" t="s">
        <v>5</v>
      </c>
      <c r="AZ139">
        <v>137</v>
      </c>
      <c r="BA139" t="s">
        <v>6</v>
      </c>
      <c r="BB139" s="1">
        <v>0.2148438</v>
      </c>
      <c r="BC139" t="s">
        <v>7</v>
      </c>
      <c r="BD139" s="1">
        <v>0.5</v>
      </c>
      <c r="BE139" t="s">
        <v>8</v>
      </c>
      <c r="BF139" s="1">
        <v>0</v>
      </c>
      <c r="BG139" s="1">
        <f t="shared" si="14"/>
        <v>0.4296876</v>
      </c>
      <c r="BH139" s="1">
        <v>12.6547588577382</v>
      </c>
      <c r="BJ139" t="s">
        <v>4</v>
      </c>
      <c r="BK139">
        <v>0</v>
      </c>
      <c r="BL139" t="s">
        <v>5</v>
      </c>
      <c r="BM139">
        <v>137</v>
      </c>
      <c r="BN139" t="s">
        <v>6</v>
      </c>
      <c r="BO139" s="1">
        <v>0.2148438</v>
      </c>
      <c r="BP139" t="s">
        <v>7</v>
      </c>
      <c r="BQ139" s="1">
        <v>0.5</v>
      </c>
      <c r="BR139" t="s">
        <v>8</v>
      </c>
      <c r="BS139" s="1">
        <v>0</v>
      </c>
      <c r="BT139" s="1">
        <v>12.649617948618999</v>
      </c>
      <c r="BU139" s="1">
        <f t="shared" si="15"/>
        <v>0.4296876</v>
      </c>
      <c r="BV139" s="1">
        <f t="shared" si="16"/>
        <v>12.649617948618999</v>
      </c>
      <c r="BX139" s="1">
        <v>137</v>
      </c>
      <c r="BY139" s="1">
        <v>17.6470472202721</v>
      </c>
      <c r="CA139" t="s">
        <v>4</v>
      </c>
      <c r="CB139">
        <v>0</v>
      </c>
      <c r="CC139" t="s">
        <v>5</v>
      </c>
      <c r="CD139">
        <v>137</v>
      </c>
      <c r="CE139" t="s">
        <v>6</v>
      </c>
      <c r="CF139" s="1">
        <v>0.2148438</v>
      </c>
      <c r="CG139" t="s">
        <v>7</v>
      </c>
      <c r="CH139" s="1">
        <v>0.5</v>
      </c>
      <c r="CI139" t="s">
        <v>8</v>
      </c>
      <c r="CJ139" s="1">
        <v>0</v>
      </c>
      <c r="CK139" s="1">
        <v>13.618085567929</v>
      </c>
    </row>
    <row r="140" spans="43:89">
      <c r="AQ140" t="s">
        <v>7</v>
      </c>
      <c r="AR140" s="1">
        <v>0.5</v>
      </c>
      <c r="AS140" t="s">
        <v>8</v>
      </c>
      <c r="AT140" s="1">
        <v>0</v>
      </c>
      <c r="AU140" s="1">
        <v>3.36868509024481E-2</v>
      </c>
      <c r="AW140" t="s">
        <v>4</v>
      </c>
      <c r="AX140">
        <v>0</v>
      </c>
      <c r="AY140" t="s">
        <v>5</v>
      </c>
      <c r="AZ140">
        <v>138</v>
      </c>
      <c r="BA140" t="s">
        <v>6</v>
      </c>
      <c r="BB140" s="1">
        <v>0.2164063</v>
      </c>
      <c r="BC140" t="s">
        <v>7</v>
      </c>
      <c r="BD140" s="1">
        <v>0.5</v>
      </c>
      <c r="BE140" t="s">
        <v>8</v>
      </c>
      <c r="BF140" s="1">
        <v>0</v>
      </c>
      <c r="BG140" s="1">
        <f t="shared" si="14"/>
        <v>0.43281259999999999</v>
      </c>
      <c r="BH140" s="1">
        <v>12.6404156470286</v>
      </c>
      <c r="BJ140" t="s">
        <v>4</v>
      </c>
      <c r="BK140">
        <v>0</v>
      </c>
      <c r="BL140" t="s">
        <v>5</v>
      </c>
      <c r="BM140">
        <v>138</v>
      </c>
      <c r="BN140" t="s">
        <v>6</v>
      </c>
      <c r="BO140" s="1">
        <v>0.2164063</v>
      </c>
      <c r="BP140" t="s">
        <v>7</v>
      </c>
      <c r="BQ140" s="1">
        <v>0.5</v>
      </c>
      <c r="BR140" t="s">
        <v>8</v>
      </c>
      <c r="BS140" s="1">
        <v>0</v>
      </c>
      <c r="BT140" s="1">
        <v>12.587735409678301</v>
      </c>
      <c r="BU140" s="1">
        <f t="shared" si="15"/>
        <v>0.43281259999999999</v>
      </c>
      <c r="BV140" s="1">
        <f t="shared" si="16"/>
        <v>12.587735409678301</v>
      </c>
      <c r="BX140" s="1">
        <v>138</v>
      </c>
      <c r="BY140" s="1">
        <v>17.653399799162099</v>
      </c>
      <c r="CA140" t="s">
        <v>4</v>
      </c>
      <c r="CB140">
        <v>0</v>
      </c>
      <c r="CC140" t="s">
        <v>5</v>
      </c>
      <c r="CD140">
        <v>138</v>
      </c>
      <c r="CE140" t="s">
        <v>6</v>
      </c>
      <c r="CF140" s="1">
        <v>0.2164063</v>
      </c>
      <c r="CG140" t="s">
        <v>7</v>
      </c>
      <c r="CH140" s="1">
        <v>0.5</v>
      </c>
      <c r="CI140" t="s">
        <v>8</v>
      </c>
      <c r="CJ140" s="1">
        <v>0</v>
      </c>
      <c r="CK140" s="1">
        <v>13.616115699968001</v>
      </c>
    </row>
    <row r="141" spans="43:89">
      <c r="AQ141" t="s">
        <v>7</v>
      </c>
      <c r="AR141" s="1">
        <v>0.5</v>
      </c>
      <c r="AS141" t="s">
        <v>8</v>
      </c>
      <c r="AT141" s="1">
        <v>0</v>
      </c>
      <c r="AU141" s="1">
        <v>3.3693304674190301E-2</v>
      </c>
      <c r="AW141" t="s">
        <v>4</v>
      </c>
      <c r="AX141">
        <v>0</v>
      </c>
      <c r="AY141" t="s">
        <v>5</v>
      </c>
      <c r="AZ141">
        <v>139</v>
      </c>
      <c r="BA141" t="s">
        <v>6</v>
      </c>
      <c r="BB141" s="1">
        <v>0.21796869999999999</v>
      </c>
      <c r="BC141" t="s">
        <v>7</v>
      </c>
      <c r="BD141" s="1">
        <v>0.5</v>
      </c>
      <c r="BE141" t="s">
        <v>8</v>
      </c>
      <c r="BF141" s="1">
        <v>0</v>
      </c>
      <c r="BG141" s="1">
        <f t="shared" si="14"/>
        <v>0.43593739999999997</v>
      </c>
      <c r="BH141" s="1">
        <v>12.626279439801101</v>
      </c>
      <c r="BJ141" t="s">
        <v>4</v>
      </c>
      <c r="BK141">
        <v>0</v>
      </c>
      <c r="BL141" t="s">
        <v>5</v>
      </c>
      <c r="BM141">
        <v>139</v>
      </c>
      <c r="BN141" t="s">
        <v>6</v>
      </c>
      <c r="BO141" s="1">
        <v>0.21796869999999999</v>
      </c>
      <c r="BP141" t="s">
        <v>7</v>
      </c>
      <c r="BQ141" s="1">
        <v>0.5</v>
      </c>
      <c r="BR141" t="s">
        <v>8</v>
      </c>
      <c r="BS141" s="1">
        <v>0</v>
      </c>
      <c r="BT141" s="1">
        <v>12.5214704523133</v>
      </c>
      <c r="BU141" s="1">
        <f t="shared" si="15"/>
        <v>0.43593739999999997</v>
      </c>
      <c r="BV141" s="1">
        <f t="shared" si="16"/>
        <v>12.5214704523133</v>
      </c>
      <c r="BX141" s="1">
        <v>139</v>
      </c>
      <c r="BY141" s="1">
        <v>17.659782492146899</v>
      </c>
      <c r="CA141" t="s">
        <v>4</v>
      </c>
      <c r="CB141">
        <v>0</v>
      </c>
      <c r="CC141" t="s">
        <v>5</v>
      </c>
      <c r="CD141">
        <v>139</v>
      </c>
      <c r="CE141" t="s">
        <v>6</v>
      </c>
      <c r="CF141" s="1">
        <v>0.21796869999999999</v>
      </c>
      <c r="CG141" t="s">
        <v>7</v>
      </c>
      <c r="CH141" s="1">
        <v>0.5</v>
      </c>
      <c r="CI141" t="s">
        <v>8</v>
      </c>
      <c r="CJ141" s="1">
        <v>0</v>
      </c>
      <c r="CK141" s="1">
        <v>13.614080305685</v>
      </c>
    </row>
    <row r="142" spans="43:89">
      <c r="AQ142" t="s">
        <v>7</v>
      </c>
      <c r="AR142" s="1">
        <v>0.5</v>
      </c>
      <c r="AS142" t="s">
        <v>8</v>
      </c>
      <c r="AT142" s="1">
        <v>0</v>
      </c>
      <c r="AU142" s="1">
        <v>3.3699780879256402E-2</v>
      </c>
      <c r="AW142" t="s">
        <v>4</v>
      </c>
      <c r="AX142">
        <v>0</v>
      </c>
      <c r="AY142" t="s">
        <v>5</v>
      </c>
      <c r="AZ142">
        <v>140</v>
      </c>
      <c r="BA142" t="s">
        <v>6</v>
      </c>
      <c r="BB142" s="1">
        <v>0.21953130000000001</v>
      </c>
      <c r="BC142" t="s">
        <v>7</v>
      </c>
      <c r="BD142" s="1">
        <v>0.5</v>
      </c>
      <c r="BE142" t="s">
        <v>8</v>
      </c>
      <c r="BF142" s="1">
        <v>0</v>
      </c>
      <c r="BG142" s="1">
        <f t="shared" si="14"/>
        <v>0.43906260000000003</v>
      </c>
      <c r="BH142" s="1">
        <v>12.6133315616202</v>
      </c>
      <c r="BJ142" t="s">
        <v>4</v>
      </c>
      <c r="BK142">
        <v>0</v>
      </c>
      <c r="BL142" t="s">
        <v>5</v>
      </c>
      <c r="BM142">
        <v>140</v>
      </c>
      <c r="BN142" t="s">
        <v>6</v>
      </c>
      <c r="BO142" s="1">
        <v>0.21953130000000001</v>
      </c>
      <c r="BP142" t="s">
        <v>7</v>
      </c>
      <c r="BQ142" s="1">
        <v>0.5</v>
      </c>
      <c r="BR142" t="s">
        <v>8</v>
      </c>
      <c r="BS142" s="1">
        <v>0</v>
      </c>
      <c r="BT142" s="1">
        <v>12.485560771165201</v>
      </c>
      <c r="BU142" s="1">
        <f t="shared" si="15"/>
        <v>0.43906260000000003</v>
      </c>
      <c r="BV142" s="1">
        <f t="shared" si="16"/>
        <v>12.485560771165201</v>
      </c>
      <c r="BX142" s="1">
        <v>140</v>
      </c>
      <c r="BY142" s="1">
        <v>17.501693566338201</v>
      </c>
      <c r="CA142" t="s">
        <v>4</v>
      </c>
      <c r="CB142">
        <v>0</v>
      </c>
      <c r="CC142" t="s">
        <v>5</v>
      </c>
      <c r="CD142">
        <v>140</v>
      </c>
      <c r="CE142" t="s">
        <v>6</v>
      </c>
      <c r="CF142" s="1">
        <v>0.21953130000000001</v>
      </c>
      <c r="CG142" t="s">
        <v>7</v>
      </c>
      <c r="CH142" s="1">
        <v>0.5</v>
      </c>
      <c r="CI142" t="s">
        <v>8</v>
      </c>
      <c r="CJ142" s="1">
        <v>0</v>
      </c>
      <c r="CK142" s="1">
        <v>13.4406078143392</v>
      </c>
    </row>
    <row r="143" spans="43:89">
      <c r="AQ143" t="s">
        <v>7</v>
      </c>
      <c r="AR143" s="1">
        <v>0.5</v>
      </c>
      <c r="AS143" t="s">
        <v>8</v>
      </c>
      <c r="AT143" s="1">
        <v>0</v>
      </c>
      <c r="AU143" s="1">
        <v>3.3706298802219599E-2</v>
      </c>
      <c r="AW143" t="s">
        <v>4</v>
      </c>
      <c r="AX143">
        <v>0</v>
      </c>
      <c r="AY143" t="s">
        <v>5</v>
      </c>
      <c r="AZ143">
        <v>141</v>
      </c>
      <c r="BA143" t="s">
        <v>6</v>
      </c>
      <c r="BB143" s="1">
        <v>0.22109380000000001</v>
      </c>
      <c r="BC143" t="s">
        <v>7</v>
      </c>
      <c r="BD143" s="1">
        <v>0.5</v>
      </c>
      <c r="BE143" t="s">
        <v>8</v>
      </c>
      <c r="BF143" s="1">
        <v>0</v>
      </c>
      <c r="BG143" s="1">
        <f t="shared" si="14"/>
        <v>0.44218760000000001</v>
      </c>
      <c r="BH143" s="1">
        <v>12.601127508005201</v>
      </c>
      <c r="BJ143" t="s">
        <v>4</v>
      </c>
      <c r="BK143">
        <v>0</v>
      </c>
      <c r="BL143" t="s">
        <v>5</v>
      </c>
      <c r="BM143">
        <v>141</v>
      </c>
      <c r="BN143" t="s">
        <v>6</v>
      </c>
      <c r="BO143" s="1">
        <v>0.22109380000000001</v>
      </c>
      <c r="BP143" t="s">
        <v>7</v>
      </c>
      <c r="BQ143" s="1">
        <v>0.5</v>
      </c>
      <c r="BR143" t="s">
        <v>8</v>
      </c>
      <c r="BS143" s="1">
        <v>0</v>
      </c>
      <c r="BT143" s="1">
        <v>12.483060834931701</v>
      </c>
      <c r="BU143" s="1">
        <f t="shared" si="15"/>
        <v>0.44218760000000001</v>
      </c>
      <c r="BV143" s="1">
        <f t="shared" si="16"/>
        <v>12.483060834931701</v>
      </c>
      <c r="BX143" s="1">
        <v>141</v>
      </c>
      <c r="BY143" s="1">
        <v>17.507341559916899</v>
      </c>
      <c r="CA143" t="s">
        <v>4</v>
      </c>
      <c r="CB143">
        <v>0</v>
      </c>
      <c r="CC143" t="s">
        <v>5</v>
      </c>
      <c r="CD143">
        <v>141</v>
      </c>
      <c r="CE143" t="s">
        <v>6</v>
      </c>
      <c r="CF143" s="1">
        <v>0.22109380000000001</v>
      </c>
      <c r="CG143" t="s">
        <v>7</v>
      </c>
      <c r="CH143" s="1">
        <v>0.5</v>
      </c>
      <c r="CI143" t="s">
        <v>8</v>
      </c>
      <c r="CJ143" s="1">
        <v>0</v>
      </c>
      <c r="CK143" s="1">
        <v>13.438439598413099</v>
      </c>
    </row>
    <row r="144" spans="43:89">
      <c r="AQ144" t="s">
        <v>7</v>
      </c>
      <c r="AR144" s="1">
        <v>0.5</v>
      </c>
      <c r="AS144" t="s">
        <v>8</v>
      </c>
      <c r="AT144" s="1">
        <v>0</v>
      </c>
      <c r="AU144" s="1">
        <v>3.37128598485429E-2</v>
      </c>
      <c r="AW144" t="s">
        <v>4</v>
      </c>
      <c r="AX144">
        <v>0</v>
      </c>
      <c r="AY144" t="s">
        <v>5</v>
      </c>
      <c r="AZ144">
        <v>142</v>
      </c>
      <c r="BA144" t="s">
        <v>6</v>
      </c>
      <c r="BB144" s="1">
        <v>0.2226563</v>
      </c>
      <c r="BC144" t="s">
        <v>7</v>
      </c>
      <c r="BD144" s="1">
        <v>0.5</v>
      </c>
      <c r="BE144" t="s">
        <v>8</v>
      </c>
      <c r="BF144" s="1">
        <v>0</v>
      </c>
      <c r="BG144" s="1">
        <f t="shared" si="14"/>
        <v>0.4453126</v>
      </c>
      <c r="BH144" s="1">
        <v>12.588498392211401</v>
      </c>
      <c r="BJ144" t="s">
        <v>4</v>
      </c>
      <c r="BK144">
        <v>0</v>
      </c>
      <c r="BL144" t="s">
        <v>5</v>
      </c>
      <c r="BM144">
        <v>142</v>
      </c>
      <c r="BN144" t="s">
        <v>6</v>
      </c>
      <c r="BO144" s="1">
        <v>0.2226563</v>
      </c>
      <c r="BP144" t="s">
        <v>7</v>
      </c>
      <c r="BQ144" s="1">
        <v>0.5</v>
      </c>
      <c r="BR144" t="s">
        <v>8</v>
      </c>
      <c r="BS144" s="1">
        <v>0</v>
      </c>
      <c r="BT144" s="1">
        <v>12.480382207770299</v>
      </c>
      <c r="BU144" s="1">
        <f t="shared" si="15"/>
        <v>0.4453126</v>
      </c>
      <c r="BV144" s="1">
        <f t="shared" si="16"/>
        <v>12.480382207770299</v>
      </c>
      <c r="BX144" s="1">
        <v>142</v>
      </c>
      <c r="BY144" s="1">
        <v>17.513002244733698</v>
      </c>
      <c r="CA144" t="s">
        <v>4</v>
      </c>
      <c r="CB144">
        <v>0</v>
      </c>
      <c r="CC144" t="s">
        <v>5</v>
      </c>
      <c r="CD144">
        <v>142</v>
      </c>
      <c r="CE144" t="s">
        <v>6</v>
      </c>
      <c r="CF144" s="1">
        <v>0.2226563</v>
      </c>
      <c r="CG144" t="s">
        <v>7</v>
      </c>
      <c r="CH144" s="1">
        <v>0.5</v>
      </c>
      <c r="CI144" t="s">
        <v>8</v>
      </c>
      <c r="CJ144" s="1">
        <v>0</v>
      </c>
      <c r="CK144" s="1">
        <v>13.4362715381471</v>
      </c>
    </row>
    <row r="145" spans="43:89">
      <c r="AQ145" t="s">
        <v>7</v>
      </c>
      <c r="AR145" s="1">
        <v>0.5</v>
      </c>
      <c r="AS145" t="s">
        <v>8</v>
      </c>
      <c r="AT145" s="1">
        <v>0</v>
      </c>
      <c r="AU145" s="1">
        <v>3.3719463734099002E-2</v>
      </c>
      <c r="AW145" t="s">
        <v>4</v>
      </c>
      <c r="AX145">
        <v>0</v>
      </c>
      <c r="AY145" t="s">
        <v>5</v>
      </c>
      <c r="AZ145">
        <v>143</v>
      </c>
      <c r="BA145" t="s">
        <v>6</v>
      </c>
      <c r="BB145" s="1">
        <v>0.22421869999999999</v>
      </c>
      <c r="BC145" t="s">
        <v>7</v>
      </c>
      <c r="BD145" s="1">
        <v>0.5</v>
      </c>
      <c r="BE145" t="s">
        <v>8</v>
      </c>
      <c r="BF145" s="1">
        <v>0</v>
      </c>
      <c r="BG145" s="1">
        <f t="shared" si="14"/>
        <v>0.44843739999999999</v>
      </c>
      <c r="BH145" s="1">
        <v>12.575416610656101</v>
      </c>
      <c r="BJ145" t="s">
        <v>4</v>
      </c>
      <c r="BK145">
        <v>0</v>
      </c>
      <c r="BL145" t="s">
        <v>5</v>
      </c>
      <c r="BM145">
        <v>143</v>
      </c>
      <c r="BN145" t="s">
        <v>6</v>
      </c>
      <c r="BO145" s="1">
        <v>0.22421869999999999</v>
      </c>
      <c r="BP145" t="s">
        <v>7</v>
      </c>
      <c r="BQ145" s="1">
        <v>0.5</v>
      </c>
      <c r="BR145" t="s">
        <v>8</v>
      </c>
      <c r="BS145" s="1">
        <v>0</v>
      </c>
      <c r="BT145" s="1">
        <v>12.477510308846</v>
      </c>
      <c r="BU145" s="1">
        <f t="shared" si="15"/>
        <v>0.44843739999999999</v>
      </c>
      <c r="BV145" s="1">
        <f t="shared" si="16"/>
        <v>12.477510308846</v>
      </c>
      <c r="BX145" s="1">
        <v>143</v>
      </c>
      <c r="BY145" s="1">
        <v>17.518652223290299</v>
      </c>
      <c r="CA145" t="s">
        <v>4</v>
      </c>
      <c r="CB145">
        <v>0</v>
      </c>
      <c r="CC145" t="s">
        <v>5</v>
      </c>
      <c r="CD145">
        <v>143</v>
      </c>
      <c r="CE145" t="s">
        <v>6</v>
      </c>
      <c r="CF145" s="1">
        <v>0.22421869999999999</v>
      </c>
      <c r="CG145" t="s">
        <v>7</v>
      </c>
      <c r="CH145" s="1">
        <v>0.5</v>
      </c>
      <c r="CI145" t="s">
        <v>8</v>
      </c>
      <c r="CJ145" s="1">
        <v>0</v>
      </c>
      <c r="CK145" s="1">
        <v>13.4341097581755</v>
      </c>
    </row>
    <row r="146" spans="43:89">
      <c r="AQ146" t="s">
        <v>7</v>
      </c>
      <c r="AR146" s="1">
        <v>0.5</v>
      </c>
      <c r="AS146" t="s">
        <v>8</v>
      </c>
      <c r="AT146" s="1">
        <v>0</v>
      </c>
      <c r="AU146" s="1">
        <v>3.3726110187955599E-2</v>
      </c>
      <c r="AW146" t="s">
        <v>4</v>
      </c>
      <c r="AX146">
        <v>0</v>
      </c>
      <c r="AY146" t="s">
        <v>5</v>
      </c>
      <c r="AZ146">
        <v>144</v>
      </c>
      <c r="BA146" t="s">
        <v>6</v>
      </c>
      <c r="BB146" s="1">
        <v>0.22578129999999999</v>
      </c>
      <c r="BC146" t="s">
        <v>7</v>
      </c>
      <c r="BD146" s="1">
        <v>0.5</v>
      </c>
      <c r="BE146" t="s">
        <v>8</v>
      </c>
      <c r="BF146" s="1">
        <v>0</v>
      </c>
      <c r="BG146" s="1">
        <f t="shared" si="14"/>
        <v>0.45156259999999998</v>
      </c>
      <c r="BH146" s="1">
        <v>12.561884613670999</v>
      </c>
      <c r="BJ146" t="s">
        <v>4</v>
      </c>
      <c r="BK146">
        <v>0</v>
      </c>
      <c r="BL146" t="s">
        <v>5</v>
      </c>
      <c r="BM146">
        <v>144</v>
      </c>
      <c r="BN146" t="s">
        <v>6</v>
      </c>
      <c r="BO146" s="1">
        <v>0.22578129999999999</v>
      </c>
      <c r="BP146" t="s">
        <v>7</v>
      </c>
      <c r="BQ146" s="1">
        <v>0.5</v>
      </c>
      <c r="BR146" t="s">
        <v>8</v>
      </c>
      <c r="BS146" s="1">
        <v>0</v>
      </c>
      <c r="BT146" s="1">
        <v>12.4744381244595</v>
      </c>
      <c r="BU146" s="1">
        <f t="shared" si="15"/>
        <v>0.45156259999999998</v>
      </c>
      <c r="BV146" s="1">
        <f t="shared" si="16"/>
        <v>12.4744381244595</v>
      </c>
      <c r="BX146" s="1">
        <v>144</v>
      </c>
      <c r="BY146" s="1">
        <v>17.524312887931099</v>
      </c>
      <c r="CA146" t="s">
        <v>4</v>
      </c>
      <c r="CB146">
        <v>0</v>
      </c>
      <c r="CC146" t="s">
        <v>5</v>
      </c>
      <c r="CD146">
        <v>144</v>
      </c>
      <c r="CE146" t="s">
        <v>6</v>
      </c>
      <c r="CF146" s="1">
        <v>0.22578129999999999</v>
      </c>
      <c r="CG146" t="s">
        <v>7</v>
      </c>
      <c r="CH146" s="1">
        <v>0.5</v>
      </c>
      <c r="CI146" t="s">
        <v>8</v>
      </c>
      <c r="CJ146" s="1">
        <v>0</v>
      </c>
      <c r="CK146" s="1">
        <v>13.4319595616891</v>
      </c>
    </row>
    <row r="147" spans="43:89">
      <c r="AQ147" t="s">
        <v>7</v>
      </c>
      <c r="AR147" s="1">
        <v>0.5</v>
      </c>
      <c r="AS147" t="s">
        <v>8</v>
      </c>
      <c r="AT147" s="1">
        <v>0</v>
      </c>
      <c r="AU147" s="1">
        <v>3.3732798952349999E-2</v>
      </c>
      <c r="AW147" t="s">
        <v>4</v>
      </c>
      <c r="AX147">
        <v>0</v>
      </c>
      <c r="AY147" t="s">
        <v>5</v>
      </c>
      <c r="AZ147">
        <v>145</v>
      </c>
      <c r="BA147" t="s">
        <v>6</v>
      </c>
      <c r="BB147" s="1">
        <v>0.22734380000000001</v>
      </c>
      <c r="BC147" t="s">
        <v>7</v>
      </c>
      <c r="BD147" s="1">
        <v>0.5</v>
      </c>
      <c r="BE147" t="s">
        <v>8</v>
      </c>
      <c r="BF147" s="1">
        <v>0</v>
      </c>
      <c r="BG147" s="1">
        <f t="shared" si="14"/>
        <v>0.45468760000000003</v>
      </c>
      <c r="BH147" s="1">
        <v>12.547884502665299</v>
      </c>
      <c r="BJ147" t="s">
        <v>4</v>
      </c>
      <c r="BK147">
        <v>0</v>
      </c>
      <c r="BL147" t="s">
        <v>5</v>
      </c>
      <c r="BM147">
        <v>145</v>
      </c>
      <c r="BN147" t="s">
        <v>6</v>
      </c>
      <c r="BO147" s="1">
        <v>0.22734380000000001</v>
      </c>
      <c r="BP147" t="s">
        <v>7</v>
      </c>
      <c r="BQ147" s="1">
        <v>0.5</v>
      </c>
      <c r="BR147" t="s">
        <v>8</v>
      </c>
      <c r="BS147" s="1">
        <v>0</v>
      </c>
      <c r="BT147" s="1">
        <v>12.471153348955299</v>
      </c>
      <c r="BU147" s="1">
        <f t="shared" si="15"/>
        <v>0.45468760000000003</v>
      </c>
      <c r="BV147" s="1">
        <f t="shared" si="16"/>
        <v>12.471153348955299</v>
      </c>
      <c r="BX147" s="1">
        <v>145</v>
      </c>
      <c r="BY147" s="1">
        <v>17.530037996892901</v>
      </c>
      <c r="CA147" t="s">
        <v>4</v>
      </c>
      <c r="CB147">
        <v>0</v>
      </c>
      <c r="CC147" t="s">
        <v>5</v>
      </c>
      <c r="CD147">
        <v>145</v>
      </c>
      <c r="CE147" t="s">
        <v>6</v>
      </c>
      <c r="CF147" s="1">
        <v>0.22734380000000001</v>
      </c>
      <c r="CG147" t="s">
        <v>7</v>
      </c>
      <c r="CH147" s="1">
        <v>0.5</v>
      </c>
      <c r="CI147" t="s">
        <v>8</v>
      </c>
      <c r="CJ147" s="1">
        <v>0</v>
      </c>
      <c r="CK147" s="1">
        <v>13.429807771263601</v>
      </c>
    </row>
    <row r="148" spans="43:89">
      <c r="AQ148" t="s">
        <v>7</v>
      </c>
      <c r="AR148" s="1">
        <v>0.5</v>
      </c>
      <c r="AS148" t="s">
        <v>8</v>
      </c>
      <c r="AT148" s="1">
        <v>0</v>
      </c>
      <c r="AU148" s="1">
        <v>3.3739529782538302E-2</v>
      </c>
      <c r="AW148" t="s">
        <v>4</v>
      </c>
      <c r="AX148">
        <v>0</v>
      </c>
      <c r="AY148" t="s">
        <v>5</v>
      </c>
      <c r="AZ148">
        <v>146</v>
      </c>
      <c r="BA148" t="s">
        <v>6</v>
      </c>
      <c r="BB148" s="1">
        <v>0.22890630000000001</v>
      </c>
      <c r="BC148" t="s">
        <v>7</v>
      </c>
      <c r="BD148" s="1">
        <v>0.5</v>
      </c>
      <c r="BE148" t="s">
        <v>8</v>
      </c>
      <c r="BF148" s="1">
        <v>0</v>
      </c>
      <c r="BG148" s="1">
        <f t="shared" si="14"/>
        <v>0.45781260000000001</v>
      </c>
      <c r="BH148" s="1">
        <v>12.533403573705399</v>
      </c>
      <c r="BJ148" t="s">
        <v>4</v>
      </c>
      <c r="BK148">
        <v>0</v>
      </c>
      <c r="BL148" t="s">
        <v>5</v>
      </c>
      <c r="BM148">
        <v>146</v>
      </c>
      <c r="BN148" t="s">
        <v>6</v>
      </c>
      <c r="BO148" s="1">
        <v>0.22890630000000001</v>
      </c>
      <c r="BP148" t="s">
        <v>7</v>
      </c>
      <c r="BQ148" s="1">
        <v>0.5</v>
      </c>
      <c r="BR148" t="s">
        <v>8</v>
      </c>
      <c r="BS148" s="1">
        <v>0</v>
      </c>
      <c r="BT148" s="1">
        <v>12.467650143123</v>
      </c>
      <c r="BU148" s="1">
        <f t="shared" si="15"/>
        <v>0.45781260000000001</v>
      </c>
      <c r="BV148" s="1">
        <f t="shared" si="16"/>
        <v>12.467650143123</v>
      </c>
      <c r="BX148" s="1">
        <v>146</v>
      </c>
      <c r="BY148" s="1">
        <v>17.535746977858398</v>
      </c>
      <c r="CA148" t="s">
        <v>4</v>
      </c>
      <c r="CB148">
        <v>0</v>
      </c>
      <c r="CC148" t="s">
        <v>5</v>
      </c>
      <c r="CD148">
        <v>146</v>
      </c>
      <c r="CE148" t="s">
        <v>6</v>
      </c>
      <c r="CF148" s="1">
        <v>0.22890630000000001</v>
      </c>
      <c r="CG148" t="s">
        <v>7</v>
      </c>
      <c r="CH148" s="1">
        <v>0.5</v>
      </c>
      <c r="CI148" t="s">
        <v>8</v>
      </c>
      <c r="CJ148" s="1">
        <v>0</v>
      </c>
      <c r="CK148" s="1">
        <v>13.427669574105201</v>
      </c>
    </row>
    <row r="149" spans="43:89">
      <c r="AQ149" t="s">
        <v>7</v>
      </c>
      <c r="AR149" s="1">
        <v>0.5</v>
      </c>
      <c r="AS149" t="s">
        <v>8</v>
      </c>
      <c r="AT149" s="1">
        <v>0</v>
      </c>
      <c r="AU149" s="1">
        <v>3.3746302446848599E-2</v>
      </c>
      <c r="AW149" t="s">
        <v>4</v>
      </c>
      <c r="AX149">
        <v>0</v>
      </c>
      <c r="AY149" t="s">
        <v>5</v>
      </c>
      <c r="AZ149">
        <v>147</v>
      </c>
      <c r="BA149" t="s">
        <v>6</v>
      </c>
      <c r="BB149" s="1">
        <v>0.2304688</v>
      </c>
      <c r="BC149" t="s">
        <v>7</v>
      </c>
      <c r="BD149" s="1">
        <v>0.5</v>
      </c>
      <c r="BE149" t="s">
        <v>8</v>
      </c>
      <c r="BF149" s="1">
        <v>0</v>
      </c>
      <c r="BG149" s="1">
        <f t="shared" si="14"/>
        <v>0.4609376</v>
      </c>
      <c r="BH149" s="1">
        <v>12.518433012877299</v>
      </c>
      <c r="BJ149" t="s">
        <v>4</v>
      </c>
      <c r="BK149">
        <v>0</v>
      </c>
      <c r="BL149" t="s">
        <v>5</v>
      </c>
      <c r="BM149">
        <v>147</v>
      </c>
      <c r="BN149" t="s">
        <v>6</v>
      </c>
      <c r="BO149" s="1">
        <v>0.2304688</v>
      </c>
      <c r="BP149" t="s">
        <v>7</v>
      </c>
      <c r="BQ149" s="1">
        <v>0.5</v>
      </c>
      <c r="BR149" t="s">
        <v>8</v>
      </c>
      <c r="BS149" s="1">
        <v>0</v>
      </c>
      <c r="BT149" s="1">
        <v>12.4639045103343</v>
      </c>
      <c r="BU149" s="1">
        <f t="shared" si="15"/>
        <v>0.4609376</v>
      </c>
      <c r="BV149" s="1">
        <f t="shared" si="16"/>
        <v>12.4639045103343</v>
      </c>
      <c r="BX149" s="1">
        <v>147</v>
      </c>
      <c r="BY149" s="1">
        <v>17.541530588755599</v>
      </c>
      <c r="CA149" t="s">
        <v>4</v>
      </c>
      <c r="CB149">
        <v>0</v>
      </c>
      <c r="CC149" t="s">
        <v>5</v>
      </c>
      <c r="CD149">
        <v>147</v>
      </c>
      <c r="CE149" t="s">
        <v>6</v>
      </c>
      <c r="CF149" s="1">
        <v>0.2304688</v>
      </c>
      <c r="CG149" t="s">
        <v>7</v>
      </c>
      <c r="CH149" s="1">
        <v>0.5</v>
      </c>
      <c r="CI149" t="s">
        <v>8</v>
      </c>
      <c r="CJ149" s="1">
        <v>0</v>
      </c>
      <c r="CK149" s="1">
        <v>13.4255248317917</v>
      </c>
    </row>
    <row r="150" spans="43:89">
      <c r="AQ150" t="s">
        <v>7</v>
      </c>
      <c r="AR150" s="1">
        <v>0.5</v>
      </c>
      <c r="AS150" t="s">
        <v>8</v>
      </c>
      <c r="AT150" s="1">
        <v>0</v>
      </c>
      <c r="AU150" s="1">
        <v>3.3753116726482901E-2</v>
      </c>
      <c r="AW150" t="s">
        <v>4</v>
      </c>
      <c r="AX150">
        <v>0</v>
      </c>
      <c r="AY150" t="s">
        <v>5</v>
      </c>
      <c r="AZ150">
        <v>148</v>
      </c>
      <c r="BA150" t="s">
        <v>6</v>
      </c>
      <c r="BB150" s="1">
        <v>0.2320313</v>
      </c>
      <c r="BC150" t="s">
        <v>7</v>
      </c>
      <c r="BD150" s="1">
        <v>0.5</v>
      </c>
      <c r="BE150" t="s">
        <v>8</v>
      </c>
      <c r="BF150" s="1">
        <v>0</v>
      </c>
      <c r="BG150" s="1">
        <f t="shared" si="14"/>
        <v>0.46406259999999999</v>
      </c>
      <c r="BH150" s="1">
        <v>12.5029724802381</v>
      </c>
      <c r="BJ150" t="s">
        <v>4</v>
      </c>
      <c r="BK150">
        <v>0</v>
      </c>
      <c r="BL150" t="s">
        <v>5</v>
      </c>
      <c r="BM150">
        <v>148</v>
      </c>
      <c r="BN150" t="s">
        <v>6</v>
      </c>
      <c r="BO150" s="1">
        <v>0.2320313</v>
      </c>
      <c r="BP150" t="s">
        <v>7</v>
      </c>
      <c r="BQ150" s="1">
        <v>0.5</v>
      </c>
      <c r="BR150" t="s">
        <v>8</v>
      </c>
      <c r="BS150" s="1">
        <v>0</v>
      </c>
      <c r="BT150" s="1">
        <v>12.4599095644323</v>
      </c>
      <c r="BU150" s="1">
        <f t="shared" si="15"/>
        <v>0.46406259999999999</v>
      </c>
      <c r="BV150" s="1">
        <f t="shared" si="16"/>
        <v>12.4599095644323</v>
      </c>
      <c r="BX150" s="1">
        <v>148</v>
      </c>
      <c r="BY150" s="1">
        <v>17.547328885860001</v>
      </c>
      <c r="CA150" t="s">
        <v>4</v>
      </c>
      <c r="CB150">
        <v>0</v>
      </c>
      <c r="CC150" t="s">
        <v>5</v>
      </c>
      <c r="CD150">
        <v>148</v>
      </c>
      <c r="CE150" t="s">
        <v>6</v>
      </c>
      <c r="CF150" s="1">
        <v>0.2320313</v>
      </c>
      <c r="CG150" t="s">
        <v>7</v>
      </c>
      <c r="CH150" s="1">
        <v>0.5</v>
      </c>
      <c r="CI150" t="s">
        <v>8</v>
      </c>
      <c r="CJ150" s="1">
        <v>0</v>
      </c>
      <c r="CK150" s="1">
        <v>13.423393493003999</v>
      </c>
    </row>
    <row r="151" spans="43:89">
      <c r="AQ151" t="s">
        <v>7</v>
      </c>
      <c r="AR151" s="1">
        <v>0.5</v>
      </c>
      <c r="AS151" t="s">
        <v>8</v>
      </c>
      <c r="AT151" s="1">
        <v>0</v>
      </c>
      <c r="AU151" s="1">
        <v>3.3759972415541802E-2</v>
      </c>
      <c r="AW151" t="s">
        <v>4</v>
      </c>
      <c r="AX151">
        <v>0</v>
      </c>
      <c r="AY151" t="s">
        <v>5</v>
      </c>
      <c r="AZ151">
        <v>149</v>
      </c>
      <c r="BA151" t="s">
        <v>6</v>
      </c>
      <c r="BB151" s="1">
        <v>0.23359369999999999</v>
      </c>
      <c r="BC151" t="s">
        <v>7</v>
      </c>
      <c r="BD151" s="1">
        <v>0.5</v>
      </c>
      <c r="BE151" t="s">
        <v>8</v>
      </c>
      <c r="BF151" s="1">
        <v>0</v>
      </c>
      <c r="BG151" s="1">
        <f t="shared" si="14"/>
        <v>0.46718739999999997</v>
      </c>
      <c r="BH151" s="1">
        <v>12.486997332172701</v>
      </c>
      <c r="BJ151" t="s">
        <v>4</v>
      </c>
      <c r="BK151">
        <v>0</v>
      </c>
      <c r="BL151" t="s">
        <v>5</v>
      </c>
      <c r="BM151">
        <v>149</v>
      </c>
      <c r="BN151" t="s">
        <v>6</v>
      </c>
      <c r="BO151" s="1">
        <v>0.23359369999999999</v>
      </c>
      <c r="BP151" t="s">
        <v>7</v>
      </c>
      <c r="BQ151" s="1">
        <v>0.5</v>
      </c>
      <c r="BR151" t="s">
        <v>8</v>
      </c>
      <c r="BS151" s="1">
        <v>0</v>
      </c>
      <c r="BT151" s="1">
        <v>12.455654812267101</v>
      </c>
      <c r="BU151" s="1">
        <f t="shared" si="15"/>
        <v>0.46718739999999997</v>
      </c>
      <c r="BV151" s="1">
        <f t="shared" si="16"/>
        <v>12.455654812267101</v>
      </c>
      <c r="BX151" s="1">
        <v>149</v>
      </c>
      <c r="BY151" s="1">
        <v>17.553183489094401</v>
      </c>
      <c r="CA151" t="s">
        <v>4</v>
      </c>
      <c r="CB151">
        <v>0</v>
      </c>
      <c r="CC151" t="s">
        <v>5</v>
      </c>
      <c r="CD151">
        <v>149</v>
      </c>
      <c r="CE151" t="s">
        <v>6</v>
      </c>
      <c r="CF151" s="1">
        <v>0.23359369999999999</v>
      </c>
      <c r="CG151" t="s">
        <v>7</v>
      </c>
      <c r="CH151" s="1">
        <v>0.5</v>
      </c>
      <c r="CI151" t="s">
        <v>8</v>
      </c>
      <c r="CJ151" s="1">
        <v>0</v>
      </c>
      <c r="CK151" s="1">
        <v>13.4212753375052</v>
      </c>
    </row>
    <row r="152" spans="43:89">
      <c r="AQ152" t="s">
        <v>7</v>
      </c>
      <c r="AR152" s="1">
        <v>0.5</v>
      </c>
      <c r="AS152" t="s">
        <v>8</v>
      </c>
      <c r="AT152" s="1">
        <v>0</v>
      </c>
      <c r="AU152" s="1">
        <v>3.3766869320942902E-2</v>
      </c>
      <c r="AW152" t="s">
        <v>4</v>
      </c>
      <c r="AX152">
        <v>0</v>
      </c>
      <c r="AY152" t="s">
        <v>5</v>
      </c>
      <c r="AZ152">
        <v>150</v>
      </c>
      <c r="BA152" t="s">
        <v>6</v>
      </c>
      <c r="BB152" s="1">
        <v>0.23515630000000001</v>
      </c>
      <c r="BC152" t="s">
        <v>7</v>
      </c>
      <c r="BD152" s="1">
        <v>0.5</v>
      </c>
      <c r="BE152" t="s">
        <v>8</v>
      </c>
      <c r="BF152" s="1">
        <v>0</v>
      </c>
      <c r="BG152" s="1">
        <f t="shared" si="14"/>
        <v>0.47031260000000003</v>
      </c>
      <c r="BH152" s="1">
        <v>12.470519032096099</v>
      </c>
      <c r="BJ152" t="s">
        <v>4</v>
      </c>
      <c r="BK152">
        <v>0</v>
      </c>
      <c r="BL152" t="s">
        <v>5</v>
      </c>
      <c r="BM152">
        <v>150</v>
      </c>
      <c r="BN152" t="s">
        <v>6</v>
      </c>
      <c r="BO152" s="1">
        <v>0.23515630000000001</v>
      </c>
      <c r="BP152" t="s">
        <v>7</v>
      </c>
      <c r="BQ152" s="1">
        <v>0.5</v>
      </c>
      <c r="BR152" t="s">
        <v>8</v>
      </c>
      <c r="BS152" s="1">
        <v>0</v>
      </c>
      <c r="BT152" s="1">
        <v>12.4511412066775</v>
      </c>
      <c r="BU152" s="1">
        <f t="shared" si="15"/>
        <v>0.47031260000000003</v>
      </c>
      <c r="BV152" s="1">
        <f t="shared" si="16"/>
        <v>12.4511412066775</v>
      </c>
      <c r="BX152" s="1">
        <v>150</v>
      </c>
      <c r="BY152" s="1">
        <v>17.559080220371399</v>
      </c>
      <c r="CA152" t="s">
        <v>4</v>
      </c>
      <c r="CB152">
        <v>0</v>
      </c>
      <c r="CC152" t="s">
        <v>5</v>
      </c>
      <c r="CD152">
        <v>150</v>
      </c>
      <c r="CE152" t="s">
        <v>6</v>
      </c>
      <c r="CF152" s="1">
        <v>0.23515630000000001</v>
      </c>
      <c r="CG152" t="s">
        <v>7</v>
      </c>
      <c r="CH152" s="1">
        <v>0.5</v>
      </c>
      <c r="CI152" t="s">
        <v>8</v>
      </c>
      <c r="CJ152" s="1">
        <v>0</v>
      </c>
      <c r="CK152" s="1">
        <v>13.4191657589556</v>
      </c>
    </row>
    <row r="153" spans="43:89">
      <c r="AQ153" t="s">
        <v>7</v>
      </c>
      <c r="AR153" s="1">
        <v>0.5</v>
      </c>
      <c r="AS153" t="s">
        <v>8</v>
      </c>
      <c r="AT153" s="1">
        <v>0</v>
      </c>
      <c r="AU153" s="1">
        <v>3.3773807262330001E-2</v>
      </c>
      <c r="AW153" t="s">
        <v>4</v>
      </c>
      <c r="AX153">
        <v>0</v>
      </c>
      <c r="AY153" t="s">
        <v>5</v>
      </c>
      <c r="AZ153">
        <v>151</v>
      </c>
      <c r="BA153" t="s">
        <v>6</v>
      </c>
      <c r="BB153" s="1">
        <v>0.23671880000000001</v>
      </c>
      <c r="BC153" t="s">
        <v>7</v>
      </c>
      <c r="BD153" s="1">
        <v>0.5</v>
      </c>
      <c r="BE153" t="s">
        <v>8</v>
      </c>
      <c r="BF153" s="1">
        <v>0</v>
      </c>
      <c r="BG153" s="1">
        <f t="shared" si="14"/>
        <v>0.47343760000000001</v>
      </c>
      <c r="BH153" s="1">
        <v>12.453504673913701</v>
      </c>
      <c r="BJ153" t="s">
        <v>4</v>
      </c>
      <c r="BK153">
        <v>0</v>
      </c>
      <c r="BL153" t="s">
        <v>5</v>
      </c>
      <c r="BM153">
        <v>151</v>
      </c>
      <c r="BN153" t="s">
        <v>6</v>
      </c>
      <c r="BO153" s="1">
        <v>0.23671880000000001</v>
      </c>
      <c r="BP153" t="s">
        <v>7</v>
      </c>
      <c r="BQ153" s="1">
        <v>0.5</v>
      </c>
      <c r="BR153" t="s">
        <v>8</v>
      </c>
      <c r="BS153" s="1">
        <v>0</v>
      </c>
      <c r="BT153" s="1">
        <v>12.4463526193575</v>
      </c>
      <c r="BU153" s="1">
        <f t="shared" si="15"/>
        <v>0.47343760000000001</v>
      </c>
      <c r="BV153" s="1">
        <f t="shared" si="16"/>
        <v>12.4463526193575</v>
      </c>
      <c r="BX153" s="1">
        <v>151</v>
      </c>
      <c r="BY153" s="1">
        <v>17.565035962494299</v>
      </c>
      <c r="CA153" t="s">
        <v>4</v>
      </c>
      <c r="CB153">
        <v>0</v>
      </c>
      <c r="CC153" t="s">
        <v>5</v>
      </c>
      <c r="CD153">
        <v>151</v>
      </c>
      <c r="CE153" t="s">
        <v>6</v>
      </c>
      <c r="CF153" s="1">
        <v>0.23671880000000001</v>
      </c>
      <c r="CG153" t="s">
        <v>7</v>
      </c>
      <c r="CH153" s="1">
        <v>0.5</v>
      </c>
      <c r="CI153" t="s">
        <v>8</v>
      </c>
      <c r="CJ153" s="1">
        <v>0</v>
      </c>
      <c r="CK153" s="1">
        <v>13.4170682052603</v>
      </c>
    </row>
    <row r="154" spans="43:89">
      <c r="AQ154" t="s">
        <v>7</v>
      </c>
      <c r="AR154" s="1">
        <v>0.5</v>
      </c>
      <c r="AS154" t="s">
        <v>8</v>
      </c>
      <c r="AT154" s="1">
        <v>0</v>
      </c>
      <c r="AU154" s="1">
        <v>3.3780786072047098E-2</v>
      </c>
      <c r="AW154" t="s">
        <v>4</v>
      </c>
      <c r="AX154">
        <v>0</v>
      </c>
      <c r="AY154" t="s">
        <v>5</v>
      </c>
      <c r="AZ154">
        <v>152</v>
      </c>
      <c r="BA154" t="s">
        <v>6</v>
      </c>
      <c r="BB154" s="1">
        <v>0.2382812</v>
      </c>
      <c r="BC154" t="s">
        <v>7</v>
      </c>
      <c r="BD154" s="1">
        <v>0.5</v>
      </c>
      <c r="BE154" t="s">
        <v>8</v>
      </c>
      <c r="BF154" s="1">
        <v>0</v>
      </c>
      <c r="BG154" s="1">
        <f t="shared" si="14"/>
        <v>0.4765624</v>
      </c>
      <c r="BH154" s="1">
        <v>12.4359632370247</v>
      </c>
      <c r="BJ154" t="s">
        <v>4</v>
      </c>
      <c r="BK154">
        <v>0</v>
      </c>
      <c r="BL154" t="s">
        <v>5</v>
      </c>
      <c r="BM154">
        <v>152</v>
      </c>
      <c r="BN154" t="s">
        <v>6</v>
      </c>
      <c r="BO154" s="1">
        <v>0.2382812</v>
      </c>
      <c r="BP154" t="s">
        <v>7</v>
      </c>
      <c r="BQ154" s="1">
        <v>0.5</v>
      </c>
      <c r="BR154" t="s">
        <v>8</v>
      </c>
      <c r="BS154" s="1">
        <v>0</v>
      </c>
      <c r="BT154" s="1">
        <v>12.4412900460028</v>
      </c>
      <c r="BU154" s="1">
        <f t="shared" si="15"/>
        <v>0.4765624</v>
      </c>
      <c r="BV154" s="1">
        <f t="shared" si="16"/>
        <v>12.4412900460028</v>
      </c>
      <c r="BX154" s="1">
        <v>152</v>
      </c>
      <c r="BY154" s="1">
        <v>17.571013673875701</v>
      </c>
      <c r="CA154" t="s">
        <v>4</v>
      </c>
      <c r="CB154">
        <v>0</v>
      </c>
      <c r="CC154" t="s">
        <v>5</v>
      </c>
      <c r="CD154">
        <v>152</v>
      </c>
      <c r="CE154" t="s">
        <v>6</v>
      </c>
      <c r="CF154" s="1">
        <v>0.2382812</v>
      </c>
      <c r="CG154" t="s">
        <v>7</v>
      </c>
      <c r="CH154" s="1">
        <v>0.5</v>
      </c>
      <c r="CI154" t="s">
        <v>8</v>
      </c>
      <c r="CJ154" s="1">
        <v>0</v>
      </c>
      <c r="CK154" s="1">
        <v>13.415003265286501</v>
      </c>
    </row>
    <row r="155" spans="43:89">
      <c r="AQ155" t="s">
        <v>7</v>
      </c>
      <c r="AR155" s="1">
        <v>0.5</v>
      </c>
      <c r="AS155" t="s">
        <v>8</v>
      </c>
      <c r="AT155" s="1">
        <v>0</v>
      </c>
      <c r="AU155" s="1">
        <v>3.3787805595026699E-2</v>
      </c>
      <c r="AW155" t="s">
        <v>4</v>
      </c>
      <c r="AX155">
        <v>0</v>
      </c>
      <c r="AY155" t="s">
        <v>5</v>
      </c>
      <c r="AZ155">
        <v>153</v>
      </c>
      <c r="BA155" t="s">
        <v>6</v>
      </c>
      <c r="BB155" s="1">
        <v>0.23984369999999999</v>
      </c>
      <c r="BC155" t="s">
        <v>7</v>
      </c>
      <c r="BD155" s="1">
        <v>0.5</v>
      </c>
      <c r="BE155" t="s">
        <v>8</v>
      </c>
      <c r="BF155" s="1">
        <v>0</v>
      </c>
      <c r="BG155" s="1">
        <f t="shared" si="14"/>
        <v>0.47968739999999999</v>
      </c>
      <c r="BH155" s="1">
        <v>12.417884906932301</v>
      </c>
      <c r="BJ155" t="s">
        <v>4</v>
      </c>
      <c r="BK155">
        <v>0</v>
      </c>
      <c r="BL155" t="s">
        <v>5</v>
      </c>
      <c r="BM155">
        <v>153</v>
      </c>
      <c r="BN155" t="s">
        <v>6</v>
      </c>
      <c r="BO155" s="1">
        <v>0.23984369999999999</v>
      </c>
      <c r="BP155" t="s">
        <v>7</v>
      </c>
      <c r="BQ155" s="1">
        <v>0.5</v>
      </c>
      <c r="BR155" t="s">
        <v>8</v>
      </c>
      <c r="BS155" s="1">
        <v>0</v>
      </c>
      <c r="BT155" s="1">
        <v>12.435941787048501</v>
      </c>
      <c r="BU155" s="1">
        <f t="shared" si="15"/>
        <v>0.47968739999999999</v>
      </c>
      <c r="BV155" s="1">
        <f t="shared" si="16"/>
        <v>12.435941787048501</v>
      </c>
      <c r="BX155" s="1">
        <v>153</v>
      </c>
      <c r="BY155" s="1">
        <v>17.577035246033699</v>
      </c>
      <c r="CA155" t="s">
        <v>4</v>
      </c>
      <c r="CB155">
        <v>0</v>
      </c>
      <c r="CC155" t="s">
        <v>5</v>
      </c>
      <c r="CD155">
        <v>153</v>
      </c>
      <c r="CE155" t="s">
        <v>6</v>
      </c>
      <c r="CF155" s="1">
        <v>0.23984369999999999</v>
      </c>
      <c r="CG155" t="s">
        <v>7</v>
      </c>
      <c r="CH155" s="1">
        <v>0.5</v>
      </c>
      <c r="CI155" t="s">
        <v>8</v>
      </c>
      <c r="CJ155" s="1">
        <v>0</v>
      </c>
      <c r="CK155" s="1">
        <v>13.412957540371201</v>
      </c>
    </row>
    <row r="156" spans="43:89">
      <c r="AQ156" t="s">
        <v>7</v>
      </c>
      <c r="AR156" s="1">
        <v>0.5</v>
      </c>
      <c r="AS156" t="s">
        <v>8</v>
      </c>
      <c r="AT156" s="1">
        <v>0</v>
      </c>
      <c r="AU156" s="1">
        <v>3.37948656887751E-2</v>
      </c>
      <c r="AW156" t="s">
        <v>4</v>
      </c>
      <c r="AX156">
        <v>0</v>
      </c>
      <c r="AY156" t="s">
        <v>5</v>
      </c>
      <c r="AZ156">
        <v>154</v>
      </c>
      <c r="BA156" t="s">
        <v>6</v>
      </c>
      <c r="BB156" s="1">
        <v>0.24140629999999999</v>
      </c>
      <c r="BC156" t="s">
        <v>7</v>
      </c>
      <c r="BD156" s="1">
        <v>0.5</v>
      </c>
      <c r="BE156" t="s">
        <v>8</v>
      </c>
      <c r="BF156" s="1">
        <v>0</v>
      </c>
      <c r="BG156" s="1">
        <f t="shared" si="14"/>
        <v>0.48281259999999998</v>
      </c>
      <c r="BH156" s="1">
        <v>12.399259409842401</v>
      </c>
      <c r="BJ156" t="s">
        <v>4</v>
      </c>
      <c r="BK156">
        <v>0</v>
      </c>
      <c r="BL156" t="s">
        <v>5</v>
      </c>
      <c r="BM156">
        <v>154</v>
      </c>
      <c r="BN156" t="s">
        <v>6</v>
      </c>
      <c r="BO156" s="1">
        <v>0.24140629999999999</v>
      </c>
      <c r="BP156" t="s">
        <v>7</v>
      </c>
      <c r="BQ156" s="1">
        <v>0.5</v>
      </c>
      <c r="BR156" t="s">
        <v>8</v>
      </c>
      <c r="BS156" s="1">
        <v>0</v>
      </c>
      <c r="BT156" s="1">
        <v>12.430302801483499</v>
      </c>
      <c r="BU156" s="1">
        <f t="shared" si="15"/>
        <v>0.48281259999999998</v>
      </c>
      <c r="BV156" s="1">
        <f t="shared" si="16"/>
        <v>12.430302801483499</v>
      </c>
      <c r="BX156" s="1">
        <v>154</v>
      </c>
      <c r="BY156" s="1">
        <v>17.583145393623301</v>
      </c>
      <c r="CA156" t="s">
        <v>4</v>
      </c>
      <c r="CB156">
        <v>0</v>
      </c>
      <c r="CC156" t="s">
        <v>5</v>
      </c>
      <c r="CD156">
        <v>154</v>
      </c>
      <c r="CE156" t="s">
        <v>6</v>
      </c>
      <c r="CF156" s="1">
        <v>0.24140629999999999</v>
      </c>
      <c r="CG156" t="s">
        <v>7</v>
      </c>
      <c r="CH156" s="1">
        <v>0.5</v>
      </c>
      <c r="CI156" t="s">
        <v>8</v>
      </c>
      <c r="CJ156" s="1">
        <v>0</v>
      </c>
      <c r="CK156" s="1">
        <v>13.4109245272679</v>
      </c>
    </row>
    <row r="157" spans="43:89">
      <c r="AQ157" t="s">
        <v>7</v>
      </c>
      <c r="AR157" s="1">
        <v>0.5</v>
      </c>
      <c r="AS157" t="s">
        <v>8</v>
      </c>
      <c r="AT157" s="1">
        <v>0</v>
      </c>
      <c r="AU157" s="1">
        <v>3.3801966223308402E-2</v>
      </c>
      <c r="AW157" t="s">
        <v>4</v>
      </c>
      <c r="AX157">
        <v>0</v>
      </c>
      <c r="AY157" t="s">
        <v>5</v>
      </c>
      <c r="AZ157">
        <v>155</v>
      </c>
      <c r="BA157" t="s">
        <v>6</v>
      </c>
      <c r="BB157" s="1">
        <v>0.24296880000000001</v>
      </c>
      <c r="BC157" t="s">
        <v>7</v>
      </c>
      <c r="BD157" s="1">
        <v>0.5</v>
      </c>
      <c r="BE157" t="s">
        <v>8</v>
      </c>
      <c r="BF157" s="1">
        <v>0</v>
      </c>
      <c r="BG157" s="1">
        <f t="shared" si="14"/>
        <v>0.48593760000000003</v>
      </c>
      <c r="BH157" s="1">
        <v>12.380078150381401</v>
      </c>
      <c r="BJ157" t="s">
        <v>4</v>
      </c>
      <c r="BK157">
        <v>0</v>
      </c>
      <c r="BL157" t="s">
        <v>5</v>
      </c>
      <c r="BM157">
        <v>155</v>
      </c>
      <c r="BN157" t="s">
        <v>6</v>
      </c>
      <c r="BO157" s="1">
        <v>0.24296880000000001</v>
      </c>
      <c r="BP157" t="s">
        <v>7</v>
      </c>
      <c r="BQ157" s="1">
        <v>0.5</v>
      </c>
      <c r="BR157" t="s">
        <v>8</v>
      </c>
      <c r="BS157" s="1">
        <v>0</v>
      </c>
      <c r="BT157" s="1">
        <v>12.424375319670499</v>
      </c>
      <c r="BU157" s="1">
        <f t="shared" si="15"/>
        <v>0.48593760000000003</v>
      </c>
      <c r="BV157" s="1">
        <f t="shared" si="16"/>
        <v>12.424375319670499</v>
      </c>
      <c r="BX157" s="1">
        <v>155</v>
      </c>
      <c r="BY157" s="1">
        <v>17.589312906732101</v>
      </c>
      <c r="CA157" t="s">
        <v>4</v>
      </c>
      <c r="CB157">
        <v>0</v>
      </c>
      <c r="CC157" t="s">
        <v>5</v>
      </c>
      <c r="CD157">
        <v>155</v>
      </c>
      <c r="CE157" t="s">
        <v>6</v>
      </c>
      <c r="CF157" s="1">
        <v>0.24296880000000001</v>
      </c>
      <c r="CG157" t="s">
        <v>7</v>
      </c>
      <c r="CH157" s="1">
        <v>0.5</v>
      </c>
      <c r="CI157" t="s">
        <v>8</v>
      </c>
      <c r="CJ157" s="1">
        <v>0</v>
      </c>
      <c r="CK157" s="1">
        <v>13.4089185162857</v>
      </c>
    </row>
    <row r="158" spans="43:89">
      <c r="AQ158" t="s">
        <v>7</v>
      </c>
      <c r="AR158" s="1">
        <v>0.5</v>
      </c>
      <c r="AS158" t="s">
        <v>8</v>
      </c>
      <c r="AT158" s="1">
        <v>0</v>
      </c>
      <c r="AU158" s="1">
        <v>3.3809107081019599E-2</v>
      </c>
      <c r="AW158" t="s">
        <v>4</v>
      </c>
      <c r="AX158">
        <v>0</v>
      </c>
      <c r="AY158" t="s">
        <v>5</v>
      </c>
      <c r="AZ158">
        <v>156</v>
      </c>
      <c r="BA158" t="s">
        <v>6</v>
      </c>
      <c r="BB158" s="1">
        <v>0.24453130000000001</v>
      </c>
      <c r="BC158" t="s">
        <v>7</v>
      </c>
      <c r="BD158" s="1">
        <v>0.5</v>
      </c>
      <c r="BE158" t="s">
        <v>8</v>
      </c>
      <c r="BF158" s="1">
        <v>0</v>
      </c>
      <c r="BG158" s="1">
        <f t="shared" si="14"/>
        <v>0.48906260000000001</v>
      </c>
      <c r="BH158" s="1">
        <v>12.360338112436599</v>
      </c>
      <c r="BJ158" t="s">
        <v>4</v>
      </c>
      <c r="BK158">
        <v>0</v>
      </c>
      <c r="BL158" t="s">
        <v>5</v>
      </c>
      <c r="BM158">
        <v>156</v>
      </c>
      <c r="BN158" t="s">
        <v>6</v>
      </c>
      <c r="BO158" s="1">
        <v>0.24453130000000001</v>
      </c>
      <c r="BP158" t="s">
        <v>7</v>
      </c>
      <c r="BQ158" s="1">
        <v>0.5</v>
      </c>
      <c r="BR158" t="s">
        <v>8</v>
      </c>
      <c r="BS158" s="1">
        <v>0</v>
      </c>
      <c r="BT158" s="1">
        <v>12.418160705324</v>
      </c>
      <c r="BU158" s="1">
        <f t="shared" si="15"/>
        <v>0.48906260000000001</v>
      </c>
      <c r="BV158" s="1">
        <f t="shared" si="16"/>
        <v>12.418160705324</v>
      </c>
      <c r="BX158" s="1">
        <v>156</v>
      </c>
      <c r="BY158" s="1">
        <v>17.595515841978798</v>
      </c>
      <c r="CA158" t="s">
        <v>4</v>
      </c>
      <c r="CB158">
        <v>0</v>
      </c>
      <c r="CC158" t="s">
        <v>5</v>
      </c>
      <c r="CD158">
        <v>156</v>
      </c>
      <c r="CE158" t="s">
        <v>6</v>
      </c>
      <c r="CF158" s="1">
        <v>0.24453130000000001</v>
      </c>
      <c r="CG158" t="s">
        <v>7</v>
      </c>
      <c r="CH158" s="1">
        <v>0.5</v>
      </c>
      <c r="CI158" t="s">
        <v>8</v>
      </c>
      <c r="CJ158" s="1">
        <v>0</v>
      </c>
      <c r="CK158" s="1">
        <v>13.406941063528</v>
      </c>
    </row>
    <row r="159" spans="43:89">
      <c r="AQ159" t="s">
        <v>7</v>
      </c>
      <c r="AR159" s="1">
        <v>0.5</v>
      </c>
      <c r="AS159" t="s">
        <v>8</v>
      </c>
      <c r="AT159" s="1">
        <v>0</v>
      </c>
      <c r="AU159" s="1">
        <v>3.3816288156728602E-2</v>
      </c>
      <c r="AW159" t="s">
        <v>4</v>
      </c>
      <c r="AX159">
        <v>0</v>
      </c>
      <c r="AY159" t="s">
        <v>5</v>
      </c>
      <c r="AZ159">
        <v>157</v>
      </c>
      <c r="BA159" t="s">
        <v>6</v>
      </c>
      <c r="BB159" s="1">
        <v>0.2460938</v>
      </c>
      <c r="BC159" t="s">
        <v>7</v>
      </c>
      <c r="BD159" s="1">
        <v>0.5</v>
      </c>
      <c r="BE159" t="s">
        <v>8</v>
      </c>
      <c r="BF159" s="1">
        <v>0</v>
      </c>
      <c r="BG159" s="1">
        <f t="shared" si="14"/>
        <v>0.4921876</v>
      </c>
      <c r="BH159" s="1">
        <v>12.340047342398201</v>
      </c>
      <c r="BJ159" t="s">
        <v>4</v>
      </c>
      <c r="BK159">
        <v>0</v>
      </c>
      <c r="BL159" t="s">
        <v>5</v>
      </c>
      <c r="BM159">
        <v>157</v>
      </c>
      <c r="BN159" t="s">
        <v>6</v>
      </c>
      <c r="BO159" s="1">
        <v>0.2460938</v>
      </c>
      <c r="BP159" t="s">
        <v>7</v>
      </c>
      <c r="BQ159" s="1">
        <v>0.5</v>
      </c>
      <c r="BR159" t="s">
        <v>8</v>
      </c>
      <c r="BS159" s="1">
        <v>0</v>
      </c>
      <c r="BT159" s="1">
        <v>12.411642126435201</v>
      </c>
      <c r="BU159" s="1">
        <f t="shared" si="15"/>
        <v>0.4921876</v>
      </c>
      <c r="BV159" s="1">
        <f t="shared" si="16"/>
        <v>12.411642126435201</v>
      </c>
      <c r="BX159" s="1">
        <v>157</v>
      </c>
      <c r="BY159" s="1">
        <v>17.601820398291299</v>
      </c>
      <c r="CA159" t="s">
        <v>4</v>
      </c>
      <c r="CB159">
        <v>0</v>
      </c>
      <c r="CC159" t="s">
        <v>5</v>
      </c>
      <c r="CD159">
        <v>157</v>
      </c>
      <c r="CE159" t="s">
        <v>6</v>
      </c>
      <c r="CF159" s="1">
        <v>0.2460938</v>
      </c>
      <c r="CG159" t="s">
        <v>7</v>
      </c>
      <c r="CH159" s="1">
        <v>0.5</v>
      </c>
      <c r="CI159" t="s">
        <v>8</v>
      </c>
      <c r="CJ159" s="1">
        <v>0</v>
      </c>
      <c r="CK159" s="1">
        <v>13.404979882173601</v>
      </c>
    </row>
    <row r="160" spans="43:89">
      <c r="AQ160" t="s">
        <v>7</v>
      </c>
      <c r="AR160" s="1">
        <v>0.5</v>
      </c>
      <c r="AS160" t="s">
        <v>8</v>
      </c>
      <c r="AT160" s="1">
        <v>0</v>
      </c>
      <c r="AU160" s="1">
        <v>3.3823509357529903E-2</v>
      </c>
      <c r="AW160" t="s">
        <v>4</v>
      </c>
      <c r="AX160">
        <v>0</v>
      </c>
      <c r="AY160" t="s">
        <v>5</v>
      </c>
      <c r="AZ160">
        <v>158</v>
      </c>
      <c r="BA160" t="s">
        <v>6</v>
      </c>
      <c r="BB160" s="1">
        <v>0.24765619999999999</v>
      </c>
      <c r="BC160" t="s">
        <v>7</v>
      </c>
      <c r="BD160" s="1">
        <v>0.5</v>
      </c>
      <c r="BE160" t="s">
        <v>8</v>
      </c>
      <c r="BF160" s="1">
        <v>0</v>
      </c>
      <c r="BG160" s="1">
        <f t="shared" si="14"/>
        <v>0.49531239999999999</v>
      </c>
      <c r="BH160" s="1">
        <v>12.319191723070899</v>
      </c>
      <c r="BJ160" t="s">
        <v>4</v>
      </c>
      <c r="BK160">
        <v>0</v>
      </c>
      <c r="BL160" t="s">
        <v>5</v>
      </c>
      <c r="BM160">
        <v>158</v>
      </c>
      <c r="BN160" t="s">
        <v>6</v>
      </c>
      <c r="BO160" s="1">
        <v>0.24765619999999999</v>
      </c>
      <c r="BP160" t="s">
        <v>7</v>
      </c>
      <c r="BQ160" s="1">
        <v>0.5</v>
      </c>
      <c r="BR160" t="s">
        <v>8</v>
      </c>
      <c r="BS160" s="1">
        <v>0</v>
      </c>
      <c r="BT160" s="1">
        <v>12.404826542500899</v>
      </c>
      <c r="BU160" s="1">
        <f t="shared" si="15"/>
        <v>0.49531239999999999</v>
      </c>
      <c r="BV160" s="1">
        <f t="shared" si="16"/>
        <v>12.404826542500899</v>
      </c>
      <c r="BX160" s="1">
        <v>158</v>
      </c>
      <c r="BY160" s="1">
        <v>17.608206861219699</v>
      </c>
      <c r="CA160" t="s">
        <v>4</v>
      </c>
      <c r="CB160">
        <v>0</v>
      </c>
      <c r="CC160" t="s">
        <v>5</v>
      </c>
      <c r="CD160">
        <v>158</v>
      </c>
      <c r="CE160" t="s">
        <v>6</v>
      </c>
      <c r="CF160" s="1">
        <v>0.24765619999999999</v>
      </c>
      <c r="CG160" t="s">
        <v>7</v>
      </c>
      <c r="CH160" s="1">
        <v>0.5</v>
      </c>
      <c r="CI160" t="s">
        <v>8</v>
      </c>
      <c r="CJ160" s="1">
        <v>0</v>
      </c>
      <c r="CK160" s="1">
        <v>13.4030448302262</v>
      </c>
    </row>
    <row r="161" spans="43:89">
      <c r="AQ161" t="s">
        <v>7</v>
      </c>
      <c r="AR161" s="1">
        <v>0.5</v>
      </c>
      <c r="AS161" t="s">
        <v>8</v>
      </c>
      <c r="AT161" s="1">
        <v>0</v>
      </c>
      <c r="AU161" s="1">
        <v>3.3830770602750901E-2</v>
      </c>
      <c r="AW161" t="s">
        <v>4</v>
      </c>
      <c r="AX161">
        <v>0</v>
      </c>
      <c r="AY161" t="s">
        <v>5</v>
      </c>
      <c r="AZ161">
        <v>159</v>
      </c>
      <c r="BA161" t="s">
        <v>6</v>
      </c>
      <c r="BB161" s="1">
        <v>0.24921869999999999</v>
      </c>
      <c r="BC161" t="s">
        <v>7</v>
      </c>
      <c r="BD161" s="1">
        <v>0.5</v>
      </c>
      <c r="BE161" t="s">
        <v>8</v>
      </c>
      <c r="BF161" s="1">
        <v>0</v>
      </c>
      <c r="BG161" s="1">
        <f t="shared" si="14"/>
        <v>0.49843739999999997</v>
      </c>
      <c r="BH161" s="1">
        <v>12.2977737034448</v>
      </c>
      <c r="BJ161" t="s">
        <v>4</v>
      </c>
      <c r="BK161">
        <v>0</v>
      </c>
      <c r="BL161" t="s">
        <v>5</v>
      </c>
      <c r="BM161">
        <v>159</v>
      </c>
      <c r="BN161" t="s">
        <v>6</v>
      </c>
      <c r="BO161" s="1">
        <v>0.24921869999999999</v>
      </c>
      <c r="BP161" t="s">
        <v>7</v>
      </c>
      <c r="BQ161" s="1">
        <v>0.5</v>
      </c>
      <c r="BR161" t="s">
        <v>8</v>
      </c>
      <c r="BS161" s="1">
        <v>0</v>
      </c>
      <c r="BT161" s="1">
        <v>12.397700884613201</v>
      </c>
      <c r="BU161" s="1">
        <f t="shared" si="15"/>
        <v>0.49843739999999997</v>
      </c>
      <c r="BV161" s="1">
        <f t="shared" si="16"/>
        <v>12.397700884613201</v>
      </c>
      <c r="BX161" s="1">
        <v>159</v>
      </c>
      <c r="BY161" s="1">
        <v>17.614681395513799</v>
      </c>
      <c r="CA161" t="s">
        <v>4</v>
      </c>
      <c r="CB161">
        <v>0</v>
      </c>
      <c r="CC161" t="s">
        <v>5</v>
      </c>
      <c r="CD161">
        <v>159</v>
      </c>
      <c r="CE161" t="s">
        <v>6</v>
      </c>
      <c r="CF161" s="1">
        <v>0.24921869999999999</v>
      </c>
      <c r="CG161" t="s">
        <v>7</v>
      </c>
      <c r="CH161" s="1">
        <v>0.5</v>
      </c>
      <c r="CI161" t="s">
        <v>8</v>
      </c>
      <c r="CJ161" s="1">
        <v>0</v>
      </c>
      <c r="CK161" s="1">
        <v>13.401163054727</v>
      </c>
    </row>
    <row r="162" spans="43:89">
      <c r="AQ162" t="s">
        <v>7</v>
      </c>
      <c r="AR162" s="1">
        <v>0.5</v>
      </c>
      <c r="AS162" t="s">
        <v>8</v>
      </c>
      <c r="AT162" s="1">
        <v>0</v>
      </c>
      <c r="AU162" s="1">
        <v>3.3837899301505298E-2</v>
      </c>
      <c r="AW162" t="s">
        <v>4</v>
      </c>
      <c r="AX162">
        <v>0</v>
      </c>
      <c r="AY162" t="s">
        <v>5</v>
      </c>
      <c r="AZ162">
        <v>160</v>
      </c>
      <c r="BA162" t="s">
        <v>6</v>
      </c>
      <c r="BB162" s="1">
        <v>0.25078129999999998</v>
      </c>
      <c r="BC162" t="s">
        <v>7</v>
      </c>
      <c r="BD162" s="1">
        <v>0.5</v>
      </c>
      <c r="BE162" t="s">
        <v>8</v>
      </c>
      <c r="BF162" s="1">
        <v>0</v>
      </c>
      <c r="BG162" s="1">
        <f t="shared" si="14"/>
        <v>0.50156259999999997</v>
      </c>
      <c r="BH162" s="1">
        <v>12.274856342715101</v>
      </c>
      <c r="BJ162" t="s">
        <v>4</v>
      </c>
      <c r="BK162">
        <v>0</v>
      </c>
      <c r="BL162" t="s">
        <v>5</v>
      </c>
      <c r="BM162">
        <v>160</v>
      </c>
      <c r="BN162" t="s">
        <v>6</v>
      </c>
      <c r="BO162" s="1">
        <v>0.25078129999999998</v>
      </c>
      <c r="BP162" t="s">
        <v>7</v>
      </c>
      <c r="BQ162" s="1">
        <v>0.5</v>
      </c>
      <c r="BR162" t="s">
        <v>8</v>
      </c>
      <c r="BS162" s="1">
        <v>0</v>
      </c>
      <c r="BT162" s="1">
        <v>12.3728557652934</v>
      </c>
      <c r="BU162" s="1">
        <f t="shared" si="15"/>
        <v>0.50156259999999997</v>
      </c>
      <c r="BV162" s="1">
        <f t="shared" si="16"/>
        <v>12.3728557652934</v>
      </c>
      <c r="BX162" s="1">
        <v>160</v>
      </c>
      <c r="BY162" s="1">
        <v>17.438415008993701</v>
      </c>
      <c r="CA162" t="s">
        <v>4</v>
      </c>
      <c r="CB162">
        <v>0</v>
      </c>
      <c r="CC162" t="s">
        <v>5</v>
      </c>
      <c r="CD162">
        <v>160</v>
      </c>
      <c r="CE162" t="s">
        <v>6</v>
      </c>
      <c r="CF162" s="1">
        <v>0.25078129999999998</v>
      </c>
      <c r="CG162" t="s">
        <v>7</v>
      </c>
      <c r="CH162" s="1">
        <v>0.5</v>
      </c>
      <c r="CI162" t="s">
        <v>8</v>
      </c>
      <c r="CJ162" s="1">
        <v>0</v>
      </c>
      <c r="CK162" s="1">
        <v>13.203107924782501</v>
      </c>
    </row>
    <row r="163" spans="43:89">
      <c r="AQ163" t="s">
        <v>7</v>
      </c>
      <c r="AR163" s="1">
        <v>0.5</v>
      </c>
      <c r="AS163" t="s">
        <v>8</v>
      </c>
      <c r="AT163" s="1">
        <v>0</v>
      </c>
      <c r="AU163" s="1">
        <v>3.3844905167687497E-2</v>
      </c>
      <c r="AW163" t="s">
        <v>4</v>
      </c>
      <c r="AX163">
        <v>0</v>
      </c>
      <c r="AY163" t="s">
        <v>5</v>
      </c>
      <c r="AZ163">
        <v>161</v>
      </c>
      <c r="BA163" t="s">
        <v>6</v>
      </c>
      <c r="BB163" s="1">
        <v>0.2523437</v>
      </c>
      <c r="BC163" t="s">
        <v>7</v>
      </c>
      <c r="BD163" s="1">
        <v>0.5</v>
      </c>
      <c r="BE163" t="s">
        <v>8</v>
      </c>
      <c r="BF163" s="1">
        <v>0</v>
      </c>
      <c r="BG163" s="1">
        <f t="shared" si="14"/>
        <v>0.50468740000000001</v>
      </c>
      <c r="BH163" s="1">
        <v>12.2513806876646</v>
      </c>
      <c r="BJ163" t="s">
        <v>4</v>
      </c>
      <c r="BK163">
        <v>0</v>
      </c>
      <c r="BL163" t="s">
        <v>5</v>
      </c>
      <c r="BM163">
        <v>161</v>
      </c>
      <c r="BN163" t="s">
        <v>6</v>
      </c>
      <c r="BO163" s="1">
        <v>0.2523437</v>
      </c>
      <c r="BP163" t="s">
        <v>7</v>
      </c>
      <c r="BQ163" s="1">
        <v>0.5</v>
      </c>
      <c r="BR163" t="s">
        <v>8</v>
      </c>
      <c r="BS163" s="1">
        <v>0</v>
      </c>
      <c r="BT163" s="1">
        <v>12.331661663395</v>
      </c>
      <c r="BU163" s="1">
        <f t="shared" si="15"/>
        <v>0.50468740000000001</v>
      </c>
      <c r="BV163" s="1">
        <f t="shared" si="16"/>
        <v>12.331661663395</v>
      </c>
      <c r="BX163" s="1">
        <v>161</v>
      </c>
      <c r="BY163" s="1">
        <v>17.441007460907201</v>
      </c>
      <c r="CA163" t="s">
        <v>4</v>
      </c>
      <c r="CB163">
        <v>0</v>
      </c>
      <c r="CC163" t="s">
        <v>5</v>
      </c>
      <c r="CD163">
        <v>161</v>
      </c>
      <c r="CE163" t="s">
        <v>6</v>
      </c>
      <c r="CF163" s="1">
        <v>0.2523437</v>
      </c>
      <c r="CG163" t="s">
        <v>7</v>
      </c>
      <c r="CH163" s="1">
        <v>0.5</v>
      </c>
      <c r="CI163" t="s">
        <v>8</v>
      </c>
      <c r="CJ163" s="1">
        <v>0</v>
      </c>
      <c r="CK163" s="1">
        <v>13.201289308620201</v>
      </c>
    </row>
    <row r="164" spans="43:89">
      <c r="AQ164" t="s">
        <v>7</v>
      </c>
      <c r="AR164" s="1">
        <v>0.5</v>
      </c>
      <c r="AS164" t="s">
        <v>8</v>
      </c>
      <c r="AT164" s="1">
        <v>0</v>
      </c>
      <c r="AU164" s="1">
        <v>3.3851904464136599E-2</v>
      </c>
      <c r="AW164" t="s">
        <v>4</v>
      </c>
      <c r="AX164">
        <v>0</v>
      </c>
      <c r="AY164" t="s">
        <v>5</v>
      </c>
      <c r="AZ164">
        <v>162</v>
      </c>
      <c r="BA164" t="s">
        <v>6</v>
      </c>
      <c r="BB164" s="1">
        <v>0.25390620000000003</v>
      </c>
      <c r="BC164" t="s">
        <v>7</v>
      </c>
      <c r="BD164" s="1">
        <v>0.5</v>
      </c>
      <c r="BE164" t="s">
        <v>8</v>
      </c>
      <c r="BF164" s="1">
        <v>0</v>
      </c>
      <c r="BG164" s="1">
        <f t="shared" si="14"/>
        <v>0.50781240000000005</v>
      </c>
      <c r="BH164" s="1">
        <v>12.2286783181363</v>
      </c>
      <c r="BJ164" t="s">
        <v>4</v>
      </c>
      <c r="BK164">
        <v>0</v>
      </c>
      <c r="BL164" t="s">
        <v>5</v>
      </c>
      <c r="BM164">
        <v>162</v>
      </c>
      <c r="BN164" t="s">
        <v>6</v>
      </c>
      <c r="BO164" s="1">
        <v>0.25390620000000003</v>
      </c>
      <c r="BP164" t="s">
        <v>7</v>
      </c>
      <c r="BQ164" s="1">
        <v>0.5</v>
      </c>
      <c r="BR164" t="s">
        <v>8</v>
      </c>
      <c r="BS164" s="1">
        <v>0</v>
      </c>
      <c r="BT164" s="1">
        <v>12.292154735550801</v>
      </c>
      <c r="BU164" s="1">
        <f t="shared" si="15"/>
        <v>0.50781240000000005</v>
      </c>
      <c r="BV164" s="1">
        <f t="shared" si="16"/>
        <v>12.292154735550801</v>
      </c>
      <c r="BX164" s="1">
        <v>162</v>
      </c>
      <c r="BY164" s="1">
        <v>17.4435320585191</v>
      </c>
      <c r="CA164" t="s">
        <v>4</v>
      </c>
      <c r="CB164">
        <v>0</v>
      </c>
      <c r="CC164" t="s">
        <v>5</v>
      </c>
      <c r="CD164">
        <v>162</v>
      </c>
      <c r="CE164" t="s">
        <v>6</v>
      </c>
      <c r="CF164" s="1">
        <v>0.25390620000000003</v>
      </c>
      <c r="CG164" t="s">
        <v>7</v>
      </c>
      <c r="CH164" s="1">
        <v>0.5</v>
      </c>
      <c r="CI164" t="s">
        <v>8</v>
      </c>
      <c r="CJ164" s="1">
        <v>0</v>
      </c>
      <c r="CK164" s="1">
        <v>13.199406745327</v>
      </c>
    </row>
    <row r="165" spans="43:89">
      <c r="AQ165" t="s">
        <v>7</v>
      </c>
      <c r="AR165" s="1">
        <v>0.5</v>
      </c>
      <c r="AS165" t="s">
        <v>8</v>
      </c>
      <c r="AT165" s="1">
        <v>0</v>
      </c>
      <c r="AU165" s="1">
        <v>3.3858926932845701E-2</v>
      </c>
      <c r="AW165" t="s">
        <v>4</v>
      </c>
      <c r="AX165">
        <v>0</v>
      </c>
      <c r="AY165" t="s">
        <v>5</v>
      </c>
      <c r="AZ165">
        <v>163</v>
      </c>
      <c r="BA165" t="s">
        <v>6</v>
      </c>
      <c r="BB165" s="1">
        <v>0.2554688</v>
      </c>
      <c r="BC165" t="s">
        <v>7</v>
      </c>
      <c r="BD165" s="1">
        <v>0.5</v>
      </c>
      <c r="BE165" t="s">
        <v>8</v>
      </c>
      <c r="BF165" s="1">
        <v>0</v>
      </c>
      <c r="BG165" s="1">
        <f t="shared" si="14"/>
        <v>0.51093759999999999</v>
      </c>
      <c r="BH165" s="1">
        <v>12.2068066036676</v>
      </c>
      <c r="BJ165" t="s">
        <v>4</v>
      </c>
      <c r="BK165">
        <v>0</v>
      </c>
      <c r="BL165" t="s">
        <v>5</v>
      </c>
      <c r="BM165">
        <v>163</v>
      </c>
      <c r="BN165" t="s">
        <v>6</v>
      </c>
      <c r="BO165" s="1">
        <v>0.2554688</v>
      </c>
      <c r="BP165" t="s">
        <v>7</v>
      </c>
      <c r="BQ165" s="1">
        <v>0.5</v>
      </c>
      <c r="BR165" t="s">
        <v>8</v>
      </c>
      <c r="BS165" s="1">
        <v>0</v>
      </c>
      <c r="BT165" s="1">
        <v>12.254439236612599</v>
      </c>
      <c r="BU165" s="1">
        <f t="shared" si="15"/>
        <v>0.51093759999999999</v>
      </c>
      <c r="BV165" s="1">
        <f t="shared" si="16"/>
        <v>12.254439236612599</v>
      </c>
      <c r="BX165" s="1">
        <v>163</v>
      </c>
      <c r="BY165" s="1">
        <v>17.445996259204399</v>
      </c>
      <c r="CA165" t="s">
        <v>4</v>
      </c>
      <c r="CB165">
        <v>0</v>
      </c>
      <c r="CC165" t="s">
        <v>5</v>
      </c>
      <c r="CD165">
        <v>163</v>
      </c>
      <c r="CE165" t="s">
        <v>6</v>
      </c>
      <c r="CF165" s="1">
        <v>0.2554688</v>
      </c>
      <c r="CG165" t="s">
        <v>7</v>
      </c>
      <c r="CH165" s="1">
        <v>0.5</v>
      </c>
      <c r="CI165" t="s">
        <v>8</v>
      </c>
      <c r="CJ165" s="1">
        <v>0</v>
      </c>
      <c r="CK165" s="1">
        <v>13.1974540373685</v>
      </c>
    </row>
    <row r="166" spans="43:89">
      <c r="AQ166" t="s">
        <v>7</v>
      </c>
      <c r="AR166" s="1">
        <v>0.5</v>
      </c>
      <c r="AS166" t="s">
        <v>8</v>
      </c>
      <c r="AT166" s="1">
        <v>0</v>
      </c>
      <c r="AU166" s="1">
        <v>3.3865966022847298E-2</v>
      </c>
      <c r="AW166" t="s">
        <v>4</v>
      </c>
      <c r="AX166">
        <v>0</v>
      </c>
      <c r="AY166" t="s">
        <v>5</v>
      </c>
      <c r="AZ166">
        <v>164</v>
      </c>
      <c r="BA166" t="s">
        <v>6</v>
      </c>
      <c r="BB166" s="1">
        <v>0.25703120000000002</v>
      </c>
      <c r="BC166" t="s">
        <v>7</v>
      </c>
      <c r="BD166" s="1">
        <v>0.5</v>
      </c>
      <c r="BE166" t="s">
        <v>8</v>
      </c>
      <c r="BF166" s="1">
        <v>0</v>
      </c>
      <c r="BG166" s="1">
        <f t="shared" si="14"/>
        <v>0.51406240000000003</v>
      </c>
      <c r="BH166" s="1">
        <v>12.1857985752016</v>
      </c>
      <c r="BJ166" t="s">
        <v>4</v>
      </c>
      <c r="BK166">
        <v>0</v>
      </c>
      <c r="BL166" t="s">
        <v>5</v>
      </c>
      <c r="BM166">
        <v>164</v>
      </c>
      <c r="BN166" t="s">
        <v>6</v>
      </c>
      <c r="BO166" s="1">
        <v>0.25703120000000002</v>
      </c>
      <c r="BP166" t="s">
        <v>7</v>
      </c>
      <c r="BQ166" s="1">
        <v>0.5</v>
      </c>
      <c r="BR166" t="s">
        <v>8</v>
      </c>
      <c r="BS166" s="1">
        <v>0</v>
      </c>
      <c r="BT166" s="1">
        <v>12.2186203259979</v>
      </c>
      <c r="BU166" s="1">
        <f t="shared" si="15"/>
        <v>0.51406240000000003</v>
      </c>
      <c r="BV166" s="1">
        <f t="shared" si="16"/>
        <v>12.2186203259979</v>
      </c>
      <c r="BX166" s="1">
        <v>164</v>
      </c>
      <c r="BY166" s="1">
        <v>17.448379014793598</v>
      </c>
      <c r="CA166" t="s">
        <v>4</v>
      </c>
      <c r="CB166">
        <v>0</v>
      </c>
      <c r="CC166" t="s">
        <v>5</v>
      </c>
      <c r="CD166">
        <v>164</v>
      </c>
      <c r="CE166" t="s">
        <v>6</v>
      </c>
      <c r="CF166" s="1">
        <v>0.25703120000000002</v>
      </c>
      <c r="CG166" t="s">
        <v>7</v>
      </c>
      <c r="CH166" s="1">
        <v>0.5</v>
      </c>
      <c r="CI166" t="s">
        <v>8</v>
      </c>
      <c r="CJ166" s="1">
        <v>0</v>
      </c>
      <c r="CK166" s="1">
        <v>13.195438284227</v>
      </c>
    </row>
    <row r="167" spans="43:89">
      <c r="AQ167" t="s">
        <v>7</v>
      </c>
      <c r="AR167" s="1">
        <v>0.5</v>
      </c>
      <c r="AS167" t="s">
        <v>8</v>
      </c>
      <c r="AT167" s="1">
        <v>0</v>
      </c>
      <c r="AU167" s="1">
        <v>3.3873020077799798E-2</v>
      </c>
      <c r="AW167" t="s">
        <v>4</v>
      </c>
      <c r="AX167">
        <v>0</v>
      </c>
      <c r="AY167" t="s">
        <v>5</v>
      </c>
      <c r="AZ167">
        <v>165</v>
      </c>
      <c r="BA167" t="s">
        <v>6</v>
      </c>
      <c r="BB167" s="1">
        <v>0.25859379999999998</v>
      </c>
      <c r="BC167" t="s">
        <v>7</v>
      </c>
      <c r="BD167" s="1">
        <v>0.5</v>
      </c>
      <c r="BE167" t="s">
        <v>8</v>
      </c>
      <c r="BF167" s="1">
        <v>0</v>
      </c>
      <c r="BG167" s="1">
        <f t="shared" si="14"/>
        <v>0.51718759999999997</v>
      </c>
      <c r="BH167" s="1">
        <v>12.165706257533101</v>
      </c>
      <c r="BJ167" t="s">
        <v>4</v>
      </c>
      <c r="BK167">
        <v>0</v>
      </c>
      <c r="BL167" t="s">
        <v>5</v>
      </c>
      <c r="BM167">
        <v>165</v>
      </c>
      <c r="BN167" t="s">
        <v>6</v>
      </c>
      <c r="BO167" s="1">
        <v>0.25859379999999998</v>
      </c>
      <c r="BP167" t="s">
        <v>7</v>
      </c>
      <c r="BQ167" s="1">
        <v>0.5</v>
      </c>
      <c r="BR167" t="s">
        <v>8</v>
      </c>
      <c r="BS167" s="1">
        <v>0</v>
      </c>
      <c r="BT167" s="1">
        <v>12.184781371528</v>
      </c>
      <c r="BU167" s="1">
        <f t="shared" si="15"/>
        <v>0.51718759999999997</v>
      </c>
      <c r="BV167" s="1">
        <f t="shared" si="16"/>
        <v>12.184781371528</v>
      </c>
      <c r="BX167" s="1">
        <v>165</v>
      </c>
      <c r="BY167" s="1">
        <v>17.4506756276099</v>
      </c>
      <c r="CA167" t="s">
        <v>4</v>
      </c>
      <c r="CB167">
        <v>0</v>
      </c>
      <c r="CC167" t="s">
        <v>5</v>
      </c>
      <c r="CD167">
        <v>165</v>
      </c>
      <c r="CE167" t="s">
        <v>6</v>
      </c>
      <c r="CF167" s="1">
        <v>0.25859379999999998</v>
      </c>
      <c r="CG167" t="s">
        <v>7</v>
      </c>
      <c r="CH167" s="1">
        <v>0.5</v>
      </c>
      <c r="CI167" t="s">
        <v>8</v>
      </c>
      <c r="CJ167" s="1">
        <v>0</v>
      </c>
      <c r="CK167" s="1">
        <v>13.1933396625142</v>
      </c>
    </row>
    <row r="168" spans="43:89">
      <c r="AQ168" t="s">
        <v>7</v>
      </c>
      <c r="AR168" s="1">
        <v>0.5</v>
      </c>
      <c r="AS168" t="s">
        <v>8</v>
      </c>
      <c r="AT168" s="1">
        <v>0</v>
      </c>
      <c r="AU168" s="1">
        <v>3.3880088005202397E-2</v>
      </c>
      <c r="AW168" t="s">
        <v>4</v>
      </c>
      <c r="AX168">
        <v>0</v>
      </c>
      <c r="AY168" t="s">
        <v>5</v>
      </c>
      <c r="AZ168">
        <v>166</v>
      </c>
      <c r="BA168" t="s">
        <v>6</v>
      </c>
      <c r="BB168" s="1">
        <v>0.2601562</v>
      </c>
      <c r="BC168" t="s">
        <v>7</v>
      </c>
      <c r="BD168" s="1">
        <v>0.5</v>
      </c>
      <c r="BE168" t="s">
        <v>8</v>
      </c>
      <c r="BF168" s="1">
        <v>0</v>
      </c>
      <c r="BG168" s="1">
        <f t="shared" si="14"/>
        <v>0.52031240000000001</v>
      </c>
      <c r="BH168" s="1">
        <v>12.1465886848952</v>
      </c>
      <c r="BJ168" t="s">
        <v>4</v>
      </c>
      <c r="BK168">
        <v>0</v>
      </c>
      <c r="BL168" t="s">
        <v>5</v>
      </c>
      <c r="BM168">
        <v>166</v>
      </c>
      <c r="BN168" t="s">
        <v>6</v>
      </c>
      <c r="BO168" s="1">
        <v>0.2601562</v>
      </c>
      <c r="BP168" t="s">
        <v>7</v>
      </c>
      <c r="BQ168" s="1">
        <v>0.5</v>
      </c>
      <c r="BR168" t="s">
        <v>8</v>
      </c>
      <c r="BS168" s="1">
        <v>0</v>
      </c>
      <c r="BT168" s="1">
        <v>12.1530274134808</v>
      </c>
      <c r="BU168" s="1">
        <f t="shared" si="15"/>
        <v>0.52031240000000001</v>
      </c>
      <c r="BV168" s="1">
        <f t="shared" si="16"/>
        <v>12.1530274134808</v>
      </c>
      <c r="BX168" s="1">
        <v>166</v>
      </c>
      <c r="BY168" s="1">
        <v>17.452898683706501</v>
      </c>
      <c r="CA168" t="s">
        <v>4</v>
      </c>
      <c r="CB168">
        <v>0</v>
      </c>
      <c r="CC168" t="s">
        <v>5</v>
      </c>
      <c r="CD168">
        <v>166</v>
      </c>
      <c r="CE168" t="s">
        <v>6</v>
      </c>
      <c r="CF168" s="1">
        <v>0.2601562</v>
      </c>
      <c r="CG168" t="s">
        <v>7</v>
      </c>
      <c r="CH168" s="1">
        <v>0.5</v>
      </c>
      <c r="CI168" t="s">
        <v>8</v>
      </c>
      <c r="CJ168" s="1">
        <v>0</v>
      </c>
      <c r="CK168" s="1">
        <v>13.191172758511801</v>
      </c>
    </row>
    <row r="169" spans="43:89">
      <c r="AQ169" t="s">
        <v>7</v>
      </c>
      <c r="AR169" s="1">
        <v>0.5</v>
      </c>
      <c r="AS169" t="s">
        <v>8</v>
      </c>
      <c r="AT169" s="1">
        <v>0</v>
      </c>
      <c r="AU169" s="1">
        <v>3.3887168727953401E-2</v>
      </c>
      <c r="AW169" t="s">
        <v>4</v>
      </c>
      <c r="AX169">
        <v>0</v>
      </c>
      <c r="AY169" t="s">
        <v>5</v>
      </c>
      <c r="AZ169">
        <v>167</v>
      </c>
      <c r="BA169" t="s">
        <v>6</v>
      </c>
      <c r="BB169" s="1">
        <v>0.26171879999999997</v>
      </c>
      <c r="BC169" t="s">
        <v>7</v>
      </c>
      <c r="BD169" s="1">
        <v>0.5</v>
      </c>
      <c r="BE169" t="s">
        <v>8</v>
      </c>
      <c r="BF169" s="1">
        <v>0</v>
      </c>
      <c r="BG169" s="1">
        <f t="shared" si="14"/>
        <v>0.52343759999999995</v>
      </c>
      <c r="BH169" s="1">
        <v>12.128496502643699</v>
      </c>
      <c r="BJ169" t="s">
        <v>4</v>
      </c>
      <c r="BK169">
        <v>0</v>
      </c>
      <c r="BL169" t="s">
        <v>5</v>
      </c>
      <c r="BM169">
        <v>167</v>
      </c>
      <c r="BN169" t="s">
        <v>6</v>
      </c>
      <c r="BO169" s="1">
        <v>0.26171879999999997</v>
      </c>
      <c r="BP169" t="s">
        <v>7</v>
      </c>
      <c r="BQ169" s="1">
        <v>0.5</v>
      </c>
      <c r="BR169" t="s">
        <v>8</v>
      </c>
      <c r="BS169" s="1">
        <v>0</v>
      </c>
      <c r="BT169" s="1">
        <v>12.123439161306299</v>
      </c>
      <c r="BU169" s="1">
        <f t="shared" si="15"/>
        <v>0.52343759999999995</v>
      </c>
      <c r="BV169" s="1">
        <f t="shared" si="16"/>
        <v>12.123439161306299</v>
      </c>
      <c r="BX169" s="1">
        <v>167</v>
      </c>
      <c r="BY169" s="1">
        <v>17.4550458483385</v>
      </c>
      <c r="CA169" t="s">
        <v>4</v>
      </c>
      <c r="CB169">
        <v>0</v>
      </c>
      <c r="CC169" t="s">
        <v>5</v>
      </c>
      <c r="CD169">
        <v>167</v>
      </c>
      <c r="CE169" t="s">
        <v>6</v>
      </c>
      <c r="CF169" s="1">
        <v>0.26171879999999997</v>
      </c>
      <c r="CG169" t="s">
        <v>7</v>
      </c>
      <c r="CH169" s="1">
        <v>0.5</v>
      </c>
      <c r="CI169" t="s">
        <v>8</v>
      </c>
      <c r="CJ169" s="1">
        <v>0</v>
      </c>
      <c r="CK169" s="1">
        <v>13.188916861014301</v>
      </c>
    </row>
    <row r="170" spans="43:89">
      <c r="AQ170" t="s">
        <v>7</v>
      </c>
      <c r="AR170" s="1">
        <v>0.5</v>
      </c>
      <c r="AS170" t="s">
        <v>8</v>
      </c>
      <c r="AT170" s="1">
        <v>0</v>
      </c>
      <c r="AU170" s="1">
        <v>3.3894261183794502E-2</v>
      </c>
      <c r="AW170" t="s">
        <v>4</v>
      </c>
      <c r="AX170">
        <v>0</v>
      </c>
      <c r="AY170" t="s">
        <v>5</v>
      </c>
      <c r="AZ170">
        <v>168</v>
      </c>
      <c r="BA170" t="s">
        <v>6</v>
      </c>
      <c r="BB170" s="1">
        <v>0.2632813</v>
      </c>
      <c r="BC170" t="s">
        <v>7</v>
      </c>
      <c r="BD170" s="1">
        <v>0.5</v>
      </c>
      <c r="BE170" t="s">
        <v>8</v>
      </c>
      <c r="BF170" s="1">
        <v>0</v>
      </c>
      <c r="BG170" s="1">
        <f t="shared" si="14"/>
        <v>0.52656259999999999</v>
      </c>
      <c r="BH170" s="1">
        <v>12.1114989074419</v>
      </c>
      <c r="BJ170" t="s">
        <v>4</v>
      </c>
      <c r="BK170">
        <v>0</v>
      </c>
      <c r="BL170" t="s">
        <v>5</v>
      </c>
      <c r="BM170">
        <v>168</v>
      </c>
      <c r="BN170" t="s">
        <v>6</v>
      </c>
      <c r="BO170" s="1">
        <v>0.2632813</v>
      </c>
      <c r="BP170" t="s">
        <v>7</v>
      </c>
      <c r="BQ170" s="1">
        <v>0.5</v>
      </c>
      <c r="BR170" t="s">
        <v>8</v>
      </c>
      <c r="BS170" s="1">
        <v>0</v>
      </c>
      <c r="BT170" s="1">
        <v>12.0961236830787</v>
      </c>
      <c r="BU170" s="1">
        <f t="shared" si="15"/>
        <v>0.52656259999999999</v>
      </c>
      <c r="BV170" s="1">
        <f t="shared" si="16"/>
        <v>12.0961236830787</v>
      </c>
      <c r="BX170" s="1">
        <v>168</v>
      </c>
      <c r="BY170" s="1">
        <v>17.457096867929899</v>
      </c>
      <c r="CA170" t="s">
        <v>4</v>
      </c>
      <c r="CB170">
        <v>0</v>
      </c>
      <c r="CC170" t="s">
        <v>5</v>
      </c>
      <c r="CD170">
        <v>168</v>
      </c>
      <c r="CE170" t="s">
        <v>6</v>
      </c>
      <c r="CF170" s="1">
        <v>0.2632813</v>
      </c>
      <c r="CG170" t="s">
        <v>7</v>
      </c>
      <c r="CH170" s="1">
        <v>0.5</v>
      </c>
      <c r="CI170" t="s">
        <v>8</v>
      </c>
      <c r="CJ170" s="1">
        <v>0</v>
      </c>
      <c r="CK170" s="1">
        <v>13.186575198055399</v>
      </c>
    </row>
    <row r="171" spans="43:89">
      <c r="AQ171" t="s">
        <v>7</v>
      </c>
      <c r="AR171" s="1">
        <v>0.5</v>
      </c>
      <c r="AS171" t="s">
        <v>8</v>
      </c>
      <c r="AT171" s="1">
        <v>0</v>
      </c>
      <c r="AU171" s="1">
        <v>3.3901364325049699E-2</v>
      </c>
      <c r="AW171" t="s">
        <v>4</v>
      </c>
      <c r="AX171">
        <v>0</v>
      </c>
      <c r="AY171" t="s">
        <v>5</v>
      </c>
      <c r="AZ171">
        <v>169</v>
      </c>
      <c r="BA171" t="s">
        <v>6</v>
      </c>
      <c r="BB171" s="1">
        <v>0.26484370000000002</v>
      </c>
      <c r="BC171" t="s">
        <v>7</v>
      </c>
      <c r="BD171" s="1">
        <v>0.5</v>
      </c>
      <c r="BE171" t="s">
        <v>8</v>
      </c>
      <c r="BF171" s="1">
        <v>0</v>
      </c>
      <c r="BG171" s="1">
        <f t="shared" si="14"/>
        <v>0.52968740000000003</v>
      </c>
      <c r="BH171" s="1">
        <v>12.0956030423432</v>
      </c>
      <c r="BJ171" t="s">
        <v>4</v>
      </c>
      <c r="BK171">
        <v>0</v>
      </c>
      <c r="BL171" t="s">
        <v>5</v>
      </c>
      <c r="BM171">
        <v>169</v>
      </c>
      <c r="BN171" t="s">
        <v>6</v>
      </c>
      <c r="BO171" s="1">
        <v>0.26484370000000002</v>
      </c>
      <c r="BP171" t="s">
        <v>7</v>
      </c>
      <c r="BQ171" s="1">
        <v>0.5</v>
      </c>
      <c r="BR171" t="s">
        <v>8</v>
      </c>
      <c r="BS171" s="1">
        <v>0</v>
      </c>
      <c r="BT171" s="1">
        <v>12.07118803467</v>
      </c>
      <c r="BU171" s="1">
        <f t="shared" si="15"/>
        <v>0.52968740000000003</v>
      </c>
      <c r="BV171" s="1">
        <f t="shared" si="16"/>
        <v>12.07118803467</v>
      </c>
      <c r="BX171" s="1">
        <v>169</v>
      </c>
      <c r="BY171" s="1">
        <v>17.4590329500592</v>
      </c>
      <c r="CA171" t="s">
        <v>4</v>
      </c>
      <c r="CB171">
        <v>0</v>
      </c>
      <c r="CC171" t="s">
        <v>5</v>
      </c>
      <c r="CD171">
        <v>169</v>
      </c>
      <c r="CE171" t="s">
        <v>6</v>
      </c>
      <c r="CF171" s="1">
        <v>0.26484370000000002</v>
      </c>
      <c r="CG171" t="s">
        <v>7</v>
      </c>
      <c r="CH171" s="1">
        <v>0.5</v>
      </c>
      <c r="CI171" t="s">
        <v>8</v>
      </c>
      <c r="CJ171" s="1">
        <v>0</v>
      </c>
      <c r="CK171" s="1">
        <v>13.184150808579099</v>
      </c>
    </row>
    <row r="172" spans="43:89">
      <c r="AQ172" t="s">
        <v>7</v>
      </c>
      <c r="AR172" s="1">
        <v>0.5</v>
      </c>
      <c r="AS172" t="s">
        <v>8</v>
      </c>
      <c r="AT172" s="1">
        <v>0</v>
      </c>
      <c r="AU172" s="1">
        <v>3.39084771181501E-2</v>
      </c>
      <c r="AW172" t="s">
        <v>4</v>
      </c>
      <c r="AX172">
        <v>0</v>
      </c>
      <c r="AY172" t="s">
        <v>5</v>
      </c>
      <c r="AZ172">
        <v>170</v>
      </c>
      <c r="BA172" t="s">
        <v>6</v>
      </c>
      <c r="BB172" s="1">
        <v>0.26640629999999998</v>
      </c>
      <c r="BC172" t="s">
        <v>7</v>
      </c>
      <c r="BD172" s="1">
        <v>0.5</v>
      </c>
      <c r="BE172" t="s">
        <v>8</v>
      </c>
      <c r="BF172" s="1">
        <v>0</v>
      </c>
      <c r="BG172" s="1">
        <f t="shared" si="14"/>
        <v>0.53281259999999997</v>
      </c>
      <c r="BH172" s="1">
        <v>12.0808824735514</v>
      </c>
      <c r="BJ172" t="s">
        <v>4</v>
      </c>
      <c r="BK172">
        <v>0</v>
      </c>
      <c r="BL172" t="s">
        <v>5</v>
      </c>
      <c r="BM172">
        <v>170</v>
      </c>
      <c r="BN172" t="s">
        <v>6</v>
      </c>
      <c r="BO172" s="1">
        <v>0.26640629999999998</v>
      </c>
      <c r="BP172" t="s">
        <v>7</v>
      </c>
      <c r="BQ172" s="1">
        <v>0.5</v>
      </c>
      <c r="BR172" t="s">
        <v>8</v>
      </c>
      <c r="BS172" s="1">
        <v>0</v>
      </c>
      <c r="BT172" s="1">
        <v>12.0487228335711</v>
      </c>
      <c r="BU172" s="1">
        <f t="shared" si="15"/>
        <v>0.53281259999999997</v>
      </c>
      <c r="BV172" s="1">
        <f t="shared" si="16"/>
        <v>12.0487228335711</v>
      </c>
      <c r="BX172" s="1">
        <v>170</v>
      </c>
      <c r="BY172" s="1">
        <v>17.460864692046901</v>
      </c>
      <c r="CA172" t="s">
        <v>4</v>
      </c>
      <c r="CB172">
        <v>0</v>
      </c>
      <c r="CC172" t="s">
        <v>5</v>
      </c>
      <c r="CD172">
        <v>170</v>
      </c>
      <c r="CE172" t="s">
        <v>6</v>
      </c>
      <c r="CF172" s="1">
        <v>0.26640629999999998</v>
      </c>
      <c r="CG172" t="s">
        <v>7</v>
      </c>
      <c r="CH172" s="1">
        <v>0.5</v>
      </c>
      <c r="CI172" t="s">
        <v>8</v>
      </c>
      <c r="CJ172" s="1">
        <v>0</v>
      </c>
      <c r="CK172" s="1">
        <v>13.1816317458662</v>
      </c>
    </row>
    <row r="173" spans="43:89">
      <c r="AQ173" t="s">
        <v>7</v>
      </c>
      <c r="AR173" s="1">
        <v>0.5</v>
      </c>
      <c r="AS173" t="s">
        <v>8</v>
      </c>
      <c r="AT173" s="1">
        <v>0</v>
      </c>
      <c r="AU173" s="1">
        <v>3.3915598543216602E-2</v>
      </c>
      <c r="AW173" t="s">
        <v>4</v>
      </c>
      <c r="AX173">
        <v>0</v>
      </c>
      <c r="AY173" t="s">
        <v>5</v>
      </c>
      <c r="AZ173">
        <v>171</v>
      </c>
      <c r="BA173" t="s">
        <v>6</v>
      </c>
      <c r="BB173" s="1">
        <v>0.2679687</v>
      </c>
      <c r="BC173" t="s">
        <v>7</v>
      </c>
      <c r="BD173" s="1">
        <v>0.5</v>
      </c>
      <c r="BE173" t="s">
        <v>8</v>
      </c>
      <c r="BF173" s="1">
        <v>0</v>
      </c>
      <c r="BG173" s="1">
        <f t="shared" si="14"/>
        <v>0.53593740000000001</v>
      </c>
      <c r="BH173" s="1">
        <v>12.0674001072883</v>
      </c>
      <c r="BJ173" t="s">
        <v>4</v>
      </c>
      <c r="BK173">
        <v>0</v>
      </c>
      <c r="BL173" t="s">
        <v>5</v>
      </c>
      <c r="BM173">
        <v>171</v>
      </c>
      <c r="BN173" t="s">
        <v>6</v>
      </c>
      <c r="BO173" s="1">
        <v>0.2679687</v>
      </c>
      <c r="BP173" t="s">
        <v>7</v>
      </c>
      <c r="BQ173" s="1">
        <v>0.5</v>
      </c>
      <c r="BR173" t="s">
        <v>8</v>
      </c>
      <c r="BS173" s="1">
        <v>0</v>
      </c>
      <c r="BT173" s="1">
        <v>12.0288264607986</v>
      </c>
      <c r="BU173" s="1">
        <f t="shared" si="15"/>
        <v>0.53593740000000001</v>
      </c>
      <c r="BV173" s="1">
        <f t="shared" si="16"/>
        <v>12.0288264607986</v>
      </c>
      <c r="BX173" s="1">
        <v>171</v>
      </c>
      <c r="BY173" s="1">
        <v>17.462580514851101</v>
      </c>
      <c r="CA173" t="s">
        <v>4</v>
      </c>
      <c r="CB173">
        <v>0</v>
      </c>
      <c r="CC173" t="s">
        <v>5</v>
      </c>
      <c r="CD173">
        <v>171</v>
      </c>
      <c r="CE173" t="s">
        <v>6</v>
      </c>
      <c r="CF173" s="1">
        <v>0.2679687</v>
      </c>
      <c r="CG173" t="s">
        <v>7</v>
      </c>
      <c r="CH173" s="1">
        <v>0.5</v>
      </c>
      <c r="CI173" t="s">
        <v>8</v>
      </c>
      <c r="CJ173" s="1">
        <v>0</v>
      </c>
      <c r="CK173" s="1">
        <v>13.179014859709101</v>
      </c>
    </row>
    <row r="174" spans="43:89">
      <c r="AQ174" t="s">
        <v>7</v>
      </c>
      <c r="AR174" s="1">
        <v>0.5</v>
      </c>
      <c r="AS174" t="s">
        <v>8</v>
      </c>
      <c r="AT174" s="1">
        <v>0</v>
      </c>
      <c r="AU174" s="1">
        <v>3.3922775193830003E-2</v>
      </c>
      <c r="AW174" t="s">
        <v>4</v>
      </c>
      <c r="AX174">
        <v>0</v>
      </c>
      <c r="AY174" t="s">
        <v>5</v>
      </c>
      <c r="AZ174">
        <v>172</v>
      </c>
      <c r="BA174" t="s">
        <v>6</v>
      </c>
      <c r="BB174" s="1">
        <v>0.26953120000000003</v>
      </c>
      <c r="BC174" t="s">
        <v>7</v>
      </c>
      <c r="BD174" s="1">
        <v>0.5</v>
      </c>
      <c r="BE174" t="s">
        <v>8</v>
      </c>
      <c r="BF174" s="1">
        <v>0</v>
      </c>
      <c r="BG174" s="1">
        <f t="shared" si="14"/>
        <v>0.53906240000000005</v>
      </c>
      <c r="BH174" s="1">
        <v>12.055214020248901</v>
      </c>
      <c r="BJ174" t="s">
        <v>4</v>
      </c>
      <c r="BK174">
        <v>0</v>
      </c>
      <c r="BL174" t="s">
        <v>5</v>
      </c>
      <c r="BM174">
        <v>172</v>
      </c>
      <c r="BN174" t="s">
        <v>6</v>
      </c>
      <c r="BO174" s="1">
        <v>0.26953120000000003</v>
      </c>
      <c r="BP174" t="s">
        <v>7</v>
      </c>
      <c r="BQ174" s="1">
        <v>0.5</v>
      </c>
      <c r="BR174" t="s">
        <v>8</v>
      </c>
      <c r="BS174" s="1">
        <v>0</v>
      </c>
      <c r="BT174" s="1">
        <v>12.011628386419</v>
      </c>
      <c r="BU174" s="1">
        <f t="shared" si="15"/>
        <v>0.53906240000000005</v>
      </c>
      <c r="BV174" s="1">
        <f t="shared" si="16"/>
        <v>12.011628386419</v>
      </c>
      <c r="BX174" s="1">
        <v>172</v>
      </c>
      <c r="BY174" s="1">
        <v>17.464174764054398</v>
      </c>
      <c r="CA174" t="s">
        <v>4</v>
      </c>
      <c r="CB174">
        <v>0</v>
      </c>
      <c r="CC174" t="s">
        <v>5</v>
      </c>
      <c r="CD174">
        <v>172</v>
      </c>
      <c r="CE174" t="s">
        <v>6</v>
      </c>
      <c r="CF174" s="1">
        <v>0.26953120000000003</v>
      </c>
      <c r="CG174" t="s">
        <v>7</v>
      </c>
      <c r="CH174" s="1">
        <v>0.5</v>
      </c>
      <c r="CI174" t="s">
        <v>8</v>
      </c>
      <c r="CJ174" s="1">
        <v>0</v>
      </c>
      <c r="CK174" s="1">
        <v>13.1763126464596</v>
      </c>
    </row>
    <row r="175" spans="43:89">
      <c r="AQ175" t="s">
        <v>7</v>
      </c>
      <c r="AR175" s="1">
        <v>0.5</v>
      </c>
      <c r="AS175" t="s">
        <v>8</v>
      </c>
      <c r="AT175" s="1">
        <v>0</v>
      </c>
      <c r="AU175" s="1">
        <v>3.3929975835212699E-2</v>
      </c>
      <c r="AW175" t="s">
        <v>4</v>
      </c>
      <c r="AX175">
        <v>0</v>
      </c>
      <c r="AY175" t="s">
        <v>5</v>
      </c>
      <c r="AZ175">
        <v>173</v>
      </c>
      <c r="BA175" t="s">
        <v>6</v>
      </c>
      <c r="BB175" s="1">
        <v>0.2710938</v>
      </c>
      <c r="BC175" t="s">
        <v>7</v>
      </c>
      <c r="BD175" s="1">
        <v>0.5</v>
      </c>
      <c r="BE175" t="s">
        <v>8</v>
      </c>
      <c r="BF175" s="1">
        <v>0</v>
      </c>
      <c r="BG175" s="1">
        <f t="shared" si="14"/>
        <v>0.54218759999999999</v>
      </c>
      <c r="BH175" s="1">
        <v>12.044383575065201</v>
      </c>
      <c r="BJ175" t="s">
        <v>4</v>
      </c>
      <c r="BK175">
        <v>0</v>
      </c>
      <c r="BL175" t="s">
        <v>5</v>
      </c>
      <c r="BM175">
        <v>173</v>
      </c>
      <c r="BN175" t="s">
        <v>6</v>
      </c>
      <c r="BO175" s="1">
        <v>0.2710938</v>
      </c>
      <c r="BP175" t="s">
        <v>7</v>
      </c>
      <c r="BQ175" s="1">
        <v>0.5</v>
      </c>
      <c r="BR175" t="s">
        <v>8</v>
      </c>
      <c r="BS175" s="1">
        <v>0</v>
      </c>
      <c r="BT175" s="1">
        <v>11.997189364413799</v>
      </c>
      <c r="BU175" s="1">
        <f t="shared" si="15"/>
        <v>0.54218759999999999</v>
      </c>
      <c r="BV175" s="1">
        <f t="shared" si="16"/>
        <v>11.997189364413799</v>
      </c>
      <c r="BX175" s="1">
        <v>173</v>
      </c>
      <c r="BY175" s="1">
        <v>17.4656777763233</v>
      </c>
      <c r="CA175" t="s">
        <v>4</v>
      </c>
      <c r="CB175">
        <v>0</v>
      </c>
      <c r="CC175" t="s">
        <v>5</v>
      </c>
      <c r="CD175">
        <v>173</v>
      </c>
      <c r="CE175" t="s">
        <v>6</v>
      </c>
      <c r="CF175" s="1">
        <v>0.2710938</v>
      </c>
      <c r="CG175" t="s">
        <v>7</v>
      </c>
      <c r="CH175" s="1">
        <v>0.5</v>
      </c>
      <c r="CI175" t="s">
        <v>8</v>
      </c>
      <c r="CJ175" s="1">
        <v>0</v>
      </c>
      <c r="CK175" s="1">
        <v>13.1735137912548</v>
      </c>
    </row>
    <row r="176" spans="43:89">
      <c r="AQ176" t="s">
        <v>7</v>
      </c>
      <c r="AR176" s="1">
        <v>0.5</v>
      </c>
      <c r="AS176" t="s">
        <v>8</v>
      </c>
      <c r="AT176" s="1">
        <v>0</v>
      </c>
      <c r="AU176" s="1">
        <v>3.3937281195456602E-2</v>
      </c>
      <c r="AW176" t="s">
        <v>4</v>
      </c>
      <c r="AX176">
        <v>0</v>
      </c>
      <c r="AY176" t="s">
        <v>5</v>
      </c>
      <c r="AZ176">
        <v>174</v>
      </c>
      <c r="BA176" t="s">
        <v>6</v>
      </c>
      <c r="BB176" s="1">
        <v>0.27265620000000002</v>
      </c>
      <c r="BC176" t="s">
        <v>7</v>
      </c>
      <c r="BD176" s="1">
        <v>0.5</v>
      </c>
      <c r="BE176" t="s">
        <v>8</v>
      </c>
      <c r="BF176" s="1">
        <v>0</v>
      </c>
      <c r="BG176" s="1">
        <f t="shared" si="14"/>
        <v>0.54531240000000003</v>
      </c>
      <c r="BH176" s="1">
        <v>12.034985756919401</v>
      </c>
      <c r="BJ176" t="s">
        <v>4</v>
      </c>
      <c r="BK176">
        <v>0</v>
      </c>
      <c r="BL176" t="s">
        <v>5</v>
      </c>
      <c r="BM176">
        <v>174</v>
      </c>
      <c r="BN176" t="s">
        <v>6</v>
      </c>
      <c r="BO176" s="1">
        <v>0.27265620000000002</v>
      </c>
      <c r="BP176" t="s">
        <v>7</v>
      </c>
      <c r="BQ176" s="1">
        <v>0.5</v>
      </c>
      <c r="BR176" t="s">
        <v>8</v>
      </c>
      <c r="BS176" s="1">
        <v>0</v>
      </c>
      <c r="BT176" s="1">
        <v>11.985603566596</v>
      </c>
      <c r="BU176" s="1">
        <f t="shared" si="15"/>
        <v>0.54531240000000003</v>
      </c>
      <c r="BV176" s="1">
        <f t="shared" si="16"/>
        <v>11.985603566596</v>
      </c>
      <c r="BX176" s="1">
        <v>174</v>
      </c>
      <c r="BY176" s="1">
        <v>17.467021237481699</v>
      </c>
      <c r="CA176" t="s">
        <v>4</v>
      </c>
      <c r="CB176">
        <v>0</v>
      </c>
      <c r="CC176" t="s">
        <v>5</v>
      </c>
      <c r="CD176">
        <v>174</v>
      </c>
      <c r="CE176" t="s">
        <v>6</v>
      </c>
      <c r="CF176" s="1">
        <v>0.27265620000000002</v>
      </c>
      <c r="CG176" t="s">
        <v>7</v>
      </c>
      <c r="CH176" s="1">
        <v>0.5</v>
      </c>
      <c r="CI176" t="s">
        <v>8</v>
      </c>
      <c r="CJ176" s="1">
        <v>0</v>
      </c>
      <c r="CK176" s="1">
        <v>13.170615452143</v>
      </c>
    </row>
    <row r="177" spans="43:89">
      <c r="AQ177" t="s">
        <v>7</v>
      </c>
      <c r="AR177" s="1">
        <v>0.5</v>
      </c>
      <c r="AS177" t="s">
        <v>8</v>
      </c>
      <c r="AT177" s="1">
        <v>0</v>
      </c>
      <c r="AU177" s="1">
        <v>3.3944426313328599E-2</v>
      </c>
      <c r="AW177" t="s">
        <v>4</v>
      </c>
      <c r="AX177">
        <v>0</v>
      </c>
      <c r="AY177" t="s">
        <v>5</v>
      </c>
      <c r="AZ177">
        <v>175</v>
      </c>
      <c r="BA177" t="s">
        <v>6</v>
      </c>
      <c r="BB177" s="1">
        <v>0.27421879999999998</v>
      </c>
      <c r="BC177" t="s">
        <v>7</v>
      </c>
      <c r="BD177" s="1">
        <v>0.5</v>
      </c>
      <c r="BE177" t="s">
        <v>8</v>
      </c>
      <c r="BF177" s="1">
        <v>0</v>
      </c>
      <c r="BG177" s="1">
        <f t="shared" si="14"/>
        <v>0.54843759999999997</v>
      </c>
      <c r="BH177" s="1">
        <v>12.0270593820762</v>
      </c>
      <c r="BJ177" t="s">
        <v>4</v>
      </c>
      <c r="BK177">
        <v>0</v>
      </c>
      <c r="BL177" t="s">
        <v>5</v>
      </c>
      <c r="BM177">
        <v>175</v>
      </c>
      <c r="BN177" t="s">
        <v>6</v>
      </c>
      <c r="BO177" s="1">
        <v>0.27421879999999998</v>
      </c>
      <c r="BP177" t="s">
        <v>7</v>
      </c>
      <c r="BQ177" s="1">
        <v>0.5</v>
      </c>
      <c r="BR177" t="s">
        <v>8</v>
      </c>
      <c r="BS177" s="1">
        <v>0</v>
      </c>
      <c r="BT177" s="1">
        <v>11.976984068300199</v>
      </c>
      <c r="BU177" s="1">
        <f t="shared" si="15"/>
        <v>0.54843759999999997</v>
      </c>
      <c r="BV177" s="1">
        <f t="shared" si="16"/>
        <v>11.976984068300199</v>
      </c>
      <c r="BX177" s="1">
        <v>175</v>
      </c>
      <c r="BY177" s="1">
        <v>17.4681804036877</v>
      </c>
      <c r="CA177" t="s">
        <v>4</v>
      </c>
      <c r="CB177">
        <v>0</v>
      </c>
      <c r="CC177" t="s">
        <v>5</v>
      </c>
      <c r="CD177">
        <v>175</v>
      </c>
      <c r="CE177" t="s">
        <v>6</v>
      </c>
      <c r="CF177" s="1">
        <v>0.27421879999999998</v>
      </c>
      <c r="CG177" t="s">
        <v>7</v>
      </c>
      <c r="CH177" s="1">
        <v>0.5</v>
      </c>
      <c r="CI177" t="s">
        <v>8</v>
      </c>
      <c r="CJ177" s="1">
        <v>0</v>
      </c>
      <c r="CK177" s="1">
        <v>13.167622354556</v>
      </c>
    </row>
    <row r="178" spans="43:89">
      <c r="AQ178" t="s">
        <v>7</v>
      </c>
      <c r="AR178" s="1">
        <v>0.5</v>
      </c>
      <c r="AS178" t="s">
        <v>8</v>
      </c>
      <c r="AT178" s="1">
        <v>0</v>
      </c>
      <c r="AU178" s="1">
        <v>3.3951575194207398E-2</v>
      </c>
      <c r="AW178" t="s">
        <v>4</v>
      </c>
      <c r="AX178">
        <v>0</v>
      </c>
      <c r="AY178" t="s">
        <v>5</v>
      </c>
      <c r="AZ178">
        <v>176</v>
      </c>
      <c r="BA178" t="s">
        <v>6</v>
      </c>
      <c r="BB178" s="1">
        <v>0.2757812</v>
      </c>
      <c r="BC178" t="s">
        <v>7</v>
      </c>
      <c r="BD178" s="1">
        <v>0.5</v>
      </c>
      <c r="BE178" t="s">
        <v>8</v>
      </c>
      <c r="BF178" s="1">
        <v>0</v>
      </c>
      <c r="BG178" s="1">
        <f t="shared" si="14"/>
        <v>0.55156240000000001</v>
      </c>
      <c r="BH178" s="1">
        <v>12.020687550208701</v>
      </c>
      <c r="BJ178" t="s">
        <v>4</v>
      </c>
      <c r="BK178">
        <v>0</v>
      </c>
      <c r="BL178" t="s">
        <v>5</v>
      </c>
      <c r="BM178">
        <v>176</v>
      </c>
      <c r="BN178" t="s">
        <v>6</v>
      </c>
      <c r="BO178" s="1">
        <v>0.2757812</v>
      </c>
      <c r="BP178" t="s">
        <v>7</v>
      </c>
      <c r="BQ178" s="1">
        <v>0.5</v>
      </c>
      <c r="BR178" t="s">
        <v>8</v>
      </c>
      <c r="BS178" s="1">
        <v>0</v>
      </c>
      <c r="BT178" s="1">
        <v>11.9714241985365</v>
      </c>
      <c r="BU178" s="1">
        <f t="shared" si="15"/>
        <v>0.55156240000000001</v>
      </c>
      <c r="BV178" s="1">
        <f t="shared" si="16"/>
        <v>11.9714241985365</v>
      </c>
      <c r="BX178" s="1">
        <v>176</v>
      </c>
      <c r="BY178" s="1">
        <v>17.469237559869899</v>
      </c>
      <c r="CA178" t="s">
        <v>4</v>
      </c>
      <c r="CB178">
        <v>0</v>
      </c>
      <c r="CC178" t="s">
        <v>5</v>
      </c>
      <c r="CD178">
        <v>176</v>
      </c>
      <c r="CE178" t="s">
        <v>6</v>
      </c>
      <c r="CF178" s="1">
        <v>0.2757812</v>
      </c>
      <c r="CG178" t="s">
        <v>7</v>
      </c>
      <c r="CH178" s="1">
        <v>0.5</v>
      </c>
      <c r="CI178" t="s">
        <v>8</v>
      </c>
      <c r="CJ178" s="1">
        <v>0</v>
      </c>
      <c r="CK178" s="1">
        <v>13.164515524895499</v>
      </c>
    </row>
    <row r="179" spans="43:89">
      <c r="AQ179" t="s">
        <v>7</v>
      </c>
      <c r="AR179" s="1">
        <v>0.5</v>
      </c>
      <c r="AS179" t="s">
        <v>8</v>
      </c>
      <c r="AT179" s="1">
        <v>0</v>
      </c>
      <c r="AU179" s="1">
        <v>3.3959067200806402E-2</v>
      </c>
      <c r="AW179" t="s">
        <v>4</v>
      </c>
      <c r="AX179">
        <v>0</v>
      </c>
      <c r="AY179" t="s">
        <v>5</v>
      </c>
      <c r="AZ179">
        <v>177</v>
      </c>
      <c r="BA179" t="s">
        <v>6</v>
      </c>
      <c r="BB179" s="1">
        <v>0.27734379999999997</v>
      </c>
      <c r="BC179" t="s">
        <v>7</v>
      </c>
      <c r="BD179" s="1">
        <v>0.5</v>
      </c>
      <c r="BE179" t="s">
        <v>8</v>
      </c>
      <c r="BF179" s="1">
        <v>0</v>
      </c>
      <c r="BG179" s="1">
        <f t="shared" si="14"/>
        <v>0.55468759999999995</v>
      </c>
      <c r="BH179" s="1">
        <v>12.015924235374399</v>
      </c>
      <c r="BJ179" t="s">
        <v>4</v>
      </c>
      <c r="BK179">
        <v>0</v>
      </c>
      <c r="BL179" t="s">
        <v>5</v>
      </c>
      <c r="BM179">
        <v>177</v>
      </c>
      <c r="BN179" t="s">
        <v>6</v>
      </c>
      <c r="BO179" s="1">
        <v>0.27734379999999997</v>
      </c>
      <c r="BP179" t="s">
        <v>7</v>
      </c>
      <c r="BQ179" s="1">
        <v>0.5</v>
      </c>
      <c r="BR179" t="s">
        <v>8</v>
      </c>
      <c r="BS179" s="1">
        <v>0</v>
      </c>
      <c r="BT179" s="1">
        <v>11.9690392511254</v>
      </c>
      <c r="BU179" s="1">
        <f t="shared" si="15"/>
        <v>0.55468759999999995</v>
      </c>
      <c r="BV179" s="1">
        <f t="shared" si="16"/>
        <v>11.9690392511254</v>
      </c>
      <c r="BX179" s="1">
        <v>177</v>
      </c>
      <c r="BY179" s="1">
        <v>17.470149653704699</v>
      </c>
      <c r="CA179" t="s">
        <v>4</v>
      </c>
      <c r="CB179">
        <v>0</v>
      </c>
      <c r="CC179" t="s">
        <v>5</v>
      </c>
      <c r="CD179">
        <v>177</v>
      </c>
      <c r="CE179" t="s">
        <v>6</v>
      </c>
      <c r="CF179" s="1">
        <v>0.27734379999999997</v>
      </c>
      <c r="CG179" t="s">
        <v>7</v>
      </c>
      <c r="CH179" s="1">
        <v>0.5</v>
      </c>
      <c r="CI179" t="s">
        <v>8</v>
      </c>
      <c r="CJ179" s="1">
        <v>0</v>
      </c>
      <c r="CK179" s="1">
        <v>13.161304676794501</v>
      </c>
    </row>
    <row r="180" spans="43:89">
      <c r="AQ180" t="s">
        <v>7</v>
      </c>
      <c r="AR180" s="1">
        <v>0.5</v>
      </c>
      <c r="AS180" t="s">
        <v>8</v>
      </c>
      <c r="AT180" s="1">
        <v>0</v>
      </c>
      <c r="AU180" s="1">
        <v>3.39662471430675E-2</v>
      </c>
      <c r="AW180" t="s">
        <v>4</v>
      </c>
      <c r="AX180">
        <v>0</v>
      </c>
      <c r="AY180" t="s">
        <v>5</v>
      </c>
      <c r="AZ180">
        <v>178</v>
      </c>
      <c r="BA180" t="s">
        <v>6</v>
      </c>
      <c r="BB180" s="1">
        <v>0.2789063</v>
      </c>
      <c r="BC180" t="s">
        <v>7</v>
      </c>
      <c r="BD180" s="1">
        <v>0.5</v>
      </c>
      <c r="BE180" t="s">
        <v>8</v>
      </c>
      <c r="BF180" s="1">
        <v>0</v>
      </c>
      <c r="BG180" s="1">
        <f t="shared" si="14"/>
        <v>0.55781259999999999</v>
      </c>
      <c r="BH180" s="1">
        <v>12.0128401493411</v>
      </c>
      <c r="BJ180" t="s">
        <v>4</v>
      </c>
      <c r="BK180">
        <v>0</v>
      </c>
      <c r="BL180" t="s">
        <v>5</v>
      </c>
      <c r="BM180">
        <v>178</v>
      </c>
      <c r="BN180" t="s">
        <v>6</v>
      </c>
      <c r="BO180" s="1">
        <v>0.2789063</v>
      </c>
      <c r="BP180" t="s">
        <v>7</v>
      </c>
      <c r="BQ180" s="1">
        <v>0.5</v>
      </c>
      <c r="BR180" t="s">
        <v>8</v>
      </c>
      <c r="BS180" s="1">
        <v>0</v>
      </c>
      <c r="BT180" s="1">
        <v>11.9699082389017</v>
      </c>
      <c r="BU180" s="1">
        <f t="shared" si="15"/>
        <v>0.55781259999999999</v>
      </c>
      <c r="BV180" s="1">
        <f t="shared" si="16"/>
        <v>11.9699082389017</v>
      </c>
      <c r="BX180" s="1">
        <v>178</v>
      </c>
      <c r="BY180" s="1">
        <v>17.4709624675348</v>
      </c>
      <c r="CA180" t="s">
        <v>4</v>
      </c>
      <c r="CB180">
        <v>0</v>
      </c>
      <c r="CC180" t="s">
        <v>5</v>
      </c>
      <c r="CD180">
        <v>178</v>
      </c>
      <c r="CE180" t="s">
        <v>6</v>
      </c>
      <c r="CF180" s="1">
        <v>0.2789063</v>
      </c>
      <c r="CG180" t="s">
        <v>7</v>
      </c>
      <c r="CH180" s="1">
        <v>0.5</v>
      </c>
      <c r="CI180" t="s">
        <v>8</v>
      </c>
      <c r="CJ180" s="1">
        <v>0</v>
      </c>
      <c r="CK180" s="1">
        <v>13.1579911574481</v>
      </c>
    </row>
    <row r="181" spans="43:89">
      <c r="AQ181" t="s">
        <v>7</v>
      </c>
      <c r="AR181" s="1">
        <v>0.5</v>
      </c>
      <c r="AS181" t="s">
        <v>8</v>
      </c>
      <c r="AT181" s="1">
        <v>0</v>
      </c>
      <c r="AU181" s="1">
        <v>3.3973413596597897E-2</v>
      </c>
      <c r="AW181" t="s">
        <v>4</v>
      </c>
      <c r="AX181">
        <v>0</v>
      </c>
      <c r="AY181" t="s">
        <v>5</v>
      </c>
      <c r="AZ181">
        <v>179</v>
      </c>
      <c r="BA181" t="s">
        <v>6</v>
      </c>
      <c r="BB181" s="1">
        <v>0.28046870000000002</v>
      </c>
      <c r="BC181" t="s">
        <v>7</v>
      </c>
      <c r="BD181" s="1">
        <v>0.5</v>
      </c>
      <c r="BE181" t="s">
        <v>8</v>
      </c>
      <c r="BF181" s="1">
        <v>0</v>
      </c>
      <c r="BG181" s="1">
        <f t="shared" si="14"/>
        <v>0.56093740000000003</v>
      </c>
      <c r="BH181" s="1">
        <v>12.0115254478414</v>
      </c>
      <c r="BJ181" t="s">
        <v>4</v>
      </c>
      <c r="BK181">
        <v>0</v>
      </c>
      <c r="BL181" t="s">
        <v>5</v>
      </c>
      <c r="BM181">
        <v>179</v>
      </c>
      <c r="BN181" t="s">
        <v>6</v>
      </c>
      <c r="BO181" s="1">
        <v>0.28046870000000002</v>
      </c>
      <c r="BP181" t="s">
        <v>7</v>
      </c>
      <c r="BQ181" s="1">
        <v>0.5</v>
      </c>
      <c r="BR181" t="s">
        <v>8</v>
      </c>
      <c r="BS181" s="1">
        <v>0</v>
      </c>
      <c r="BT181" s="1">
        <v>11.974148245076201</v>
      </c>
      <c r="BU181" s="1">
        <f t="shared" si="15"/>
        <v>0.56093740000000003</v>
      </c>
      <c r="BV181" s="1">
        <f t="shared" si="16"/>
        <v>11.974148245076201</v>
      </c>
      <c r="BX181" s="1">
        <v>179</v>
      </c>
      <c r="BY181" s="1">
        <v>17.4715817278339</v>
      </c>
      <c r="CA181" t="s">
        <v>4</v>
      </c>
      <c r="CB181">
        <v>0</v>
      </c>
      <c r="CC181" t="s">
        <v>5</v>
      </c>
      <c r="CD181">
        <v>179</v>
      </c>
      <c r="CE181" t="s">
        <v>6</v>
      </c>
      <c r="CF181" s="1">
        <v>0.28046870000000002</v>
      </c>
      <c r="CG181" t="s">
        <v>7</v>
      </c>
      <c r="CH181" s="1">
        <v>0.5</v>
      </c>
      <c r="CI181" t="s">
        <v>8</v>
      </c>
      <c r="CJ181" s="1">
        <v>0</v>
      </c>
      <c r="CK181" s="1">
        <v>13.154595240429799</v>
      </c>
    </row>
    <row r="182" spans="43:89">
      <c r="AQ182" t="s">
        <v>7</v>
      </c>
      <c r="AR182" s="1">
        <v>0.5</v>
      </c>
      <c r="AS182" t="s">
        <v>8</v>
      </c>
      <c r="AT182" s="1">
        <v>0</v>
      </c>
      <c r="AU182" s="1">
        <v>3.3980761906235703E-2</v>
      </c>
      <c r="AW182" t="s">
        <v>4</v>
      </c>
      <c r="AX182">
        <v>0</v>
      </c>
      <c r="AY182" t="s">
        <v>5</v>
      </c>
      <c r="AZ182">
        <v>180</v>
      </c>
      <c r="BA182" t="s">
        <v>6</v>
      </c>
      <c r="BB182" s="1">
        <v>0.28203129999999998</v>
      </c>
      <c r="BC182" t="s">
        <v>7</v>
      </c>
      <c r="BD182" s="1">
        <v>0.5</v>
      </c>
      <c r="BE182" t="s">
        <v>8</v>
      </c>
      <c r="BF182" s="1">
        <v>0</v>
      </c>
      <c r="BG182" s="1">
        <f t="shared" si="14"/>
        <v>0.56406259999999997</v>
      </c>
      <c r="BH182" s="1">
        <v>11.9910140335063</v>
      </c>
      <c r="BJ182" t="s">
        <v>4</v>
      </c>
      <c r="BK182">
        <v>0</v>
      </c>
      <c r="BL182" t="s">
        <v>5</v>
      </c>
      <c r="BM182">
        <v>180</v>
      </c>
      <c r="BN182" t="s">
        <v>6</v>
      </c>
      <c r="BO182" s="1">
        <v>0.28203129999999998</v>
      </c>
      <c r="BP182" t="s">
        <v>7</v>
      </c>
      <c r="BQ182" s="1">
        <v>0.5</v>
      </c>
      <c r="BR182" t="s">
        <v>8</v>
      </c>
      <c r="BS182" s="1">
        <v>0</v>
      </c>
      <c r="BT182" s="1">
        <v>11.981327104053699</v>
      </c>
      <c r="BU182" s="1">
        <f t="shared" si="15"/>
        <v>0.56406259999999997</v>
      </c>
      <c r="BV182" s="1">
        <f t="shared" si="16"/>
        <v>11.981327104053699</v>
      </c>
      <c r="BX182" s="1">
        <v>180</v>
      </c>
      <c r="BY182" s="1">
        <v>17.279698750629301</v>
      </c>
      <c r="CA182" t="s">
        <v>4</v>
      </c>
      <c r="CB182">
        <v>0</v>
      </c>
      <c r="CC182" t="s">
        <v>5</v>
      </c>
      <c r="CD182">
        <v>180</v>
      </c>
      <c r="CE182" t="s">
        <v>6</v>
      </c>
      <c r="CF182" s="1">
        <v>0.28203129999999998</v>
      </c>
      <c r="CG182" t="s">
        <v>7</v>
      </c>
      <c r="CH182" s="1">
        <v>0.5</v>
      </c>
      <c r="CI182" t="s">
        <v>8</v>
      </c>
      <c r="CJ182" s="1">
        <v>0</v>
      </c>
      <c r="CK182" s="1">
        <v>12.9317286803375</v>
      </c>
    </row>
    <row r="183" spans="43:89">
      <c r="AQ183" t="s">
        <v>7</v>
      </c>
      <c r="AR183" s="1">
        <v>0.5</v>
      </c>
      <c r="AS183" t="s">
        <v>8</v>
      </c>
      <c r="AT183" s="1">
        <v>0</v>
      </c>
      <c r="AU183" s="1">
        <v>3.3988338313535899E-2</v>
      </c>
      <c r="AW183" t="s">
        <v>4</v>
      </c>
      <c r="AX183">
        <v>0</v>
      </c>
      <c r="AY183" t="s">
        <v>5</v>
      </c>
      <c r="AZ183">
        <v>181</v>
      </c>
      <c r="BA183" t="s">
        <v>6</v>
      </c>
      <c r="BB183" s="1">
        <v>0.2835937</v>
      </c>
      <c r="BC183" t="s">
        <v>7</v>
      </c>
      <c r="BD183" s="1">
        <v>0.5</v>
      </c>
      <c r="BE183" t="s">
        <v>8</v>
      </c>
      <c r="BF183" s="1">
        <v>0</v>
      </c>
      <c r="BG183" s="1">
        <f t="shared" si="14"/>
        <v>0.56718740000000001</v>
      </c>
      <c r="BH183" s="1">
        <v>11.9505613751965</v>
      </c>
      <c r="BJ183" t="s">
        <v>4</v>
      </c>
      <c r="BK183">
        <v>0</v>
      </c>
      <c r="BL183" t="s">
        <v>5</v>
      </c>
      <c r="BM183">
        <v>181</v>
      </c>
      <c r="BN183" t="s">
        <v>6</v>
      </c>
      <c r="BO183" s="1">
        <v>0.2835937</v>
      </c>
      <c r="BP183" t="s">
        <v>7</v>
      </c>
      <c r="BQ183" s="1">
        <v>0.5</v>
      </c>
      <c r="BR183" t="s">
        <v>8</v>
      </c>
      <c r="BS183" s="1">
        <v>0</v>
      </c>
      <c r="BT183" s="1">
        <v>11.984285120648901</v>
      </c>
      <c r="BU183" s="1">
        <f t="shared" si="15"/>
        <v>0.56718740000000001</v>
      </c>
      <c r="BV183" s="1">
        <f t="shared" si="16"/>
        <v>11.984285120648901</v>
      </c>
      <c r="BX183" s="1">
        <v>181</v>
      </c>
      <c r="BY183" s="1">
        <v>17.280962882953499</v>
      </c>
      <c r="CA183" t="s">
        <v>4</v>
      </c>
      <c r="CB183">
        <v>0</v>
      </c>
      <c r="CC183" t="s">
        <v>5</v>
      </c>
      <c r="CD183">
        <v>181</v>
      </c>
      <c r="CE183" t="s">
        <v>6</v>
      </c>
      <c r="CF183" s="1">
        <v>0.2835937</v>
      </c>
      <c r="CG183" t="s">
        <v>7</v>
      </c>
      <c r="CH183" s="1">
        <v>0.5</v>
      </c>
      <c r="CI183" t="s">
        <v>8</v>
      </c>
      <c r="CJ183" s="1">
        <v>0</v>
      </c>
      <c r="CK183" s="1">
        <v>12.928819585666901</v>
      </c>
    </row>
    <row r="184" spans="43:89">
      <c r="AQ184" t="s">
        <v>7</v>
      </c>
      <c r="AR184" s="1">
        <v>0.5</v>
      </c>
      <c r="AS184" t="s">
        <v>8</v>
      </c>
      <c r="AT184" s="1">
        <v>0</v>
      </c>
      <c r="AU184" s="1">
        <v>3.3995981728055701E-2</v>
      </c>
      <c r="AW184" t="s">
        <v>4</v>
      </c>
      <c r="AX184">
        <v>0</v>
      </c>
      <c r="AY184" t="s">
        <v>5</v>
      </c>
      <c r="AZ184">
        <v>182</v>
      </c>
      <c r="BA184" t="s">
        <v>6</v>
      </c>
      <c r="BB184" s="1">
        <v>0.28515620000000003</v>
      </c>
      <c r="BC184" t="s">
        <v>7</v>
      </c>
      <c r="BD184" s="1">
        <v>0.5</v>
      </c>
      <c r="BE184" t="s">
        <v>8</v>
      </c>
      <c r="BF184" s="1">
        <v>0</v>
      </c>
      <c r="BG184" s="1">
        <f t="shared" si="14"/>
        <v>0.57031240000000005</v>
      </c>
      <c r="BH184" s="1">
        <v>11.9108844939507</v>
      </c>
      <c r="BJ184" t="s">
        <v>4</v>
      </c>
      <c r="BK184">
        <v>0</v>
      </c>
      <c r="BL184" t="s">
        <v>5</v>
      </c>
      <c r="BM184">
        <v>182</v>
      </c>
      <c r="BN184" t="s">
        <v>6</v>
      </c>
      <c r="BO184" s="1">
        <v>0.28515620000000003</v>
      </c>
      <c r="BP184" t="s">
        <v>7</v>
      </c>
      <c r="BQ184" s="1">
        <v>0.5</v>
      </c>
      <c r="BR184" t="s">
        <v>8</v>
      </c>
      <c r="BS184" s="1">
        <v>0</v>
      </c>
      <c r="BT184" s="1">
        <v>11.9804836998875</v>
      </c>
      <c r="BU184" s="1">
        <f t="shared" si="15"/>
        <v>0.57031240000000005</v>
      </c>
      <c r="BV184" s="1">
        <f t="shared" si="16"/>
        <v>11.9804836998875</v>
      </c>
      <c r="BX184" s="1">
        <v>182</v>
      </c>
      <c r="BY184" s="1">
        <v>17.282373774569901</v>
      </c>
      <c r="CA184" t="s">
        <v>4</v>
      </c>
      <c r="CB184">
        <v>0</v>
      </c>
      <c r="CC184" t="s">
        <v>5</v>
      </c>
      <c r="CD184">
        <v>182</v>
      </c>
      <c r="CE184" t="s">
        <v>6</v>
      </c>
      <c r="CF184" s="1">
        <v>0.28515620000000003</v>
      </c>
      <c r="CG184" t="s">
        <v>7</v>
      </c>
      <c r="CH184" s="1">
        <v>0.5</v>
      </c>
      <c r="CI184" t="s">
        <v>8</v>
      </c>
      <c r="CJ184" s="1">
        <v>0</v>
      </c>
      <c r="CK184" s="1">
        <v>12.9259154792767</v>
      </c>
    </row>
    <row r="185" spans="43:89">
      <c r="AQ185" t="s">
        <v>7</v>
      </c>
      <c r="AR185" s="1">
        <v>0.5</v>
      </c>
      <c r="AS185" t="s">
        <v>8</v>
      </c>
      <c r="AT185" s="1">
        <v>0</v>
      </c>
      <c r="AU185" s="1">
        <v>3.4003693700335298E-2</v>
      </c>
      <c r="AW185" t="s">
        <v>4</v>
      </c>
      <c r="AX185">
        <v>0</v>
      </c>
      <c r="AY185" t="s">
        <v>5</v>
      </c>
      <c r="AZ185">
        <v>183</v>
      </c>
      <c r="BA185" t="s">
        <v>6</v>
      </c>
      <c r="BB185" s="1">
        <v>0.28671869999999999</v>
      </c>
      <c r="BC185" t="s">
        <v>7</v>
      </c>
      <c r="BD185" s="1">
        <v>0.5</v>
      </c>
      <c r="BE185" t="s">
        <v>8</v>
      </c>
      <c r="BF185" s="1">
        <v>0</v>
      </c>
      <c r="BG185" s="1">
        <f t="shared" si="14"/>
        <v>0.57343739999999999</v>
      </c>
      <c r="BH185" s="1">
        <v>11.872057624473999</v>
      </c>
      <c r="BJ185" t="s">
        <v>4</v>
      </c>
      <c r="BK185">
        <v>0</v>
      </c>
      <c r="BL185" t="s">
        <v>5</v>
      </c>
      <c r="BM185">
        <v>183</v>
      </c>
      <c r="BN185" t="s">
        <v>6</v>
      </c>
      <c r="BO185" s="1">
        <v>0.28671869999999999</v>
      </c>
      <c r="BP185" t="s">
        <v>7</v>
      </c>
      <c r="BQ185" s="1">
        <v>0.5</v>
      </c>
      <c r="BR185" t="s">
        <v>8</v>
      </c>
      <c r="BS185" s="1">
        <v>0</v>
      </c>
      <c r="BT185" s="1">
        <v>11.9697798949489</v>
      </c>
      <c r="BU185" s="1">
        <f t="shared" si="15"/>
        <v>0.57343739999999999</v>
      </c>
      <c r="BV185" s="1">
        <f t="shared" si="16"/>
        <v>11.9697798949489</v>
      </c>
      <c r="BX185" s="1">
        <v>183</v>
      </c>
      <c r="BY185" s="1">
        <v>17.283846284344602</v>
      </c>
      <c r="CA185" t="s">
        <v>4</v>
      </c>
      <c r="CB185">
        <v>0</v>
      </c>
      <c r="CC185" t="s">
        <v>5</v>
      </c>
      <c r="CD185">
        <v>183</v>
      </c>
      <c r="CE185" t="s">
        <v>6</v>
      </c>
      <c r="CF185" s="1">
        <v>0.28671869999999999</v>
      </c>
      <c r="CG185" t="s">
        <v>7</v>
      </c>
      <c r="CH185" s="1">
        <v>0.5</v>
      </c>
      <c r="CI185" t="s">
        <v>8</v>
      </c>
      <c r="CJ185" s="1">
        <v>0</v>
      </c>
      <c r="CK185" s="1">
        <v>12.923024067417501</v>
      </c>
    </row>
    <row r="186" spans="43:89">
      <c r="AQ186" t="s">
        <v>7</v>
      </c>
      <c r="AR186" s="1">
        <v>0.5</v>
      </c>
      <c r="AS186" t="s">
        <v>8</v>
      </c>
      <c r="AT186" s="1">
        <v>0</v>
      </c>
      <c r="AU186" s="1">
        <v>3.4011475850603302E-2</v>
      </c>
      <c r="AW186" t="s">
        <v>4</v>
      </c>
      <c r="AX186">
        <v>0</v>
      </c>
      <c r="AY186" t="s">
        <v>5</v>
      </c>
      <c r="AZ186">
        <v>184</v>
      </c>
      <c r="BA186" t="s">
        <v>6</v>
      </c>
      <c r="BB186" s="1">
        <v>0.28828120000000002</v>
      </c>
      <c r="BC186" t="s">
        <v>7</v>
      </c>
      <c r="BD186" s="1">
        <v>0.5</v>
      </c>
      <c r="BE186" t="s">
        <v>8</v>
      </c>
      <c r="BF186" s="1">
        <v>0</v>
      </c>
      <c r="BG186" s="1">
        <f t="shared" si="14"/>
        <v>0.57656240000000003</v>
      </c>
      <c r="BH186" s="1">
        <v>11.834140948884</v>
      </c>
      <c r="BJ186" t="s">
        <v>4</v>
      </c>
      <c r="BK186">
        <v>0</v>
      </c>
      <c r="BL186" t="s">
        <v>5</v>
      </c>
      <c r="BM186">
        <v>184</v>
      </c>
      <c r="BN186" t="s">
        <v>6</v>
      </c>
      <c r="BO186" s="1">
        <v>0.28828120000000002</v>
      </c>
      <c r="BP186" t="s">
        <v>7</v>
      </c>
      <c r="BQ186" s="1">
        <v>0.5</v>
      </c>
      <c r="BR186" t="s">
        <v>8</v>
      </c>
      <c r="BS186" s="1">
        <v>0</v>
      </c>
      <c r="BT186" s="1">
        <v>11.952023422681201</v>
      </c>
      <c r="BU186" s="1">
        <f t="shared" si="15"/>
        <v>0.57656240000000003</v>
      </c>
      <c r="BV186" s="1">
        <f t="shared" si="16"/>
        <v>11.952023422681201</v>
      </c>
      <c r="BX186" s="1">
        <v>184</v>
      </c>
      <c r="BY186" s="1">
        <v>17.285539483003902</v>
      </c>
      <c r="CA186" t="s">
        <v>4</v>
      </c>
      <c r="CB186">
        <v>0</v>
      </c>
      <c r="CC186" t="s">
        <v>5</v>
      </c>
      <c r="CD186">
        <v>184</v>
      </c>
      <c r="CE186" t="s">
        <v>6</v>
      </c>
      <c r="CF186" s="1">
        <v>0.28828120000000002</v>
      </c>
      <c r="CG186" t="s">
        <v>7</v>
      </c>
      <c r="CH186" s="1">
        <v>0.5</v>
      </c>
      <c r="CI186" t="s">
        <v>8</v>
      </c>
      <c r="CJ186" s="1">
        <v>0</v>
      </c>
      <c r="CK186" s="1">
        <v>12.920138821021601</v>
      </c>
    </row>
    <row r="187" spans="43:89">
      <c r="AQ187" t="s">
        <v>7</v>
      </c>
      <c r="AR187" s="1">
        <v>0.5</v>
      </c>
      <c r="AS187" t="s">
        <v>8</v>
      </c>
      <c r="AT187" s="1">
        <v>0</v>
      </c>
      <c r="AU187" s="1">
        <v>3.4019329868212302E-2</v>
      </c>
      <c r="AW187" t="s">
        <v>4</v>
      </c>
      <c r="AX187">
        <v>0</v>
      </c>
      <c r="AY187" t="s">
        <v>5</v>
      </c>
      <c r="AZ187">
        <v>185</v>
      </c>
      <c r="BA187" t="s">
        <v>6</v>
      </c>
      <c r="BB187" s="1">
        <v>0.28984379999999998</v>
      </c>
      <c r="BC187" t="s">
        <v>7</v>
      </c>
      <c r="BD187" s="1">
        <v>0.5</v>
      </c>
      <c r="BE187" t="s">
        <v>8</v>
      </c>
      <c r="BF187" s="1">
        <v>0</v>
      </c>
      <c r="BG187" s="1">
        <f t="shared" si="14"/>
        <v>0.57968759999999997</v>
      </c>
      <c r="BH187" s="1">
        <v>11.7971848323511</v>
      </c>
      <c r="BJ187" t="s">
        <v>4</v>
      </c>
      <c r="BK187">
        <v>0</v>
      </c>
      <c r="BL187" t="s">
        <v>5</v>
      </c>
      <c r="BM187">
        <v>185</v>
      </c>
      <c r="BN187" t="s">
        <v>6</v>
      </c>
      <c r="BO187" s="1">
        <v>0.28984379999999998</v>
      </c>
      <c r="BP187" t="s">
        <v>7</v>
      </c>
      <c r="BQ187" s="1">
        <v>0.5</v>
      </c>
      <c r="BR187" t="s">
        <v>8</v>
      </c>
      <c r="BS187" s="1">
        <v>0</v>
      </c>
      <c r="BT187" s="1">
        <v>11.9270735304396</v>
      </c>
      <c r="BU187" s="1">
        <f t="shared" si="15"/>
        <v>0.57968759999999997</v>
      </c>
      <c r="BV187" s="1">
        <f t="shared" si="16"/>
        <v>11.9270735304396</v>
      </c>
      <c r="BX187" s="1">
        <v>185</v>
      </c>
      <c r="BY187" s="1">
        <v>17.287381803155899</v>
      </c>
      <c r="CA187" t="s">
        <v>4</v>
      </c>
      <c r="CB187">
        <v>0</v>
      </c>
      <c r="CC187" t="s">
        <v>5</v>
      </c>
      <c r="CD187">
        <v>185</v>
      </c>
      <c r="CE187" t="s">
        <v>6</v>
      </c>
      <c r="CF187" s="1">
        <v>0.28984379999999998</v>
      </c>
      <c r="CG187" t="s">
        <v>7</v>
      </c>
      <c r="CH187" s="1">
        <v>0.5</v>
      </c>
      <c r="CI187" t="s">
        <v>8</v>
      </c>
      <c r="CJ187" s="1">
        <v>0</v>
      </c>
      <c r="CK187" s="1">
        <v>12.9172789912624</v>
      </c>
    </row>
    <row r="188" spans="43:89">
      <c r="AQ188" t="s">
        <v>7</v>
      </c>
      <c r="AR188" s="1">
        <v>0.5</v>
      </c>
      <c r="AS188" t="s">
        <v>8</v>
      </c>
      <c r="AT188" s="1">
        <v>0</v>
      </c>
      <c r="AU188" s="1">
        <v>3.4027257510885402E-2</v>
      </c>
      <c r="AW188" t="s">
        <v>4</v>
      </c>
      <c r="AX188">
        <v>0</v>
      </c>
      <c r="AY188" t="s">
        <v>5</v>
      </c>
      <c r="AZ188">
        <v>186</v>
      </c>
      <c r="BA188" t="s">
        <v>6</v>
      </c>
      <c r="BB188" s="1">
        <v>0.2914062</v>
      </c>
      <c r="BC188" t="s">
        <v>7</v>
      </c>
      <c r="BD188" s="1">
        <v>0.5</v>
      </c>
      <c r="BE188" t="s">
        <v>8</v>
      </c>
      <c r="BF188" s="1">
        <v>0</v>
      </c>
      <c r="BG188" s="1">
        <f t="shared" si="14"/>
        <v>0.58281240000000001</v>
      </c>
      <c r="BH188" s="1">
        <v>11.7612478127309</v>
      </c>
      <c r="BJ188" t="s">
        <v>4</v>
      </c>
      <c r="BK188">
        <v>0</v>
      </c>
      <c r="BL188" t="s">
        <v>5</v>
      </c>
      <c r="BM188">
        <v>186</v>
      </c>
      <c r="BN188" t="s">
        <v>6</v>
      </c>
      <c r="BO188" s="1">
        <v>0.2914062</v>
      </c>
      <c r="BP188" t="s">
        <v>7</v>
      </c>
      <c r="BQ188" s="1">
        <v>0.5</v>
      </c>
      <c r="BR188" t="s">
        <v>8</v>
      </c>
      <c r="BS188" s="1">
        <v>0</v>
      </c>
      <c r="BT188" s="1">
        <v>11.894764260829399</v>
      </c>
      <c r="BU188" s="1">
        <f t="shared" si="15"/>
        <v>0.58281240000000001</v>
      </c>
      <c r="BV188" s="1">
        <f t="shared" si="16"/>
        <v>11.894764260829399</v>
      </c>
      <c r="BX188" s="1">
        <v>186</v>
      </c>
      <c r="BY188" s="1">
        <v>17.289409752455999</v>
      </c>
      <c r="CA188" t="s">
        <v>4</v>
      </c>
      <c r="CB188">
        <v>0</v>
      </c>
      <c r="CC188" t="s">
        <v>5</v>
      </c>
      <c r="CD188">
        <v>186</v>
      </c>
      <c r="CE188" t="s">
        <v>6</v>
      </c>
      <c r="CF188" s="1">
        <v>0.2914062</v>
      </c>
      <c r="CG188" t="s">
        <v>7</v>
      </c>
      <c r="CH188" s="1">
        <v>0.5</v>
      </c>
      <c r="CI188" t="s">
        <v>8</v>
      </c>
      <c r="CJ188" s="1">
        <v>0</v>
      </c>
      <c r="CK188" s="1">
        <v>12.9144159505967</v>
      </c>
    </row>
    <row r="189" spans="43:89">
      <c r="AQ189" t="s">
        <v>7</v>
      </c>
      <c r="AR189" s="1">
        <v>0.5</v>
      </c>
      <c r="AS189" t="s">
        <v>8</v>
      </c>
      <c r="AT189" s="1">
        <v>0</v>
      </c>
      <c r="AU189" s="1">
        <v>3.4035260604221997E-2</v>
      </c>
      <c r="AW189" t="s">
        <v>4</v>
      </c>
      <c r="AX189">
        <v>0</v>
      </c>
      <c r="AY189" t="s">
        <v>5</v>
      </c>
      <c r="AZ189">
        <v>187</v>
      </c>
      <c r="BA189" t="s">
        <v>6</v>
      </c>
      <c r="BB189" s="1">
        <v>0.29296879999999997</v>
      </c>
      <c r="BC189" t="s">
        <v>7</v>
      </c>
      <c r="BD189" s="1">
        <v>0.5</v>
      </c>
      <c r="BE189" t="s">
        <v>8</v>
      </c>
      <c r="BF189" s="1">
        <v>0</v>
      </c>
      <c r="BG189" s="1">
        <f t="shared" si="14"/>
        <v>0.58593759999999995</v>
      </c>
      <c r="BH189" s="1">
        <v>11.7264152396029</v>
      </c>
      <c r="BJ189" t="s">
        <v>4</v>
      </c>
      <c r="BK189">
        <v>0</v>
      </c>
      <c r="BL189" t="s">
        <v>5</v>
      </c>
      <c r="BM189">
        <v>187</v>
      </c>
      <c r="BN189" t="s">
        <v>6</v>
      </c>
      <c r="BO189" s="1">
        <v>0.29296879999999997</v>
      </c>
      <c r="BP189" t="s">
        <v>7</v>
      </c>
      <c r="BQ189" s="1">
        <v>0.5</v>
      </c>
      <c r="BR189" t="s">
        <v>8</v>
      </c>
      <c r="BS189" s="1">
        <v>0</v>
      </c>
      <c r="BT189" s="1">
        <v>11.854972313673899</v>
      </c>
      <c r="BU189" s="1">
        <f t="shared" si="15"/>
        <v>0.58593759999999995</v>
      </c>
      <c r="BV189" s="1">
        <f t="shared" si="16"/>
        <v>11.854972313673899</v>
      </c>
      <c r="BX189" s="1">
        <v>187</v>
      </c>
      <c r="BY189" s="1">
        <v>17.2916431165985</v>
      </c>
      <c r="CA189" t="s">
        <v>4</v>
      </c>
      <c r="CB189">
        <v>0</v>
      </c>
      <c r="CC189" t="s">
        <v>5</v>
      </c>
      <c r="CD189">
        <v>187</v>
      </c>
      <c r="CE189" t="s">
        <v>6</v>
      </c>
      <c r="CF189" s="1">
        <v>0.29296879999999997</v>
      </c>
      <c r="CG189" t="s">
        <v>7</v>
      </c>
      <c r="CH189" s="1">
        <v>0.5</v>
      </c>
      <c r="CI189" t="s">
        <v>8</v>
      </c>
      <c r="CJ189" s="1">
        <v>0</v>
      </c>
      <c r="CK189" s="1">
        <v>12.9115995833856</v>
      </c>
    </row>
    <row r="190" spans="43:89">
      <c r="AQ190" t="s">
        <v>7</v>
      </c>
      <c r="AR190" s="1">
        <v>0.5</v>
      </c>
      <c r="AS190" t="s">
        <v>8</v>
      </c>
      <c r="AT190" s="1">
        <v>0</v>
      </c>
      <c r="AU190" s="1">
        <v>3.4043341040929397E-2</v>
      </c>
      <c r="AW190" t="s">
        <v>4</v>
      </c>
      <c r="AX190">
        <v>0</v>
      </c>
      <c r="AY190" t="s">
        <v>5</v>
      </c>
      <c r="AZ190">
        <v>188</v>
      </c>
      <c r="BA190" t="s">
        <v>6</v>
      </c>
      <c r="BB190" s="1">
        <v>0.2945313</v>
      </c>
      <c r="BC190" t="s">
        <v>7</v>
      </c>
      <c r="BD190" s="1">
        <v>0.5</v>
      </c>
      <c r="BE190" t="s">
        <v>8</v>
      </c>
      <c r="BF190" s="1">
        <v>0</v>
      </c>
      <c r="BG190" s="1">
        <f t="shared" si="14"/>
        <v>0.58906259999999999</v>
      </c>
      <c r="BH190" s="1">
        <v>11.692757380419801</v>
      </c>
      <c r="BJ190" t="s">
        <v>4</v>
      </c>
      <c r="BK190">
        <v>0</v>
      </c>
      <c r="BL190" t="s">
        <v>5</v>
      </c>
      <c r="BM190">
        <v>188</v>
      </c>
      <c r="BN190" t="s">
        <v>6</v>
      </c>
      <c r="BO190" s="1">
        <v>0.2945313</v>
      </c>
      <c r="BP190" t="s">
        <v>7</v>
      </c>
      <c r="BQ190" s="1">
        <v>0.5</v>
      </c>
      <c r="BR190" t="s">
        <v>8</v>
      </c>
      <c r="BS190" s="1">
        <v>0</v>
      </c>
      <c r="BT190" s="1">
        <v>11.8075598810142</v>
      </c>
      <c r="BU190" s="1">
        <f t="shared" si="15"/>
        <v>0.58906259999999999</v>
      </c>
      <c r="BV190" s="1">
        <f t="shared" si="16"/>
        <v>11.8075598810142</v>
      </c>
      <c r="BX190" s="1">
        <v>188</v>
      </c>
      <c r="BY190" s="1">
        <v>17.294072826719901</v>
      </c>
      <c r="CA190" t="s">
        <v>4</v>
      </c>
      <c r="CB190">
        <v>0</v>
      </c>
      <c r="CC190" t="s">
        <v>5</v>
      </c>
      <c r="CD190">
        <v>188</v>
      </c>
      <c r="CE190" t="s">
        <v>6</v>
      </c>
      <c r="CF190" s="1">
        <v>0.2945313</v>
      </c>
      <c r="CG190" t="s">
        <v>7</v>
      </c>
      <c r="CH190" s="1">
        <v>0.5</v>
      </c>
      <c r="CI190" t="s">
        <v>8</v>
      </c>
      <c r="CJ190" s="1">
        <v>0</v>
      </c>
      <c r="CK190" s="1">
        <v>12.908791182370001</v>
      </c>
    </row>
    <row r="191" spans="43:89">
      <c r="AQ191" t="s">
        <v>7</v>
      </c>
      <c r="AR191" s="1">
        <v>0.5</v>
      </c>
      <c r="AS191" t="s">
        <v>8</v>
      </c>
      <c r="AT191" s="1">
        <v>0</v>
      </c>
      <c r="AU191" s="1">
        <v>3.4051500780353003E-2</v>
      </c>
      <c r="AW191" t="s">
        <v>4</v>
      </c>
      <c r="AX191">
        <v>0</v>
      </c>
      <c r="AY191" t="s">
        <v>5</v>
      </c>
      <c r="AZ191">
        <v>189</v>
      </c>
      <c r="BA191" t="s">
        <v>6</v>
      </c>
      <c r="BB191" s="1">
        <v>0.29609370000000002</v>
      </c>
      <c r="BC191" t="s">
        <v>7</v>
      </c>
      <c r="BD191" s="1">
        <v>0.5</v>
      </c>
      <c r="BE191" t="s">
        <v>8</v>
      </c>
      <c r="BF191" s="1">
        <v>0</v>
      </c>
      <c r="BG191" s="1">
        <f t="shared" si="14"/>
        <v>0.59218740000000003</v>
      </c>
      <c r="BH191" s="1">
        <v>11.660321521815201</v>
      </c>
      <c r="BJ191" t="s">
        <v>4</v>
      </c>
      <c r="BK191">
        <v>0</v>
      </c>
      <c r="BL191" t="s">
        <v>5</v>
      </c>
      <c r="BM191">
        <v>189</v>
      </c>
      <c r="BN191" t="s">
        <v>6</v>
      </c>
      <c r="BO191" s="1">
        <v>0.29609370000000002</v>
      </c>
      <c r="BP191" t="s">
        <v>7</v>
      </c>
      <c r="BQ191" s="1">
        <v>0.5</v>
      </c>
      <c r="BR191" t="s">
        <v>8</v>
      </c>
      <c r="BS191" s="1">
        <v>0</v>
      </c>
      <c r="BT191" s="1">
        <v>11.752426883192699</v>
      </c>
      <c r="BU191" s="1">
        <f t="shared" si="15"/>
        <v>0.59218740000000003</v>
      </c>
      <c r="BV191" s="1">
        <f t="shared" si="16"/>
        <v>11.752426883192699</v>
      </c>
      <c r="BX191" s="1">
        <v>189</v>
      </c>
      <c r="BY191" s="1">
        <v>17.296706523793102</v>
      </c>
      <c r="CA191" t="s">
        <v>4</v>
      </c>
      <c r="CB191">
        <v>0</v>
      </c>
      <c r="CC191" t="s">
        <v>5</v>
      </c>
      <c r="CD191">
        <v>189</v>
      </c>
      <c r="CE191" t="s">
        <v>6</v>
      </c>
      <c r="CF191" s="1">
        <v>0.29609370000000002</v>
      </c>
      <c r="CG191" t="s">
        <v>7</v>
      </c>
      <c r="CH191" s="1">
        <v>0.5</v>
      </c>
      <c r="CI191" t="s">
        <v>8</v>
      </c>
      <c r="CJ191" s="1">
        <v>0</v>
      </c>
      <c r="CK191" s="1">
        <v>12.9060123147667</v>
      </c>
    </row>
    <row r="192" spans="43:89">
      <c r="AQ192" t="s">
        <v>7</v>
      </c>
      <c r="AR192" s="1">
        <v>0.5</v>
      </c>
      <c r="AS192" t="s">
        <v>8</v>
      </c>
      <c r="AT192" s="1">
        <v>0</v>
      </c>
      <c r="AU192" s="1">
        <v>3.4059741847849198E-2</v>
      </c>
      <c r="AW192" t="s">
        <v>4</v>
      </c>
      <c r="AX192">
        <v>0</v>
      </c>
      <c r="AY192" t="s">
        <v>5</v>
      </c>
      <c r="AZ192">
        <v>190</v>
      </c>
      <c r="BA192" t="s">
        <v>6</v>
      </c>
      <c r="BB192" s="1">
        <v>0.29765629999999998</v>
      </c>
      <c r="BC192" t="s">
        <v>7</v>
      </c>
      <c r="BD192" s="1">
        <v>0.5</v>
      </c>
      <c r="BE192" t="s">
        <v>8</v>
      </c>
      <c r="BF192" s="1">
        <v>0</v>
      </c>
      <c r="BG192" s="1">
        <f t="shared" si="14"/>
        <v>0.59531259999999997</v>
      </c>
      <c r="BH192" s="1">
        <v>11.629169800762</v>
      </c>
      <c r="BJ192" t="s">
        <v>4</v>
      </c>
      <c r="BK192">
        <v>0</v>
      </c>
      <c r="BL192" t="s">
        <v>5</v>
      </c>
      <c r="BM192">
        <v>190</v>
      </c>
      <c r="BN192" t="s">
        <v>6</v>
      </c>
      <c r="BO192" s="1">
        <v>0.29765629999999998</v>
      </c>
      <c r="BP192" t="s">
        <v>7</v>
      </c>
      <c r="BQ192" s="1">
        <v>0.5</v>
      </c>
      <c r="BR192" t="s">
        <v>8</v>
      </c>
      <c r="BS192" s="1">
        <v>0</v>
      </c>
      <c r="BT192" s="1">
        <v>11.689410206384901</v>
      </c>
      <c r="BU192" s="1">
        <f t="shared" si="15"/>
        <v>0.59531259999999997</v>
      </c>
      <c r="BV192" s="1">
        <f t="shared" si="16"/>
        <v>11.689410206384901</v>
      </c>
      <c r="BX192" s="1">
        <v>190</v>
      </c>
      <c r="BY192" s="1">
        <v>17.299567859483101</v>
      </c>
      <c r="CA192" t="s">
        <v>4</v>
      </c>
      <c r="CB192">
        <v>0</v>
      </c>
      <c r="CC192" t="s">
        <v>5</v>
      </c>
      <c r="CD192">
        <v>190</v>
      </c>
      <c r="CE192" t="s">
        <v>6</v>
      </c>
      <c r="CF192" s="1">
        <v>0.29765629999999998</v>
      </c>
      <c r="CG192" t="s">
        <v>7</v>
      </c>
      <c r="CH192" s="1">
        <v>0.5</v>
      </c>
      <c r="CI192" t="s">
        <v>8</v>
      </c>
      <c r="CJ192" s="1">
        <v>0</v>
      </c>
      <c r="CK192" s="1">
        <v>12.9032646655559</v>
      </c>
    </row>
    <row r="193" spans="43:89">
      <c r="AQ193" t="s">
        <v>7</v>
      </c>
      <c r="AR193" s="1">
        <v>0.5</v>
      </c>
      <c r="AS193" t="s">
        <v>8</v>
      </c>
      <c r="AT193" s="1">
        <v>0</v>
      </c>
      <c r="AU193" s="1">
        <v>3.4068066334153699E-2</v>
      </c>
      <c r="AW193" t="s">
        <v>4</v>
      </c>
      <c r="AX193">
        <v>0</v>
      </c>
      <c r="AY193" t="s">
        <v>5</v>
      </c>
      <c r="AZ193">
        <v>191</v>
      </c>
      <c r="BA193" t="s">
        <v>6</v>
      </c>
      <c r="BB193" s="1">
        <v>0.2992187</v>
      </c>
      <c r="BC193" t="s">
        <v>7</v>
      </c>
      <c r="BD193" s="1">
        <v>0.5</v>
      </c>
      <c r="BE193" t="s">
        <v>8</v>
      </c>
      <c r="BF193" s="1">
        <v>0</v>
      </c>
      <c r="BG193" s="1">
        <f t="shared" si="14"/>
        <v>0.59843740000000001</v>
      </c>
      <c r="BH193" s="1">
        <v>11.5993791079845</v>
      </c>
      <c r="BJ193" t="s">
        <v>4</v>
      </c>
      <c r="BK193">
        <v>0</v>
      </c>
      <c r="BL193" t="s">
        <v>5</v>
      </c>
      <c r="BM193">
        <v>191</v>
      </c>
      <c r="BN193" t="s">
        <v>6</v>
      </c>
      <c r="BO193" s="1">
        <v>0.2992187</v>
      </c>
      <c r="BP193" t="s">
        <v>7</v>
      </c>
      <c r="BQ193" s="1">
        <v>0.5</v>
      </c>
      <c r="BR193" t="s">
        <v>8</v>
      </c>
      <c r="BS193" s="1">
        <v>0</v>
      </c>
      <c r="BT193" s="1">
        <v>11.6184087582792</v>
      </c>
      <c r="BU193" s="1">
        <f t="shared" si="15"/>
        <v>0.59843740000000001</v>
      </c>
      <c r="BV193" s="1">
        <f t="shared" si="16"/>
        <v>11.6184087582792</v>
      </c>
      <c r="BX193" s="1">
        <v>191</v>
      </c>
      <c r="BY193" s="1">
        <v>17.302654490916002</v>
      </c>
      <c r="CA193" t="s">
        <v>4</v>
      </c>
      <c r="CB193">
        <v>0</v>
      </c>
      <c r="CC193" t="s">
        <v>5</v>
      </c>
      <c r="CD193">
        <v>191</v>
      </c>
      <c r="CE193" t="s">
        <v>6</v>
      </c>
      <c r="CF193" s="1">
        <v>0.2992187</v>
      </c>
      <c r="CG193" t="s">
        <v>7</v>
      </c>
      <c r="CH193" s="1">
        <v>0.5</v>
      </c>
      <c r="CI193" t="s">
        <v>8</v>
      </c>
      <c r="CJ193" s="1">
        <v>0</v>
      </c>
      <c r="CK193" s="1">
        <v>12.9005428845096</v>
      </c>
    </row>
    <row r="194" spans="43:89">
      <c r="AQ194" t="s">
        <v>7</v>
      </c>
      <c r="AR194" s="1">
        <v>0.5</v>
      </c>
      <c r="AS194" t="s">
        <v>8</v>
      </c>
      <c r="AT194" s="1">
        <v>0</v>
      </c>
      <c r="AU194" s="1">
        <v>3.4076476394906102E-2</v>
      </c>
      <c r="AW194" t="s">
        <v>4</v>
      </c>
      <c r="AX194">
        <v>0</v>
      </c>
      <c r="AY194" t="s">
        <v>5</v>
      </c>
      <c r="AZ194">
        <v>192</v>
      </c>
      <c r="BA194" t="s">
        <v>6</v>
      </c>
      <c r="BB194" s="1">
        <v>0.30078120000000003</v>
      </c>
      <c r="BC194" t="s">
        <v>7</v>
      </c>
      <c r="BD194" s="1">
        <v>0.5</v>
      </c>
      <c r="BE194" t="s">
        <v>8</v>
      </c>
      <c r="BF194" s="1">
        <v>0</v>
      </c>
      <c r="BG194" s="1">
        <f t="shared" si="14"/>
        <v>0.60156240000000005</v>
      </c>
      <c r="BH194" s="1">
        <v>11.5710092164303</v>
      </c>
      <c r="BJ194" t="s">
        <v>4</v>
      </c>
      <c r="BK194">
        <v>0</v>
      </c>
      <c r="BL194" t="s">
        <v>5</v>
      </c>
      <c r="BM194">
        <v>192</v>
      </c>
      <c r="BN194" t="s">
        <v>6</v>
      </c>
      <c r="BO194" s="1">
        <v>0.30078120000000003</v>
      </c>
      <c r="BP194" t="s">
        <v>7</v>
      </c>
      <c r="BQ194" s="1">
        <v>0.5</v>
      </c>
      <c r="BR194" t="s">
        <v>8</v>
      </c>
      <c r="BS194" s="1">
        <v>0</v>
      </c>
      <c r="BT194" s="1">
        <v>11.5286616668084</v>
      </c>
      <c r="BU194" s="1">
        <f t="shared" si="15"/>
        <v>0.60156240000000005</v>
      </c>
      <c r="BV194" s="1">
        <f t="shared" si="16"/>
        <v>11.5286616668084</v>
      </c>
      <c r="BX194" s="1">
        <v>192</v>
      </c>
      <c r="BY194" s="1">
        <v>17.305966069726399</v>
      </c>
      <c r="CA194" t="s">
        <v>4</v>
      </c>
      <c r="CB194">
        <v>0</v>
      </c>
      <c r="CC194" t="s">
        <v>5</v>
      </c>
      <c r="CD194">
        <v>192</v>
      </c>
      <c r="CE194" t="s">
        <v>6</v>
      </c>
      <c r="CF194" s="1">
        <v>0.30078120000000003</v>
      </c>
      <c r="CG194" t="s">
        <v>7</v>
      </c>
      <c r="CH194" s="1">
        <v>0.5</v>
      </c>
      <c r="CI194" t="s">
        <v>8</v>
      </c>
      <c r="CJ194" s="1">
        <v>0</v>
      </c>
      <c r="CK194" s="1">
        <v>12.8978534238296</v>
      </c>
    </row>
    <row r="195" spans="43:89">
      <c r="AQ195" t="s">
        <v>7</v>
      </c>
      <c r="AR195" s="1">
        <v>0.5</v>
      </c>
      <c r="AS195" t="s">
        <v>8</v>
      </c>
      <c r="AT195" s="1">
        <v>0</v>
      </c>
      <c r="AU195" s="1">
        <v>3.4085207279234503E-2</v>
      </c>
      <c r="AW195" t="s">
        <v>4</v>
      </c>
      <c r="AX195">
        <v>0</v>
      </c>
      <c r="AY195" t="s">
        <v>5</v>
      </c>
      <c r="AZ195">
        <v>193</v>
      </c>
      <c r="BA195" t="s">
        <v>6</v>
      </c>
      <c r="BB195" s="1">
        <v>0.30234369999999999</v>
      </c>
      <c r="BC195" t="s">
        <v>7</v>
      </c>
      <c r="BD195" s="1">
        <v>0.5</v>
      </c>
      <c r="BE195" t="s">
        <v>8</v>
      </c>
      <c r="BF195" s="1">
        <v>0</v>
      </c>
      <c r="BG195" s="1">
        <f t="shared" ref="BG195:BG258" si="17">BB195/0.5</f>
        <v>0.60468739999999999</v>
      </c>
      <c r="BH195" s="1">
        <v>11.5441260391984</v>
      </c>
      <c r="BJ195" t="s">
        <v>4</v>
      </c>
      <c r="BK195">
        <v>0</v>
      </c>
      <c r="BL195" t="s">
        <v>5</v>
      </c>
      <c r="BM195">
        <v>193</v>
      </c>
      <c r="BN195" t="s">
        <v>6</v>
      </c>
      <c r="BO195" s="1">
        <v>0.30234369999999999</v>
      </c>
      <c r="BP195" t="s">
        <v>7</v>
      </c>
      <c r="BQ195" s="1">
        <v>0.5</v>
      </c>
      <c r="BR195" t="s">
        <v>8</v>
      </c>
      <c r="BS195" s="1">
        <v>0</v>
      </c>
      <c r="BT195" s="1">
        <v>11.438544943997501</v>
      </c>
      <c r="BU195" s="1">
        <f t="shared" ref="BU195:BU258" si="18">BO195/0.5</f>
        <v>0.60468739999999999</v>
      </c>
      <c r="BV195" s="1">
        <f t="shared" ref="BV195:BV258" si="19">BT195</f>
        <v>11.438544943997501</v>
      </c>
      <c r="BX195" s="1">
        <v>193</v>
      </c>
      <c r="BY195" s="1">
        <v>17.3095103277028</v>
      </c>
      <c r="CA195" t="s">
        <v>4</v>
      </c>
      <c r="CB195">
        <v>0</v>
      </c>
      <c r="CC195" t="s">
        <v>5</v>
      </c>
      <c r="CD195">
        <v>193</v>
      </c>
      <c r="CE195" t="s">
        <v>6</v>
      </c>
      <c r="CF195" s="1">
        <v>0.30234369999999999</v>
      </c>
      <c r="CG195" t="s">
        <v>7</v>
      </c>
      <c r="CH195" s="1">
        <v>0.5</v>
      </c>
      <c r="CI195" t="s">
        <v>8</v>
      </c>
      <c r="CJ195" s="1">
        <v>0</v>
      </c>
      <c r="CK195" s="1">
        <v>12.895223971533699</v>
      </c>
    </row>
    <row r="196" spans="43:89">
      <c r="AQ196" t="s">
        <v>7</v>
      </c>
      <c r="AR196" s="1">
        <v>0.5</v>
      </c>
      <c r="AS196" t="s">
        <v>8</v>
      </c>
      <c r="AT196" s="1">
        <v>0</v>
      </c>
      <c r="AU196" s="1">
        <v>3.4093788338161499E-2</v>
      </c>
      <c r="AW196" t="s">
        <v>4</v>
      </c>
      <c r="AX196">
        <v>0</v>
      </c>
      <c r="AY196" t="s">
        <v>5</v>
      </c>
      <c r="AZ196">
        <v>194</v>
      </c>
      <c r="BA196" t="s">
        <v>6</v>
      </c>
      <c r="BB196" s="1">
        <v>0.30390620000000002</v>
      </c>
      <c r="BC196" t="s">
        <v>7</v>
      </c>
      <c r="BD196" s="1">
        <v>0.5</v>
      </c>
      <c r="BE196" t="s">
        <v>8</v>
      </c>
      <c r="BF196" s="1">
        <v>0</v>
      </c>
      <c r="BG196" s="1">
        <f t="shared" si="17"/>
        <v>0.60781240000000003</v>
      </c>
      <c r="BH196" s="1">
        <v>11.5188090847972</v>
      </c>
      <c r="BJ196" t="s">
        <v>4</v>
      </c>
      <c r="BK196">
        <v>0</v>
      </c>
      <c r="BL196" t="s">
        <v>5</v>
      </c>
      <c r="BM196">
        <v>194</v>
      </c>
      <c r="BN196" t="s">
        <v>6</v>
      </c>
      <c r="BO196" s="1">
        <v>0.30390620000000002</v>
      </c>
      <c r="BP196" t="s">
        <v>7</v>
      </c>
      <c r="BQ196" s="1">
        <v>0.5</v>
      </c>
      <c r="BR196" t="s">
        <v>8</v>
      </c>
      <c r="BS196" s="1">
        <v>0</v>
      </c>
      <c r="BT196" s="1">
        <v>11.366681463203401</v>
      </c>
      <c r="BU196" s="1">
        <f t="shared" si="18"/>
        <v>0.60781240000000003</v>
      </c>
      <c r="BV196" s="1">
        <f t="shared" si="19"/>
        <v>11.366681463203401</v>
      </c>
      <c r="BX196" s="1">
        <v>194</v>
      </c>
      <c r="BY196" s="1">
        <v>17.313322067654699</v>
      </c>
      <c r="CA196" t="s">
        <v>4</v>
      </c>
      <c r="CB196">
        <v>0</v>
      </c>
      <c r="CC196" t="s">
        <v>5</v>
      </c>
      <c r="CD196">
        <v>194</v>
      </c>
      <c r="CE196" t="s">
        <v>6</v>
      </c>
      <c r="CF196" s="1">
        <v>0.30390620000000002</v>
      </c>
      <c r="CG196" t="s">
        <v>7</v>
      </c>
      <c r="CH196" s="1">
        <v>0.5</v>
      </c>
      <c r="CI196" t="s">
        <v>8</v>
      </c>
      <c r="CJ196" s="1">
        <v>0</v>
      </c>
      <c r="CK196" s="1">
        <v>12.892659483336301</v>
      </c>
    </row>
    <row r="197" spans="43:89">
      <c r="AQ197" t="s">
        <v>7</v>
      </c>
      <c r="AR197" s="1">
        <v>0.5</v>
      </c>
      <c r="AS197" t="s">
        <v>8</v>
      </c>
      <c r="AT197" s="1">
        <v>0</v>
      </c>
      <c r="AU197" s="1">
        <v>3.4102456654885101E-2</v>
      </c>
      <c r="AW197" t="s">
        <v>4</v>
      </c>
      <c r="AX197">
        <v>0</v>
      </c>
      <c r="AY197" t="s">
        <v>5</v>
      </c>
      <c r="AZ197">
        <v>195</v>
      </c>
      <c r="BA197" t="s">
        <v>6</v>
      </c>
      <c r="BB197" s="1">
        <v>0.30546879999999998</v>
      </c>
      <c r="BC197" t="s">
        <v>7</v>
      </c>
      <c r="BD197" s="1">
        <v>0.5</v>
      </c>
      <c r="BE197" t="s">
        <v>8</v>
      </c>
      <c r="BF197" s="1">
        <v>0</v>
      </c>
      <c r="BG197" s="1">
        <f t="shared" si="17"/>
        <v>0.61093759999999997</v>
      </c>
      <c r="BH197" s="1">
        <v>11.495117873364601</v>
      </c>
      <c r="BJ197" t="s">
        <v>4</v>
      </c>
      <c r="BK197">
        <v>0</v>
      </c>
      <c r="BL197" t="s">
        <v>5</v>
      </c>
      <c r="BM197">
        <v>195</v>
      </c>
      <c r="BN197" t="s">
        <v>6</v>
      </c>
      <c r="BO197" s="1">
        <v>0.30546879999999998</v>
      </c>
      <c r="BP197" t="s">
        <v>7</v>
      </c>
      <c r="BQ197" s="1">
        <v>0.5</v>
      </c>
      <c r="BR197" t="s">
        <v>8</v>
      </c>
      <c r="BS197" s="1">
        <v>0</v>
      </c>
      <c r="BT197" s="1">
        <v>11.3135864500842</v>
      </c>
      <c r="BU197" s="1">
        <f t="shared" si="18"/>
        <v>0.61093759999999997</v>
      </c>
      <c r="BV197" s="1">
        <f t="shared" si="19"/>
        <v>11.3135864500842</v>
      </c>
      <c r="BX197" s="1">
        <v>195</v>
      </c>
      <c r="BY197" s="1">
        <v>17.317369865152799</v>
      </c>
      <c r="CA197" t="s">
        <v>4</v>
      </c>
      <c r="CB197">
        <v>0</v>
      </c>
      <c r="CC197" t="s">
        <v>5</v>
      </c>
      <c r="CD197">
        <v>195</v>
      </c>
      <c r="CE197" t="s">
        <v>6</v>
      </c>
      <c r="CF197" s="1">
        <v>0.30546879999999998</v>
      </c>
      <c r="CG197" t="s">
        <v>7</v>
      </c>
      <c r="CH197" s="1">
        <v>0.5</v>
      </c>
      <c r="CI197" t="s">
        <v>8</v>
      </c>
      <c r="CJ197" s="1">
        <v>0</v>
      </c>
      <c r="CK197" s="1">
        <v>12.8901668747315</v>
      </c>
    </row>
    <row r="198" spans="43:89">
      <c r="AQ198" t="s">
        <v>7</v>
      </c>
      <c r="AR198" s="1">
        <v>0.5</v>
      </c>
      <c r="AS198" t="s">
        <v>8</v>
      </c>
      <c r="AT198" s="1">
        <v>0</v>
      </c>
      <c r="AU198" s="1">
        <v>3.4111219534367798E-2</v>
      </c>
      <c r="AW198" t="s">
        <v>4</v>
      </c>
      <c r="AX198">
        <v>0</v>
      </c>
      <c r="AY198" t="s">
        <v>5</v>
      </c>
      <c r="AZ198">
        <v>196</v>
      </c>
      <c r="BA198" t="s">
        <v>6</v>
      </c>
      <c r="BB198" s="1">
        <v>0.30703130000000001</v>
      </c>
      <c r="BC198" t="s">
        <v>7</v>
      </c>
      <c r="BD198" s="1">
        <v>0.5</v>
      </c>
      <c r="BE198" t="s">
        <v>8</v>
      </c>
      <c r="BF198" s="1">
        <v>0</v>
      </c>
      <c r="BG198" s="1">
        <f t="shared" si="17"/>
        <v>0.61406260000000001</v>
      </c>
      <c r="BH198" s="1">
        <v>11.4731338735796</v>
      </c>
      <c r="BJ198" t="s">
        <v>4</v>
      </c>
      <c r="BK198">
        <v>0</v>
      </c>
      <c r="BL198" t="s">
        <v>5</v>
      </c>
      <c r="BM198">
        <v>196</v>
      </c>
      <c r="BN198" t="s">
        <v>6</v>
      </c>
      <c r="BO198" s="1">
        <v>0.30703130000000001</v>
      </c>
      <c r="BP198" t="s">
        <v>7</v>
      </c>
      <c r="BQ198" s="1">
        <v>0.5</v>
      </c>
      <c r="BR198" t="s">
        <v>8</v>
      </c>
      <c r="BS198" s="1">
        <v>0</v>
      </c>
      <c r="BT198" s="1">
        <v>11.2797334521217</v>
      </c>
      <c r="BU198" s="1">
        <f t="shared" si="18"/>
        <v>0.61406260000000001</v>
      </c>
      <c r="BV198" s="1">
        <f t="shared" si="19"/>
        <v>11.2797334521217</v>
      </c>
      <c r="BX198" s="1">
        <v>196</v>
      </c>
      <c r="BY198" s="1">
        <v>17.321657479365999</v>
      </c>
      <c r="CA198" t="s">
        <v>4</v>
      </c>
      <c r="CB198">
        <v>0</v>
      </c>
      <c r="CC198" t="s">
        <v>5</v>
      </c>
      <c r="CD198">
        <v>196</v>
      </c>
      <c r="CE198" t="s">
        <v>6</v>
      </c>
      <c r="CF198" s="1">
        <v>0.30703130000000001</v>
      </c>
      <c r="CG198" t="s">
        <v>7</v>
      </c>
      <c r="CH198" s="1">
        <v>0.5</v>
      </c>
      <c r="CI198" t="s">
        <v>8</v>
      </c>
      <c r="CJ198" s="1">
        <v>0</v>
      </c>
      <c r="CK198" s="1">
        <v>12.887778062832799</v>
      </c>
    </row>
    <row r="199" spans="43:89">
      <c r="AQ199" t="s">
        <v>7</v>
      </c>
      <c r="AR199" s="1">
        <v>0.5</v>
      </c>
      <c r="AS199" t="s">
        <v>8</v>
      </c>
      <c r="AT199" s="1">
        <v>0</v>
      </c>
      <c r="AU199" s="1">
        <v>3.4120079460550602E-2</v>
      </c>
      <c r="AW199" t="s">
        <v>4</v>
      </c>
      <c r="AX199">
        <v>0</v>
      </c>
      <c r="AY199" t="s">
        <v>5</v>
      </c>
      <c r="AZ199">
        <v>197</v>
      </c>
      <c r="BA199" t="s">
        <v>6</v>
      </c>
      <c r="BB199" s="1">
        <v>0.30859379999999997</v>
      </c>
      <c r="BC199" t="s">
        <v>7</v>
      </c>
      <c r="BD199" s="1">
        <v>0.5</v>
      </c>
      <c r="BE199" t="s">
        <v>8</v>
      </c>
      <c r="BF199" s="1">
        <v>0</v>
      </c>
      <c r="BG199" s="1">
        <f t="shared" si="17"/>
        <v>0.61718759999999995</v>
      </c>
      <c r="BH199" s="1">
        <v>11.452919747711301</v>
      </c>
      <c r="BJ199" t="s">
        <v>4</v>
      </c>
      <c r="BK199">
        <v>0</v>
      </c>
      <c r="BL199" t="s">
        <v>5</v>
      </c>
      <c r="BM199">
        <v>197</v>
      </c>
      <c r="BN199" t="s">
        <v>6</v>
      </c>
      <c r="BO199" s="1">
        <v>0.30859379999999997</v>
      </c>
      <c r="BP199" t="s">
        <v>7</v>
      </c>
      <c r="BQ199" s="1">
        <v>0.5</v>
      </c>
      <c r="BR199" t="s">
        <v>8</v>
      </c>
      <c r="BS199" s="1">
        <v>0</v>
      </c>
      <c r="BT199" s="1">
        <v>11.2656360037497</v>
      </c>
      <c r="BU199" s="1">
        <f t="shared" si="18"/>
        <v>0.61718759999999995</v>
      </c>
      <c r="BV199" s="1">
        <f t="shared" si="19"/>
        <v>11.2656360037497</v>
      </c>
      <c r="BX199" s="1">
        <v>197</v>
      </c>
      <c r="BY199" s="1">
        <v>17.326268083632002</v>
      </c>
      <c r="CA199" t="s">
        <v>4</v>
      </c>
      <c r="CB199">
        <v>0</v>
      </c>
      <c r="CC199" t="s">
        <v>5</v>
      </c>
      <c r="CD199">
        <v>197</v>
      </c>
      <c r="CE199" t="s">
        <v>6</v>
      </c>
      <c r="CF199" s="1">
        <v>0.30859379999999997</v>
      </c>
      <c r="CG199" t="s">
        <v>7</v>
      </c>
      <c r="CH199" s="1">
        <v>0.5</v>
      </c>
      <c r="CI199" t="s">
        <v>8</v>
      </c>
      <c r="CJ199" s="1">
        <v>0</v>
      </c>
      <c r="CK199" s="1">
        <v>12.8854692273214</v>
      </c>
    </row>
    <row r="200" spans="43:89">
      <c r="AQ200" t="s">
        <v>7</v>
      </c>
      <c r="AR200" s="1">
        <v>0.5</v>
      </c>
      <c r="AS200" t="s">
        <v>8</v>
      </c>
      <c r="AT200" s="1">
        <v>0</v>
      </c>
      <c r="AU200" s="1">
        <v>3.4129038978624203E-2</v>
      </c>
      <c r="AW200" t="s">
        <v>4</v>
      </c>
      <c r="AX200">
        <v>0</v>
      </c>
      <c r="AY200" t="s">
        <v>5</v>
      </c>
      <c r="AZ200">
        <v>198</v>
      </c>
      <c r="BA200" t="s">
        <v>6</v>
      </c>
      <c r="BB200" s="1">
        <v>0.31015619999999999</v>
      </c>
      <c r="BC200" t="s">
        <v>7</v>
      </c>
      <c r="BD200" s="1">
        <v>0.5</v>
      </c>
      <c r="BE200" t="s">
        <v>8</v>
      </c>
      <c r="BF200" s="1">
        <v>0</v>
      </c>
      <c r="BG200" s="1">
        <f t="shared" si="17"/>
        <v>0.62031239999999999</v>
      </c>
      <c r="BH200" s="1">
        <v>11.4345489909959</v>
      </c>
      <c r="BJ200" t="s">
        <v>4</v>
      </c>
      <c r="BK200">
        <v>0</v>
      </c>
      <c r="BL200" t="s">
        <v>5</v>
      </c>
      <c r="BM200">
        <v>198</v>
      </c>
      <c r="BN200" t="s">
        <v>6</v>
      </c>
      <c r="BO200" s="1">
        <v>0.31015619999999999</v>
      </c>
      <c r="BP200" t="s">
        <v>7</v>
      </c>
      <c r="BQ200" s="1">
        <v>0.5</v>
      </c>
      <c r="BR200" t="s">
        <v>8</v>
      </c>
      <c r="BS200" s="1">
        <v>0</v>
      </c>
      <c r="BT200" s="1">
        <v>11.2717820834915</v>
      </c>
      <c r="BU200" s="1">
        <f t="shared" si="18"/>
        <v>0.62031239999999999</v>
      </c>
      <c r="BV200" s="1">
        <f t="shared" si="19"/>
        <v>11.2717820834915</v>
      </c>
      <c r="BX200" s="1">
        <v>198</v>
      </c>
      <c r="BY200" s="1">
        <v>17.3312039647208</v>
      </c>
      <c r="CA200" t="s">
        <v>4</v>
      </c>
      <c r="CB200">
        <v>0</v>
      </c>
      <c r="CC200" t="s">
        <v>5</v>
      </c>
      <c r="CD200">
        <v>198</v>
      </c>
      <c r="CE200" t="s">
        <v>6</v>
      </c>
      <c r="CF200" s="1">
        <v>0.31015619999999999</v>
      </c>
      <c r="CG200" t="s">
        <v>7</v>
      </c>
      <c r="CH200" s="1">
        <v>0.5</v>
      </c>
      <c r="CI200" t="s">
        <v>8</v>
      </c>
      <c r="CJ200" s="1">
        <v>0</v>
      </c>
      <c r="CK200" s="1">
        <v>12.883254411894701</v>
      </c>
    </row>
    <row r="201" spans="43:89">
      <c r="AQ201" t="s">
        <v>7</v>
      </c>
      <c r="AR201" s="1">
        <v>0.5</v>
      </c>
      <c r="AS201" t="s">
        <v>8</v>
      </c>
      <c r="AT201" s="1">
        <v>0</v>
      </c>
      <c r="AU201" s="1">
        <v>3.4138100694640697E-2</v>
      </c>
      <c r="AW201" t="s">
        <v>4</v>
      </c>
      <c r="AX201">
        <v>0</v>
      </c>
      <c r="AY201" t="s">
        <v>5</v>
      </c>
      <c r="AZ201">
        <v>199</v>
      </c>
      <c r="BA201" t="s">
        <v>6</v>
      </c>
      <c r="BB201" s="1">
        <v>0.31171870000000002</v>
      </c>
      <c r="BC201" t="s">
        <v>7</v>
      </c>
      <c r="BD201" s="1">
        <v>0.5</v>
      </c>
      <c r="BE201" t="s">
        <v>8</v>
      </c>
      <c r="BF201" s="1">
        <v>0</v>
      </c>
      <c r="BG201" s="1">
        <f t="shared" si="17"/>
        <v>0.62343740000000003</v>
      </c>
      <c r="BH201" s="1">
        <v>11.4181072921654</v>
      </c>
      <c r="BJ201" t="s">
        <v>4</v>
      </c>
      <c r="BK201">
        <v>0</v>
      </c>
      <c r="BL201" t="s">
        <v>5</v>
      </c>
      <c r="BM201">
        <v>199</v>
      </c>
      <c r="BN201" t="s">
        <v>6</v>
      </c>
      <c r="BO201" s="1">
        <v>0.31171870000000002</v>
      </c>
      <c r="BP201" t="s">
        <v>7</v>
      </c>
      <c r="BQ201" s="1">
        <v>0.5</v>
      </c>
      <c r="BR201" t="s">
        <v>8</v>
      </c>
      <c r="BS201" s="1">
        <v>0</v>
      </c>
      <c r="BT201" s="1">
        <v>11.298660202302999</v>
      </c>
      <c r="BU201" s="1">
        <f t="shared" si="18"/>
        <v>0.62343740000000003</v>
      </c>
      <c r="BV201" s="1">
        <f t="shared" si="19"/>
        <v>11.298660202302999</v>
      </c>
      <c r="BX201" s="1">
        <v>199</v>
      </c>
      <c r="BY201" s="1">
        <v>17.336444903801699</v>
      </c>
      <c r="CA201" t="s">
        <v>4</v>
      </c>
      <c r="CB201">
        <v>0</v>
      </c>
      <c r="CC201" t="s">
        <v>5</v>
      </c>
      <c r="CD201">
        <v>199</v>
      </c>
      <c r="CE201" t="s">
        <v>6</v>
      </c>
      <c r="CF201" s="1">
        <v>0.31171870000000002</v>
      </c>
      <c r="CG201" t="s">
        <v>7</v>
      </c>
      <c r="CH201" s="1">
        <v>0.5</v>
      </c>
      <c r="CI201" t="s">
        <v>8</v>
      </c>
      <c r="CJ201" s="1">
        <v>0</v>
      </c>
      <c r="CK201" s="1">
        <v>12.881177371442</v>
      </c>
    </row>
    <row r="202" spans="43:89">
      <c r="AQ202" t="s">
        <v>7</v>
      </c>
      <c r="AR202" s="1">
        <v>0.5</v>
      </c>
      <c r="AS202" t="s">
        <v>8</v>
      </c>
      <c r="AT202" s="1">
        <v>0</v>
      </c>
      <c r="AU202" s="1">
        <v>3.4145290413802001E-2</v>
      </c>
      <c r="AW202" t="s">
        <v>4</v>
      </c>
      <c r="AX202">
        <v>0</v>
      </c>
      <c r="AY202" t="s">
        <v>5</v>
      </c>
      <c r="AZ202">
        <v>200</v>
      </c>
      <c r="BA202" t="s">
        <v>6</v>
      </c>
      <c r="BB202" s="1">
        <v>0.31328129999999998</v>
      </c>
      <c r="BC202" t="s">
        <v>7</v>
      </c>
      <c r="BD202" s="1">
        <v>0.5</v>
      </c>
      <c r="BE202" t="s">
        <v>8</v>
      </c>
      <c r="BF202" s="1">
        <v>0</v>
      </c>
      <c r="BG202" s="1">
        <f t="shared" si="17"/>
        <v>0.62656259999999997</v>
      </c>
      <c r="BH202" s="1">
        <v>11.4309026242599</v>
      </c>
      <c r="BJ202" t="s">
        <v>4</v>
      </c>
      <c r="BK202">
        <v>0</v>
      </c>
      <c r="BL202" t="s">
        <v>5</v>
      </c>
      <c r="BM202">
        <v>200</v>
      </c>
      <c r="BN202" t="s">
        <v>6</v>
      </c>
      <c r="BO202" s="1">
        <v>0.31328129999999998</v>
      </c>
      <c r="BP202" t="s">
        <v>7</v>
      </c>
      <c r="BQ202" s="1">
        <v>0.5</v>
      </c>
      <c r="BR202" t="s">
        <v>8</v>
      </c>
      <c r="BS202" s="1">
        <v>0</v>
      </c>
      <c r="BT202" s="1">
        <v>11.3580677074899</v>
      </c>
      <c r="BU202" s="1">
        <f t="shared" si="18"/>
        <v>0.62656259999999997</v>
      </c>
      <c r="BV202" s="1">
        <f t="shared" si="19"/>
        <v>11.3580677074899</v>
      </c>
      <c r="BX202" s="1">
        <v>200</v>
      </c>
      <c r="BY202" s="1">
        <v>17.124266067532702</v>
      </c>
      <c r="CA202" t="s">
        <v>4</v>
      </c>
      <c r="CB202">
        <v>0</v>
      </c>
      <c r="CC202" t="s">
        <v>5</v>
      </c>
      <c r="CD202">
        <v>200</v>
      </c>
      <c r="CE202" t="s">
        <v>6</v>
      </c>
      <c r="CF202" s="1">
        <v>0.31328129999999998</v>
      </c>
      <c r="CG202" t="s">
        <v>7</v>
      </c>
      <c r="CH202" s="1">
        <v>0.5</v>
      </c>
      <c r="CI202" t="s">
        <v>8</v>
      </c>
      <c r="CJ202" s="1">
        <v>0</v>
      </c>
      <c r="CK202" s="1">
        <v>12.632595733095799</v>
      </c>
    </row>
    <row r="203" spans="43:89">
      <c r="AQ203" t="s">
        <v>7</v>
      </c>
      <c r="AR203" s="1">
        <v>0.5</v>
      </c>
      <c r="AS203" t="s">
        <v>8</v>
      </c>
      <c r="AT203" s="1">
        <v>0</v>
      </c>
      <c r="AU203" s="1">
        <v>3.41505203436911E-2</v>
      </c>
      <c r="AW203" t="s">
        <v>4</v>
      </c>
      <c r="AX203">
        <v>0</v>
      </c>
      <c r="AY203" t="s">
        <v>5</v>
      </c>
      <c r="AZ203">
        <v>201</v>
      </c>
      <c r="BA203" t="s">
        <v>6</v>
      </c>
      <c r="BB203" s="1">
        <v>0.3148437</v>
      </c>
      <c r="BC203" t="s">
        <v>7</v>
      </c>
      <c r="BD203" s="1">
        <v>0.5</v>
      </c>
      <c r="BE203" t="s">
        <v>8</v>
      </c>
      <c r="BF203" s="1">
        <v>0</v>
      </c>
      <c r="BG203" s="1">
        <f t="shared" si="17"/>
        <v>0.62968740000000001</v>
      </c>
      <c r="BH203" s="1">
        <v>11.465856288068199</v>
      </c>
      <c r="BJ203" t="s">
        <v>4</v>
      </c>
      <c r="BK203">
        <v>0</v>
      </c>
      <c r="BL203" t="s">
        <v>5</v>
      </c>
      <c r="BM203">
        <v>201</v>
      </c>
      <c r="BN203" t="s">
        <v>6</v>
      </c>
      <c r="BO203" s="1">
        <v>0.3148437</v>
      </c>
      <c r="BP203" t="s">
        <v>7</v>
      </c>
      <c r="BQ203" s="1">
        <v>0.5</v>
      </c>
      <c r="BR203" t="s">
        <v>8</v>
      </c>
      <c r="BS203" s="1">
        <v>0</v>
      </c>
      <c r="BT203" s="1">
        <v>11.427322007298599</v>
      </c>
      <c r="BU203" s="1">
        <f t="shared" si="18"/>
        <v>0.62968740000000001</v>
      </c>
      <c r="BV203" s="1">
        <f t="shared" si="19"/>
        <v>11.427322007298599</v>
      </c>
      <c r="BX203" s="1">
        <v>201</v>
      </c>
      <c r="BY203" s="1">
        <v>17.1105676433558</v>
      </c>
      <c r="CA203" t="s">
        <v>4</v>
      </c>
      <c r="CB203">
        <v>0</v>
      </c>
      <c r="CC203" t="s">
        <v>5</v>
      </c>
      <c r="CD203">
        <v>201</v>
      </c>
      <c r="CE203" t="s">
        <v>6</v>
      </c>
      <c r="CF203" s="1">
        <v>0.3148437</v>
      </c>
      <c r="CG203" t="s">
        <v>7</v>
      </c>
      <c r="CH203" s="1">
        <v>0.5</v>
      </c>
      <c r="CI203" t="s">
        <v>8</v>
      </c>
      <c r="CJ203" s="1">
        <v>0</v>
      </c>
      <c r="CK203" s="1">
        <v>12.628620842336399</v>
      </c>
    </row>
    <row r="204" spans="43:89">
      <c r="AQ204" t="s">
        <v>7</v>
      </c>
      <c r="AR204" s="1">
        <v>0.5</v>
      </c>
      <c r="AS204" t="s">
        <v>8</v>
      </c>
      <c r="AT204" s="1">
        <v>0</v>
      </c>
      <c r="AU204" s="1">
        <v>3.4155726848628602E-2</v>
      </c>
      <c r="AW204" t="s">
        <v>4</v>
      </c>
      <c r="AX204">
        <v>0</v>
      </c>
      <c r="AY204" t="s">
        <v>5</v>
      </c>
      <c r="AZ204">
        <v>202</v>
      </c>
      <c r="BA204" t="s">
        <v>6</v>
      </c>
      <c r="BB204" s="1">
        <v>0.31640620000000003</v>
      </c>
      <c r="BC204" t="s">
        <v>7</v>
      </c>
      <c r="BD204" s="1">
        <v>0.5</v>
      </c>
      <c r="BE204" t="s">
        <v>8</v>
      </c>
      <c r="BF204" s="1">
        <v>0</v>
      </c>
      <c r="BG204" s="1">
        <f t="shared" si="17"/>
        <v>0.63281240000000005</v>
      </c>
      <c r="BH204" s="1">
        <v>11.492628794426601</v>
      </c>
      <c r="BJ204" t="s">
        <v>4</v>
      </c>
      <c r="BK204">
        <v>0</v>
      </c>
      <c r="BL204" t="s">
        <v>5</v>
      </c>
      <c r="BM204">
        <v>202</v>
      </c>
      <c r="BN204" t="s">
        <v>6</v>
      </c>
      <c r="BO204" s="1">
        <v>0.31640620000000003</v>
      </c>
      <c r="BP204" t="s">
        <v>7</v>
      </c>
      <c r="BQ204" s="1">
        <v>0.5</v>
      </c>
      <c r="BR204" t="s">
        <v>8</v>
      </c>
      <c r="BS204" s="1">
        <v>0</v>
      </c>
      <c r="BT204" s="1">
        <v>11.4854460021003</v>
      </c>
      <c r="BU204" s="1">
        <f t="shared" si="18"/>
        <v>0.63281240000000005</v>
      </c>
      <c r="BV204" s="1">
        <f t="shared" si="19"/>
        <v>11.4854460021003</v>
      </c>
      <c r="BX204" s="1">
        <v>202</v>
      </c>
      <c r="BY204" s="1">
        <v>17.096444155475801</v>
      </c>
      <c r="CA204" t="s">
        <v>4</v>
      </c>
      <c r="CB204">
        <v>0</v>
      </c>
      <c r="CC204" t="s">
        <v>5</v>
      </c>
      <c r="CD204">
        <v>202</v>
      </c>
      <c r="CE204" t="s">
        <v>6</v>
      </c>
      <c r="CF204" s="1">
        <v>0.31640620000000003</v>
      </c>
      <c r="CG204" t="s">
        <v>7</v>
      </c>
      <c r="CH204" s="1">
        <v>0.5</v>
      </c>
      <c r="CI204" t="s">
        <v>8</v>
      </c>
      <c r="CJ204" s="1">
        <v>0</v>
      </c>
      <c r="CK204" s="1">
        <v>12.6245096070859</v>
      </c>
    </row>
    <row r="205" spans="43:89">
      <c r="AQ205" t="s">
        <v>7</v>
      </c>
      <c r="AR205" s="1">
        <v>0.5</v>
      </c>
      <c r="AS205" t="s">
        <v>8</v>
      </c>
      <c r="AT205" s="1">
        <v>0</v>
      </c>
      <c r="AU205" s="1">
        <v>3.4160905217450001E-2</v>
      </c>
      <c r="AW205" t="s">
        <v>4</v>
      </c>
      <c r="AX205">
        <v>0</v>
      </c>
      <c r="AY205" t="s">
        <v>5</v>
      </c>
      <c r="AZ205">
        <v>203</v>
      </c>
      <c r="BA205" t="s">
        <v>6</v>
      </c>
      <c r="BB205" s="1">
        <v>0.3179688</v>
      </c>
      <c r="BC205" t="s">
        <v>7</v>
      </c>
      <c r="BD205" s="1">
        <v>0.5</v>
      </c>
      <c r="BE205" t="s">
        <v>8</v>
      </c>
      <c r="BF205" s="1">
        <v>0</v>
      </c>
      <c r="BG205" s="1">
        <f t="shared" si="17"/>
        <v>0.63593759999999999</v>
      </c>
      <c r="BH205" s="1">
        <v>11.511072447733</v>
      </c>
      <c r="BJ205" t="s">
        <v>4</v>
      </c>
      <c r="BK205">
        <v>0</v>
      </c>
      <c r="BL205" t="s">
        <v>5</v>
      </c>
      <c r="BM205">
        <v>203</v>
      </c>
      <c r="BN205" t="s">
        <v>6</v>
      </c>
      <c r="BO205" s="1">
        <v>0.3179688</v>
      </c>
      <c r="BP205" t="s">
        <v>7</v>
      </c>
      <c r="BQ205" s="1">
        <v>0.5</v>
      </c>
      <c r="BR205" t="s">
        <v>8</v>
      </c>
      <c r="BS205" s="1">
        <v>0</v>
      </c>
      <c r="BT205" s="1">
        <v>11.532155177642499</v>
      </c>
      <c r="BU205" s="1">
        <f t="shared" si="18"/>
        <v>0.63593759999999999</v>
      </c>
      <c r="BV205" s="1">
        <f t="shared" si="19"/>
        <v>11.532155177642499</v>
      </c>
      <c r="BX205" s="1">
        <v>203</v>
      </c>
      <c r="BY205" s="1">
        <v>17.0817747743266</v>
      </c>
      <c r="CA205" t="s">
        <v>4</v>
      </c>
      <c r="CB205">
        <v>0</v>
      </c>
      <c r="CC205" t="s">
        <v>5</v>
      </c>
      <c r="CD205">
        <v>203</v>
      </c>
      <c r="CE205" t="s">
        <v>6</v>
      </c>
      <c r="CF205" s="1">
        <v>0.3179688</v>
      </c>
      <c r="CG205" t="s">
        <v>7</v>
      </c>
      <c r="CH205" s="1">
        <v>0.5</v>
      </c>
      <c r="CI205" t="s">
        <v>8</v>
      </c>
      <c r="CJ205" s="1">
        <v>0</v>
      </c>
      <c r="CK205" s="1">
        <v>12.6202461339776</v>
      </c>
    </row>
    <row r="206" spans="43:89">
      <c r="AQ206" t="s">
        <v>7</v>
      </c>
      <c r="AR206" s="1">
        <v>0.5</v>
      </c>
      <c r="AS206" t="s">
        <v>8</v>
      </c>
      <c r="AT206" s="1">
        <v>0</v>
      </c>
      <c r="AU206" s="1">
        <v>3.4166050802515197E-2</v>
      </c>
      <c r="AW206" t="s">
        <v>4</v>
      </c>
      <c r="AX206">
        <v>0</v>
      </c>
      <c r="AY206" t="s">
        <v>5</v>
      </c>
      <c r="AZ206">
        <v>204</v>
      </c>
      <c r="BA206" t="s">
        <v>6</v>
      </c>
      <c r="BB206" s="1">
        <v>0.31953120000000002</v>
      </c>
      <c r="BC206" t="s">
        <v>7</v>
      </c>
      <c r="BD206" s="1">
        <v>0.5</v>
      </c>
      <c r="BE206" t="s">
        <v>8</v>
      </c>
      <c r="BF206" s="1">
        <v>0</v>
      </c>
      <c r="BG206" s="1">
        <f t="shared" si="17"/>
        <v>0.63906240000000003</v>
      </c>
      <c r="BH206" s="1">
        <v>11.5208757304892</v>
      </c>
      <c r="BJ206" t="s">
        <v>4</v>
      </c>
      <c r="BK206">
        <v>0</v>
      </c>
      <c r="BL206" t="s">
        <v>5</v>
      </c>
      <c r="BM206">
        <v>204</v>
      </c>
      <c r="BN206" t="s">
        <v>6</v>
      </c>
      <c r="BO206" s="1">
        <v>0.31953120000000002</v>
      </c>
      <c r="BP206" t="s">
        <v>7</v>
      </c>
      <c r="BQ206" s="1">
        <v>0.5</v>
      </c>
      <c r="BR206" t="s">
        <v>8</v>
      </c>
      <c r="BS206" s="1">
        <v>0</v>
      </c>
      <c r="BT206" s="1">
        <v>11.5671846251365</v>
      </c>
      <c r="BU206" s="1">
        <f t="shared" si="18"/>
        <v>0.63906240000000003</v>
      </c>
      <c r="BV206" s="1">
        <f t="shared" si="19"/>
        <v>11.5671846251365</v>
      </c>
      <c r="BX206" s="1">
        <v>204</v>
      </c>
      <c r="BY206" s="1">
        <v>17.066698014888399</v>
      </c>
      <c r="CA206" t="s">
        <v>4</v>
      </c>
      <c r="CB206">
        <v>0</v>
      </c>
      <c r="CC206" t="s">
        <v>5</v>
      </c>
      <c r="CD206">
        <v>204</v>
      </c>
      <c r="CE206" t="s">
        <v>6</v>
      </c>
      <c r="CF206" s="1">
        <v>0.31953120000000002</v>
      </c>
      <c r="CG206" t="s">
        <v>7</v>
      </c>
      <c r="CH206" s="1">
        <v>0.5</v>
      </c>
      <c r="CI206" t="s">
        <v>8</v>
      </c>
      <c r="CJ206" s="1">
        <v>0</v>
      </c>
      <c r="CK206" s="1">
        <v>12.615810594560999</v>
      </c>
    </row>
    <row r="207" spans="43:89">
      <c r="AQ207" t="s">
        <v>7</v>
      </c>
      <c r="AR207" s="1">
        <v>0.5</v>
      </c>
      <c r="AS207" t="s">
        <v>8</v>
      </c>
      <c r="AT207" s="1">
        <v>0</v>
      </c>
      <c r="AU207" s="1">
        <v>3.4171159007971699E-2</v>
      </c>
      <c r="AW207" t="s">
        <v>4</v>
      </c>
      <c r="AX207">
        <v>0</v>
      </c>
      <c r="AY207" t="s">
        <v>5</v>
      </c>
      <c r="AZ207">
        <v>205</v>
      </c>
      <c r="BA207" t="s">
        <v>6</v>
      </c>
      <c r="BB207" s="1">
        <v>0.32109379999999998</v>
      </c>
      <c r="BC207" t="s">
        <v>7</v>
      </c>
      <c r="BD207" s="1">
        <v>0.5</v>
      </c>
      <c r="BE207" t="s">
        <v>8</v>
      </c>
      <c r="BF207" s="1">
        <v>0</v>
      </c>
      <c r="BG207" s="1">
        <f t="shared" si="17"/>
        <v>0.64218759999999997</v>
      </c>
      <c r="BH207" s="1">
        <v>11.521892520803201</v>
      </c>
      <c r="BJ207" t="s">
        <v>4</v>
      </c>
      <c r="BK207">
        <v>0</v>
      </c>
      <c r="BL207" t="s">
        <v>5</v>
      </c>
      <c r="BM207">
        <v>205</v>
      </c>
      <c r="BN207" t="s">
        <v>6</v>
      </c>
      <c r="BO207" s="1">
        <v>0.32109379999999998</v>
      </c>
      <c r="BP207" t="s">
        <v>7</v>
      </c>
      <c r="BQ207" s="1">
        <v>0.5</v>
      </c>
      <c r="BR207" t="s">
        <v>8</v>
      </c>
      <c r="BS207" s="1">
        <v>0</v>
      </c>
      <c r="BT207" s="1">
        <v>11.590283057841599</v>
      </c>
      <c r="BU207" s="1">
        <f t="shared" si="18"/>
        <v>0.64218759999999997</v>
      </c>
      <c r="BV207" s="1">
        <f t="shared" si="19"/>
        <v>11.590283057841599</v>
      </c>
      <c r="BX207" s="1">
        <v>205</v>
      </c>
      <c r="BY207" s="1">
        <v>17.0511606804981</v>
      </c>
      <c r="CA207" t="s">
        <v>4</v>
      </c>
      <c r="CB207">
        <v>0</v>
      </c>
      <c r="CC207" t="s">
        <v>5</v>
      </c>
      <c r="CD207">
        <v>205</v>
      </c>
      <c r="CE207" t="s">
        <v>6</v>
      </c>
      <c r="CF207" s="1">
        <v>0.32109379999999998</v>
      </c>
      <c r="CG207" t="s">
        <v>7</v>
      </c>
      <c r="CH207" s="1">
        <v>0.5</v>
      </c>
      <c r="CI207" t="s">
        <v>8</v>
      </c>
      <c r="CJ207" s="1">
        <v>0</v>
      </c>
      <c r="CK207" s="1">
        <v>12.611181672028099</v>
      </c>
    </row>
    <row r="208" spans="43:89">
      <c r="AQ208" t="s">
        <v>7</v>
      </c>
      <c r="AR208" s="1">
        <v>0.5</v>
      </c>
      <c r="AS208" t="s">
        <v>8</v>
      </c>
      <c r="AT208" s="1">
        <v>0</v>
      </c>
      <c r="AU208" s="1">
        <v>3.4176225277855701E-2</v>
      </c>
      <c r="AW208" t="s">
        <v>4</v>
      </c>
      <c r="AX208">
        <v>0</v>
      </c>
      <c r="AY208" t="s">
        <v>5</v>
      </c>
      <c r="AZ208">
        <v>206</v>
      </c>
      <c r="BA208" t="s">
        <v>6</v>
      </c>
      <c r="BB208" s="1">
        <v>0.3226562</v>
      </c>
      <c r="BC208" t="s">
        <v>7</v>
      </c>
      <c r="BD208" s="1">
        <v>0.5</v>
      </c>
      <c r="BE208" t="s">
        <v>8</v>
      </c>
      <c r="BF208" s="1">
        <v>0</v>
      </c>
      <c r="BG208" s="1">
        <f t="shared" si="17"/>
        <v>0.64531240000000001</v>
      </c>
      <c r="BH208" s="1">
        <v>11.513903808796</v>
      </c>
      <c r="BJ208" t="s">
        <v>4</v>
      </c>
      <c r="BK208">
        <v>0</v>
      </c>
      <c r="BL208" t="s">
        <v>5</v>
      </c>
      <c r="BM208">
        <v>206</v>
      </c>
      <c r="BN208" t="s">
        <v>6</v>
      </c>
      <c r="BO208" s="1">
        <v>0.3226562</v>
      </c>
      <c r="BP208" t="s">
        <v>7</v>
      </c>
      <c r="BQ208" s="1">
        <v>0.5</v>
      </c>
      <c r="BR208" t="s">
        <v>8</v>
      </c>
      <c r="BS208" s="1">
        <v>0</v>
      </c>
      <c r="BT208" s="1">
        <v>11.6010599786554</v>
      </c>
      <c r="BU208" s="1">
        <f t="shared" si="18"/>
        <v>0.64531240000000001</v>
      </c>
      <c r="BV208" s="1">
        <f t="shared" si="19"/>
        <v>11.6010599786554</v>
      </c>
      <c r="BX208" s="1">
        <v>206</v>
      </c>
      <c r="BY208" s="1">
        <v>17.035157281318899</v>
      </c>
      <c r="CA208" t="s">
        <v>4</v>
      </c>
      <c r="CB208">
        <v>0</v>
      </c>
      <c r="CC208" t="s">
        <v>5</v>
      </c>
      <c r="CD208">
        <v>206</v>
      </c>
      <c r="CE208" t="s">
        <v>6</v>
      </c>
      <c r="CF208" s="1">
        <v>0.3226562</v>
      </c>
      <c r="CG208" t="s">
        <v>7</v>
      </c>
      <c r="CH208" s="1">
        <v>0.5</v>
      </c>
      <c r="CI208" t="s">
        <v>8</v>
      </c>
      <c r="CJ208" s="1">
        <v>0</v>
      </c>
      <c r="CK208" s="1">
        <v>12.606365187378801</v>
      </c>
    </row>
    <row r="209" spans="43:89">
      <c r="AQ209" t="s">
        <v>7</v>
      </c>
      <c r="AR209" s="1">
        <v>0.5</v>
      </c>
      <c r="AS209" t="s">
        <v>8</v>
      </c>
      <c r="AT209" s="1">
        <v>0</v>
      </c>
      <c r="AU209" s="1">
        <v>3.4181245084481601E-2</v>
      </c>
      <c r="AW209" t="s">
        <v>4</v>
      </c>
      <c r="AX209">
        <v>0</v>
      </c>
      <c r="AY209" t="s">
        <v>5</v>
      </c>
      <c r="AZ209">
        <v>207</v>
      </c>
      <c r="BA209" t="s">
        <v>6</v>
      </c>
      <c r="BB209" s="1">
        <v>0.32421879999999997</v>
      </c>
      <c r="BC209" t="s">
        <v>7</v>
      </c>
      <c r="BD209" s="1">
        <v>0.5</v>
      </c>
      <c r="BE209" t="s">
        <v>8</v>
      </c>
      <c r="BF209" s="1">
        <v>0</v>
      </c>
      <c r="BG209" s="1">
        <f t="shared" si="17"/>
        <v>0.64843759999999995</v>
      </c>
      <c r="BH209" s="1">
        <v>11.4967457196531</v>
      </c>
      <c r="BJ209" t="s">
        <v>4</v>
      </c>
      <c r="BK209">
        <v>0</v>
      </c>
      <c r="BL209" t="s">
        <v>5</v>
      </c>
      <c r="BM209">
        <v>207</v>
      </c>
      <c r="BN209" t="s">
        <v>6</v>
      </c>
      <c r="BO209" s="1">
        <v>0.32421879999999997</v>
      </c>
      <c r="BP209" t="s">
        <v>7</v>
      </c>
      <c r="BQ209" s="1">
        <v>0.5</v>
      </c>
      <c r="BR209" t="s">
        <v>8</v>
      </c>
      <c r="BS209" s="1">
        <v>0</v>
      </c>
      <c r="BT209" s="1">
        <v>11.599331786818601</v>
      </c>
      <c r="BU209" s="1">
        <f t="shared" si="18"/>
        <v>0.64843759999999995</v>
      </c>
      <c r="BV209" s="1">
        <f t="shared" si="19"/>
        <v>11.599331786818601</v>
      </c>
      <c r="BX209" s="1">
        <v>207</v>
      </c>
      <c r="BY209" s="1">
        <v>17.0186431883401</v>
      </c>
      <c r="CA209" t="s">
        <v>4</v>
      </c>
      <c r="CB209">
        <v>0</v>
      </c>
      <c r="CC209" t="s">
        <v>5</v>
      </c>
      <c r="CD209">
        <v>207</v>
      </c>
      <c r="CE209" t="s">
        <v>6</v>
      </c>
      <c r="CF209" s="1">
        <v>0.32421879999999997</v>
      </c>
      <c r="CG209" t="s">
        <v>7</v>
      </c>
      <c r="CH209" s="1">
        <v>0.5</v>
      </c>
      <c r="CI209" t="s">
        <v>8</v>
      </c>
      <c r="CJ209" s="1">
        <v>0</v>
      </c>
      <c r="CK209" s="1">
        <v>12.601334433129299</v>
      </c>
    </row>
    <row r="210" spans="43:89">
      <c r="AQ210" t="s">
        <v>7</v>
      </c>
      <c r="AR210" s="1">
        <v>0.5</v>
      </c>
      <c r="AS210" t="s">
        <v>8</v>
      </c>
      <c r="AT210" s="1">
        <v>0</v>
      </c>
      <c r="AU210" s="1">
        <v>3.4186988822999601E-2</v>
      </c>
      <c r="AW210" t="s">
        <v>4</v>
      </c>
      <c r="AX210">
        <v>0</v>
      </c>
      <c r="AY210" t="s">
        <v>5</v>
      </c>
      <c r="AZ210">
        <v>208</v>
      </c>
      <c r="BA210" t="s">
        <v>6</v>
      </c>
      <c r="BB210" s="1">
        <v>0.3257813</v>
      </c>
      <c r="BC210" t="s">
        <v>7</v>
      </c>
      <c r="BD210" s="1">
        <v>0.5</v>
      </c>
      <c r="BE210" t="s">
        <v>8</v>
      </c>
      <c r="BF210" s="1">
        <v>0</v>
      </c>
      <c r="BG210" s="1">
        <f t="shared" si="17"/>
        <v>0.65156259999999999</v>
      </c>
      <c r="BH210" s="1">
        <v>11.4702326596804</v>
      </c>
      <c r="BJ210" t="s">
        <v>4</v>
      </c>
      <c r="BK210">
        <v>0</v>
      </c>
      <c r="BL210" t="s">
        <v>5</v>
      </c>
      <c r="BM210">
        <v>208</v>
      </c>
      <c r="BN210" t="s">
        <v>6</v>
      </c>
      <c r="BO210" s="1">
        <v>0.3257813</v>
      </c>
      <c r="BP210" t="s">
        <v>7</v>
      </c>
      <c r="BQ210" s="1">
        <v>0.5</v>
      </c>
      <c r="BR210" t="s">
        <v>8</v>
      </c>
      <c r="BS210" s="1">
        <v>0</v>
      </c>
      <c r="BT210" s="1">
        <v>11.5847975044401</v>
      </c>
      <c r="BU210" s="1">
        <f t="shared" si="18"/>
        <v>0.65156259999999999</v>
      </c>
      <c r="BV210" s="1">
        <f t="shared" si="19"/>
        <v>11.5847975044401</v>
      </c>
      <c r="BX210" s="1">
        <v>208</v>
      </c>
      <c r="BY210" s="1">
        <v>17.001582250420601</v>
      </c>
      <c r="CA210" t="s">
        <v>4</v>
      </c>
      <c r="CB210">
        <v>0</v>
      </c>
      <c r="CC210" t="s">
        <v>5</v>
      </c>
      <c r="CD210">
        <v>208</v>
      </c>
      <c r="CE210" t="s">
        <v>6</v>
      </c>
      <c r="CF210" s="1">
        <v>0.3257813</v>
      </c>
      <c r="CG210" t="s">
        <v>7</v>
      </c>
      <c r="CH210" s="1">
        <v>0.5</v>
      </c>
      <c r="CI210" t="s">
        <v>8</v>
      </c>
      <c r="CJ210" s="1">
        <v>0</v>
      </c>
      <c r="CK210" s="1">
        <v>12.5961119805241</v>
      </c>
    </row>
    <row r="211" spans="43:89">
      <c r="AQ211" t="s">
        <v>7</v>
      </c>
      <c r="AR211" s="1">
        <v>0.5</v>
      </c>
      <c r="AS211" t="s">
        <v>8</v>
      </c>
      <c r="AT211" s="1">
        <v>0</v>
      </c>
      <c r="AU211" s="1">
        <v>3.4191911285322299E-2</v>
      </c>
      <c r="AW211" t="s">
        <v>4</v>
      </c>
      <c r="AX211">
        <v>0</v>
      </c>
      <c r="AY211" t="s">
        <v>5</v>
      </c>
      <c r="AZ211">
        <v>209</v>
      </c>
      <c r="BA211" t="s">
        <v>6</v>
      </c>
      <c r="BB211" s="1">
        <v>0.32734370000000002</v>
      </c>
      <c r="BC211" t="s">
        <v>7</v>
      </c>
      <c r="BD211" s="1">
        <v>0.5</v>
      </c>
      <c r="BE211" t="s">
        <v>8</v>
      </c>
      <c r="BF211" s="1">
        <v>0</v>
      </c>
      <c r="BG211" s="1">
        <f t="shared" si="17"/>
        <v>0.65468740000000003</v>
      </c>
      <c r="BH211" s="1">
        <v>11.434172497881001</v>
      </c>
      <c r="BJ211" t="s">
        <v>4</v>
      </c>
      <c r="BK211">
        <v>0</v>
      </c>
      <c r="BL211" t="s">
        <v>5</v>
      </c>
      <c r="BM211">
        <v>209</v>
      </c>
      <c r="BN211" t="s">
        <v>6</v>
      </c>
      <c r="BO211" s="1">
        <v>0.32734370000000002</v>
      </c>
      <c r="BP211" t="s">
        <v>7</v>
      </c>
      <c r="BQ211" s="1">
        <v>0.5</v>
      </c>
      <c r="BR211" t="s">
        <v>8</v>
      </c>
      <c r="BS211" s="1">
        <v>0</v>
      </c>
      <c r="BT211" s="1">
        <v>11.557237721590401</v>
      </c>
      <c r="BU211" s="1">
        <f t="shared" si="18"/>
        <v>0.65468740000000003</v>
      </c>
      <c r="BV211" s="1">
        <f t="shared" si="19"/>
        <v>11.557237721590401</v>
      </c>
      <c r="BX211" s="1">
        <v>209</v>
      </c>
      <c r="BY211" s="1">
        <v>16.9839847188438</v>
      </c>
      <c r="CA211" t="s">
        <v>4</v>
      </c>
      <c r="CB211">
        <v>0</v>
      </c>
      <c r="CC211" t="s">
        <v>5</v>
      </c>
      <c r="CD211">
        <v>209</v>
      </c>
      <c r="CE211" t="s">
        <v>6</v>
      </c>
      <c r="CF211" s="1">
        <v>0.32734370000000002</v>
      </c>
      <c r="CG211" t="s">
        <v>7</v>
      </c>
      <c r="CH211" s="1">
        <v>0.5</v>
      </c>
      <c r="CI211" t="s">
        <v>8</v>
      </c>
      <c r="CJ211" s="1">
        <v>0</v>
      </c>
      <c r="CK211" s="1">
        <v>12.590645932894001</v>
      </c>
    </row>
    <row r="212" spans="43:89">
      <c r="AQ212" t="s">
        <v>7</v>
      </c>
      <c r="AR212" s="1">
        <v>0.5</v>
      </c>
      <c r="AS212" t="s">
        <v>8</v>
      </c>
      <c r="AT212" s="1">
        <v>0</v>
      </c>
      <c r="AU212" s="1">
        <v>3.4196771009272403E-2</v>
      </c>
      <c r="AW212" t="s">
        <v>4</v>
      </c>
      <c r="AX212">
        <v>0</v>
      </c>
      <c r="AY212" t="s">
        <v>5</v>
      </c>
      <c r="AZ212">
        <v>210</v>
      </c>
      <c r="BA212" t="s">
        <v>6</v>
      </c>
      <c r="BB212" s="1">
        <v>0.32890629999999998</v>
      </c>
      <c r="BC212" t="s">
        <v>7</v>
      </c>
      <c r="BD212" s="1">
        <v>0.5</v>
      </c>
      <c r="BE212" t="s">
        <v>8</v>
      </c>
      <c r="BF212" s="1">
        <v>0</v>
      </c>
      <c r="BG212" s="1">
        <f t="shared" si="17"/>
        <v>0.65781259999999997</v>
      </c>
      <c r="BH212" s="1">
        <v>11.3883533914357</v>
      </c>
      <c r="BJ212" t="s">
        <v>4</v>
      </c>
      <c r="BK212">
        <v>0</v>
      </c>
      <c r="BL212" t="s">
        <v>5</v>
      </c>
      <c r="BM212">
        <v>210</v>
      </c>
      <c r="BN212" t="s">
        <v>6</v>
      </c>
      <c r="BO212" s="1">
        <v>0.32890629999999998</v>
      </c>
      <c r="BP212" t="s">
        <v>7</v>
      </c>
      <c r="BQ212" s="1">
        <v>0.5</v>
      </c>
      <c r="BR212" t="s">
        <v>8</v>
      </c>
      <c r="BS212" s="1">
        <v>0</v>
      </c>
      <c r="BT212" s="1">
        <v>11.5163254098557</v>
      </c>
      <c r="BU212" s="1">
        <f t="shared" si="18"/>
        <v>0.65781259999999997</v>
      </c>
      <c r="BV212" s="1">
        <f t="shared" si="19"/>
        <v>11.5163254098557</v>
      </c>
      <c r="BX212" s="1">
        <v>210</v>
      </c>
      <c r="BY212" s="1">
        <v>16.965800448057799</v>
      </c>
      <c r="CA212" t="s">
        <v>4</v>
      </c>
      <c r="CB212">
        <v>0</v>
      </c>
      <c r="CC212" t="s">
        <v>5</v>
      </c>
      <c r="CD212">
        <v>210</v>
      </c>
      <c r="CE212" t="s">
        <v>6</v>
      </c>
      <c r="CF212" s="1">
        <v>0.32890629999999998</v>
      </c>
      <c r="CG212" t="s">
        <v>7</v>
      </c>
      <c r="CH212" s="1">
        <v>0.5</v>
      </c>
      <c r="CI212" t="s">
        <v>8</v>
      </c>
      <c r="CJ212" s="1">
        <v>0</v>
      </c>
      <c r="CK212" s="1">
        <v>12.5849479942153</v>
      </c>
    </row>
    <row r="213" spans="43:89">
      <c r="AQ213" t="s">
        <v>7</v>
      </c>
      <c r="AR213" s="1">
        <v>0.5</v>
      </c>
      <c r="AS213" t="s">
        <v>8</v>
      </c>
      <c r="AT213" s="1">
        <v>0</v>
      </c>
      <c r="AU213" s="1">
        <v>3.4201565478896898E-2</v>
      </c>
      <c r="AW213" t="s">
        <v>4</v>
      </c>
      <c r="AX213">
        <v>0</v>
      </c>
      <c r="AY213" t="s">
        <v>5</v>
      </c>
      <c r="AZ213">
        <v>211</v>
      </c>
      <c r="BA213" t="s">
        <v>6</v>
      </c>
      <c r="BB213" s="1">
        <v>0.3304687</v>
      </c>
      <c r="BC213" t="s">
        <v>7</v>
      </c>
      <c r="BD213" s="1">
        <v>0.5</v>
      </c>
      <c r="BE213" t="s">
        <v>8</v>
      </c>
      <c r="BF213" s="1">
        <v>0</v>
      </c>
      <c r="BG213" s="1">
        <f t="shared" si="17"/>
        <v>0.66093740000000001</v>
      </c>
      <c r="BH213" s="1">
        <v>11.3326145691435</v>
      </c>
      <c r="BJ213" t="s">
        <v>4</v>
      </c>
      <c r="BK213">
        <v>0</v>
      </c>
      <c r="BL213" t="s">
        <v>5</v>
      </c>
      <c r="BM213">
        <v>211</v>
      </c>
      <c r="BN213" t="s">
        <v>6</v>
      </c>
      <c r="BO213" s="1">
        <v>0.3304687</v>
      </c>
      <c r="BP213" t="s">
        <v>7</v>
      </c>
      <c r="BQ213" s="1">
        <v>0.5</v>
      </c>
      <c r="BR213" t="s">
        <v>8</v>
      </c>
      <c r="BS213" s="1">
        <v>0</v>
      </c>
      <c r="BT213" s="1">
        <v>11.461834726743101</v>
      </c>
      <c r="BU213" s="1">
        <f t="shared" si="18"/>
        <v>0.66093740000000001</v>
      </c>
      <c r="BV213" s="1">
        <f t="shared" si="19"/>
        <v>11.461834726743101</v>
      </c>
      <c r="BX213" s="1">
        <v>211</v>
      </c>
      <c r="BY213" s="1">
        <v>16.9470507168494</v>
      </c>
      <c r="CA213" t="s">
        <v>4</v>
      </c>
      <c r="CB213">
        <v>0</v>
      </c>
      <c r="CC213" t="s">
        <v>5</v>
      </c>
      <c r="CD213">
        <v>211</v>
      </c>
      <c r="CE213" t="s">
        <v>6</v>
      </c>
      <c r="CF213" s="1">
        <v>0.3304687</v>
      </c>
      <c r="CG213" t="s">
        <v>7</v>
      </c>
      <c r="CH213" s="1">
        <v>0.5</v>
      </c>
      <c r="CI213" t="s">
        <v>8</v>
      </c>
      <c r="CJ213" s="1">
        <v>0</v>
      </c>
      <c r="CK213" s="1">
        <v>12.579019990988799</v>
      </c>
    </row>
    <row r="214" spans="43:89">
      <c r="AQ214" t="s">
        <v>7</v>
      </c>
      <c r="AR214" s="1">
        <v>0.5</v>
      </c>
      <c r="AS214" t="s">
        <v>8</v>
      </c>
      <c r="AT214" s="1">
        <v>0</v>
      </c>
      <c r="AU214" s="1">
        <v>3.4206290129279199E-2</v>
      </c>
      <c r="AW214" t="s">
        <v>4</v>
      </c>
      <c r="AX214">
        <v>0</v>
      </c>
      <c r="AY214" t="s">
        <v>5</v>
      </c>
      <c r="AZ214">
        <v>212</v>
      </c>
      <c r="BA214" t="s">
        <v>6</v>
      </c>
      <c r="BB214" s="1">
        <v>0.33203120000000003</v>
      </c>
      <c r="BC214" t="s">
        <v>7</v>
      </c>
      <c r="BD214" s="1">
        <v>0.5</v>
      </c>
      <c r="BE214" t="s">
        <v>8</v>
      </c>
      <c r="BF214" s="1">
        <v>0</v>
      </c>
      <c r="BG214" s="1">
        <f t="shared" si="17"/>
        <v>0.66406240000000005</v>
      </c>
      <c r="BH214" s="1">
        <v>11.266793214956699</v>
      </c>
      <c r="BJ214" t="s">
        <v>4</v>
      </c>
      <c r="BK214">
        <v>0</v>
      </c>
      <c r="BL214" t="s">
        <v>5</v>
      </c>
      <c r="BM214">
        <v>212</v>
      </c>
      <c r="BN214" t="s">
        <v>6</v>
      </c>
      <c r="BO214" s="1">
        <v>0.33203120000000003</v>
      </c>
      <c r="BP214" t="s">
        <v>7</v>
      </c>
      <c r="BQ214" s="1">
        <v>0.5</v>
      </c>
      <c r="BR214" t="s">
        <v>8</v>
      </c>
      <c r="BS214" s="1">
        <v>0</v>
      </c>
      <c r="BT214" s="1">
        <v>11.393483634035199</v>
      </c>
      <c r="BU214" s="1">
        <f t="shared" si="18"/>
        <v>0.66406240000000005</v>
      </c>
      <c r="BV214" s="1">
        <f t="shared" si="19"/>
        <v>11.393483634035199</v>
      </c>
      <c r="BX214" s="1">
        <v>212</v>
      </c>
      <c r="BY214" s="1">
        <v>16.927696450148702</v>
      </c>
      <c r="CA214" t="s">
        <v>4</v>
      </c>
      <c r="CB214">
        <v>0</v>
      </c>
      <c r="CC214" t="s">
        <v>5</v>
      </c>
      <c r="CD214">
        <v>212</v>
      </c>
      <c r="CE214" t="s">
        <v>6</v>
      </c>
      <c r="CF214" s="1">
        <v>0.33203120000000003</v>
      </c>
      <c r="CG214" t="s">
        <v>7</v>
      </c>
      <c r="CH214" s="1">
        <v>0.5</v>
      </c>
      <c r="CI214" t="s">
        <v>8</v>
      </c>
      <c r="CJ214" s="1">
        <v>0</v>
      </c>
      <c r="CK214" s="1">
        <v>12.572841332183099</v>
      </c>
    </row>
    <row r="215" spans="43:89">
      <c r="AQ215" t="s">
        <v>7</v>
      </c>
      <c r="AR215" s="1">
        <v>0.5</v>
      </c>
      <c r="AS215" t="s">
        <v>8</v>
      </c>
      <c r="AT215" s="1">
        <v>0</v>
      </c>
      <c r="AU215" s="1">
        <v>3.4210940354518798E-2</v>
      </c>
      <c r="AW215" t="s">
        <v>4</v>
      </c>
      <c r="AX215">
        <v>0</v>
      </c>
      <c r="AY215" t="s">
        <v>5</v>
      </c>
      <c r="AZ215">
        <v>213</v>
      </c>
      <c r="BA215" t="s">
        <v>6</v>
      </c>
      <c r="BB215" s="1">
        <v>0.3335938</v>
      </c>
      <c r="BC215" t="s">
        <v>7</v>
      </c>
      <c r="BD215" s="1">
        <v>0.5</v>
      </c>
      <c r="BE215" t="s">
        <v>8</v>
      </c>
      <c r="BF215" s="1">
        <v>0</v>
      </c>
      <c r="BG215" s="1">
        <f t="shared" si="17"/>
        <v>0.66718759999999999</v>
      </c>
      <c r="BH215" s="1">
        <v>11.1906726328102</v>
      </c>
      <c r="BJ215" t="s">
        <v>4</v>
      </c>
      <c r="BK215">
        <v>0</v>
      </c>
      <c r="BL215" t="s">
        <v>5</v>
      </c>
      <c r="BM215">
        <v>213</v>
      </c>
      <c r="BN215" t="s">
        <v>6</v>
      </c>
      <c r="BO215" s="1">
        <v>0.3335938</v>
      </c>
      <c r="BP215" t="s">
        <v>7</v>
      </c>
      <c r="BQ215" s="1">
        <v>0.5</v>
      </c>
      <c r="BR215" t="s">
        <v>8</v>
      </c>
      <c r="BS215" s="1">
        <v>0</v>
      </c>
      <c r="BT215" s="1">
        <v>11.3110206692023</v>
      </c>
      <c r="BU215" s="1">
        <f t="shared" si="18"/>
        <v>0.66718759999999999</v>
      </c>
      <c r="BV215" s="1">
        <f t="shared" si="19"/>
        <v>11.3110206692023</v>
      </c>
      <c r="BX215" s="1">
        <v>213</v>
      </c>
      <c r="BY215" s="1">
        <v>16.907719900735898</v>
      </c>
      <c r="CA215" t="s">
        <v>4</v>
      </c>
      <c r="CB215">
        <v>0</v>
      </c>
      <c r="CC215" t="s">
        <v>5</v>
      </c>
      <c r="CD215">
        <v>213</v>
      </c>
      <c r="CE215" t="s">
        <v>6</v>
      </c>
      <c r="CF215" s="1">
        <v>0.3335938</v>
      </c>
      <c r="CG215" t="s">
        <v>7</v>
      </c>
      <c r="CH215" s="1">
        <v>0.5</v>
      </c>
      <c r="CI215" t="s">
        <v>8</v>
      </c>
      <c r="CJ215" s="1">
        <v>0</v>
      </c>
      <c r="CK215" s="1">
        <v>12.566436752345499</v>
      </c>
    </row>
    <row r="216" spans="43:89">
      <c r="AQ216" t="s">
        <v>7</v>
      </c>
      <c r="AR216" s="1">
        <v>0.5</v>
      </c>
      <c r="AS216" t="s">
        <v>8</v>
      </c>
      <c r="AT216" s="1">
        <v>0</v>
      </c>
      <c r="AU216" s="1">
        <v>3.4215511496443599E-2</v>
      </c>
      <c r="AW216" t="s">
        <v>4</v>
      </c>
      <c r="AX216">
        <v>0</v>
      </c>
      <c r="AY216" t="s">
        <v>5</v>
      </c>
      <c r="AZ216">
        <v>214</v>
      </c>
      <c r="BA216" t="s">
        <v>6</v>
      </c>
      <c r="BB216" s="1">
        <v>0.33515620000000002</v>
      </c>
      <c r="BC216" t="s">
        <v>7</v>
      </c>
      <c r="BD216" s="1">
        <v>0.5</v>
      </c>
      <c r="BE216" t="s">
        <v>8</v>
      </c>
      <c r="BF216" s="1">
        <v>0</v>
      </c>
      <c r="BG216" s="1">
        <f t="shared" si="17"/>
        <v>0.67031240000000003</v>
      </c>
      <c r="BH216" s="1">
        <v>11.104101226025501</v>
      </c>
      <c r="BJ216" t="s">
        <v>4</v>
      </c>
      <c r="BK216">
        <v>0</v>
      </c>
      <c r="BL216" t="s">
        <v>5</v>
      </c>
      <c r="BM216">
        <v>214</v>
      </c>
      <c r="BN216" t="s">
        <v>6</v>
      </c>
      <c r="BO216" s="1">
        <v>0.33515620000000002</v>
      </c>
      <c r="BP216" t="s">
        <v>7</v>
      </c>
      <c r="BQ216" s="1">
        <v>0.5</v>
      </c>
      <c r="BR216" t="s">
        <v>8</v>
      </c>
      <c r="BS216" s="1">
        <v>0</v>
      </c>
      <c r="BT216" s="1">
        <v>11.214200978157701</v>
      </c>
      <c r="BU216" s="1">
        <f t="shared" si="18"/>
        <v>0.67031240000000003</v>
      </c>
      <c r="BV216" s="1">
        <f t="shared" si="19"/>
        <v>11.214200978157701</v>
      </c>
      <c r="BX216" s="1">
        <v>214</v>
      </c>
      <c r="BY216" s="1">
        <v>16.887127971210798</v>
      </c>
      <c r="CA216" t="s">
        <v>4</v>
      </c>
      <c r="CB216">
        <v>0</v>
      </c>
      <c r="CC216" t="s">
        <v>5</v>
      </c>
      <c r="CD216">
        <v>214</v>
      </c>
      <c r="CE216" t="s">
        <v>6</v>
      </c>
      <c r="CF216" s="1">
        <v>0.33515620000000002</v>
      </c>
      <c r="CG216" t="s">
        <v>7</v>
      </c>
      <c r="CH216" s="1">
        <v>0.5</v>
      </c>
      <c r="CI216" t="s">
        <v>8</v>
      </c>
      <c r="CJ216" s="1">
        <v>0</v>
      </c>
      <c r="CK216" s="1">
        <v>12.559784542869201</v>
      </c>
    </row>
    <row r="217" spans="43:89">
      <c r="AQ217" t="s">
        <v>7</v>
      </c>
      <c r="AR217" s="1">
        <v>0.5</v>
      </c>
      <c r="AS217" t="s">
        <v>8</v>
      </c>
      <c r="AT217" s="1">
        <v>0</v>
      </c>
      <c r="AU217" s="1">
        <v>3.4219998833241103E-2</v>
      </c>
      <c r="AW217" t="s">
        <v>4</v>
      </c>
      <c r="AX217">
        <v>0</v>
      </c>
      <c r="AY217" t="s">
        <v>5</v>
      </c>
      <c r="AZ217">
        <v>215</v>
      </c>
      <c r="BA217" t="s">
        <v>6</v>
      </c>
      <c r="BB217" s="1">
        <v>0.33671879999999998</v>
      </c>
      <c r="BC217" t="s">
        <v>7</v>
      </c>
      <c r="BD217" s="1">
        <v>0.5</v>
      </c>
      <c r="BE217" t="s">
        <v>8</v>
      </c>
      <c r="BF217" s="1">
        <v>0</v>
      </c>
      <c r="BG217" s="1">
        <f t="shared" si="17"/>
        <v>0.67343759999999997</v>
      </c>
      <c r="BH217" s="1">
        <v>11.006895315820801</v>
      </c>
      <c r="BJ217" t="s">
        <v>4</v>
      </c>
      <c r="BK217">
        <v>0</v>
      </c>
      <c r="BL217" t="s">
        <v>5</v>
      </c>
      <c r="BM217">
        <v>215</v>
      </c>
      <c r="BN217" t="s">
        <v>6</v>
      </c>
      <c r="BO217" s="1">
        <v>0.33671879999999998</v>
      </c>
      <c r="BP217" t="s">
        <v>7</v>
      </c>
      <c r="BQ217" s="1">
        <v>0.5</v>
      </c>
      <c r="BR217" t="s">
        <v>8</v>
      </c>
      <c r="BS217" s="1">
        <v>0</v>
      </c>
      <c r="BT217" s="1">
        <v>11.1027622816746</v>
      </c>
      <c r="BU217" s="1">
        <f t="shared" si="18"/>
        <v>0.67343759999999997</v>
      </c>
      <c r="BV217" s="1">
        <f t="shared" si="19"/>
        <v>11.1027622816746</v>
      </c>
      <c r="BX217" s="1">
        <v>215</v>
      </c>
      <c r="BY217" s="1">
        <v>16.865842264739101</v>
      </c>
      <c r="CA217" t="s">
        <v>4</v>
      </c>
      <c r="CB217">
        <v>0</v>
      </c>
      <c r="CC217" t="s">
        <v>5</v>
      </c>
      <c r="CD217">
        <v>215</v>
      </c>
      <c r="CE217" t="s">
        <v>6</v>
      </c>
      <c r="CF217" s="1">
        <v>0.33671879999999998</v>
      </c>
      <c r="CG217" t="s">
        <v>7</v>
      </c>
      <c r="CH217" s="1">
        <v>0.5</v>
      </c>
      <c r="CI217" t="s">
        <v>8</v>
      </c>
      <c r="CJ217" s="1">
        <v>0</v>
      </c>
      <c r="CK217" s="1">
        <v>12.552900400748101</v>
      </c>
    </row>
    <row r="218" spans="43:89">
      <c r="AQ218" t="s">
        <v>7</v>
      </c>
      <c r="AR218" s="1">
        <v>0.5</v>
      </c>
      <c r="AS218" t="s">
        <v>8</v>
      </c>
      <c r="AT218" s="1">
        <v>0</v>
      </c>
      <c r="AU218" s="1">
        <v>3.42243975680743E-2</v>
      </c>
      <c r="AW218" t="s">
        <v>4</v>
      </c>
      <c r="AX218">
        <v>0</v>
      </c>
      <c r="AY218" t="s">
        <v>5</v>
      </c>
      <c r="AZ218">
        <v>216</v>
      </c>
      <c r="BA218" t="s">
        <v>6</v>
      </c>
      <c r="BB218" s="1">
        <v>0.3382812</v>
      </c>
      <c r="BC218" t="s">
        <v>7</v>
      </c>
      <c r="BD218" s="1">
        <v>0.5</v>
      </c>
      <c r="BE218" t="s">
        <v>8</v>
      </c>
      <c r="BF218" s="1">
        <v>0</v>
      </c>
      <c r="BG218" s="1">
        <f t="shared" si="17"/>
        <v>0.67656240000000001</v>
      </c>
      <c r="BH218" s="1">
        <v>10.8988908294039</v>
      </c>
      <c r="BJ218" t="s">
        <v>4</v>
      </c>
      <c r="BK218">
        <v>0</v>
      </c>
      <c r="BL218" t="s">
        <v>5</v>
      </c>
      <c r="BM218">
        <v>216</v>
      </c>
      <c r="BN218" t="s">
        <v>6</v>
      </c>
      <c r="BO218" s="1">
        <v>0.3382812</v>
      </c>
      <c r="BP218" t="s">
        <v>7</v>
      </c>
      <c r="BQ218" s="1">
        <v>0.5</v>
      </c>
      <c r="BR218" t="s">
        <v>8</v>
      </c>
      <c r="BS218" s="1">
        <v>0</v>
      </c>
      <c r="BT218" s="1">
        <v>10.976431666902799</v>
      </c>
      <c r="BU218" s="1">
        <f t="shared" si="18"/>
        <v>0.67656240000000001</v>
      </c>
      <c r="BV218" s="1">
        <f t="shared" si="19"/>
        <v>10.976431666902799</v>
      </c>
      <c r="BX218" s="1">
        <v>216</v>
      </c>
      <c r="BY218" s="1">
        <v>16.843955957774298</v>
      </c>
      <c r="CA218" t="s">
        <v>4</v>
      </c>
      <c r="CB218">
        <v>0</v>
      </c>
      <c r="CC218" t="s">
        <v>5</v>
      </c>
      <c r="CD218">
        <v>216</v>
      </c>
      <c r="CE218" t="s">
        <v>6</v>
      </c>
      <c r="CF218" s="1">
        <v>0.3382812</v>
      </c>
      <c r="CG218" t="s">
        <v>7</v>
      </c>
      <c r="CH218" s="1">
        <v>0.5</v>
      </c>
      <c r="CI218" t="s">
        <v>8</v>
      </c>
      <c r="CJ218" s="1">
        <v>0</v>
      </c>
      <c r="CK218" s="1">
        <v>12.5457693054949</v>
      </c>
    </row>
    <row r="219" spans="43:89">
      <c r="AQ219" t="s">
        <v>7</v>
      </c>
      <c r="AR219" s="1">
        <v>0.5</v>
      </c>
      <c r="AS219" t="s">
        <v>8</v>
      </c>
      <c r="AT219" s="1">
        <v>0</v>
      </c>
      <c r="AU219" s="1">
        <v>3.4228702817946897E-2</v>
      </c>
      <c r="AW219" t="s">
        <v>4</v>
      </c>
      <c r="AX219">
        <v>0</v>
      </c>
      <c r="AY219" t="s">
        <v>5</v>
      </c>
      <c r="AZ219">
        <v>217</v>
      </c>
      <c r="BA219" t="s">
        <v>6</v>
      </c>
      <c r="BB219" s="1">
        <v>0.33984379999999997</v>
      </c>
      <c r="BC219" t="s">
        <v>7</v>
      </c>
      <c r="BD219" s="1">
        <v>0.5</v>
      </c>
      <c r="BE219" t="s">
        <v>8</v>
      </c>
      <c r="BF219" s="1">
        <v>0</v>
      </c>
      <c r="BG219" s="1">
        <f t="shared" si="17"/>
        <v>0.67968759999999995</v>
      </c>
      <c r="BH219" s="1">
        <v>10.7799116234417</v>
      </c>
      <c r="BJ219" t="s">
        <v>4</v>
      </c>
      <c r="BK219">
        <v>0</v>
      </c>
      <c r="BL219" t="s">
        <v>5</v>
      </c>
      <c r="BM219">
        <v>217</v>
      </c>
      <c r="BN219" t="s">
        <v>6</v>
      </c>
      <c r="BO219" s="1">
        <v>0.33984379999999997</v>
      </c>
      <c r="BP219" t="s">
        <v>7</v>
      </c>
      <c r="BQ219" s="1">
        <v>0.5</v>
      </c>
      <c r="BR219" t="s">
        <v>8</v>
      </c>
      <c r="BS219" s="1">
        <v>0</v>
      </c>
      <c r="BT219" s="1">
        <v>10.8349707759529</v>
      </c>
      <c r="BU219" s="1">
        <f t="shared" si="18"/>
        <v>0.67968759999999995</v>
      </c>
      <c r="BV219" s="1">
        <f t="shared" si="19"/>
        <v>10.8349707759529</v>
      </c>
      <c r="BX219" s="1">
        <v>217</v>
      </c>
      <c r="BY219" s="1">
        <v>16.821402893481899</v>
      </c>
      <c r="CA219" t="s">
        <v>4</v>
      </c>
      <c r="CB219">
        <v>0</v>
      </c>
      <c r="CC219" t="s">
        <v>5</v>
      </c>
      <c r="CD219">
        <v>217</v>
      </c>
      <c r="CE219" t="s">
        <v>6</v>
      </c>
      <c r="CF219" s="1">
        <v>0.33984379999999997</v>
      </c>
      <c r="CG219" t="s">
        <v>7</v>
      </c>
      <c r="CH219" s="1">
        <v>0.5</v>
      </c>
      <c r="CI219" t="s">
        <v>8</v>
      </c>
      <c r="CJ219" s="1">
        <v>0</v>
      </c>
      <c r="CK219" s="1">
        <v>12.538408608512</v>
      </c>
    </row>
    <row r="220" spans="43:89">
      <c r="AQ220" t="s">
        <v>7</v>
      </c>
      <c r="AR220" s="1">
        <v>0.5</v>
      </c>
      <c r="AS220" t="s">
        <v>8</v>
      </c>
      <c r="AT220" s="1">
        <v>0</v>
      </c>
      <c r="AU220" s="1">
        <v>3.4232909602295997E-2</v>
      </c>
      <c r="AW220" t="s">
        <v>4</v>
      </c>
      <c r="AX220">
        <v>0</v>
      </c>
      <c r="AY220" t="s">
        <v>5</v>
      </c>
      <c r="AZ220">
        <v>218</v>
      </c>
      <c r="BA220" t="s">
        <v>6</v>
      </c>
      <c r="BB220" s="1">
        <v>0.34140619999999999</v>
      </c>
      <c r="BC220" t="s">
        <v>7</v>
      </c>
      <c r="BD220" s="1">
        <v>0.5</v>
      </c>
      <c r="BE220" t="s">
        <v>8</v>
      </c>
      <c r="BF220" s="1">
        <v>0</v>
      </c>
      <c r="BG220" s="1">
        <f t="shared" si="17"/>
        <v>0.68281239999999999</v>
      </c>
      <c r="BH220" s="1">
        <v>10.649791331630601</v>
      </c>
      <c r="BJ220" t="s">
        <v>4</v>
      </c>
      <c r="BK220">
        <v>0</v>
      </c>
      <c r="BL220" t="s">
        <v>5</v>
      </c>
      <c r="BM220">
        <v>218</v>
      </c>
      <c r="BN220" t="s">
        <v>6</v>
      </c>
      <c r="BO220" s="1">
        <v>0.34140619999999999</v>
      </c>
      <c r="BP220" t="s">
        <v>7</v>
      </c>
      <c r="BQ220" s="1">
        <v>0.5</v>
      </c>
      <c r="BR220" t="s">
        <v>8</v>
      </c>
      <c r="BS220" s="1">
        <v>0</v>
      </c>
      <c r="BT220" s="1">
        <v>10.6780995165629</v>
      </c>
      <c r="BU220" s="1">
        <f t="shared" si="18"/>
        <v>0.68281239999999999</v>
      </c>
      <c r="BV220" s="1">
        <f t="shared" si="19"/>
        <v>10.6780995165629</v>
      </c>
      <c r="BX220" s="1">
        <v>218</v>
      </c>
      <c r="BY220" s="1">
        <v>16.7981861773969</v>
      </c>
      <c r="CA220" t="s">
        <v>4</v>
      </c>
      <c r="CB220">
        <v>0</v>
      </c>
      <c r="CC220" t="s">
        <v>5</v>
      </c>
      <c r="CD220">
        <v>218</v>
      </c>
      <c r="CE220" t="s">
        <v>6</v>
      </c>
      <c r="CF220" s="1">
        <v>0.34140619999999999</v>
      </c>
      <c r="CG220" t="s">
        <v>7</v>
      </c>
      <c r="CH220" s="1">
        <v>0.5</v>
      </c>
      <c r="CI220" t="s">
        <v>8</v>
      </c>
      <c r="CJ220" s="1">
        <v>0</v>
      </c>
      <c r="CK220" s="1">
        <v>12.5308373542226</v>
      </c>
    </row>
    <row r="221" spans="43:89">
      <c r="AQ221" t="s">
        <v>7</v>
      </c>
      <c r="AR221" s="1">
        <v>0.5</v>
      </c>
      <c r="AS221" t="s">
        <v>8</v>
      </c>
      <c r="AT221" s="1">
        <v>0</v>
      </c>
      <c r="AU221" s="1">
        <v>3.4237039107731598E-2</v>
      </c>
      <c r="AW221" t="s">
        <v>4</v>
      </c>
      <c r="AX221">
        <v>0</v>
      </c>
      <c r="AY221" t="s">
        <v>5</v>
      </c>
      <c r="AZ221">
        <v>219</v>
      </c>
      <c r="BA221" t="s">
        <v>6</v>
      </c>
      <c r="BB221" s="1">
        <v>0.34296870000000002</v>
      </c>
      <c r="BC221" t="s">
        <v>7</v>
      </c>
      <c r="BD221" s="1">
        <v>0.5</v>
      </c>
      <c r="BE221" t="s">
        <v>8</v>
      </c>
      <c r="BF221" s="1">
        <v>0</v>
      </c>
      <c r="BG221" s="1">
        <f t="shared" si="17"/>
        <v>0.68593740000000003</v>
      </c>
      <c r="BH221" s="1">
        <v>10.5083578732884</v>
      </c>
      <c r="BJ221" t="s">
        <v>4</v>
      </c>
      <c r="BK221">
        <v>0</v>
      </c>
      <c r="BL221" t="s">
        <v>5</v>
      </c>
      <c r="BM221">
        <v>219</v>
      </c>
      <c r="BN221" t="s">
        <v>6</v>
      </c>
      <c r="BO221" s="1">
        <v>0.34296870000000002</v>
      </c>
      <c r="BP221" t="s">
        <v>7</v>
      </c>
      <c r="BQ221" s="1">
        <v>0.5</v>
      </c>
      <c r="BR221" t="s">
        <v>8</v>
      </c>
      <c r="BS221" s="1">
        <v>0</v>
      </c>
      <c r="BT221" s="1">
        <v>10.5055628992179</v>
      </c>
      <c r="BU221" s="1">
        <f t="shared" si="18"/>
        <v>0.68593740000000003</v>
      </c>
      <c r="BV221" s="1">
        <f t="shared" si="19"/>
        <v>10.5055628992179</v>
      </c>
      <c r="BX221" s="1">
        <v>219</v>
      </c>
      <c r="BY221" s="1">
        <v>16.774268512823902</v>
      </c>
      <c r="CA221" t="s">
        <v>4</v>
      </c>
      <c r="CB221">
        <v>0</v>
      </c>
      <c r="CC221" t="s">
        <v>5</v>
      </c>
      <c r="CD221">
        <v>219</v>
      </c>
      <c r="CE221" t="s">
        <v>6</v>
      </c>
      <c r="CF221" s="1">
        <v>0.34296870000000002</v>
      </c>
      <c r="CG221" t="s">
        <v>7</v>
      </c>
      <c r="CH221" s="1">
        <v>0.5</v>
      </c>
      <c r="CI221" t="s">
        <v>8</v>
      </c>
      <c r="CJ221" s="1">
        <v>0</v>
      </c>
      <c r="CK221" s="1">
        <v>12.523094904657301</v>
      </c>
    </row>
    <row r="222" spans="43:89">
      <c r="AQ222" t="s">
        <v>7</v>
      </c>
      <c r="AR222" s="1">
        <v>0.5</v>
      </c>
      <c r="AS222" t="s">
        <v>8</v>
      </c>
      <c r="AT222" s="1">
        <v>0</v>
      </c>
      <c r="AU222" s="1">
        <v>3.4242792530012799E-2</v>
      </c>
      <c r="AW222" t="s">
        <v>4</v>
      </c>
      <c r="AX222">
        <v>0</v>
      </c>
      <c r="AY222" t="s">
        <v>5</v>
      </c>
      <c r="AZ222">
        <v>220</v>
      </c>
      <c r="BA222" t="s">
        <v>6</v>
      </c>
      <c r="BB222" s="1">
        <v>0.34453129999999998</v>
      </c>
      <c r="BC222" t="s">
        <v>7</v>
      </c>
      <c r="BD222" s="1">
        <v>0.5</v>
      </c>
      <c r="BE222" t="s">
        <v>8</v>
      </c>
      <c r="BF222" s="1">
        <v>0</v>
      </c>
      <c r="BG222" s="1">
        <f t="shared" si="17"/>
        <v>0.68906259999999997</v>
      </c>
      <c r="BH222" s="1">
        <v>10.477736469055801</v>
      </c>
      <c r="BJ222" t="s">
        <v>4</v>
      </c>
      <c r="BK222">
        <v>0</v>
      </c>
      <c r="BL222" t="s">
        <v>5</v>
      </c>
      <c r="BM222">
        <v>220</v>
      </c>
      <c r="BN222" t="s">
        <v>6</v>
      </c>
      <c r="BO222" s="1">
        <v>0.34453129999999998</v>
      </c>
      <c r="BP222" t="s">
        <v>7</v>
      </c>
      <c r="BQ222" s="1">
        <v>0.5</v>
      </c>
      <c r="BR222" t="s">
        <v>8</v>
      </c>
      <c r="BS222" s="1">
        <v>0</v>
      </c>
      <c r="BT222" s="1">
        <v>10.459163880414</v>
      </c>
      <c r="BU222" s="1">
        <f t="shared" si="18"/>
        <v>0.68906259999999997</v>
      </c>
      <c r="BV222" s="1">
        <f t="shared" si="19"/>
        <v>10.459163880414</v>
      </c>
      <c r="BX222" s="1">
        <v>220</v>
      </c>
      <c r="BY222" s="1">
        <v>16.553338005840502</v>
      </c>
      <c r="CA222" t="s">
        <v>4</v>
      </c>
      <c r="CB222">
        <v>0</v>
      </c>
      <c r="CC222" t="s">
        <v>5</v>
      </c>
      <c r="CD222">
        <v>220</v>
      </c>
      <c r="CE222" t="s">
        <v>6</v>
      </c>
      <c r="CF222" s="1">
        <v>0.34453129999999998</v>
      </c>
      <c r="CG222" t="s">
        <v>7</v>
      </c>
      <c r="CH222" s="1">
        <v>0.5</v>
      </c>
      <c r="CI222" t="s">
        <v>8</v>
      </c>
      <c r="CJ222" s="1">
        <v>0</v>
      </c>
      <c r="CK222" s="1">
        <v>12.253789738845599</v>
      </c>
    </row>
    <row r="223" spans="43:89">
      <c r="AQ223" t="s">
        <v>7</v>
      </c>
      <c r="AR223" s="1">
        <v>0.5</v>
      </c>
      <c r="AS223" t="s">
        <v>8</v>
      </c>
      <c r="AT223" s="1">
        <v>0</v>
      </c>
      <c r="AU223" s="1">
        <v>3.4249957829962999E-2</v>
      </c>
      <c r="AW223" t="s">
        <v>4</v>
      </c>
      <c r="AX223">
        <v>0</v>
      </c>
      <c r="AY223" t="s">
        <v>5</v>
      </c>
      <c r="AZ223">
        <v>221</v>
      </c>
      <c r="BA223" t="s">
        <v>6</v>
      </c>
      <c r="BB223" s="1">
        <v>0.3460937</v>
      </c>
      <c r="BC223" t="s">
        <v>7</v>
      </c>
      <c r="BD223" s="1">
        <v>0.5</v>
      </c>
      <c r="BE223" t="s">
        <v>8</v>
      </c>
      <c r="BF223" s="1">
        <v>0</v>
      </c>
      <c r="BG223" s="1">
        <f t="shared" si="17"/>
        <v>0.69218740000000001</v>
      </c>
      <c r="BH223" s="1">
        <v>10.5600272163318</v>
      </c>
      <c r="BJ223" t="s">
        <v>4</v>
      </c>
      <c r="BK223">
        <v>0</v>
      </c>
      <c r="BL223" t="s">
        <v>5</v>
      </c>
      <c r="BM223">
        <v>221</v>
      </c>
      <c r="BN223" t="s">
        <v>6</v>
      </c>
      <c r="BO223" s="1">
        <v>0.3460937</v>
      </c>
      <c r="BP223" t="s">
        <v>7</v>
      </c>
      <c r="BQ223" s="1">
        <v>0.5</v>
      </c>
      <c r="BR223" t="s">
        <v>8</v>
      </c>
      <c r="BS223" s="1">
        <v>0</v>
      </c>
      <c r="BT223" s="1">
        <v>10.543724340541001</v>
      </c>
      <c r="BU223" s="1">
        <f t="shared" si="18"/>
        <v>0.69218740000000001</v>
      </c>
      <c r="BV223" s="1">
        <f t="shared" si="19"/>
        <v>10.543724340541001</v>
      </c>
      <c r="BX223" s="1">
        <v>221</v>
      </c>
      <c r="BY223" s="1">
        <v>16.544229435681199</v>
      </c>
      <c r="CA223" t="s">
        <v>4</v>
      </c>
      <c r="CB223">
        <v>0</v>
      </c>
      <c r="CC223" t="s">
        <v>5</v>
      </c>
      <c r="CD223">
        <v>221</v>
      </c>
      <c r="CE223" t="s">
        <v>6</v>
      </c>
      <c r="CF223" s="1">
        <v>0.3460937</v>
      </c>
      <c r="CG223" t="s">
        <v>7</v>
      </c>
      <c r="CH223" s="1">
        <v>0.5</v>
      </c>
      <c r="CI223" t="s">
        <v>8</v>
      </c>
      <c r="CJ223" s="1">
        <v>0</v>
      </c>
      <c r="CK223" s="1">
        <v>12.2494835972803</v>
      </c>
    </row>
    <row r="224" spans="43:89">
      <c r="AQ224" t="s">
        <v>7</v>
      </c>
      <c r="AR224" s="1">
        <v>0.5</v>
      </c>
      <c r="AS224" t="s">
        <v>8</v>
      </c>
      <c r="AT224" s="1">
        <v>0</v>
      </c>
      <c r="AU224" s="1">
        <v>3.4257295796292601E-2</v>
      </c>
      <c r="AW224" t="s">
        <v>4</v>
      </c>
      <c r="AX224">
        <v>0</v>
      </c>
      <c r="AY224" t="s">
        <v>5</v>
      </c>
      <c r="AZ224">
        <v>222</v>
      </c>
      <c r="BA224" t="s">
        <v>6</v>
      </c>
      <c r="BB224" s="1">
        <v>0.34765629999999997</v>
      </c>
      <c r="BC224" t="s">
        <v>7</v>
      </c>
      <c r="BD224" s="1">
        <v>0.5</v>
      </c>
      <c r="BE224" t="s">
        <v>8</v>
      </c>
      <c r="BF224" s="1">
        <v>0</v>
      </c>
      <c r="BG224" s="1">
        <f t="shared" si="17"/>
        <v>0.69531259999999995</v>
      </c>
      <c r="BH224" s="1">
        <v>10.6337944972556</v>
      </c>
      <c r="BJ224" t="s">
        <v>4</v>
      </c>
      <c r="BK224">
        <v>0</v>
      </c>
      <c r="BL224" t="s">
        <v>5</v>
      </c>
      <c r="BM224">
        <v>222</v>
      </c>
      <c r="BN224" t="s">
        <v>6</v>
      </c>
      <c r="BO224" s="1">
        <v>0.34765629999999997</v>
      </c>
      <c r="BP224" t="s">
        <v>7</v>
      </c>
      <c r="BQ224" s="1">
        <v>0.5</v>
      </c>
      <c r="BR224" t="s">
        <v>8</v>
      </c>
      <c r="BS224" s="1">
        <v>0</v>
      </c>
      <c r="BT224" s="1">
        <v>10.619040880895801</v>
      </c>
      <c r="BU224" s="1">
        <f t="shared" si="18"/>
        <v>0.69531259999999995</v>
      </c>
      <c r="BV224" s="1">
        <f t="shared" si="19"/>
        <v>10.619040880895801</v>
      </c>
      <c r="BX224" s="1">
        <v>222</v>
      </c>
      <c r="BY224" s="1">
        <v>16.535916390493501</v>
      </c>
      <c r="CA224" t="s">
        <v>4</v>
      </c>
      <c r="CB224">
        <v>0</v>
      </c>
      <c r="CC224" t="s">
        <v>5</v>
      </c>
      <c r="CD224">
        <v>222</v>
      </c>
      <c r="CE224" t="s">
        <v>6</v>
      </c>
      <c r="CF224" s="1">
        <v>0.34765629999999997</v>
      </c>
      <c r="CG224" t="s">
        <v>7</v>
      </c>
      <c r="CH224" s="1">
        <v>0.5</v>
      </c>
      <c r="CI224" t="s">
        <v>8</v>
      </c>
      <c r="CJ224" s="1">
        <v>0</v>
      </c>
      <c r="CK224" s="1">
        <v>12.2450479308176</v>
      </c>
    </row>
    <row r="225" spans="43:89">
      <c r="AQ225" t="s">
        <v>7</v>
      </c>
      <c r="AR225" s="1">
        <v>0.5</v>
      </c>
      <c r="AS225" t="s">
        <v>8</v>
      </c>
      <c r="AT225" s="1">
        <v>0</v>
      </c>
      <c r="AU225" s="1">
        <v>3.4265247065923599E-2</v>
      </c>
      <c r="AW225" t="s">
        <v>4</v>
      </c>
      <c r="AX225">
        <v>0</v>
      </c>
      <c r="AY225" t="s">
        <v>5</v>
      </c>
      <c r="AZ225">
        <v>223</v>
      </c>
      <c r="BA225" t="s">
        <v>6</v>
      </c>
      <c r="BB225" s="1">
        <v>0.3492188</v>
      </c>
      <c r="BC225" t="s">
        <v>7</v>
      </c>
      <c r="BD225" s="1">
        <v>0.5</v>
      </c>
      <c r="BE225" t="s">
        <v>8</v>
      </c>
      <c r="BF225" s="1">
        <v>0</v>
      </c>
      <c r="BG225" s="1">
        <f t="shared" si="17"/>
        <v>0.69843759999999999</v>
      </c>
      <c r="BH225" s="1">
        <v>10.6989771553244</v>
      </c>
      <c r="BJ225" t="s">
        <v>4</v>
      </c>
      <c r="BK225">
        <v>0</v>
      </c>
      <c r="BL225" t="s">
        <v>5</v>
      </c>
      <c r="BM225">
        <v>223</v>
      </c>
      <c r="BN225" t="s">
        <v>6</v>
      </c>
      <c r="BO225" s="1">
        <v>0.3492188</v>
      </c>
      <c r="BP225" t="s">
        <v>7</v>
      </c>
      <c r="BQ225" s="1">
        <v>0.5</v>
      </c>
      <c r="BR225" t="s">
        <v>8</v>
      </c>
      <c r="BS225" s="1">
        <v>0</v>
      </c>
      <c r="BT225" s="1">
        <v>10.684931592996101</v>
      </c>
      <c r="BU225" s="1">
        <f t="shared" si="18"/>
        <v>0.69843759999999999</v>
      </c>
      <c r="BV225" s="1">
        <f t="shared" si="19"/>
        <v>10.684931592996101</v>
      </c>
      <c r="BX225" s="1">
        <v>223</v>
      </c>
      <c r="BY225" s="1">
        <v>16.5283096081019</v>
      </c>
      <c r="CA225" t="s">
        <v>4</v>
      </c>
      <c r="CB225">
        <v>0</v>
      </c>
      <c r="CC225" t="s">
        <v>5</v>
      </c>
      <c r="CD225">
        <v>223</v>
      </c>
      <c r="CE225" t="s">
        <v>6</v>
      </c>
      <c r="CF225" s="1">
        <v>0.3492188</v>
      </c>
      <c r="CG225" t="s">
        <v>7</v>
      </c>
      <c r="CH225" s="1">
        <v>0.5</v>
      </c>
      <c r="CI225" t="s">
        <v>8</v>
      </c>
      <c r="CJ225" s="1">
        <v>0</v>
      </c>
      <c r="CK225" s="1">
        <v>12.2405406784038</v>
      </c>
    </row>
    <row r="226" spans="43:89">
      <c r="AQ226" t="s">
        <v>7</v>
      </c>
      <c r="AR226" s="1">
        <v>0.5</v>
      </c>
      <c r="AS226" t="s">
        <v>8</v>
      </c>
      <c r="AT226" s="1">
        <v>0</v>
      </c>
      <c r="AU226" s="1">
        <v>3.4272926819419701E-2</v>
      </c>
      <c r="AW226" t="s">
        <v>4</v>
      </c>
      <c r="AX226">
        <v>0</v>
      </c>
      <c r="AY226" t="s">
        <v>5</v>
      </c>
      <c r="AZ226">
        <v>224</v>
      </c>
      <c r="BA226" t="s">
        <v>6</v>
      </c>
      <c r="BB226" s="1">
        <v>0.35078120000000002</v>
      </c>
      <c r="BC226" t="s">
        <v>7</v>
      </c>
      <c r="BD226" s="1">
        <v>0.5</v>
      </c>
      <c r="BE226" t="s">
        <v>8</v>
      </c>
      <c r="BF226" s="1">
        <v>0</v>
      </c>
      <c r="BG226" s="1">
        <f t="shared" si="17"/>
        <v>0.70156240000000003</v>
      </c>
      <c r="BH226" s="1">
        <v>10.7555272550994</v>
      </c>
      <c r="BJ226" t="s">
        <v>4</v>
      </c>
      <c r="BK226">
        <v>0</v>
      </c>
      <c r="BL226" t="s">
        <v>5</v>
      </c>
      <c r="BM226">
        <v>224</v>
      </c>
      <c r="BN226" t="s">
        <v>6</v>
      </c>
      <c r="BO226" s="1">
        <v>0.35078120000000002</v>
      </c>
      <c r="BP226" t="s">
        <v>7</v>
      </c>
      <c r="BQ226" s="1">
        <v>0.5</v>
      </c>
      <c r="BR226" t="s">
        <v>8</v>
      </c>
      <c r="BS226" s="1">
        <v>0</v>
      </c>
      <c r="BT226" s="1">
        <v>10.741245923409499</v>
      </c>
      <c r="BU226" s="1">
        <f t="shared" si="18"/>
        <v>0.70156240000000003</v>
      </c>
      <c r="BV226" s="1">
        <f t="shared" si="19"/>
        <v>10.741245923409499</v>
      </c>
      <c r="BX226" s="1">
        <v>224</v>
      </c>
      <c r="BY226" s="1">
        <v>16.521519910425699</v>
      </c>
      <c r="CA226" t="s">
        <v>4</v>
      </c>
      <c r="CB226">
        <v>0</v>
      </c>
      <c r="CC226" t="s">
        <v>5</v>
      </c>
      <c r="CD226">
        <v>224</v>
      </c>
      <c r="CE226" t="s">
        <v>6</v>
      </c>
      <c r="CF226" s="1">
        <v>0.35078120000000002</v>
      </c>
      <c r="CG226" t="s">
        <v>7</v>
      </c>
      <c r="CH226" s="1">
        <v>0.5</v>
      </c>
      <c r="CI226" t="s">
        <v>8</v>
      </c>
      <c r="CJ226" s="1">
        <v>0</v>
      </c>
      <c r="CK226" s="1">
        <v>12.2358807358427</v>
      </c>
    </row>
    <row r="227" spans="43:89">
      <c r="AQ227" t="s">
        <v>7</v>
      </c>
      <c r="AR227" s="1">
        <v>0.5</v>
      </c>
      <c r="AS227" t="s">
        <v>8</v>
      </c>
      <c r="AT227" s="1">
        <v>0</v>
      </c>
      <c r="AU227" s="1">
        <v>3.4280804492951303E-2</v>
      </c>
      <c r="AW227" t="s">
        <v>4</v>
      </c>
      <c r="AX227">
        <v>0</v>
      </c>
      <c r="AY227" t="s">
        <v>5</v>
      </c>
      <c r="AZ227">
        <v>225</v>
      </c>
      <c r="BA227" t="s">
        <v>6</v>
      </c>
      <c r="BB227" s="1">
        <v>0.35234379999999998</v>
      </c>
      <c r="BC227" t="s">
        <v>7</v>
      </c>
      <c r="BD227" s="1">
        <v>0.5</v>
      </c>
      <c r="BE227" t="s">
        <v>8</v>
      </c>
      <c r="BF227" s="1">
        <v>0</v>
      </c>
      <c r="BG227" s="1">
        <f t="shared" si="17"/>
        <v>0.70468759999999997</v>
      </c>
      <c r="BH227" s="1">
        <v>10.8033711988765</v>
      </c>
      <c r="BJ227" t="s">
        <v>4</v>
      </c>
      <c r="BK227">
        <v>0</v>
      </c>
      <c r="BL227" t="s">
        <v>5</v>
      </c>
      <c r="BM227">
        <v>225</v>
      </c>
      <c r="BN227" t="s">
        <v>6</v>
      </c>
      <c r="BO227" s="1">
        <v>0.35234379999999998</v>
      </c>
      <c r="BP227" t="s">
        <v>7</v>
      </c>
      <c r="BQ227" s="1">
        <v>0.5</v>
      </c>
      <c r="BR227" t="s">
        <v>8</v>
      </c>
      <c r="BS227" s="1">
        <v>0</v>
      </c>
      <c r="BT227" s="1">
        <v>10.787818284975099</v>
      </c>
      <c r="BU227" s="1">
        <f t="shared" si="18"/>
        <v>0.70468759999999997</v>
      </c>
      <c r="BV227" s="1">
        <f t="shared" si="19"/>
        <v>10.787818284975099</v>
      </c>
      <c r="BX227" s="1">
        <v>225</v>
      </c>
      <c r="BY227" s="1">
        <v>16.515543783083402</v>
      </c>
      <c r="CA227" t="s">
        <v>4</v>
      </c>
      <c r="CB227">
        <v>0</v>
      </c>
      <c r="CC227" t="s">
        <v>5</v>
      </c>
      <c r="CD227">
        <v>225</v>
      </c>
      <c r="CE227" t="s">
        <v>6</v>
      </c>
      <c r="CF227" s="1">
        <v>0.35234379999999998</v>
      </c>
      <c r="CG227" t="s">
        <v>7</v>
      </c>
      <c r="CH227" s="1">
        <v>0.5</v>
      </c>
      <c r="CI227" t="s">
        <v>8</v>
      </c>
      <c r="CJ227" s="1">
        <v>0</v>
      </c>
      <c r="CK227" s="1">
        <v>12.2311080541518</v>
      </c>
    </row>
    <row r="228" spans="43:89">
      <c r="AQ228" t="s">
        <v>7</v>
      </c>
      <c r="AR228" s="1">
        <v>0.5</v>
      </c>
      <c r="AS228" t="s">
        <v>8</v>
      </c>
      <c r="AT228" s="1">
        <v>0</v>
      </c>
      <c r="AU228" s="1">
        <v>3.4288894989021997E-2</v>
      </c>
      <c r="AW228" t="s">
        <v>4</v>
      </c>
      <c r="AX228">
        <v>0</v>
      </c>
      <c r="AY228" t="s">
        <v>5</v>
      </c>
      <c r="AZ228">
        <v>226</v>
      </c>
      <c r="BA228" t="s">
        <v>6</v>
      </c>
      <c r="BB228" s="1">
        <v>0.3539062</v>
      </c>
      <c r="BC228" t="s">
        <v>7</v>
      </c>
      <c r="BD228" s="1">
        <v>0.5</v>
      </c>
      <c r="BE228" t="s">
        <v>8</v>
      </c>
      <c r="BF228" s="1">
        <v>0</v>
      </c>
      <c r="BG228" s="1">
        <f t="shared" si="17"/>
        <v>0.70781240000000001</v>
      </c>
      <c r="BH228" s="1">
        <v>10.842493603751</v>
      </c>
      <c r="BJ228" t="s">
        <v>4</v>
      </c>
      <c r="BK228">
        <v>0</v>
      </c>
      <c r="BL228" t="s">
        <v>5</v>
      </c>
      <c r="BM228">
        <v>226</v>
      </c>
      <c r="BN228" t="s">
        <v>6</v>
      </c>
      <c r="BO228" s="1">
        <v>0.3539062</v>
      </c>
      <c r="BP228" t="s">
        <v>7</v>
      </c>
      <c r="BQ228" s="1">
        <v>0.5</v>
      </c>
      <c r="BR228" t="s">
        <v>8</v>
      </c>
      <c r="BS228" s="1">
        <v>0</v>
      </c>
      <c r="BT228" s="1">
        <v>10.824512639462201</v>
      </c>
      <c r="BU228" s="1">
        <f t="shared" si="18"/>
        <v>0.70781240000000001</v>
      </c>
      <c r="BV228" s="1">
        <f t="shared" si="19"/>
        <v>10.824512639462201</v>
      </c>
      <c r="BX228" s="1">
        <v>226</v>
      </c>
      <c r="BY228" s="1">
        <v>16.5103705576736</v>
      </c>
      <c r="CA228" t="s">
        <v>4</v>
      </c>
      <c r="CB228">
        <v>0</v>
      </c>
      <c r="CC228" t="s">
        <v>5</v>
      </c>
      <c r="CD228">
        <v>226</v>
      </c>
      <c r="CE228" t="s">
        <v>6</v>
      </c>
      <c r="CF228" s="1">
        <v>0.3539062</v>
      </c>
      <c r="CG228" t="s">
        <v>7</v>
      </c>
      <c r="CH228" s="1">
        <v>0.5</v>
      </c>
      <c r="CI228" t="s">
        <v>8</v>
      </c>
      <c r="CJ228" s="1">
        <v>0</v>
      </c>
      <c r="CK228" s="1">
        <v>12.226211675067599</v>
      </c>
    </row>
    <row r="229" spans="43:89">
      <c r="AQ229" t="s">
        <v>7</v>
      </c>
      <c r="AR229" s="1">
        <v>0.5</v>
      </c>
      <c r="AS229" t="s">
        <v>8</v>
      </c>
      <c r="AT229" s="1">
        <v>0</v>
      </c>
      <c r="AU229" s="1">
        <v>3.42972137950193E-2</v>
      </c>
      <c r="AW229" t="s">
        <v>4</v>
      </c>
      <c r="AX229">
        <v>0</v>
      </c>
      <c r="AY229" t="s">
        <v>5</v>
      </c>
      <c r="AZ229">
        <v>227</v>
      </c>
      <c r="BA229" t="s">
        <v>6</v>
      </c>
      <c r="BB229" s="1">
        <v>0.35546879999999997</v>
      </c>
      <c r="BC229" t="s">
        <v>7</v>
      </c>
      <c r="BD229" s="1">
        <v>0.5</v>
      </c>
      <c r="BE229" t="s">
        <v>8</v>
      </c>
      <c r="BF229" s="1">
        <v>0</v>
      </c>
      <c r="BG229" s="1">
        <f t="shared" si="17"/>
        <v>0.71093759999999995</v>
      </c>
      <c r="BH229" s="1">
        <v>10.872916753209999</v>
      </c>
      <c r="BJ229" t="s">
        <v>4</v>
      </c>
      <c r="BK229">
        <v>0</v>
      </c>
      <c r="BL229" t="s">
        <v>5</v>
      </c>
      <c r="BM229">
        <v>227</v>
      </c>
      <c r="BN229" t="s">
        <v>6</v>
      </c>
      <c r="BO229" s="1">
        <v>0.35546879999999997</v>
      </c>
      <c r="BP229" t="s">
        <v>7</v>
      </c>
      <c r="BQ229" s="1">
        <v>0.5</v>
      </c>
      <c r="BR229" t="s">
        <v>8</v>
      </c>
      <c r="BS229" s="1">
        <v>0</v>
      </c>
      <c r="BT229" s="1">
        <v>10.8511709374056</v>
      </c>
      <c r="BU229" s="1">
        <f t="shared" si="18"/>
        <v>0.71093759999999995</v>
      </c>
      <c r="BV229" s="1">
        <f t="shared" si="19"/>
        <v>10.8511709374056</v>
      </c>
      <c r="BX229" s="1">
        <v>227</v>
      </c>
      <c r="BY229" s="1">
        <v>16.506015160202001</v>
      </c>
      <c r="CA229" t="s">
        <v>4</v>
      </c>
      <c r="CB229">
        <v>0</v>
      </c>
      <c r="CC229" t="s">
        <v>5</v>
      </c>
      <c r="CD229">
        <v>227</v>
      </c>
      <c r="CE229" t="s">
        <v>6</v>
      </c>
      <c r="CF229" s="1">
        <v>0.35546879999999997</v>
      </c>
      <c r="CG229" t="s">
        <v>7</v>
      </c>
      <c r="CH229" s="1">
        <v>0.5</v>
      </c>
      <c r="CI229" t="s">
        <v>8</v>
      </c>
      <c r="CJ229" s="1">
        <v>0</v>
      </c>
      <c r="CK229" s="1">
        <v>12.2212536539664</v>
      </c>
    </row>
    <row r="230" spans="43:89">
      <c r="AQ230" t="s">
        <v>7</v>
      </c>
      <c r="AR230" s="1">
        <v>0.5</v>
      </c>
      <c r="AS230" t="s">
        <v>8</v>
      </c>
      <c r="AT230" s="1">
        <v>0</v>
      </c>
      <c r="AU230" s="1">
        <v>3.4305786219466297E-2</v>
      </c>
      <c r="AW230" t="s">
        <v>4</v>
      </c>
      <c r="AX230">
        <v>0</v>
      </c>
      <c r="AY230" t="s">
        <v>5</v>
      </c>
      <c r="AZ230">
        <v>228</v>
      </c>
      <c r="BA230" t="s">
        <v>6</v>
      </c>
      <c r="BB230" s="1">
        <v>0.3570313</v>
      </c>
      <c r="BC230" t="s">
        <v>7</v>
      </c>
      <c r="BD230" s="1">
        <v>0.5</v>
      </c>
      <c r="BE230" t="s">
        <v>8</v>
      </c>
      <c r="BF230" s="1">
        <v>0</v>
      </c>
      <c r="BG230" s="1">
        <f t="shared" si="17"/>
        <v>0.71406259999999999</v>
      </c>
      <c r="BH230" s="1">
        <v>10.894638103436099</v>
      </c>
      <c r="BJ230" t="s">
        <v>4</v>
      </c>
      <c r="BK230">
        <v>0</v>
      </c>
      <c r="BL230" t="s">
        <v>5</v>
      </c>
      <c r="BM230">
        <v>228</v>
      </c>
      <c r="BN230" t="s">
        <v>6</v>
      </c>
      <c r="BO230" s="1">
        <v>0.3570313</v>
      </c>
      <c r="BP230" t="s">
        <v>7</v>
      </c>
      <c r="BQ230" s="1">
        <v>0.5</v>
      </c>
      <c r="BR230" t="s">
        <v>8</v>
      </c>
      <c r="BS230" s="1">
        <v>0</v>
      </c>
      <c r="BT230" s="1">
        <v>10.8677011579401</v>
      </c>
      <c r="BU230" s="1">
        <f t="shared" si="18"/>
        <v>0.71406259999999999</v>
      </c>
      <c r="BV230" s="1">
        <f t="shared" si="19"/>
        <v>10.8677011579401</v>
      </c>
      <c r="BX230" s="1">
        <v>228</v>
      </c>
      <c r="BY230" s="1">
        <v>16.502570187239201</v>
      </c>
      <c r="CA230" t="s">
        <v>4</v>
      </c>
      <c r="CB230">
        <v>0</v>
      </c>
      <c r="CC230" t="s">
        <v>5</v>
      </c>
      <c r="CD230">
        <v>228</v>
      </c>
      <c r="CE230" t="s">
        <v>6</v>
      </c>
      <c r="CF230" s="1">
        <v>0.3570313</v>
      </c>
      <c r="CG230" t="s">
        <v>7</v>
      </c>
      <c r="CH230" s="1">
        <v>0.5</v>
      </c>
      <c r="CI230" t="s">
        <v>8</v>
      </c>
      <c r="CJ230" s="1">
        <v>0</v>
      </c>
      <c r="CK230" s="1">
        <v>12.216161935565699</v>
      </c>
    </row>
    <row r="231" spans="43:89">
      <c r="AQ231" t="s">
        <v>7</v>
      </c>
      <c r="AR231" s="1">
        <v>0.5</v>
      </c>
      <c r="AS231" t="s">
        <v>8</v>
      </c>
      <c r="AT231" s="1">
        <v>0</v>
      </c>
      <c r="AU231" s="1">
        <v>3.4315965273047498E-2</v>
      </c>
      <c r="AW231" t="s">
        <v>4</v>
      </c>
      <c r="AX231">
        <v>0</v>
      </c>
      <c r="AY231" t="s">
        <v>5</v>
      </c>
      <c r="AZ231">
        <v>229</v>
      </c>
      <c r="BA231" t="s">
        <v>6</v>
      </c>
      <c r="BB231" s="1">
        <v>0.35859370000000002</v>
      </c>
      <c r="BC231" t="s">
        <v>7</v>
      </c>
      <c r="BD231" s="1">
        <v>0.5</v>
      </c>
      <c r="BE231" t="s">
        <v>8</v>
      </c>
      <c r="BF231" s="1">
        <v>0</v>
      </c>
      <c r="BG231" s="1">
        <f t="shared" si="17"/>
        <v>0.71718740000000003</v>
      </c>
      <c r="BH231" s="1">
        <v>10.9076674355093</v>
      </c>
      <c r="BJ231" t="s">
        <v>4</v>
      </c>
      <c r="BK231">
        <v>0</v>
      </c>
      <c r="BL231" t="s">
        <v>5</v>
      </c>
      <c r="BM231">
        <v>229</v>
      </c>
      <c r="BN231" t="s">
        <v>6</v>
      </c>
      <c r="BO231" s="1">
        <v>0.35859370000000002</v>
      </c>
      <c r="BP231" t="s">
        <v>7</v>
      </c>
      <c r="BQ231" s="1">
        <v>0.5</v>
      </c>
      <c r="BR231" t="s">
        <v>8</v>
      </c>
      <c r="BS231" s="1">
        <v>0</v>
      </c>
      <c r="BT231" s="1">
        <v>10.874007211774501</v>
      </c>
      <c r="BU231" s="1">
        <f t="shared" si="18"/>
        <v>0.71718740000000003</v>
      </c>
      <c r="BV231" s="1">
        <f t="shared" si="19"/>
        <v>10.874007211774501</v>
      </c>
      <c r="BX231" s="1">
        <v>229</v>
      </c>
      <c r="BY231" s="1">
        <v>16.499952530124499</v>
      </c>
      <c r="CA231" t="s">
        <v>4</v>
      </c>
      <c r="CB231">
        <v>0</v>
      </c>
      <c r="CC231" t="s">
        <v>5</v>
      </c>
      <c r="CD231">
        <v>229</v>
      </c>
      <c r="CE231" t="s">
        <v>6</v>
      </c>
      <c r="CF231" s="1">
        <v>0.35859370000000002</v>
      </c>
      <c r="CG231" t="s">
        <v>7</v>
      </c>
      <c r="CH231" s="1">
        <v>0.5</v>
      </c>
      <c r="CI231" t="s">
        <v>8</v>
      </c>
      <c r="CJ231" s="1">
        <v>0</v>
      </c>
      <c r="CK231" s="1">
        <v>12.211013384366799</v>
      </c>
    </row>
    <row r="232" spans="43:89">
      <c r="AQ232" t="s">
        <v>7</v>
      </c>
      <c r="AR232" s="1">
        <v>0.5</v>
      </c>
      <c r="AS232" t="s">
        <v>8</v>
      </c>
      <c r="AT232" s="1">
        <v>0</v>
      </c>
      <c r="AU232" s="1">
        <v>3.4325104570962703E-2</v>
      </c>
      <c r="AW232" t="s">
        <v>4</v>
      </c>
      <c r="AX232">
        <v>0</v>
      </c>
      <c r="AY232" t="s">
        <v>5</v>
      </c>
      <c r="AZ232">
        <v>230</v>
      </c>
      <c r="BA232" t="s">
        <v>6</v>
      </c>
      <c r="BB232" s="1">
        <v>0.36015629999999998</v>
      </c>
      <c r="BC232" t="s">
        <v>7</v>
      </c>
      <c r="BD232" s="1">
        <v>0.5</v>
      </c>
      <c r="BE232" t="s">
        <v>8</v>
      </c>
      <c r="BF232" s="1">
        <v>0</v>
      </c>
      <c r="BG232" s="1">
        <f t="shared" si="17"/>
        <v>0.72031259999999997</v>
      </c>
      <c r="BH232" s="1">
        <v>10.9120851213133</v>
      </c>
      <c r="BJ232" t="s">
        <v>4</v>
      </c>
      <c r="BK232">
        <v>0</v>
      </c>
      <c r="BL232" t="s">
        <v>5</v>
      </c>
      <c r="BM232">
        <v>230</v>
      </c>
      <c r="BN232" t="s">
        <v>6</v>
      </c>
      <c r="BO232" s="1">
        <v>0.36015629999999998</v>
      </c>
      <c r="BP232" t="s">
        <v>7</v>
      </c>
      <c r="BQ232" s="1">
        <v>0.5</v>
      </c>
      <c r="BR232" t="s">
        <v>8</v>
      </c>
      <c r="BS232" s="1">
        <v>0</v>
      </c>
      <c r="BT232" s="1">
        <v>10.869907108760801</v>
      </c>
      <c r="BU232" s="1">
        <f t="shared" si="18"/>
        <v>0.72031259999999997</v>
      </c>
      <c r="BV232" s="1">
        <f t="shared" si="19"/>
        <v>10.869907108760801</v>
      </c>
      <c r="BX232" s="1">
        <v>230</v>
      </c>
      <c r="BY232" s="1">
        <v>16.4981886160286</v>
      </c>
      <c r="CA232" t="s">
        <v>4</v>
      </c>
      <c r="CB232">
        <v>0</v>
      </c>
      <c r="CC232" t="s">
        <v>5</v>
      </c>
      <c r="CD232">
        <v>230</v>
      </c>
      <c r="CE232" t="s">
        <v>6</v>
      </c>
      <c r="CF232" s="1">
        <v>0.36015629999999998</v>
      </c>
      <c r="CG232" t="s">
        <v>7</v>
      </c>
      <c r="CH232" s="1">
        <v>0.5</v>
      </c>
      <c r="CI232" t="s">
        <v>8</v>
      </c>
      <c r="CJ232" s="1">
        <v>0</v>
      </c>
      <c r="CK232" s="1">
        <v>12.205825088595001</v>
      </c>
    </row>
    <row r="233" spans="43:89">
      <c r="AQ233" t="s">
        <v>7</v>
      </c>
      <c r="AR233" s="1">
        <v>0.5</v>
      </c>
      <c r="AS233" t="s">
        <v>8</v>
      </c>
      <c r="AT233" s="1">
        <v>0</v>
      </c>
      <c r="AU233" s="1">
        <v>3.4334538432093602E-2</v>
      </c>
      <c r="AW233" t="s">
        <v>4</v>
      </c>
      <c r="AX233">
        <v>0</v>
      </c>
      <c r="AY233" t="s">
        <v>5</v>
      </c>
      <c r="AZ233">
        <v>231</v>
      </c>
      <c r="BA233" t="s">
        <v>6</v>
      </c>
      <c r="BB233" s="1">
        <v>0.3617187</v>
      </c>
      <c r="BC233" t="s">
        <v>7</v>
      </c>
      <c r="BD233" s="1">
        <v>0.5</v>
      </c>
      <c r="BE233" t="s">
        <v>8</v>
      </c>
      <c r="BF233" s="1">
        <v>0</v>
      </c>
      <c r="BG233" s="1">
        <f t="shared" si="17"/>
        <v>0.72343740000000001</v>
      </c>
      <c r="BH233" s="1">
        <v>10.9079618365058</v>
      </c>
      <c r="BJ233" t="s">
        <v>4</v>
      </c>
      <c r="BK233">
        <v>0</v>
      </c>
      <c r="BL233" t="s">
        <v>5</v>
      </c>
      <c r="BM233">
        <v>231</v>
      </c>
      <c r="BN233" t="s">
        <v>6</v>
      </c>
      <c r="BO233" s="1">
        <v>0.3617187</v>
      </c>
      <c r="BP233" t="s">
        <v>7</v>
      </c>
      <c r="BQ233" s="1">
        <v>0.5</v>
      </c>
      <c r="BR233" t="s">
        <v>8</v>
      </c>
      <c r="BS233" s="1">
        <v>0</v>
      </c>
      <c r="BT233" s="1">
        <v>10.8553272195239</v>
      </c>
      <c r="BU233" s="1">
        <f t="shared" si="18"/>
        <v>0.72343740000000001</v>
      </c>
      <c r="BV233" s="1">
        <f t="shared" si="19"/>
        <v>10.8553272195239</v>
      </c>
      <c r="BX233" s="1">
        <v>231</v>
      </c>
      <c r="BY233" s="1">
        <v>16.497201320390499</v>
      </c>
      <c r="CA233" t="s">
        <v>4</v>
      </c>
      <c r="CB233">
        <v>0</v>
      </c>
      <c r="CC233" t="s">
        <v>5</v>
      </c>
      <c r="CD233">
        <v>231</v>
      </c>
      <c r="CE233" t="s">
        <v>6</v>
      </c>
      <c r="CF233" s="1">
        <v>0.3617187</v>
      </c>
      <c r="CG233" t="s">
        <v>7</v>
      </c>
      <c r="CH233" s="1">
        <v>0.5</v>
      </c>
      <c r="CI233" t="s">
        <v>8</v>
      </c>
      <c r="CJ233" s="1">
        <v>0</v>
      </c>
      <c r="CK233" s="1">
        <v>12.2006910166584</v>
      </c>
    </row>
    <row r="234" spans="43:89">
      <c r="AQ234" t="s">
        <v>7</v>
      </c>
      <c r="AR234" s="1">
        <v>0.5</v>
      </c>
      <c r="AS234" t="s">
        <v>8</v>
      </c>
      <c r="AT234" s="1">
        <v>0</v>
      </c>
      <c r="AU234" s="1">
        <v>3.43464643415516E-2</v>
      </c>
      <c r="AW234" t="s">
        <v>4</v>
      </c>
      <c r="AX234">
        <v>0</v>
      </c>
      <c r="AY234" t="s">
        <v>5</v>
      </c>
      <c r="AZ234">
        <v>232</v>
      </c>
      <c r="BA234" t="s">
        <v>6</v>
      </c>
      <c r="BB234" s="1">
        <v>0.36328120000000003</v>
      </c>
      <c r="BC234" t="s">
        <v>7</v>
      </c>
      <c r="BD234" s="1">
        <v>0.5</v>
      </c>
      <c r="BE234" t="s">
        <v>8</v>
      </c>
      <c r="BF234" s="1">
        <v>0</v>
      </c>
      <c r="BG234" s="1">
        <f t="shared" si="17"/>
        <v>0.72656240000000005</v>
      </c>
      <c r="BH234" s="1">
        <v>10.895361866606899</v>
      </c>
      <c r="BJ234" t="s">
        <v>4</v>
      </c>
      <c r="BK234">
        <v>0</v>
      </c>
      <c r="BL234" t="s">
        <v>5</v>
      </c>
      <c r="BM234">
        <v>232</v>
      </c>
      <c r="BN234" t="s">
        <v>6</v>
      </c>
      <c r="BO234" s="1">
        <v>0.36328120000000003</v>
      </c>
      <c r="BP234" t="s">
        <v>7</v>
      </c>
      <c r="BQ234" s="1">
        <v>0.5</v>
      </c>
      <c r="BR234" t="s">
        <v>8</v>
      </c>
      <c r="BS234" s="1">
        <v>0</v>
      </c>
      <c r="BT234" s="1">
        <v>10.8301959599274</v>
      </c>
      <c r="BU234" s="1">
        <f t="shared" si="18"/>
        <v>0.72656240000000005</v>
      </c>
      <c r="BV234" s="1">
        <f t="shared" si="19"/>
        <v>10.8301959599274</v>
      </c>
      <c r="BX234" s="1">
        <v>232</v>
      </c>
      <c r="BY234" s="1">
        <v>16.4972403052654</v>
      </c>
      <c r="CA234" t="s">
        <v>4</v>
      </c>
      <c r="CB234">
        <v>0</v>
      </c>
      <c r="CC234" t="s">
        <v>5</v>
      </c>
      <c r="CD234">
        <v>232</v>
      </c>
      <c r="CE234" t="s">
        <v>6</v>
      </c>
      <c r="CF234" s="1">
        <v>0.36328120000000003</v>
      </c>
      <c r="CG234" t="s">
        <v>7</v>
      </c>
      <c r="CH234" s="1">
        <v>0.5</v>
      </c>
      <c r="CI234" t="s">
        <v>8</v>
      </c>
      <c r="CJ234" s="1">
        <v>0</v>
      </c>
      <c r="CK234" s="1">
        <v>12.195561285891801</v>
      </c>
    </row>
    <row r="235" spans="43:89">
      <c r="AQ235" t="s">
        <v>7</v>
      </c>
      <c r="AR235" s="1">
        <v>0.5</v>
      </c>
      <c r="AS235" t="s">
        <v>8</v>
      </c>
      <c r="AT235" s="1">
        <v>0</v>
      </c>
      <c r="AU235" s="1">
        <v>3.4356625944703199E-2</v>
      </c>
      <c r="AW235" t="s">
        <v>4</v>
      </c>
      <c r="AX235">
        <v>0</v>
      </c>
      <c r="AY235" t="s">
        <v>5</v>
      </c>
      <c r="AZ235">
        <v>233</v>
      </c>
      <c r="BA235" t="s">
        <v>6</v>
      </c>
      <c r="BB235" s="1">
        <v>0.3648438</v>
      </c>
      <c r="BC235" t="s">
        <v>7</v>
      </c>
      <c r="BD235" s="1">
        <v>0.5</v>
      </c>
      <c r="BE235" t="s">
        <v>8</v>
      </c>
      <c r="BF235" s="1">
        <v>0</v>
      </c>
      <c r="BG235" s="1">
        <f t="shared" si="17"/>
        <v>0.72968759999999999</v>
      </c>
      <c r="BH235" s="1">
        <v>10.874376958027799</v>
      </c>
      <c r="BJ235" t="s">
        <v>4</v>
      </c>
      <c r="BK235">
        <v>0</v>
      </c>
      <c r="BL235" t="s">
        <v>5</v>
      </c>
      <c r="BM235">
        <v>233</v>
      </c>
      <c r="BN235" t="s">
        <v>6</v>
      </c>
      <c r="BO235" s="1">
        <v>0.3648438</v>
      </c>
      <c r="BP235" t="s">
        <v>7</v>
      </c>
      <c r="BQ235" s="1">
        <v>0.5</v>
      </c>
      <c r="BR235" t="s">
        <v>8</v>
      </c>
      <c r="BS235" s="1">
        <v>0</v>
      </c>
      <c r="BT235" s="1">
        <v>10.7944073226714</v>
      </c>
      <c r="BU235" s="1">
        <f t="shared" si="18"/>
        <v>0.72968759999999999</v>
      </c>
      <c r="BV235" s="1">
        <f t="shared" si="19"/>
        <v>10.7944073226714</v>
      </c>
      <c r="BX235" s="1">
        <v>233</v>
      </c>
      <c r="BY235" s="1">
        <v>16.498251689336701</v>
      </c>
      <c r="CA235" t="s">
        <v>4</v>
      </c>
      <c r="CB235">
        <v>0</v>
      </c>
      <c r="CC235" t="s">
        <v>5</v>
      </c>
      <c r="CD235">
        <v>233</v>
      </c>
      <c r="CE235" t="s">
        <v>6</v>
      </c>
      <c r="CF235" s="1">
        <v>0.3648438</v>
      </c>
      <c r="CG235" t="s">
        <v>7</v>
      </c>
      <c r="CH235" s="1">
        <v>0.5</v>
      </c>
      <c r="CI235" t="s">
        <v>8</v>
      </c>
      <c r="CJ235" s="1">
        <v>0</v>
      </c>
      <c r="CK235" s="1">
        <v>12.190487551328401</v>
      </c>
    </row>
    <row r="236" spans="43:89">
      <c r="AQ236" t="s">
        <v>7</v>
      </c>
      <c r="AR236" s="1">
        <v>0.5</v>
      </c>
      <c r="AS236" t="s">
        <v>8</v>
      </c>
      <c r="AT236" s="1">
        <v>0</v>
      </c>
      <c r="AU236" s="1">
        <v>3.4367141120089699E-2</v>
      </c>
      <c r="AW236" t="s">
        <v>4</v>
      </c>
      <c r="AX236">
        <v>0</v>
      </c>
      <c r="AY236" t="s">
        <v>5</v>
      </c>
      <c r="AZ236">
        <v>234</v>
      </c>
      <c r="BA236" t="s">
        <v>6</v>
      </c>
      <c r="BB236" s="1">
        <v>0.36640620000000002</v>
      </c>
      <c r="BC236" t="s">
        <v>7</v>
      </c>
      <c r="BD236" s="1">
        <v>0.5</v>
      </c>
      <c r="BE236" t="s">
        <v>8</v>
      </c>
      <c r="BF236" s="1">
        <v>0</v>
      </c>
      <c r="BG236" s="1">
        <f t="shared" si="17"/>
        <v>0.73281240000000003</v>
      </c>
      <c r="BH236" s="1">
        <v>10.8451603117479</v>
      </c>
      <c r="BJ236" t="s">
        <v>4</v>
      </c>
      <c r="BK236">
        <v>0</v>
      </c>
      <c r="BL236" t="s">
        <v>5</v>
      </c>
      <c r="BM236">
        <v>234</v>
      </c>
      <c r="BN236" t="s">
        <v>6</v>
      </c>
      <c r="BO236" s="1">
        <v>0.36640620000000002</v>
      </c>
      <c r="BP236" t="s">
        <v>7</v>
      </c>
      <c r="BQ236" s="1">
        <v>0.5</v>
      </c>
      <c r="BR236" t="s">
        <v>8</v>
      </c>
      <c r="BS236" s="1">
        <v>0</v>
      </c>
      <c r="BT236" s="1">
        <v>10.7479134930791</v>
      </c>
      <c r="BU236" s="1">
        <f t="shared" si="18"/>
        <v>0.73281240000000003</v>
      </c>
      <c r="BV236" s="1">
        <f t="shared" si="19"/>
        <v>10.7479134930791</v>
      </c>
      <c r="BX236" s="1">
        <v>234</v>
      </c>
      <c r="BY236" s="1">
        <v>16.500271259079</v>
      </c>
      <c r="CA236" t="s">
        <v>4</v>
      </c>
      <c r="CB236">
        <v>0</v>
      </c>
      <c r="CC236" t="s">
        <v>5</v>
      </c>
      <c r="CD236">
        <v>234</v>
      </c>
      <c r="CE236" t="s">
        <v>6</v>
      </c>
      <c r="CF236" s="1">
        <v>0.36640620000000002</v>
      </c>
      <c r="CG236" t="s">
        <v>7</v>
      </c>
      <c r="CH236" s="1">
        <v>0.5</v>
      </c>
      <c r="CI236" t="s">
        <v>8</v>
      </c>
      <c r="CJ236" s="1">
        <v>0</v>
      </c>
      <c r="CK236" s="1">
        <v>12.1855444456417</v>
      </c>
    </row>
    <row r="237" spans="43:89">
      <c r="AQ237" t="s">
        <v>7</v>
      </c>
      <c r="AR237" s="1">
        <v>0.5</v>
      </c>
      <c r="AS237" t="s">
        <v>8</v>
      </c>
      <c r="AT237" s="1">
        <v>0</v>
      </c>
      <c r="AU237" s="1">
        <v>3.4378028926216102E-2</v>
      </c>
      <c r="AW237" t="s">
        <v>4</v>
      </c>
      <c r="AX237">
        <v>0</v>
      </c>
      <c r="AY237" t="s">
        <v>5</v>
      </c>
      <c r="AZ237">
        <v>235</v>
      </c>
      <c r="BA237" t="s">
        <v>6</v>
      </c>
      <c r="BB237" s="1">
        <v>0.36796879999999998</v>
      </c>
      <c r="BC237" t="s">
        <v>7</v>
      </c>
      <c r="BD237" s="1">
        <v>0.5</v>
      </c>
      <c r="BE237" t="s">
        <v>8</v>
      </c>
      <c r="BF237" s="1">
        <v>0</v>
      </c>
      <c r="BG237" s="1">
        <f t="shared" si="17"/>
        <v>0.73593759999999997</v>
      </c>
      <c r="BH237" s="1">
        <v>10.8078371503791</v>
      </c>
      <c r="BJ237" t="s">
        <v>4</v>
      </c>
      <c r="BK237">
        <v>0</v>
      </c>
      <c r="BL237" t="s">
        <v>5</v>
      </c>
      <c r="BM237">
        <v>235</v>
      </c>
      <c r="BN237" t="s">
        <v>6</v>
      </c>
      <c r="BO237" s="1">
        <v>0.36796879999999998</v>
      </c>
      <c r="BP237" t="s">
        <v>7</v>
      </c>
      <c r="BQ237" s="1">
        <v>0.5</v>
      </c>
      <c r="BR237" t="s">
        <v>8</v>
      </c>
      <c r="BS237" s="1">
        <v>0</v>
      </c>
      <c r="BT237" s="1">
        <v>10.6906263185429</v>
      </c>
      <c r="BU237" s="1">
        <f t="shared" si="18"/>
        <v>0.73593759999999997</v>
      </c>
      <c r="BV237" s="1">
        <f t="shared" si="19"/>
        <v>10.6906263185429</v>
      </c>
      <c r="BX237" s="1">
        <v>235</v>
      </c>
      <c r="BY237" s="1">
        <v>16.503317529038299</v>
      </c>
      <c r="CA237" t="s">
        <v>4</v>
      </c>
      <c r="CB237">
        <v>0</v>
      </c>
      <c r="CC237" t="s">
        <v>5</v>
      </c>
      <c r="CD237">
        <v>235</v>
      </c>
      <c r="CE237" t="s">
        <v>6</v>
      </c>
      <c r="CF237" s="1">
        <v>0.36796879999999998</v>
      </c>
      <c r="CG237" t="s">
        <v>7</v>
      </c>
      <c r="CH237" s="1">
        <v>0.5</v>
      </c>
      <c r="CI237" t="s">
        <v>8</v>
      </c>
      <c r="CJ237" s="1">
        <v>0</v>
      </c>
      <c r="CK237" s="1">
        <v>12.1807468751968</v>
      </c>
    </row>
    <row r="238" spans="43:89">
      <c r="AQ238" t="s">
        <v>7</v>
      </c>
      <c r="AR238" s="1">
        <v>0.5</v>
      </c>
      <c r="AS238" t="s">
        <v>8</v>
      </c>
      <c r="AT238" s="1">
        <v>0</v>
      </c>
      <c r="AU238" s="1">
        <v>3.4389308751928901E-2</v>
      </c>
      <c r="AW238" t="s">
        <v>4</v>
      </c>
      <c r="AX238">
        <v>0</v>
      </c>
      <c r="AY238" t="s">
        <v>5</v>
      </c>
      <c r="AZ238">
        <v>236</v>
      </c>
      <c r="BA238" t="s">
        <v>6</v>
      </c>
      <c r="BB238" s="1">
        <v>0.3695312</v>
      </c>
      <c r="BC238" t="s">
        <v>7</v>
      </c>
      <c r="BD238" s="1">
        <v>0.5</v>
      </c>
      <c r="BE238" t="s">
        <v>8</v>
      </c>
      <c r="BF238" s="1">
        <v>0</v>
      </c>
      <c r="BG238" s="1">
        <f t="shared" si="17"/>
        <v>0.73906240000000001</v>
      </c>
      <c r="BH238" s="1">
        <v>10.7625386965454</v>
      </c>
      <c r="BJ238" t="s">
        <v>4</v>
      </c>
      <c r="BK238">
        <v>0</v>
      </c>
      <c r="BL238" t="s">
        <v>5</v>
      </c>
      <c r="BM238">
        <v>236</v>
      </c>
      <c r="BN238" t="s">
        <v>6</v>
      </c>
      <c r="BO238" s="1">
        <v>0.3695312</v>
      </c>
      <c r="BP238" t="s">
        <v>7</v>
      </c>
      <c r="BQ238" s="1">
        <v>0.5</v>
      </c>
      <c r="BR238" t="s">
        <v>8</v>
      </c>
      <c r="BS238" s="1">
        <v>0</v>
      </c>
      <c r="BT238" s="1">
        <v>10.622512695955701</v>
      </c>
      <c r="BU238" s="1">
        <f t="shared" si="18"/>
        <v>0.73906240000000001</v>
      </c>
      <c r="BV238" s="1">
        <f t="shared" si="19"/>
        <v>10.622512695955701</v>
      </c>
      <c r="BX238" s="1">
        <v>236</v>
      </c>
      <c r="BY238" s="1">
        <v>16.507389470241201</v>
      </c>
      <c r="CA238" t="s">
        <v>4</v>
      </c>
      <c r="CB238">
        <v>0</v>
      </c>
      <c r="CC238" t="s">
        <v>5</v>
      </c>
      <c r="CD238">
        <v>236</v>
      </c>
      <c r="CE238" t="s">
        <v>6</v>
      </c>
      <c r="CF238" s="1">
        <v>0.3695312</v>
      </c>
      <c r="CG238" t="s">
        <v>7</v>
      </c>
      <c r="CH238" s="1">
        <v>0.5</v>
      </c>
      <c r="CI238" t="s">
        <v>8</v>
      </c>
      <c r="CJ238" s="1">
        <v>0</v>
      </c>
      <c r="CK238" s="1">
        <v>12.176171507025201</v>
      </c>
    </row>
    <row r="239" spans="43:89">
      <c r="AQ239" t="s">
        <v>7</v>
      </c>
      <c r="AR239" s="1">
        <v>0.5</v>
      </c>
      <c r="AS239" t="s">
        <v>8</v>
      </c>
      <c r="AT239" s="1">
        <v>0</v>
      </c>
      <c r="AU239" s="1">
        <v>3.4401000289016201E-2</v>
      </c>
      <c r="AW239" t="s">
        <v>4</v>
      </c>
      <c r="AX239">
        <v>0</v>
      </c>
      <c r="AY239" t="s">
        <v>5</v>
      </c>
      <c r="AZ239">
        <v>237</v>
      </c>
      <c r="BA239" t="s">
        <v>6</v>
      </c>
      <c r="BB239" s="1">
        <v>0.37109379999999997</v>
      </c>
      <c r="BC239" t="s">
        <v>7</v>
      </c>
      <c r="BD239" s="1">
        <v>0.5</v>
      </c>
      <c r="BE239" t="s">
        <v>8</v>
      </c>
      <c r="BF239" s="1">
        <v>0</v>
      </c>
      <c r="BG239" s="1">
        <f t="shared" si="17"/>
        <v>0.74218759999999995</v>
      </c>
      <c r="BH239" s="1">
        <v>10.709432375736201</v>
      </c>
      <c r="BJ239" t="s">
        <v>4</v>
      </c>
      <c r="BK239">
        <v>0</v>
      </c>
      <c r="BL239" t="s">
        <v>5</v>
      </c>
      <c r="BM239">
        <v>237</v>
      </c>
      <c r="BN239" t="s">
        <v>6</v>
      </c>
      <c r="BO239" s="1">
        <v>0.37109379999999997</v>
      </c>
      <c r="BP239" t="s">
        <v>7</v>
      </c>
      <c r="BQ239" s="1">
        <v>0.5</v>
      </c>
      <c r="BR239" t="s">
        <v>8</v>
      </c>
      <c r="BS239" s="1">
        <v>0</v>
      </c>
      <c r="BT239" s="1">
        <v>10.5435729264944</v>
      </c>
      <c r="BU239" s="1">
        <f t="shared" si="18"/>
        <v>0.74218759999999995</v>
      </c>
      <c r="BV239" s="1">
        <f t="shared" si="19"/>
        <v>10.5435729264944</v>
      </c>
      <c r="BX239" s="1">
        <v>237</v>
      </c>
      <c r="BY239" s="1">
        <v>16.512576226866202</v>
      </c>
      <c r="CA239" t="s">
        <v>4</v>
      </c>
      <c r="CB239">
        <v>0</v>
      </c>
      <c r="CC239" t="s">
        <v>5</v>
      </c>
      <c r="CD239">
        <v>237</v>
      </c>
      <c r="CE239" t="s">
        <v>6</v>
      </c>
      <c r="CF239" s="1">
        <v>0.37109379999999997</v>
      </c>
      <c r="CG239" t="s">
        <v>7</v>
      </c>
      <c r="CH239" s="1">
        <v>0.5</v>
      </c>
      <c r="CI239" t="s">
        <v>8</v>
      </c>
      <c r="CJ239" s="1">
        <v>0</v>
      </c>
      <c r="CK239" s="1">
        <v>12.171857081526101</v>
      </c>
    </row>
    <row r="240" spans="43:89">
      <c r="AQ240" t="s">
        <v>7</v>
      </c>
      <c r="AR240" s="1">
        <v>0.5</v>
      </c>
      <c r="AS240" t="s">
        <v>8</v>
      </c>
      <c r="AT240" s="1">
        <v>0</v>
      </c>
      <c r="AU240" s="1">
        <v>3.4413123504394502E-2</v>
      </c>
      <c r="AW240" t="s">
        <v>4</v>
      </c>
      <c r="AX240">
        <v>0</v>
      </c>
      <c r="AY240" t="s">
        <v>5</v>
      </c>
      <c r="AZ240">
        <v>238</v>
      </c>
      <c r="BA240" t="s">
        <v>6</v>
      </c>
      <c r="BB240" s="1">
        <v>0.37265619999999999</v>
      </c>
      <c r="BC240" t="s">
        <v>7</v>
      </c>
      <c r="BD240" s="1">
        <v>0.5</v>
      </c>
      <c r="BE240" t="s">
        <v>8</v>
      </c>
      <c r="BF240" s="1">
        <v>0</v>
      </c>
      <c r="BG240" s="1">
        <f t="shared" si="17"/>
        <v>0.74531239999999999</v>
      </c>
      <c r="BH240" s="1">
        <v>10.6487441615721</v>
      </c>
      <c r="BJ240" t="s">
        <v>4</v>
      </c>
      <c r="BK240">
        <v>0</v>
      </c>
      <c r="BL240" t="s">
        <v>5</v>
      </c>
      <c r="BM240">
        <v>238</v>
      </c>
      <c r="BN240" t="s">
        <v>6</v>
      </c>
      <c r="BO240" s="1">
        <v>0.37265619999999999</v>
      </c>
      <c r="BP240" t="s">
        <v>7</v>
      </c>
      <c r="BQ240" s="1">
        <v>0.5</v>
      </c>
      <c r="BR240" t="s">
        <v>8</v>
      </c>
      <c r="BS240" s="1">
        <v>0</v>
      </c>
      <c r="BT240" s="1">
        <v>10.453683032887501</v>
      </c>
      <c r="BU240" s="1">
        <f t="shared" si="18"/>
        <v>0.74531239999999999</v>
      </c>
      <c r="BV240" s="1">
        <f t="shared" si="19"/>
        <v>10.453683032887501</v>
      </c>
      <c r="BX240" s="1">
        <v>238</v>
      </c>
      <c r="BY240" s="1">
        <v>16.518974619121199</v>
      </c>
      <c r="CA240" t="s">
        <v>4</v>
      </c>
      <c r="CB240">
        <v>0</v>
      </c>
      <c r="CC240" t="s">
        <v>5</v>
      </c>
      <c r="CD240">
        <v>238</v>
      </c>
      <c r="CE240" t="s">
        <v>6</v>
      </c>
      <c r="CF240" s="1">
        <v>0.37265619999999999</v>
      </c>
      <c r="CG240" t="s">
        <v>7</v>
      </c>
      <c r="CH240" s="1">
        <v>0.5</v>
      </c>
      <c r="CI240" t="s">
        <v>8</v>
      </c>
      <c r="CJ240" s="1">
        <v>0</v>
      </c>
      <c r="CK240" s="1">
        <v>12.1678701388274</v>
      </c>
    </row>
    <row r="241" spans="43:89">
      <c r="AQ241" t="s">
        <v>7</v>
      </c>
      <c r="AR241" s="1">
        <v>0.5</v>
      </c>
      <c r="AS241" t="s">
        <v>8</v>
      </c>
      <c r="AT241" s="1">
        <v>0</v>
      </c>
      <c r="AU241" s="1">
        <v>3.44256986126718E-2</v>
      </c>
      <c r="AW241" t="s">
        <v>4</v>
      </c>
      <c r="AX241">
        <v>0</v>
      </c>
      <c r="AY241" t="s">
        <v>5</v>
      </c>
      <c r="AZ241">
        <v>239</v>
      </c>
      <c r="BA241" t="s">
        <v>6</v>
      </c>
      <c r="BB241" s="1">
        <v>0.37421870000000002</v>
      </c>
      <c r="BC241" t="s">
        <v>7</v>
      </c>
      <c r="BD241" s="1">
        <v>0.5</v>
      </c>
      <c r="BE241" t="s">
        <v>8</v>
      </c>
      <c r="BF241" s="1">
        <v>0</v>
      </c>
      <c r="BG241" s="1">
        <f t="shared" si="17"/>
        <v>0.74843740000000003</v>
      </c>
      <c r="BH241" s="1">
        <v>10.5806518544578</v>
      </c>
      <c r="BJ241" t="s">
        <v>4</v>
      </c>
      <c r="BK241">
        <v>0</v>
      </c>
      <c r="BL241" t="s">
        <v>5</v>
      </c>
      <c r="BM241">
        <v>239</v>
      </c>
      <c r="BN241" t="s">
        <v>6</v>
      </c>
      <c r="BO241" s="1">
        <v>0.37421870000000002</v>
      </c>
      <c r="BP241" t="s">
        <v>7</v>
      </c>
      <c r="BQ241" s="1">
        <v>0.5</v>
      </c>
      <c r="BR241" t="s">
        <v>8</v>
      </c>
      <c r="BS241" s="1">
        <v>0</v>
      </c>
      <c r="BT241" s="1">
        <v>10.352844231983701</v>
      </c>
      <c r="BU241" s="1">
        <f t="shared" si="18"/>
        <v>0.74843740000000003</v>
      </c>
      <c r="BV241" s="1">
        <f t="shared" si="19"/>
        <v>10.352844231983701</v>
      </c>
      <c r="BX241" s="1">
        <v>239</v>
      </c>
      <c r="BY241" s="1">
        <v>16.526547792688898</v>
      </c>
      <c r="CA241" t="s">
        <v>4</v>
      </c>
      <c r="CB241">
        <v>0</v>
      </c>
      <c r="CC241" t="s">
        <v>5</v>
      </c>
      <c r="CD241">
        <v>239</v>
      </c>
      <c r="CE241" t="s">
        <v>6</v>
      </c>
      <c r="CF241" s="1">
        <v>0.37421870000000002</v>
      </c>
      <c r="CG241" t="s">
        <v>7</v>
      </c>
      <c r="CH241" s="1">
        <v>0.5</v>
      </c>
      <c r="CI241" t="s">
        <v>8</v>
      </c>
      <c r="CJ241" s="1">
        <v>0</v>
      </c>
      <c r="CK241" s="1">
        <v>12.16430178796</v>
      </c>
    </row>
    <row r="242" spans="43:89">
      <c r="AQ242" t="s">
        <v>7</v>
      </c>
      <c r="AR242" s="1">
        <v>0.5</v>
      </c>
      <c r="AS242" t="s">
        <v>8</v>
      </c>
      <c r="AT242" s="1">
        <v>0</v>
      </c>
      <c r="AU242" s="1">
        <v>3.4426065862506398E-2</v>
      </c>
      <c r="AW242" t="s">
        <v>4</v>
      </c>
      <c r="AX242">
        <v>0</v>
      </c>
      <c r="AY242" t="s">
        <v>5</v>
      </c>
      <c r="AZ242">
        <v>240</v>
      </c>
      <c r="BA242" t="s">
        <v>6</v>
      </c>
      <c r="BB242" s="1">
        <v>0.37578129999999998</v>
      </c>
      <c r="BC242" t="s">
        <v>7</v>
      </c>
      <c r="BD242" s="1">
        <v>0.5</v>
      </c>
      <c r="BE242" t="s">
        <v>8</v>
      </c>
      <c r="BF242" s="1">
        <v>0</v>
      </c>
      <c r="BG242" s="1">
        <f t="shared" si="17"/>
        <v>0.75156259999999997</v>
      </c>
      <c r="BH242" s="1">
        <v>10.490574473524299</v>
      </c>
      <c r="BJ242" t="s">
        <v>4</v>
      </c>
      <c r="BK242">
        <v>0</v>
      </c>
      <c r="BL242" t="s">
        <v>5</v>
      </c>
      <c r="BM242">
        <v>240</v>
      </c>
      <c r="BN242" t="s">
        <v>6</v>
      </c>
      <c r="BO242" s="1">
        <v>0.37578129999999998</v>
      </c>
      <c r="BP242" t="s">
        <v>7</v>
      </c>
      <c r="BQ242" s="1">
        <v>0.5</v>
      </c>
      <c r="BR242" t="s">
        <v>8</v>
      </c>
      <c r="BS242" s="1">
        <v>0</v>
      </c>
      <c r="BT242" s="1">
        <v>10.271360833668901</v>
      </c>
      <c r="BU242" s="1">
        <f t="shared" si="18"/>
        <v>0.75156259999999997</v>
      </c>
      <c r="BV242" s="1">
        <f t="shared" si="19"/>
        <v>10.271360833668901</v>
      </c>
      <c r="BX242" s="1">
        <v>240</v>
      </c>
      <c r="BY242" s="1">
        <v>16.274583890800798</v>
      </c>
      <c r="CA242" t="s">
        <v>4</v>
      </c>
      <c r="CB242">
        <v>0</v>
      </c>
      <c r="CC242" t="s">
        <v>5</v>
      </c>
      <c r="CD242">
        <v>240</v>
      </c>
      <c r="CE242" t="s">
        <v>6</v>
      </c>
      <c r="CF242" s="1">
        <v>0.37578129999999998</v>
      </c>
      <c r="CG242" t="s">
        <v>7</v>
      </c>
      <c r="CH242" s="1">
        <v>0.5</v>
      </c>
      <c r="CI242" t="s">
        <v>8</v>
      </c>
      <c r="CJ242" s="1">
        <v>0</v>
      </c>
      <c r="CK242" s="1">
        <v>11.8622267757718</v>
      </c>
    </row>
    <row r="243" spans="43:89">
      <c r="AQ243" t="s">
        <v>7</v>
      </c>
      <c r="AR243" s="1">
        <v>0.5</v>
      </c>
      <c r="AS243" t="s">
        <v>8</v>
      </c>
      <c r="AT243" s="1">
        <v>0</v>
      </c>
      <c r="AU243" s="1">
        <v>3.4414686514767902E-2</v>
      </c>
      <c r="AW243" t="s">
        <v>4</v>
      </c>
      <c r="AX243">
        <v>0</v>
      </c>
      <c r="AY243" t="s">
        <v>5</v>
      </c>
      <c r="AZ243">
        <v>241</v>
      </c>
      <c r="BA243" t="s">
        <v>6</v>
      </c>
      <c r="BB243" s="1">
        <v>0.3773437</v>
      </c>
      <c r="BC243" t="s">
        <v>7</v>
      </c>
      <c r="BD243" s="1">
        <v>0.5</v>
      </c>
      <c r="BE243" t="s">
        <v>8</v>
      </c>
      <c r="BF243" s="1">
        <v>0</v>
      </c>
      <c r="BG243" s="1">
        <f t="shared" si="17"/>
        <v>0.75468740000000001</v>
      </c>
      <c r="BH243" s="1">
        <v>10.3853083395434</v>
      </c>
      <c r="BJ243" t="s">
        <v>4</v>
      </c>
      <c r="BK243">
        <v>0</v>
      </c>
      <c r="BL243" t="s">
        <v>5</v>
      </c>
      <c r="BM243">
        <v>241</v>
      </c>
      <c r="BN243" t="s">
        <v>6</v>
      </c>
      <c r="BO243" s="1">
        <v>0.3773437</v>
      </c>
      <c r="BP243" t="s">
        <v>7</v>
      </c>
      <c r="BQ243" s="1">
        <v>0.5</v>
      </c>
      <c r="BR243" t="s">
        <v>8</v>
      </c>
      <c r="BS243" s="1">
        <v>0</v>
      </c>
      <c r="BT243" s="1">
        <v>10.2175261710728</v>
      </c>
      <c r="BU243" s="1">
        <f t="shared" si="18"/>
        <v>0.75468740000000001</v>
      </c>
      <c r="BV243" s="1">
        <f t="shared" si="19"/>
        <v>10.2175261710728</v>
      </c>
      <c r="BX243" s="1">
        <v>241</v>
      </c>
      <c r="BY243" s="1">
        <v>16.1883806171437</v>
      </c>
      <c r="CA243" t="s">
        <v>4</v>
      </c>
      <c r="CB243">
        <v>0</v>
      </c>
      <c r="CC243" t="s">
        <v>5</v>
      </c>
      <c r="CD243">
        <v>241</v>
      </c>
      <c r="CE243" t="s">
        <v>6</v>
      </c>
      <c r="CF243" s="1">
        <v>0.3773437</v>
      </c>
      <c r="CG243" t="s">
        <v>7</v>
      </c>
      <c r="CH243" s="1">
        <v>0.5</v>
      </c>
      <c r="CI243" t="s">
        <v>8</v>
      </c>
      <c r="CJ243" s="1">
        <v>0</v>
      </c>
      <c r="CK243" s="1">
        <v>11.847602010702399</v>
      </c>
    </row>
    <row r="244" spans="43:89">
      <c r="AQ244" t="s">
        <v>7</v>
      </c>
      <c r="AR244" s="1">
        <v>0.5</v>
      </c>
      <c r="AS244" t="s">
        <v>8</v>
      </c>
      <c r="AT244" s="1">
        <v>0</v>
      </c>
      <c r="AU244" s="1">
        <v>3.4403315692968998E-2</v>
      </c>
      <c r="AW244" t="s">
        <v>4</v>
      </c>
      <c r="AX244">
        <v>0</v>
      </c>
      <c r="AY244" t="s">
        <v>5</v>
      </c>
      <c r="AZ244">
        <v>242</v>
      </c>
      <c r="BA244" t="s">
        <v>6</v>
      </c>
      <c r="BB244" s="1">
        <v>0.37890620000000003</v>
      </c>
      <c r="BC244" t="s">
        <v>7</v>
      </c>
      <c r="BD244" s="1">
        <v>0.5</v>
      </c>
      <c r="BE244" t="s">
        <v>8</v>
      </c>
      <c r="BF244" s="1">
        <v>0</v>
      </c>
      <c r="BG244" s="1">
        <f t="shared" si="17"/>
        <v>0.75781240000000005</v>
      </c>
      <c r="BH244" s="1">
        <v>10.282604196738999</v>
      </c>
      <c r="BJ244" t="s">
        <v>4</v>
      </c>
      <c r="BK244">
        <v>0</v>
      </c>
      <c r="BL244" t="s">
        <v>5</v>
      </c>
      <c r="BM244">
        <v>242</v>
      </c>
      <c r="BN244" t="s">
        <v>6</v>
      </c>
      <c r="BO244" s="1">
        <v>0.37890620000000003</v>
      </c>
      <c r="BP244" t="s">
        <v>7</v>
      </c>
      <c r="BQ244" s="1">
        <v>0.5</v>
      </c>
      <c r="BR244" t="s">
        <v>8</v>
      </c>
      <c r="BS244" s="1">
        <v>0</v>
      </c>
      <c r="BT244" s="1">
        <v>10.1652291120574</v>
      </c>
      <c r="BU244" s="1">
        <f t="shared" si="18"/>
        <v>0.75781240000000005</v>
      </c>
      <c r="BV244" s="1">
        <f t="shared" si="19"/>
        <v>10.1652291120574</v>
      </c>
      <c r="BX244" s="1">
        <v>242</v>
      </c>
      <c r="BY244" s="1">
        <v>16.099597444294002</v>
      </c>
      <c r="CA244" t="s">
        <v>4</v>
      </c>
      <c r="CB244">
        <v>0</v>
      </c>
      <c r="CC244" t="s">
        <v>5</v>
      </c>
      <c r="CD244">
        <v>242</v>
      </c>
      <c r="CE244" t="s">
        <v>6</v>
      </c>
      <c r="CF244" s="1">
        <v>0.37890620000000003</v>
      </c>
      <c r="CG244" t="s">
        <v>7</v>
      </c>
      <c r="CH244" s="1">
        <v>0.5</v>
      </c>
      <c r="CI244" t="s">
        <v>8</v>
      </c>
      <c r="CJ244" s="1">
        <v>0</v>
      </c>
      <c r="CK244" s="1">
        <v>11.832563405241499</v>
      </c>
    </row>
    <row r="245" spans="43:89">
      <c r="AQ245" t="s">
        <v>7</v>
      </c>
      <c r="AR245" s="1">
        <v>0.5</v>
      </c>
      <c r="AS245" t="s">
        <v>8</v>
      </c>
      <c r="AT245" s="1">
        <v>0</v>
      </c>
      <c r="AU245" s="1">
        <v>3.4391191970680003E-2</v>
      </c>
      <c r="AW245" t="s">
        <v>4</v>
      </c>
      <c r="AX245">
        <v>0</v>
      </c>
      <c r="AY245" t="s">
        <v>5</v>
      </c>
      <c r="AZ245">
        <v>243</v>
      </c>
      <c r="BA245" t="s">
        <v>6</v>
      </c>
      <c r="BB245" s="1">
        <v>0.38046869999999999</v>
      </c>
      <c r="BC245" t="s">
        <v>7</v>
      </c>
      <c r="BD245" s="1">
        <v>0.5</v>
      </c>
      <c r="BE245" t="s">
        <v>8</v>
      </c>
      <c r="BF245" s="1">
        <v>0</v>
      </c>
      <c r="BG245" s="1">
        <f t="shared" si="17"/>
        <v>0.76093739999999999</v>
      </c>
      <c r="BH245" s="1">
        <v>10.182704926202501</v>
      </c>
      <c r="BJ245" t="s">
        <v>4</v>
      </c>
      <c r="BK245">
        <v>0</v>
      </c>
      <c r="BL245" t="s">
        <v>5</v>
      </c>
      <c r="BM245">
        <v>243</v>
      </c>
      <c r="BN245" t="s">
        <v>6</v>
      </c>
      <c r="BO245" s="1">
        <v>0.38046869999999999</v>
      </c>
      <c r="BP245" t="s">
        <v>7</v>
      </c>
      <c r="BQ245" s="1">
        <v>0.5</v>
      </c>
      <c r="BR245" t="s">
        <v>8</v>
      </c>
      <c r="BS245" s="1">
        <v>0</v>
      </c>
      <c r="BT245" s="1">
        <v>10.1153098481638</v>
      </c>
      <c r="BU245" s="1">
        <f t="shared" si="18"/>
        <v>0.76093739999999999</v>
      </c>
      <c r="BV245" s="1">
        <f t="shared" si="19"/>
        <v>10.1153098481638</v>
      </c>
      <c r="BX245" s="1">
        <v>243</v>
      </c>
      <c r="BY245" s="1">
        <v>16.008097483446001</v>
      </c>
      <c r="CA245" t="s">
        <v>4</v>
      </c>
      <c r="CB245">
        <v>0</v>
      </c>
      <c r="CC245" t="s">
        <v>5</v>
      </c>
      <c r="CD245">
        <v>243</v>
      </c>
      <c r="CE245" t="s">
        <v>6</v>
      </c>
      <c r="CF245" s="1">
        <v>0.38046869999999999</v>
      </c>
      <c r="CG245" t="s">
        <v>7</v>
      </c>
      <c r="CH245" s="1">
        <v>0.5</v>
      </c>
      <c r="CI245" t="s">
        <v>8</v>
      </c>
      <c r="CJ245" s="1">
        <v>0</v>
      </c>
      <c r="CK245" s="1">
        <v>11.8170538934892</v>
      </c>
    </row>
    <row r="246" spans="43:89">
      <c r="AQ246" t="s">
        <v>7</v>
      </c>
      <c r="AR246" s="1">
        <v>0.5</v>
      </c>
      <c r="AS246" t="s">
        <v>8</v>
      </c>
      <c r="AT246" s="1">
        <v>0</v>
      </c>
      <c r="AU246" s="1">
        <v>3.4379052832745803E-2</v>
      </c>
      <c r="AW246" t="s">
        <v>4</v>
      </c>
      <c r="AX246">
        <v>0</v>
      </c>
      <c r="AY246" t="s">
        <v>5</v>
      </c>
      <c r="AZ246">
        <v>244</v>
      </c>
      <c r="BA246" t="s">
        <v>6</v>
      </c>
      <c r="BB246" s="1">
        <v>0.38203120000000002</v>
      </c>
      <c r="BC246" t="s">
        <v>7</v>
      </c>
      <c r="BD246" s="1">
        <v>0.5</v>
      </c>
      <c r="BE246" t="s">
        <v>8</v>
      </c>
      <c r="BF246" s="1">
        <v>0</v>
      </c>
      <c r="BG246" s="1">
        <f t="shared" si="17"/>
        <v>0.76406240000000003</v>
      </c>
      <c r="BH246" s="1">
        <v>10.0858772693361</v>
      </c>
      <c r="BJ246" t="s">
        <v>4</v>
      </c>
      <c r="BK246">
        <v>0</v>
      </c>
      <c r="BL246" t="s">
        <v>5</v>
      </c>
      <c r="BM246">
        <v>244</v>
      </c>
      <c r="BN246" t="s">
        <v>6</v>
      </c>
      <c r="BO246" s="1">
        <v>0.38203120000000002</v>
      </c>
      <c r="BP246" t="s">
        <v>7</v>
      </c>
      <c r="BQ246" s="1">
        <v>0.5</v>
      </c>
      <c r="BR246" t="s">
        <v>8</v>
      </c>
      <c r="BS246" s="1">
        <v>0</v>
      </c>
      <c r="BT246" s="1">
        <v>10.068683036185901</v>
      </c>
      <c r="BU246" s="1">
        <f t="shared" si="18"/>
        <v>0.76406240000000003</v>
      </c>
      <c r="BV246" s="1">
        <f t="shared" si="19"/>
        <v>10.068683036185901</v>
      </c>
      <c r="BX246" s="1">
        <v>244</v>
      </c>
      <c r="BY246" s="1">
        <v>15.913729468541501</v>
      </c>
      <c r="CA246" t="s">
        <v>4</v>
      </c>
      <c r="CB246">
        <v>0</v>
      </c>
      <c r="CC246" t="s">
        <v>5</v>
      </c>
      <c r="CD246">
        <v>244</v>
      </c>
      <c r="CE246" t="s">
        <v>6</v>
      </c>
      <c r="CF246" s="1">
        <v>0.38203120000000002</v>
      </c>
      <c r="CG246" t="s">
        <v>7</v>
      </c>
      <c r="CH246" s="1">
        <v>0.5</v>
      </c>
      <c r="CI246" t="s">
        <v>8</v>
      </c>
      <c r="CJ246" s="1">
        <v>0</v>
      </c>
      <c r="CK246" s="1">
        <v>11.801034045245499</v>
      </c>
    </row>
    <row r="247" spans="43:89">
      <c r="AQ247" t="s">
        <v>7</v>
      </c>
      <c r="AR247" s="1">
        <v>0.5</v>
      </c>
      <c r="AS247" t="s">
        <v>8</v>
      </c>
      <c r="AT247" s="1">
        <v>0</v>
      </c>
      <c r="AU247" s="1">
        <v>3.4366888230116299E-2</v>
      </c>
      <c r="AW247" t="s">
        <v>4</v>
      </c>
      <c r="AX247">
        <v>0</v>
      </c>
      <c r="AY247" t="s">
        <v>5</v>
      </c>
      <c r="AZ247">
        <v>245</v>
      </c>
      <c r="BA247" t="s">
        <v>6</v>
      </c>
      <c r="BB247" s="1">
        <v>0.38359379999999998</v>
      </c>
      <c r="BC247" t="s">
        <v>7</v>
      </c>
      <c r="BD247" s="1">
        <v>0.5</v>
      </c>
      <c r="BE247" t="s">
        <v>8</v>
      </c>
      <c r="BF247" s="1">
        <v>0</v>
      </c>
      <c r="BG247" s="1">
        <f t="shared" si="17"/>
        <v>0.76718759999999997</v>
      </c>
      <c r="BH247" s="1">
        <v>9.9923416092598298</v>
      </c>
      <c r="BJ247" t="s">
        <v>4</v>
      </c>
      <c r="BK247">
        <v>0</v>
      </c>
      <c r="BL247" t="s">
        <v>5</v>
      </c>
      <c r="BM247">
        <v>245</v>
      </c>
      <c r="BN247" t="s">
        <v>6</v>
      </c>
      <c r="BO247" s="1">
        <v>0.38359379999999998</v>
      </c>
      <c r="BP247" t="s">
        <v>7</v>
      </c>
      <c r="BQ247" s="1">
        <v>0.5</v>
      </c>
      <c r="BR247" t="s">
        <v>8</v>
      </c>
      <c r="BS247" s="1">
        <v>0</v>
      </c>
      <c r="BT247" s="1">
        <v>10.0263804631978</v>
      </c>
      <c r="BU247" s="1">
        <f t="shared" si="18"/>
        <v>0.76718759999999997</v>
      </c>
      <c r="BV247" s="1">
        <f t="shared" si="19"/>
        <v>10.0263804631978</v>
      </c>
      <c r="BX247" s="1">
        <v>245</v>
      </c>
      <c r="BY247" s="1">
        <v>15.816337152387099</v>
      </c>
      <c r="CA247" t="s">
        <v>4</v>
      </c>
      <c r="CB247">
        <v>0</v>
      </c>
      <c r="CC247" t="s">
        <v>5</v>
      </c>
      <c r="CD247">
        <v>245</v>
      </c>
      <c r="CE247" t="s">
        <v>6</v>
      </c>
      <c r="CF247" s="1">
        <v>0.38359379999999998</v>
      </c>
      <c r="CG247" t="s">
        <v>7</v>
      </c>
      <c r="CH247" s="1">
        <v>0.5</v>
      </c>
      <c r="CI247" t="s">
        <v>8</v>
      </c>
      <c r="CJ247" s="1">
        <v>0</v>
      </c>
      <c r="CK247" s="1">
        <v>11.7844588227578</v>
      </c>
    </row>
    <row r="248" spans="43:89">
      <c r="AQ248" t="s">
        <v>7</v>
      </c>
      <c r="AR248" s="1">
        <v>0.5</v>
      </c>
      <c r="AS248" t="s">
        <v>8</v>
      </c>
      <c r="AT248" s="1">
        <v>0</v>
      </c>
      <c r="AU248" s="1">
        <v>3.4354688504270599E-2</v>
      </c>
      <c r="AW248" t="s">
        <v>4</v>
      </c>
      <c r="AX248">
        <v>0</v>
      </c>
      <c r="AY248" t="s">
        <v>5</v>
      </c>
      <c r="AZ248">
        <v>246</v>
      </c>
      <c r="BA248" t="s">
        <v>6</v>
      </c>
      <c r="BB248" s="1">
        <v>0.3851562</v>
      </c>
      <c r="BC248" t="s">
        <v>7</v>
      </c>
      <c r="BD248" s="1">
        <v>0.5</v>
      </c>
      <c r="BE248" t="s">
        <v>8</v>
      </c>
      <c r="BF248" s="1">
        <v>0</v>
      </c>
      <c r="BG248" s="1">
        <f t="shared" si="17"/>
        <v>0.77031240000000001</v>
      </c>
      <c r="BH248" s="1">
        <v>9.9024031448176508</v>
      </c>
      <c r="BJ248" t="s">
        <v>4</v>
      </c>
      <c r="BK248">
        <v>0</v>
      </c>
      <c r="BL248" t="s">
        <v>5</v>
      </c>
      <c r="BM248">
        <v>246</v>
      </c>
      <c r="BN248" t="s">
        <v>6</v>
      </c>
      <c r="BO248" s="1">
        <v>0.3851562</v>
      </c>
      <c r="BP248" t="s">
        <v>7</v>
      </c>
      <c r="BQ248" s="1">
        <v>0.5</v>
      </c>
      <c r="BR248" t="s">
        <v>8</v>
      </c>
      <c r="BS248" s="1">
        <v>0</v>
      </c>
      <c r="BT248" s="1">
        <v>9.9894549638589805</v>
      </c>
      <c r="BU248" s="1">
        <f t="shared" si="18"/>
        <v>0.77031240000000001</v>
      </c>
      <c r="BV248" s="1">
        <f t="shared" si="19"/>
        <v>9.9894549638589805</v>
      </c>
      <c r="BX248" s="1">
        <v>246</v>
      </c>
      <c r="BY248" s="1">
        <v>15.7159861050964</v>
      </c>
      <c r="CA248" t="s">
        <v>4</v>
      </c>
      <c r="CB248">
        <v>0</v>
      </c>
      <c r="CC248" t="s">
        <v>5</v>
      </c>
      <c r="CD248">
        <v>246</v>
      </c>
      <c r="CE248" t="s">
        <v>6</v>
      </c>
      <c r="CF248" s="1">
        <v>0.3851562</v>
      </c>
      <c r="CG248" t="s">
        <v>7</v>
      </c>
      <c r="CH248" s="1">
        <v>0.5</v>
      </c>
      <c r="CI248" t="s">
        <v>8</v>
      </c>
      <c r="CJ248" s="1">
        <v>0</v>
      </c>
      <c r="CK248" s="1">
        <v>11.767239523195199</v>
      </c>
    </row>
    <row r="249" spans="43:89">
      <c r="AQ249" t="s">
        <v>7</v>
      </c>
      <c r="AR249" s="1">
        <v>0.5</v>
      </c>
      <c r="AS249" t="s">
        <v>8</v>
      </c>
      <c r="AT249" s="1">
        <v>0</v>
      </c>
      <c r="AU249" s="1">
        <v>3.43424440630309E-2</v>
      </c>
      <c r="AW249" t="s">
        <v>4</v>
      </c>
      <c r="AX249">
        <v>0</v>
      </c>
      <c r="AY249" t="s">
        <v>5</v>
      </c>
      <c r="AZ249">
        <v>247</v>
      </c>
      <c r="BA249" t="s">
        <v>6</v>
      </c>
      <c r="BB249" s="1">
        <v>0.38671879999999997</v>
      </c>
      <c r="BC249" t="s">
        <v>7</v>
      </c>
      <c r="BD249" s="1">
        <v>0.5</v>
      </c>
      <c r="BE249" t="s">
        <v>8</v>
      </c>
      <c r="BF249" s="1">
        <v>0</v>
      </c>
      <c r="BG249" s="1">
        <f t="shared" si="17"/>
        <v>0.77343759999999995</v>
      </c>
      <c r="BH249" s="1">
        <v>9.8163563636356201</v>
      </c>
      <c r="BJ249" t="s">
        <v>4</v>
      </c>
      <c r="BK249">
        <v>0</v>
      </c>
      <c r="BL249" t="s">
        <v>5</v>
      </c>
      <c r="BM249">
        <v>247</v>
      </c>
      <c r="BN249" t="s">
        <v>6</v>
      </c>
      <c r="BO249" s="1">
        <v>0.38671879999999997</v>
      </c>
      <c r="BP249" t="s">
        <v>7</v>
      </c>
      <c r="BQ249" s="1">
        <v>0.5</v>
      </c>
      <c r="BR249" t="s">
        <v>8</v>
      </c>
      <c r="BS249" s="1">
        <v>0</v>
      </c>
      <c r="BT249" s="1">
        <v>9.9589983830963895</v>
      </c>
      <c r="BU249" s="1">
        <f t="shared" si="18"/>
        <v>0.77343759999999995</v>
      </c>
      <c r="BV249" s="1">
        <f t="shared" si="19"/>
        <v>9.9589983830963895</v>
      </c>
      <c r="BX249" s="1">
        <v>247</v>
      </c>
      <c r="BY249" s="1">
        <v>15.6123060541125</v>
      </c>
      <c r="CA249" t="s">
        <v>4</v>
      </c>
      <c r="CB249">
        <v>0</v>
      </c>
      <c r="CC249" t="s">
        <v>5</v>
      </c>
      <c r="CD249">
        <v>247</v>
      </c>
      <c r="CE249" t="s">
        <v>6</v>
      </c>
      <c r="CF249" s="1">
        <v>0.38671879999999997</v>
      </c>
      <c r="CG249" t="s">
        <v>7</v>
      </c>
      <c r="CH249" s="1">
        <v>0.5</v>
      </c>
      <c r="CI249" t="s">
        <v>8</v>
      </c>
      <c r="CJ249" s="1">
        <v>0</v>
      </c>
      <c r="CK249" s="1">
        <v>11.7493768080462</v>
      </c>
    </row>
    <row r="250" spans="43:89">
      <c r="AQ250" t="s">
        <v>7</v>
      </c>
      <c r="AR250" s="1">
        <v>0.5</v>
      </c>
      <c r="AS250" t="s">
        <v>8</v>
      </c>
      <c r="AT250" s="1">
        <v>0</v>
      </c>
      <c r="AU250" s="1">
        <v>3.4330145056391398E-2</v>
      </c>
      <c r="AW250" t="s">
        <v>4</v>
      </c>
      <c r="AX250">
        <v>0</v>
      </c>
      <c r="AY250" t="s">
        <v>5</v>
      </c>
      <c r="AZ250">
        <v>248</v>
      </c>
      <c r="BA250" t="s">
        <v>6</v>
      </c>
      <c r="BB250" s="1">
        <v>0.3882813</v>
      </c>
      <c r="BC250" t="s">
        <v>7</v>
      </c>
      <c r="BD250" s="1">
        <v>0.5</v>
      </c>
      <c r="BE250" t="s">
        <v>8</v>
      </c>
      <c r="BF250" s="1">
        <v>0</v>
      </c>
      <c r="BG250" s="1">
        <f t="shared" si="17"/>
        <v>0.77656259999999999</v>
      </c>
      <c r="BH250" s="1">
        <v>9.7345450504604205</v>
      </c>
      <c r="BJ250" t="s">
        <v>4</v>
      </c>
      <c r="BK250">
        <v>0</v>
      </c>
      <c r="BL250" t="s">
        <v>5</v>
      </c>
      <c r="BM250">
        <v>248</v>
      </c>
      <c r="BN250" t="s">
        <v>6</v>
      </c>
      <c r="BO250" s="1">
        <v>0.3882813</v>
      </c>
      <c r="BP250" t="s">
        <v>7</v>
      </c>
      <c r="BQ250" s="1">
        <v>0.5</v>
      </c>
      <c r="BR250" t="s">
        <v>8</v>
      </c>
      <c r="BS250" s="1">
        <v>0</v>
      </c>
      <c r="BT250" s="1">
        <v>9.9362550024021701</v>
      </c>
      <c r="BU250" s="1">
        <f t="shared" si="18"/>
        <v>0.77656259999999999</v>
      </c>
      <c r="BV250" s="1">
        <f t="shared" si="19"/>
        <v>9.9362550024021701</v>
      </c>
      <c r="BX250" s="1">
        <v>248</v>
      </c>
      <c r="BY250" s="1">
        <v>15.5055293835821</v>
      </c>
      <c r="CA250" t="s">
        <v>4</v>
      </c>
      <c r="CB250">
        <v>0</v>
      </c>
      <c r="CC250" t="s">
        <v>5</v>
      </c>
      <c r="CD250">
        <v>248</v>
      </c>
      <c r="CE250" t="s">
        <v>6</v>
      </c>
      <c r="CF250" s="1">
        <v>0.3882813</v>
      </c>
      <c r="CG250" t="s">
        <v>7</v>
      </c>
      <c r="CH250" s="1">
        <v>0.5</v>
      </c>
      <c r="CI250" t="s">
        <v>8</v>
      </c>
      <c r="CJ250" s="1">
        <v>0</v>
      </c>
      <c r="CK250" s="1">
        <v>11.7308391240846</v>
      </c>
    </row>
    <row r="251" spans="43:89">
      <c r="AQ251" t="s">
        <v>7</v>
      </c>
      <c r="AR251" s="1">
        <v>0.5</v>
      </c>
      <c r="AS251" t="s">
        <v>8</v>
      </c>
      <c r="AT251" s="1">
        <v>0</v>
      </c>
      <c r="AU251" s="1">
        <v>3.4318442317944502E-2</v>
      </c>
      <c r="AW251" t="s">
        <v>4</v>
      </c>
      <c r="AX251">
        <v>0</v>
      </c>
      <c r="AY251" t="s">
        <v>5</v>
      </c>
      <c r="AZ251">
        <v>249</v>
      </c>
      <c r="BA251" t="s">
        <v>6</v>
      </c>
      <c r="BB251" s="1">
        <v>0.38984370000000002</v>
      </c>
      <c r="BC251" t="s">
        <v>7</v>
      </c>
      <c r="BD251" s="1">
        <v>0.5</v>
      </c>
      <c r="BE251" t="s">
        <v>8</v>
      </c>
      <c r="BF251" s="1">
        <v>0</v>
      </c>
      <c r="BG251" s="1">
        <f t="shared" si="17"/>
        <v>0.77968740000000003</v>
      </c>
      <c r="BH251" s="1">
        <v>9.6571890134151097</v>
      </c>
      <c r="BJ251" t="s">
        <v>4</v>
      </c>
      <c r="BK251">
        <v>0</v>
      </c>
      <c r="BL251" t="s">
        <v>5</v>
      </c>
      <c r="BM251">
        <v>249</v>
      </c>
      <c r="BN251" t="s">
        <v>6</v>
      </c>
      <c r="BO251" s="1">
        <v>0.38984370000000002</v>
      </c>
      <c r="BP251" t="s">
        <v>7</v>
      </c>
      <c r="BQ251" s="1">
        <v>0.5</v>
      </c>
      <c r="BR251" t="s">
        <v>8</v>
      </c>
      <c r="BS251" s="1">
        <v>0</v>
      </c>
      <c r="BT251" s="1">
        <v>9.9224663540278097</v>
      </c>
      <c r="BU251" s="1">
        <f t="shared" si="18"/>
        <v>0.77968740000000003</v>
      </c>
      <c r="BV251" s="1">
        <f t="shared" si="19"/>
        <v>9.9224663540278097</v>
      </c>
      <c r="BX251" s="1">
        <v>249</v>
      </c>
      <c r="BY251" s="1">
        <v>15.395360458984401</v>
      </c>
      <c r="CA251" t="s">
        <v>4</v>
      </c>
      <c r="CB251">
        <v>0</v>
      </c>
      <c r="CC251" t="s">
        <v>5</v>
      </c>
      <c r="CD251">
        <v>249</v>
      </c>
      <c r="CE251" t="s">
        <v>6</v>
      </c>
      <c r="CF251" s="1">
        <v>0.38984370000000002</v>
      </c>
      <c r="CG251" t="s">
        <v>7</v>
      </c>
      <c r="CH251" s="1">
        <v>0.5</v>
      </c>
      <c r="CI251" t="s">
        <v>8</v>
      </c>
      <c r="CJ251" s="1">
        <v>0</v>
      </c>
      <c r="CK251" s="1">
        <v>11.711603613534599</v>
      </c>
    </row>
    <row r="252" spans="43:89">
      <c r="AQ252" t="s">
        <v>7</v>
      </c>
      <c r="AR252" s="1">
        <v>0.5</v>
      </c>
      <c r="AS252" t="s">
        <v>8</v>
      </c>
      <c r="AT252" s="1">
        <v>0</v>
      </c>
      <c r="AU252" s="1">
        <v>3.4306049994307398E-2</v>
      </c>
      <c r="AW252" t="s">
        <v>4</v>
      </c>
      <c r="AX252">
        <v>0</v>
      </c>
      <c r="AY252" t="s">
        <v>5</v>
      </c>
      <c r="AZ252">
        <v>250</v>
      </c>
      <c r="BA252" t="s">
        <v>6</v>
      </c>
      <c r="BB252" s="1">
        <v>0.39140629999999998</v>
      </c>
      <c r="BC252" t="s">
        <v>7</v>
      </c>
      <c r="BD252" s="1">
        <v>0.5</v>
      </c>
      <c r="BE252" t="s">
        <v>8</v>
      </c>
      <c r="BF252" s="1">
        <v>0</v>
      </c>
      <c r="BG252" s="1">
        <f t="shared" si="17"/>
        <v>0.78281259999999997</v>
      </c>
      <c r="BH252" s="1">
        <v>9.5847122680824892</v>
      </c>
      <c r="BJ252" t="s">
        <v>4</v>
      </c>
      <c r="BK252">
        <v>0</v>
      </c>
      <c r="BL252" t="s">
        <v>5</v>
      </c>
      <c r="BM252">
        <v>250</v>
      </c>
      <c r="BN252" t="s">
        <v>6</v>
      </c>
      <c r="BO252" s="1">
        <v>0.39140629999999998</v>
      </c>
      <c r="BP252" t="s">
        <v>7</v>
      </c>
      <c r="BQ252" s="1">
        <v>0.5</v>
      </c>
      <c r="BR252" t="s">
        <v>8</v>
      </c>
      <c r="BS252" s="1">
        <v>0</v>
      </c>
      <c r="BT252" s="1">
        <v>9.9190135353294799</v>
      </c>
      <c r="BU252" s="1">
        <f t="shared" si="18"/>
        <v>0.78281259999999997</v>
      </c>
      <c r="BV252" s="1">
        <f t="shared" si="19"/>
        <v>9.9190135353294799</v>
      </c>
      <c r="BX252" s="1">
        <v>250</v>
      </c>
      <c r="BY252" s="1">
        <v>15.281872930483701</v>
      </c>
      <c r="CA252" t="s">
        <v>4</v>
      </c>
      <c r="CB252">
        <v>0</v>
      </c>
      <c r="CC252" t="s">
        <v>5</v>
      </c>
      <c r="CD252">
        <v>250</v>
      </c>
      <c r="CE252" t="s">
        <v>6</v>
      </c>
      <c r="CF252" s="1">
        <v>0.39140629999999998</v>
      </c>
      <c r="CG252" t="s">
        <v>7</v>
      </c>
      <c r="CH252" s="1">
        <v>0.5</v>
      </c>
      <c r="CI252" t="s">
        <v>8</v>
      </c>
      <c r="CJ252" s="1">
        <v>0</v>
      </c>
      <c r="CK252" s="1">
        <v>11.691652537866799</v>
      </c>
    </row>
    <row r="253" spans="43:89">
      <c r="AQ253" t="s">
        <v>7</v>
      </c>
      <c r="AR253" s="1">
        <v>0.5</v>
      </c>
      <c r="AS253" t="s">
        <v>8</v>
      </c>
      <c r="AT253" s="1">
        <v>0</v>
      </c>
      <c r="AU253" s="1">
        <v>3.4294032410961801E-2</v>
      </c>
      <c r="AW253" t="s">
        <v>4</v>
      </c>
      <c r="AX253">
        <v>0</v>
      </c>
      <c r="AY253" t="s">
        <v>5</v>
      </c>
      <c r="AZ253">
        <v>251</v>
      </c>
      <c r="BA253" t="s">
        <v>6</v>
      </c>
      <c r="BB253" s="1">
        <v>0.3929687</v>
      </c>
      <c r="BC253" t="s">
        <v>7</v>
      </c>
      <c r="BD253" s="1">
        <v>0.5</v>
      </c>
      <c r="BE253" t="s">
        <v>8</v>
      </c>
      <c r="BF253" s="1">
        <v>0</v>
      </c>
      <c r="BG253" s="1">
        <f t="shared" si="17"/>
        <v>0.78593740000000001</v>
      </c>
      <c r="BH253" s="1">
        <v>9.5173226599346403</v>
      </c>
      <c r="BJ253" t="s">
        <v>4</v>
      </c>
      <c r="BK253">
        <v>0</v>
      </c>
      <c r="BL253" t="s">
        <v>5</v>
      </c>
      <c r="BM253">
        <v>251</v>
      </c>
      <c r="BN253" t="s">
        <v>6</v>
      </c>
      <c r="BO253" s="1">
        <v>0.3929687</v>
      </c>
      <c r="BP253" t="s">
        <v>7</v>
      </c>
      <c r="BQ253" s="1">
        <v>0.5</v>
      </c>
      <c r="BR253" t="s">
        <v>8</v>
      </c>
      <c r="BS253" s="1">
        <v>0</v>
      </c>
      <c r="BT253" s="1">
        <v>9.9272844325357994</v>
      </c>
      <c r="BU253" s="1">
        <f t="shared" si="18"/>
        <v>0.78593740000000001</v>
      </c>
      <c r="BV253" s="1">
        <f t="shared" si="19"/>
        <v>9.9272844325357994</v>
      </c>
      <c r="BX253" s="1">
        <v>251</v>
      </c>
      <c r="BY253" s="1">
        <v>15.1649067554449</v>
      </c>
      <c r="CA253" t="s">
        <v>4</v>
      </c>
      <c r="CB253">
        <v>0</v>
      </c>
      <c r="CC253" t="s">
        <v>5</v>
      </c>
      <c r="CD253">
        <v>251</v>
      </c>
      <c r="CE253" t="s">
        <v>6</v>
      </c>
      <c r="CF253" s="1">
        <v>0.3929687</v>
      </c>
      <c r="CG253" t="s">
        <v>7</v>
      </c>
      <c r="CH253" s="1">
        <v>0.5</v>
      </c>
      <c r="CI253" t="s">
        <v>8</v>
      </c>
      <c r="CJ253" s="1">
        <v>0</v>
      </c>
      <c r="CK253" s="1">
        <v>11.6709670656069</v>
      </c>
    </row>
    <row r="254" spans="43:89">
      <c r="AQ254" t="s">
        <v>7</v>
      </c>
      <c r="AR254" s="1">
        <v>0.5</v>
      </c>
      <c r="AS254" t="s">
        <v>8</v>
      </c>
      <c r="AT254" s="1">
        <v>0</v>
      </c>
      <c r="AU254" s="1">
        <v>3.4281381347314802E-2</v>
      </c>
      <c r="AW254" t="s">
        <v>4</v>
      </c>
      <c r="AX254">
        <v>0</v>
      </c>
      <c r="AY254" t="s">
        <v>5</v>
      </c>
      <c r="AZ254">
        <v>252</v>
      </c>
      <c r="BA254" t="s">
        <v>6</v>
      </c>
      <c r="BB254" s="1">
        <v>0.39453120000000003</v>
      </c>
      <c r="BC254" t="s">
        <v>7</v>
      </c>
      <c r="BD254" s="1">
        <v>0.5</v>
      </c>
      <c r="BE254" t="s">
        <v>8</v>
      </c>
      <c r="BF254" s="1">
        <v>0</v>
      </c>
      <c r="BG254" s="1">
        <f t="shared" si="17"/>
        <v>0.78906240000000005</v>
      </c>
      <c r="BH254" s="1">
        <v>9.4553726238557907</v>
      </c>
      <c r="BJ254" t="s">
        <v>4</v>
      </c>
      <c r="BK254">
        <v>0</v>
      </c>
      <c r="BL254" t="s">
        <v>5</v>
      </c>
      <c r="BM254">
        <v>252</v>
      </c>
      <c r="BN254" t="s">
        <v>6</v>
      </c>
      <c r="BO254" s="1">
        <v>0.39453120000000003</v>
      </c>
      <c r="BP254" t="s">
        <v>7</v>
      </c>
      <c r="BQ254" s="1">
        <v>0.5</v>
      </c>
      <c r="BR254" t="s">
        <v>8</v>
      </c>
      <c r="BS254" s="1">
        <v>0</v>
      </c>
      <c r="BT254" s="1">
        <v>9.9487669583487701</v>
      </c>
      <c r="BU254" s="1">
        <f t="shared" si="18"/>
        <v>0.78906240000000005</v>
      </c>
      <c r="BV254" s="1">
        <f t="shared" si="19"/>
        <v>9.9487669583487701</v>
      </c>
      <c r="BX254" s="1">
        <v>252</v>
      </c>
      <c r="BY254" s="1">
        <v>15.044310944497299</v>
      </c>
      <c r="CA254" t="s">
        <v>4</v>
      </c>
      <c r="CB254">
        <v>0</v>
      </c>
      <c r="CC254" t="s">
        <v>5</v>
      </c>
      <c r="CD254">
        <v>252</v>
      </c>
      <c r="CE254" t="s">
        <v>6</v>
      </c>
      <c r="CF254" s="1">
        <v>0.39453120000000003</v>
      </c>
      <c r="CG254" t="s">
        <v>7</v>
      </c>
      <c r="CH254" s="1">
        <v>0.5</v>
      </c>
      <c r="CI254" t="s">
        <v>8</v>
      </c>
      <c r="CJ254" s="1">
        <v>0</v>
      </c>
      <c r="CK254" s="1">
        <v>11.6495509664756</v>
      </c>
    </row>
    <row r="255" spans="43:89">
      <c r="AQ255" t="s">
        <v>7</v>
      </c>
      <c r="AR255" s="1">
        <v>0.5</v>
      </c>
      <c r="AS255" t="s">
        <v>8</v>
      </c>
      <c r="AT255" s="1">
        <v>0</v>
      </c>
      <c r="AU255" s="1">
        <v>3.4268591136264397E-2</v>
      </c>
      <c r="AW255" t="s">
        <v>4</v>
      </c>
      <c r="AX255">
        <v>0</v>
      </c>
      <c r="AY255" t="s">
        <v>5</v>
      </c>
      <c r="AZ255">
        <v>253</v>
      </c>
      <c r="BA255" t="s">
        <v>6</v>
      </c>
      <c r="BB255" s="1">
        <v>0.3960938</v>
      </c>
      <c r="BC255" t="s">
        <v>7</v>
      </c>
      <c r="BD255" s="1">
        <v>0.5</v>
      </c>
      <c r="BE255" t="s">
        <v>8</v>
      </c>
      <c r="BF255" s="1">
        <v>0</v>
      </c>
      <c r="BG255" s="1">
        <f t="shared" si="17"/>
        <v>0.79218759999999999</v>
      </c>
      <c r="BH255" s="1">
        <v>9.3991622530316903</v>
      </c>
      <c r="BJ255" t="s">
        <v>4</v>
      </c>
      <c r="BK255">
        <v>0</v>
      </c>
      <c r="BL255" t="s">
        <v>5</v>
      </c>
      <c r="BM255">
        <v>253</v>
      </c>
      <c r="BN255" t="s">
        <v>6</v>
      </c>
      <c r="BO255" s="1">
        <v>0.3960938</v>
      </c>
      <c r="BP255" t="s">
        <v>7</v>
      </c>
      <c r="BQ255" s="1">
        <v>0.5</v>
      </c>
      <c r="BR255" t="s">
        <v>8</v>
      </c>
      <c r="BS255" s="1">
        <v>0</v>
      </c>
      <c r="BT255" s="1">
        <v>9.9849894211661105</v>
      </c>
      <c r="BU255" s="1">
        <f t="shared" si="18"/>
        <v>0.79218759999999999</v>
      </c>
      <c r="BV255" s="1">
        <f t="shared" si="19"/>
        <v>9.9849894211661105</v>
      </c>
      <c r="BX255" s="1">
        <v>253</v>
      </c>
      <c r="BY255" s="1">
        <v>14.920143143790099</v>
      </c>
      <c r="CA255" t="s">
        <v>4</v>
      </c>
      <c r="CB255">
        <v>0</v>
      </c>
      <c r="CC255" t="s">
        <v>5</v>
      </c>
      <c r="CD255">
        <v>253</v>
      </c>
      <c r="CE255" t="s">
        <v>6</v>
      </c>
      <c r="CF255" s="1">
        <v>0.3960938</v>
      </c>
      <c r="CG255" t="s">
        <v>7</v>
      </c>
      <c r="CH255" s="1">
        <v>0.5</v>
      </c>
      <c r="CI255" t="s">
        <v>8</v>
      </c>
      <c r="CJ255" s="1">
        <v>0</v>
      </c>
      <c r="CK255" s="1">
        <v>11.627439205898201</v>
      </c>
    </row>
    <row r="256" spans="43:89">
      <c r="AQ256" t="s">
        <v>7</v>
      </c>
      <c r="AR256" s="1">
        <v>0.5</v>
      </c>
      <c r="AS256" t="s">
        <v>8</v>
      </c>
      <c r="AT256" s="1">
        <v>0</v>
      </c>
      <c r="AU256" s="1">
        <v>3.4255657714942003E-2</v>
      </c>
      <c r="AW256" t="s">
        <v>4</v>
      </c>
      <c r="AX256">
        <v>0</v>
      </c>
      <c r="AY256" t="s">
        <v>5</v>
      </c>
      <c r="AZ256">
        <v>254</v>
      </c>
      <c r="BA256" t="s">
        <v>6</v>
      </c>
      <c r="BB256" s="1">
        <v>0.39765620000000002</v>
      </c>
      <c r="BC256" t="s">
        <v>7</v>
      </c>
      <c r="BD256" s="1">
        <v>0.5</v>
      </c>
      <c r="BE256" t="s">
        <v>8</v>
      </c>
      <c r="BF256" s="1">
        <v>0</v>
      </c>
      <c r="BG256" s="1">
        <f t="shared" si="17"/>
        <v>0.79531240000000003</v>
      </c>
      <c r="BH256" s="1">
        <v>9.3490018306378708</v>
      </c>
      <c r="BJ256" t="s">
        <v>4</v>
      </c>
      <c r="BK256">
        <v>0</v>
      </c>
      <c r="BL256" t="s">
        <v>5</v>
      </c>
      <c r="BM256">
        <v>254</v>
      </c>
      <c r="BN256" t="s">
        <v>6</v>
      </c>
      <c r="BO256" s="1">
        <v>0.39765620000000002</v>
      </c>
      <c r="BP256" t="s">
        <v>7</v>
      </c>
      <c r="BQ256" s="1">
        <v>0.5</v>
      </c>
      <c r="BR256" t="s">
        <v>8</v>
      </c>
      <c r="BS256" s="1">
        <v>0</v>
      </c>
      <c r="BT256" s="1">
        <v>10.037609223698301</v>
      </c>
      <c r="BU256" s="1">
        <f t="shared" si="18"/>
        <v>0.79531240000000003</v>
      </c>
      <c r="BV256" s="1">
        <f t="shared" si="19"/>
        <v>10.037609223698301</v>
      </c>
      <c r="BX256" s="1">
        <v>254</v>
      </c>
      <c r="BY256" s="1">
        <v>14.7923308231455</v>
      </c>
      <c r="CA256" t="s">
        <v>4</v>
      </c>
      <c r="CB256">
        <v>0</v>
      </c>
      <c r="CC256" t="s">
        <v>5</v>
      </c>
      <c r="CD256">
        <v>254</v>
      </c>
      <c r="CE256" t="s">
        <v>6</v>
      </c>
      <c r="CF256" s="1">
        <v>0.39765620000000002</v>
      </c>
      <c r="CG256" t="s">
        <v>7</v>
      </c>
      <c r="CH256" s="1">
        <v>0.5</v>
      </c>
      <c r="CI256" t="s">
        <v>8</v>
      </c>
      <c r="CJ256" s="1">
        <v>0</v>
      </c>
      <c r="CK256" s="1">
        <v>11.6046838502286</v>
      </c>
    </row>
    <row r="257" spans="43:89">
      <c r="AQ257" t="s">
        <v>7</v>
      </c>
      <c r="AR257" s="1">
        <v>0.5</v>
      </c>
      <c r="AS257" t="s">
        <v>8</v>
      </c>
      <c r="AT257" s="1">
        <v>0</v>
      </c>
      <c r="AU257" s="1">
        <v>3.4242560224687302E-2</v>
      </c>
      <c r="AW257" t="s">
        <v>4</v>
      </c>
      <c r="AX257">
        <v>0</v>
      </c>
      <c r="AY257" t="s">
        <v>5</v>
      </c>
      <c r="AZ257">
        <v>255</v>
      </c>
      <c r="BA257" t="s">
        <v>6</v>
      </c>
      <c r="BB257" s="1">
        <v>0.39921879999999998</v>
      </c>
      <c r="BC257" t="s">
        <v>7</v>
      </c>
      <c r="BD257" s="1">
        <v>0.5</v>
      </c>
      <c r="BE257" t="s">
        <v>8</v>
      </c>
      <c r="BF257" s="1">
        <v>0</v>
      </c>
      <c r="BG257" s="1">
        <f t="shared" si="17"/>
        <v>0.79843759999999997</v>
      </c>
      <c r="BH257" s="1">
        <v>9.3052165835453593</v>
      </c>
      <c r="BJ257" t="s">
        <v>4</v>
      </c>
      <c r="BK257">
        <v>0</v>
      </c>
      <c r="BL257" t="s">
        <v>5</v>
      </c>
      <c r="BM257">
        <v>255</v>
      </c>
      <c r="BN257" t="s">
        <v>6</v>
      </c>
      <c r="BO257" s="1">
        <v>0.39921879999999998</v>
      </c>
      <c r="BP257" t="s">
        <v>7</v>
      </c>
      <c r="BQ257" s="1">
        <v>0.5</v>
      </c>
      <c r="BR257" t="s">
        <v>8</v>
      </c>
      <c r="BS257" s="1">
        <v>0</v>
      </c>
      <c r="BT257" s="1">
        <v>10.1082999842245</v>
      </c>
      <c r="BU257" s="1">
        <f t="shared" si="18"/>
        <v>0.79843759999999997</v>
      </c>
      <c r="BV257" s="1">
        <f t="shared" si="19"/>
        <v>10.1082999842245</v>
      </c>
      <c r="BX257" s="1">
        <v>255</v>
      </c>
      <c r="BY257" s="1">
        <v>14.6608064248259</v>
      </c>
      <c r="CA257" t="s">
        <v>4</v>
      </c>
      <c r="CB257">
        <v>0</v>
      </c>
      <c r="CC257" t="s">
        <v>5</v>
      </c>
      <c r="CD257">
        <v>255</v>
      </c>
      <c r="CE257" t="s">
        <v>6</v>
      </c>
      <c r="CF257" s="1">
        <v>0.39921879999999998</v>
      </c>
      <c r="CG257" t="s">
        <v>7</v>
      </c>
      <c r="CH257" s="1">
        <v>0.5</v>
      </c>
      <c r="CI257" t="s">
        <v>8</v>
      </c>
      <c r="CJ257" s="1">
        <v>0</v>
      </c>
      <c r="CK257" s="1">
        <v>11.5812909829024</v>
      </c>
    </row>
    <row r="258" spans="43:89">
      <c r="AQ258" t="s">
        <v>7</v>
      </c>
      <c r="AR258" s="1">
        <v>0.5</v>
      </c>
      <c r="AS258" t="s">
        <v>8</v>
      </c>
      <c r="AT258" s="1">
        <v>0</v>
      </c>
      <c r="AU258" s="1">
        <v>3.4229274977479997E-2</v>
      </c>
      <c r="AW258" t="s">
        <v>4</v>
      </c>
      <c r="AX258">
        <v>0</v>
      </c>
      <c r="AY258" t="s">
        <v>5</v>
      </c>
      <c r="AZ258">
        <v>256</v>
      </c>
      <c r="BA258" t="s">
        <v>6</v>
      </c>
      <c r="BB258" s="1">
        <v>0.4007812</v>
      </c>
      <c r="BC258" t="s">
        <v>7</v>
      </c>
      <c r="BD258" s="1">
        <v>0.5</v>
      </c>
      <c r="BE258" t="s">
        <v>8</v>
      </c>
      <c r="BF258" s="1">
        <v>0</v>
      </c>
      <c r="BG258" s="1">
        <f t="shared" si="17"/>
        <v>0.80156240000000001</v>
      </c>
      <c r="BH258" s="1">
        <v>9.2680418091812307</v>
      </c>
      <c r="BJ258" t="s">
        <v>4</v>
      </c>
      <c r="BK258">
        <v>0</v>
      </c>
      <c r="BL258" t="s">
        <v>5</v>
      </c>
      <c r="BM258">
        <v>256</v>
      </c>
      <c r="BN258" t="s">
        <v>6</v>
      </c>
      <c r="BO258" s="1">
        <v>0.4007812</v>
      </c>
      <c r="BP258" t="s">
        <v>7</v>
      </c>
      <c r="BQ258" s="1">
        <v>0.5</v>
      </c>
      <c r="BR258" t="s">
        <v>8</v>
      </c>
      <c r="BS258" s="1">
        <v>0</v>
      </c>
      <c r="BT258" s="1">
        <v>9.8557651789381602</v>
      </c>
      <c r="BU258" s="1">
        <f t="shared" si="18"/>
        <v>0.80156240000000001</v>
      </c>
      <c r="BV258" s="1">
        <f t="shared" si="19"/>
        <v>9.8557651789381602</v>
      </c>
      <c r="BX258" s="1">
        <v>256</v>
      </c>
      <c r="BY258" s="1">
        <v>14.5254565191306</v>
      </c>
      <c r="CA258" t="s">
        <v>4</v>
      </c>
      <c r="CB258">
        <v>0</v>
      </c>
      <c r="CC258" t="s">
        <v>5</v>
      </c>
      <c r="CD258">
        <v>256</v>
      </c>
      <c r="CE258" t="s">
        <v>6</v>
      </c>
      <c r="CF258" s="1">
        <v>0.4007812</v>
      </c>
      <c r="CG258" t="s">
        <v>7</v>
      </c>
      <c r="CH258" s="1">
        <v>0.5</v>
      </c>
      <c r="CI258" t="s">
        <v>8</v>
      </c>
      <c r="CJ258" s="1">
        <v>0</v>
      </c>
      <c r="CK258" s="1">
        <v>11.5573265039224</v>
      </c>
    </row>
    <row r="259" spans="43:89">
      <c r="AQ259" t="s">
        <v>7</v>
      </c>
      <c r="AR259" s="1">
        <v>0.5</v>
      </c>
      <c r="AS259" t="s">
        <v>8</v>
      </c>
      <c r="AT259" s="1">
        <v>0</v>
      </c>
      <c r="AU259" s="1">
        <v>3.4215775132023001E-2</v>
      </c>
      <c r="AW259" t="s">
        <v>4</v>
      </c>
      <c r="AX259">
        <v>0</v>
      </c>
      <c r="AY259" t="s">
        <v>5</v>
      </c>
      <c r="AZ259">
        <v>257</v>
      </c>
      <c r="BA259" t="s">
        <v>6</v>
      </c>
      <c r="BB259" s="1">
        <v>0.40234379999999997</v>
      </c>
      <c r="BC259" t="s">
        <v>7</v>
      </c>
      <c r="BD259" s="1">
        <v>0.5</v>
      </c>
      <c r="BE259" t="s">
        <v>8</v>
      </c>
      <c r="BF259" s="1">
        <v>0</v>
      </c>
      <c r="BG259" s="1">
        <f t="shared" ref="BG259:BG321" si="20">BB259/0.5</f>
        <v>0.80468759999999995</v>
      </c>
      <c r="BH259" s="1">
        <v>9.2377981709255206</v>
      </c>
      <c r="BJ259" t="s">
        <v>4</v>
      </c>
      <c r="BK259">
        <v>0</v>
      </c>
      <c r="BL259" t="s">
        <v>5</v>
      </c>
      <c r="BM259">
        <v>257</v>
      </c>
      <c r="BN259" t="s">
        <v>6</v>
      </c>
      <c r="BO259" s="1">
        <v>0.40234379999999997</v>
      </c>
      <c r="BP259" t="s">
        <v>7</v>
      </c>
      <c r="BQ259" s="1">
        <v>0.5</v>
      </c>
      <c r="BR259" t="s">
        <v>8</v>
      </c>
      <c r="BS259" s="1">
        <v>0</v>
      </c>
      <c r="BT259" s="1">
        <v>9.30132071898608</v>
      </c>
      <c r="BU259" s="1">
        <f t="shared" ref="BU259:BU321" si="21">BO259/0.5</f>
        <v>0.80468759999999995</v>
      </c>
      <c r="BV259" s="1">
        <f t="shared" ref="BV259:BV321" si="22">BT259</f>
        <v>9.30132071898608</v>
      </c>
      <c r="BX259" s="1">
        <v>257</v>
      </c>
      <c r="BY259" s="1">
        <v>14.386456495947</v>
      </c>
      <c r="CA259" t="s">
        <v>4</v>
      </c>
      <c r="CB259">
        <v>0</v>
      </c>
      <c r="CC259" t="s">
        <v>5</v>
      </c>
      <c r="CD259">
        <v>257</v>
      </c>
      <c r="CE259" t="s">
        <v>6</v>
      </c>
      <c r="CF259" s="1">
        <v>0.40234379999999997</v>
      </c>
      <c r="CG259" t="s">
        <v>7</v>
      </c>
      <c r="CH259" s="1">
        <v>0.5</v>
      </c>
      <c r="CI259" t="s">
        <v>8</v>
      </c>
      <c r="CJ259" s="1">
        <v>0</v>
      </c>
      <c r="CK259" s="1">
        <v>11.532855970939501</v>
      </c>
    </row>
    <row r="260" spans="43:89">
      <c r="AQ260" t="s">
        <v>7</v>
      </c>
      <c r="AR260" s="1">
        <v>0.5</v>
      </c>
      <c r="AS260" t="s">
        <v>8</v>
      </c>
      <c r="AT260" s="1">
        <v>0</v>
      </c>
      <c r="AU260" s="1">
        <v>3.4202030367036798E-2</v>
      </c>
      <c r="AW260" t="s">
        <v>4</v>
      </c>
      <c r="AX260">
        <v>0</v>
      </c>
      <c r="AY260" t="s">
        <v>5</v>
      </c>
      <c r="AZ260">
        <v>258</v>
      </c>
      <c r="BA260" t="s">
        <v>6</v>
      </c>
      <c r="BB260" s="1">
        <v>0.40390619999999999</v>
      </c>
      <c r="BC260" t="s">
        <v>7</v>
      </c>
      <c r="BD260" s="1">
        <v>0.5</v>
      </c>
      <c r="BE260" t="s">
        <v>8</v>
      </c>
      <c r="BF260" s="1">
        <v>0</v>
      </c>
      <c r="BG260" s="1">
        <f t="shared" si="20"/>
        <v>0.80781239999999999</v>
      </c>
      <c r="BH260" s="1">
        <v>9.2148056595328907</v>
      </c>
      <c r="BJ260" t="s">
        <v>4</v>
      </c>
      <c r="BK260">
        <v>0</v>
      </c>
      <c r="BL260" t="s">
        <v>5</v>
      </c>
      <c r="BM260">
        <v>258</v>
      </c>
      <c r="BN260" t="s">
        <v>6</v>
      </c>
      <c r="BO260" s="1">
        <v>0.40390619999999999</v>
      </c>
      <c r="BP260" t="s">
        <v>7</v>
      </c>
      <c r="BQ260" s="1">
        <v>0.5</v>
      </c>
      <c r="BR260" t="s">
        <v>8</v>
      </c>
      <c r="BS260" s="1">
        <v>0</v>
      </c>
      <c r="BT260" s="1">
        <v>8.7937254808474705</v>
      </c>
      <c r="BU260" s="1">
        <f t="shared" si="21"/>
        <v>0.80781239999999999</v>
      </c>
      <c r="BV260" s="1">
        <f t="shared" si="22"/>
        <v>8.7937254808474705</v>
      </c>
      <c r="BX260" s="1">
        <v>258</v>
      </c>
      <c r="BY260" s="1">
        <v>14.2436304892138</v>
      </c>
      <c r="CA260" t="s">
        <v>4</v>
      </c>
      <c r="CB260">
        <v>0</v>
      </c>
      <c r="CC260" t="s">
        <v>5</v>
      </c>
      <c r="CD260">
        <v>258</v>
      </c>
      <c r="CE260" t="s">
        <v>6</v>
      </c>
      <c r="CF260" s="1">
        <v>0.40390619999999999</v>
      </c>
      <c r="CG260" t="s">
        <v>7</v>
      </c>
      <c r="CH260" s="1">
        <v>0.5</v>
      </c>
      <c r="CI260" t="s">
        <v>8</v>
      </c>
      <c r="CJ260" s="1">
        <v>0</v>
      </c>
      <c r="CK260" s="1">
        <v>11.5080331010991</v>
      </c>
    </row>
    <row r="261" spans="43:89">
      <c r="AQ261" t="s">
        <v>7</v>
      </c>
      <c r="AR261" s="1">
        <v>0.5</v>
      </c>
      <c r="AS261" t="s">
        <v>8</v>
      </c>
      <c r="AT261" s="1">
        <v>0</v>
      </c>
      <c r="AU261" s="1">
        <v>3.4188006551867198E-2</v>
      </c>
      <c r="AW261" t="s">
        <v>4</v>
      </c>
      <c r="AX261">
        <v>0</v>
      </c>
      <c r="AY261" t="s">
        <v>5</v>
      </c>
      <c r="AZ261">
        <v>259</v>
      </c>
      <c r="BA261" t="s">
        <v>6</v>
      </c>
      <c r="BB261" s="1">
        <v>0.40546870000000002</v>
      </c>
      <c r="BC261" t="s">
        <v>7</v>
      </c>
      <c r="BD261" s="1">
        <v>0.5</v>
      </c>
      <c r="BE261" t="s">
        <v>8</v>
      </c>
      <c r="BF261" s="1">
        <v>0</v>
      </c>
      <c r="BG261" s="1">
        <f t="shared" si="20"/>
        <v>0.81093740000000003</v>
      </c>
      <c r="BH261" s="1">
        <v>9.1991795721460807</v>
      </c>
      <c r="BJ261" t="s">
        <v>4</v>
      </c>
      <c r="BK261">
        <v>0</v>
      </c>
      <c r="BL261" t="s">
        <v>5</v>
      </c>
      <c r="BM261">
        <v>259</v>
      </c>
      <c r="BN261" t="s">
        <v>6</v>
      </c>
      <c r="BO261" s="1">
        <v>0.40546870000000002</v>
      </c>
      <c r="BP261" t="s">
        <v>7</v>
      </c>
      <c r="BQ261" s="1">
        <v>0.5</v>
      </c>
      <c r="BR261" t="s">
        <v>8</v>
      </c>
      <c r="BS261" s="1">
        <v>0</v>
      </c>
      <c r="BT261" s="1">
        <v>8.3291684767272702</v>
      </c>
      <c r="BU261" s="1">
        <f t="shared" si="21"/>
        <v>0.81093740000000003</v>
      </c>
      <c r="BV261" s="1">
        <f t="shared" si="22"/>
        <v>8.3291684767272702</v>
      </c>
      <c r="BX261" s="1">
        <v>259</v>
      </c>
      <c r="BY261" s="1">
        <v>14.097039367523999</v>
      </c>
      <c r="CA261" t="s">
        <v>4</v>
      </c>
      <c r="CB261">
        <v>0</v>
      </c>
      <c r="CC261" t="s">
        <v>5</v>
      </c>
      <c r="CD261">
        <v>259</v>
      </c>
      <c r="CE261" t="s">
        <v>6</v>
      </c>
      <c r="CF261" s="1">
        <v>0.40546870000000002</v>
      </c>
      <c r="CG261" t="s">
        <v>7</v>
      </c>
      <c r="CH261" s="1">
        <v>0.5</v>
      </c>
      <c r="CI261" t="s">
        <v>8</v>
      </c>
      <c r="CJ261" s="1">
        <v>0</v>
      </c>
      <c r="CK261" s="1">
        <v>11.4829140834527</v>
      </c>
    </row>
    <row r="262" spans="43:89">
      <c r="AQ262" t="s">
        <v>7</v>
      </c>
      <c r="AR262" s="1">
        <v>0.5</v>
      </c>
      <c r="AS262" t="s">
        <v>8</v>
      </c>
      <c r="AT262" s="1">
        <v>0</v>
      </c>
      <c r="AU262" s="1">
        <v>3.4173432417029401E-2</v>
      </c>
      <c r="AW262" t="s">
        <v>4</v>
      </c>
      <c r="AX262">
        <v>0</v>
      </c>
      <c r="AY262" t="s">
        <v>5</v>
      </c>
      <c r="AZ262">
        <v>260</v>
      </c>
      <c r="BA262" t="s">
        <v>6</v>
      </c>
      <c r="BB262" s="1">
        <v>0.40703129999999998</v>
      </c>
      <c r="BC262" t="s">
        <v>7</v>
      </c>
      <c r="BD262" s="1">
        <v>0.5</v>
      </c>
      <c r="BE262" t="s">
        <v>8</v>
      </c>
      <c r="BF262" s="1">
        <v>0</v>
      </c>
      <c r="BG262" s="1">
        <f t="shared" si="20"/>
        <v>0.81406259999999997</v>
      </c>
      <c r="BH262" s="1">
        <v>9.5497281317336107</v>
      </c>
      <c r="BJ262" t="s">
        <v>4</v>
      </c>
      <c r="BK262">
        <v>0</v>
      </c>
      <c r="BL262" t="s">
        <v>5</v>
      </c>
      <c r="BM262">
        <v>260</v>
      </c>
      <c r="BN262" t="s">
        <v>6</v>
      </c>
      <c r="BO262" s="1">
        <v>0.40703129999999998</v>
      </c>
      <c r="BP262" t="s">
        <v>7</v>
      </c>
      <c r="BQ262" s="1">
        <v>0.5</v>
      </c>
      <c r="BR262" t="s">
        <v>8</v>
      </c>
      <c r="BS262" s="1">
        <v>0</v>
      </c>
      <c r="BT262" s="1">
        <v>8.5654286973191596</v>
      </c>
      <c r="BU262" s="1">
        <f t="shared" si="21"/>
        <v>0.81406259999999997</v>
      </c>
      <c r="BV262" s="1">
        <f t="shared" si="22"/>
        <v>8.5654286973191596</v>
      </c>
      <c r="BX262" s="1">
        <v>260</v>
      </c>
      <c r="BY262" s="1">
        <v>13.858952363015201</v>
      </c>
      <c r="CA262" t="s">
        <v>4</v>
      </c>
      <c r="CB262">
        <v>0</v>
      </c>
      <c r="CC262" t="s">
        <v>5</v>
      </c>
      <c r="CD262">
        <v>260</v>
      </c>
      <c r="CE262" t="s">
        <v>6</v>
      </c>
      <c r="CF262" s="1">
        <v>0.40703129999999998</v>
      </c>
      <c r="CG262" t="s">
        <v>7</v>
      </c>
      <c r="CH262" s="1">
        <v>0.5</v>
      </c>
      <c r="CI262" t="s">
        <v>8</v>
      </c>
      <c r="CJ262" s="1">
        <v>0</v>
      </c>
      <c r="CK262" s="1">
        <v>11.1827848598634</v>
      </c>
    </row>
    <row r="263" spans="43:89">
      <c r="AQ263" t="s">
        <v>7</v>
      </c>
      <c r="AR263" s="1">
        <v>0.5</v>
      </c>
      <c r="AS263" t="s">
        <v>8</v>
      </c>
      <c r="AT263" s="1">
        <v>0</v>
      </c>
      <c r="AU263" s="1">
        <v>3.4163345243678103E-2</v>
      </c>
      <c r="AW263" t="s">
        <v>4</v>
      </c>
      <c r="AX263">
        <v>0</v>
      </c>
      <c r="AY263" t="s">
        <v>5</v>
      </c>
      <c r="AZ263">
        <v>261</v>
      </c>
      <c r="BA263" t="s">
        <v>6</v>
      </c>
      <c r="BB263" s="1">
        <v>0.4085937</v>
      </c>
      <c r="BC263" t="s">
        <v>7</v>
      </c>
      <c r="BD263" s="1">
        <v>0.5</v>
      </c>
      <c r="BE263" t="s">
        <v>8</v>
      </c>
      <c r="BF263" s="1">
        <v>0</v>
      </c>
      <c r="BG263" s="1">
        <f t="shared" si="20"/>
        <v>0.81718740000000001</v>
      </c>
      <c r="BH263" s="1">
        <v>10.184095452738701</v>
      </c>
      <c r="BJ263" t="s">
        <v>4</v>
      </c>
      <c r="BK263">
        <v>0</v>
      </c>
      <c r="BL263" t="s">
        <v>5</v>
      </c>
      <c r="BM263">
        <v>261</v>
      </c>
      <c r="BN263" t="s">
        <v>6</v>
      </c>
      <c r="BO263" s="1">
        <v>0.4085937</v>
      </c>
      <c r="BP263" t="s">
        <v>7</v>
      </c>
      <c r="BQ263" s="1">
        <v>0.5</v>
      </c>
      <c r="BR263" t="s">
        <v>8</v>
      </c>
      <c r="BS263" s="1">
        <v>0</v>
      </c>
      <c r="BT263" s="1">
        <v>9.3867486443308596</v>
      </c>
      <c r="BU263" s="1">
        <f t="shared" si="21"/>
        <v>0.81718740000000001</v>
      </c>
      <c r="BV263" s="1">
        <f t="shared" si="22"/>
        <v>9.3867486443308596</v>
      </c>
      <c r="BX263" s="1">
        <v>261</v>
      </c>
      <c r="BY263" s="1">
        <v>13.814441679013401</v>
      </c>
      <c r="CA263" t="s">
        <v>4</v>
      </c>
      <c r="CB263">
        <v>0</v>
      </c>
      <c r="CC263" t="s">
        <v>5</v>
      </c>
      <c r="CD263">
        <v>261</v>
      </c>
      <c r="CE263" t="s">
        <v>6</v>
      </c>
      <c r="CF263" s="1">
        <v>0.4085937</v>
      </c>
      <c r="CG263" t="s">
        <v>7</v>
      </c>
      <c r="CH263" s="1">
        <v>0.5</v>
      </c>
      <c r="CI263" t="s">
        <v>8</v>
      </c>
      <c r="CJ263" s="1">
        <v>0</v>
      </c>
      <c r="CK263" s="1">
        <v>11.171751780374301</v>
      </c>
    </row>
    <row r="264" spans="43:89">
      <c r="AQ264" t="s">
        <v>7</v>
      </c>
      <c r="AR264" s="1">
        <v>0.5</v>
      </c>
      <c r="AS264" t="s">
        <v>8</v>
      </c>
      <c r="AT264" s="1">
        <v>0</v>
      </c>
      <c r="AU264" s="1">
        <v>3.4149483737082598E-2</v>
      </c>
      <c r="AW264" t="s">
        <v>4</v>
      </c>
      <c r="AX264">
        <v>0</v>
      </c>
      <c r="AY264" t="s">
        <v>5</v>
      </c>
      <c r="AZ264">
        <v>262</v>
      </c>
      <c r="BA264" t="s">
        <v>6</v>
      </c>
      <c r="BB264" s="1">
        <v>0.41015620000000003</v>
      </c>
      <c r="BC264" t="s">
        <v>7</v>
      </c>
      <c r="BD264" s="1">
        <v>0.5</v>
      </c>
      <c r="BE264" t="s">
        <v>8</v>
      </c>
      <c r="BF264" s="1">
        <v>0</v>
      </c>
      <c r="BG264" s="1">
        <f t="shared" si="20"/>
        <v>0.82031240000000005</v>
      </c>
      <c r="BH264" s="1">
        <v>10.7082104192359</v>
      </c>
      <c r="BJ264" t="s">
        <v>4</v>
      </c>
      <c r="BK264">
        <v>0</v>
      </c>
      <c r="BL264" t="s">
        <v>5</v>
      </c>
      <c r="BM264">
        <v>262</v>
      </c>
      <c r="BN264" t="s">
        <v>6</v>
      </c>
      <c r="BO264" s="1">
        <v>0.41015620000000003</v>
      </c>
      <c r="BP264" t="s">
        <v>7</v>
      </c>
      <c r="BQ264" s="1">
        <v>0.5</v>
      </c>
      <c r="BR264" t="s">
        <v>8</v>
      </c>
      <c r="BS264" s="1">
        <v>0</v>
      </c>
      <c r="BT264" s="1">
        <v>10.082303271782701</v>
      </c>
      <c r="BU264" s="1">
        <f t="shared" si="21"/>
        <v>0.82031240000000005</v>
      </c>
      <c r="BV264" s="1">
        <f t="shared" si="22"/>
        <v>10.082303271782701</v>
      </c>
      <c r="BX264" s="1">
        <v>262</v>
      </c>
      <c r="BY264" s="1">
        <v>13.7759831687006</v>
      </c>
      <c r="CA264" t="s">
        <v>4</v>
      </c>
      <c r="CB264">
        <v>0</v>
      </c>
      <c r="CC264" t="s">
        <v>5</v>
      </c>
      <c r="CD264">
        <v>262</v>
      </c>
      <c r="CE264" t="s">
        <v>6</v>
      </c>
      <c r="CF264" s="1">
        <v>0.41015620000000003</v>
      </c>
      <c r="CG264" t="s">
        <v>7</v>
      </c>
      <c r="CH264" s="1">
        <v>0.5</v>
      </c>
      <c r="CI264" t="s">
        <v>8</v>
      </c>
      <c r="CJ264" s="1">
        <v>0</v>
      </c>
      <c r="CK264" s="1">
        <v>11.159831781439401</v>
      </c>
    </row>
    <row r="265" spans="43:89">
      <c r="AQ265" t="s">
        <v>7</v>
      </c>
      <c r="AR265" s="1">
        <v>0.5</v>
      </c>
      <c r="AS265" t="s">
        <v>8</v>
      </c>
      <c r="AT265" s="1">
        <v>0</v>
      </c>
      <c r="AU265" s="1">
        <v>3.4138594264219897E-2</v>
      </c>
      <c r="AW265" t="s">
        <v>4</v>
      </c>
      <c r="AX265">
        <v>0</v>
      </c>
      <c r="AY265" t="s">
        <v>5</v>
      </c>
      <c r="AZ265">
        <v>263</v>
      </c>
      <c r="BA265" t="s">
        <v>6</v>
      </c>
      <c r="BB265" s="1">
        <v>0.4117188</v>
      </c>
      <c r="BC265" t="s">
        <v>7</v>
      </c>
      <c r="BD265" s="1">
        <v>0.5</v>
      </c>
      <c r="BE265" t="s">
        <v>8</v>
      </c>
      <c r="BF265" s="1">
        <v>0</v>
      </c>
      <c r="BG265" s="1">
        <f t="shared" si="20"/>
        <v>0.82343759999999999</v>
      </c>
      <c r="BH265" s="1">
        <v>11.1196177100603</v>
      </c>
      <c r="BJ265" t="s">
        <v>4</v>
      </c>
      <c r="BK265">
        <v>0</v>
      </c>
      <c r="BL265" t="s">
        <v>5</v>
      </c>
      <c r="BM265">
        <v>263</v>
      </c>
      <c r="BN265" t="s">
        <v>6</v>
      </c>
      <c r="BO265" s="1">
        <v>0.4117188</v>
      </c>
      <c r="BP265" t="s">
        <v>7</v>
      </c>
      <c r="BQ265" s="1">
        <v>0.5</v>
      </c>
      <c r="BR265" t="s">
        <v>8</v>
      </c>
      <c r="BS265" s="1">
        <v>0</v>
      </c>
      <c r="BT265" s="1">
        <v>10.6497600990396</v>
      </c>
      <c r="BU265" s="1">
        <f t="shared" si="21"/>
        <v>0.82343759999999999</v>
      </c>
      <c r="BV265" s="1">
        <f t="shared" si="22"/>
        <v>10.6497600990396</v>
      </c>
      <c r="BX265" s="1">
        <v>263</v>
      </c>
      <c r="BY265" s="1">
        <v>13.743007818986801</v>
      </c>
      <c r="CA265" t="s">
        <v>4</v>
      </c>
      <c r="CB265">
        <v>0</v>
      </c>
      <c r="CC265" t="s">
        <v>5</v>
      </c>
      <c r="CD265">
        <v>263</v>
      </c>
      <c r="CE265" t="s">
        <v>6</v>
      </c>
      <c r="CF265" s="1">
        <v>0.4117188</v>
      </c>
      <c r="CG265" t="s">
        <v>7</v>
      </c>
      <c r="CH265" s="1">
        <v>0.5</v>
      </c>
      <c r="CI265" t="s">
        <v>8</v>
      </c>
      <c r="CJ265" s="1">
        <v>0</v>
      </c>
      <c r="CK265" s="1">
        <v>11.146984307501</v>
      </c>
    </row>
    <row r="266" spans="43:89">
      <c r="AQ266" t="s">
        <v>7</v>
      </c>
      <c r="AR266" s="1">
        <v>0.5</v>
      </c>
      <c r="AS266" t="s">
        <v>8</v>
      </c>
      <c r="AT266" s="1">
        <v>0</v>
      </c>
      <c r="AU266" s="1">
        <v>3.41252031074918E-2</v>
      </c>
      <c r="AW266" t="s">
        <v>4</v>
      </c>
      <c r="AX266">
        <v>0</v>
      </c>
      <c r="AY266" t="s">
        <v>5</v>
      </c>
      <c r="AZ266">
        <v>264</v>
      </c>
      <c r="BA266" t="s">
        <v>6</v>
      </c>
      <c r="BB266" s="1">
        <v>0.41328130000000002</v>
      </c>
      <c r="BC266" t="s">
        <v>7</v>
      </c>
      <c r="BD266" s="1">
        <v>0.5</v>
      </c>
      <c r="BE266" t="s">
        <v>8</v>
      </c>
      <c r="BF266" s="1">
        <v>0</v>
      </c>
      <c r="BG266" s="1">
        <f t="shared" si="20"/>
        <v>0.82656260000000004</v>
      </c>
      <c r="BH266" s="1">
        <v>11.4160475201371</v>
      </c>
      <c r="BJ266" t="s">
        <v>4</v>
      </c>
      <c r="BK266">
        <v>0</v>
      </c>
      <c r="BL266" t="s">
        <v>5</v>
      </c>
      <c r="BM266">
        <v>264</v>
      </c>
      <c r="BN266" t="s">
        <v>6</v>
      </c>
      <c r="BO266" s="1">
        <v>0.41328130000000002</v>
      </c>
      <c r="BP266" t="s">
        <v>7</v>
      </c>
      <c r="BQ266" s="1">
        <v>0.5</v>
      </c>
      <c r="BR266" t="s">
        <v>8</v>
      </c>
      <c r="BS266" s="1">
        <v>0</v>
      </c>
      <c r="BT266" s="1">
        <v>11.086856367083399</v>
      </c>
      <c r="BU266" s="1">
        <f t="shared" si="21"/>
        <v>0.82656260000000004</v>
      </c>
      <c r="BV266" s="1">
        <f t="shared" si="22"/>
        <v>11.086856367083399</v>
      </c>
      <c r="BX266" s="1">
        <v>264</v>
      </c>
      <c r="BY266" s="1">
        <v>13.715176698933501</v>
      </c>
      <c r="CA266" t="s">
        <v>4</v>
      </c>
      <c r="CB266">
        <v>0</v>
      </c>
      <c r="CC266" t="s">
        <v>5</v>
      </c>
      <c r="CD266">
        <v>264</v>
      </c>
      <c r="CE266" t="s">
        <v>6</v>
      </c>
      <c r="CF266" s="1">
        <v>0.41328130000000002</v>
      </c>
      <c r="CG266" t="s">
        <v>7</v>
      </c>
      <c r="CH266" s="1">
        <v>0.5</v>
      </c>
      <c r="CI266" t="s">
        <v>8</v>
      </c>
      <c r="CJ266" s="1">
        <v>0</v>
      </c>
      <c r="CK266" s="1">
        <v>11.1332835840062</v>
      </c>
    </row>
    <row r="267" spans="43:89">
      <c r="AQ267" t="s">
        <v>7</v>
      </c>
      <c r="AR267" s="1">
        <v>0.5</v>
      </c>
      <c r="AS267" t="s">
        <v>8</v>
      </c>
      <c r="AT267" s="1">
        <v>0</v>
      </c>
      <c r="AU267" s="1">
        <v>3.4116016994064302E-2</v>
      </c>
      <c r="AW267" t="s">
        <v>4</v>
      </c>
      <c r="AX267">
        <v>0</v>
      </c>
      <c r="AY267" t="s">
        <v>5</v>
      </c>
      <c r="AZ267">
        <v>265</v>
      </c>
      <c r="BA267" t="s">
        <v>6</v>
      </c>
      <c r="BB267" s="1">
        <v>0.41484379999999998</v>
      </c>
      <c r="BC267" t="s">
        <v>7</v>
      </c>
      <c r="BD267" s="1">
        <v>0.5</v>
      </c>
      <c r="BE267" t="s">
        <v>8</v>
      </c>
      <c r="BF267" s="1">
        <v>0</v>
      </c>
      <c r="BG267" s="1">
        <f t="shared" si="20"/>
        <v>0.82968759999999997</v>
      </c>
      <c r="BH267" s="1">
        <v>11.5953174033625</v>
      </c>
      <c r="BJ267" t="s">
        <v>4</v>
      </c>
      <c r="BK267">
        <v>0</v>
      </c>
      <c r="BL267" t="s">
        <v>5</v>
      </c>
      <c r="BM267">
        <v>265</v>
      </c>
      <c r="BN267" t="s">
        <v>6</v>
      </c>
      <c r="BO267" s="1">
        <v>0.41484379999999998</v>
      </c>
      <c r="BP267" t="s">
        <v>7</v>
      </c>
      <c r="BQ267" s="1">
        <v>0.5</v>
      </c>
      <c r="BR267" t="s">
        <v>8</v>
      </c>
      <c r="BS267" s="1">
        <v>0</v>
      </c>
      <c r="BT267" s="1">
        <v>11.391275594126199</v>
      </c>
      <c r="BU267" s="1">
        <f t="shared" si="21"/>
        <v>0.82968759999999997</v>
      </c>
      <c r="BV267" s="1">
        <f t="shared" si="22"/>
        <v>11.391275594126199</v>
      </c>
      <c r="BX267" s="1">
        <v>265</v>
      </c>
      <c r="BY267" s="1">
        <v>13.6925459074776</v>
      </c>
      <c r="CA267" t="s">
        <v>4</v>
      </c>
      <c r="CB267">
        <v>0</v>
      </c>
      <c r="CC267" t="s">
        <v>5</v>
      </c>
      <c r="CD267">
        <v>265</v>
      </c>
      <c r="CE267" t="s">
        <v>6</v>
      </c>
      <c r="CF267" s="1">
        <v>0.41484379999999998</v>
      </c>
      <c r="CG267" t="s">
        <v>7</v>
      </c>
      <c r="CH267" s="1">
        <v>0.5</v>
      </c>
      <c r="CI267" t="s">
        <v>8</v>
      </c>
      <c r="CJ267" s="1">
        <v>0</v>
      </c>
      <c r="CK267" s="1">
        <v>11.118775172907201</v>
      </c>
    </row>
    <row r="268" spans="43:89">
      <c r="AQ268" t="s">
        <v>7</v>
      </c>
      <c r="AR268" s="1">
        <v>0.5</v>
      </c>
      <c r="AS268" t="s">
        <v>8</v>
      </c>
      <c r="AT268" s="1">
        <v>0</v>
      </c>
      <c r="AU268" s="1">
        <v>3.4105490643370102E-2</v>
      </c>
      <c r="AW268" t="s">
        <v>4</v>
      </c>
      <c r="AX268">
        <v>0</v>
      </c>
      <c r="AY268" t="s">
        <v>5</v>
      </c>
      <c r="AZ268">
        <v>266</v>
      </c>
      <c r="BA268" t="s">
        <v>6</v>
      </c>
      <c r="BB268" s="1">
        <v>0.4164062</v>
      </c>
      <c r="BC268" t="s">
        <v>7</v>
      </c>
      <c r="BD268" s="1">
        <v>0.5</v>
      </c>
      <c r="BE268" t="s">
        <v>8</v>
      </c>
      <c r="BF268" s="1">
        <v>0</v>
      </c>
      <c r="BG268" s="1">
        <f t="shared" si="20"/>
        <v>0.83281240000000001</v>
      </c>
      <c r="BH268" s="1">
        <v>11.6550654147121</v>
      </c>
      <c r="BJ268" t="s">
        <v>4</v>
      </c>
      <c r="BK268">
        <v>0</v>
      </c>
      <c r="BL268" t="s">
        <v>5</v>
      </c>
      <c r="BM268">
        <v>266</v>
      </c>
      <c r="BN268" t="s">
        <v>6</v>
      </c>
      <c r="BO268" s="1">
        <v>0.4164062</v>
      </c>
      <c r="BP268" t="s">
        <v>7</v>
      </c>
      <c r="BQ268" s="1">
        <v>0.5</v>
      </c>
      <c r="BR268" t="s">
        <v>8</v>
      </c>
      <c r="BS268" s="1">
        <v>0</v>
      </c>
      <c r="BT268" s="1">
        <v>11.560965206807801</v>
      </c>
      <c r="BU268" s="1">
        <f t="shared" si="21"/>
        <v>0.83281240000000001</v>
      </c>
      <c r="BV268" s="1">
        <f t="shared" si="22"/>
        <v>11.560965206807801</v>
      </c>
      <c r="BX268" s="1">
        <v>266</v>
      </c>
      <c r="BY268" s="1">
        <v>13.6745780962962</v>
      </c>
      <c r="CA268" t="s">
        <v>4</v>
      </c>
      <c r="CB268">
        <v>0</v>
      </c>
      <c r="CC268" t="s">
        <v>5</v>
      </c>
      <c r="CD268">
        <v>266</v>
      </c>
      <c r="CE268" t="s">
        <v>6</v>
      </c>
      <c r="CF268" s="1">
        <v>0.4164062</v>
      </c>
      <c r="CG268" t="s">
        <v>7</v>
      </c>
      <c r="CH268" s="1">
        <v>0.5</v>
      </c>
      <c r="CI268" t="s">
        <v>8</v>
      </c>
      <c r="CJ268" s="1">
        <v>0</v>
      </c>
      <c r="CK268" s="1">
        <v>11.103519337179399</v>
      </c>
    </row>
    <row r="269" spans="43:89">
      <c r="AQ269" t="s">
        <v>7</v>
      </c>
      <c r="AR269" s="1">
        <v>0.5</v>
      </c>
      <c r="AS269" t="s">
        <v>8</v>
      </c>
      <c r="AT269" s="1">
        <v>0</v>
      </c>
      <c r="AU269" s="1">
        <v>3.4104084189409301E-2</v>
      </c>
      <c r="AW269" t="s">
        <v>4</v>
      </c>
      <c r="AX269">
        <v>0</v>
      </c>
      <c r="AY269" t="s">
        <v>5</v>
      </c>
      <c r="AZ269">
        <v>267</v>
      </c>
      <c r="BA269" t="s">
        <v>6</v>
      </c>
      <c r="BB269" s="1">
        <v>0.41796879999999997</v>
      </c>
      <c r="BC269" t="s">
        <v>7</v>
      </c>
      <c r="BD269" s="1">
        <v>0.5</v>
      </c>
      <c r="BE269" t="s">
        <v>8</v>
      </c>
      <c r="BF269" s="1">
        <v>0</v>
      </c>
      <c r="BG269" s="1">
        <f t="shared" si="20"/>
        <v>0.83593759999999995</v>
      </c>
      <c r="BH269" s="1">
        <v>11.5930979190899</v>
      </c>
      <c r="BJ269" t="s">
        <v>4</v>
      </c>
      <c r="BK269">
        <v>0</v>
      </c>
      <c r="BL269" t="s">
        <v>5</v>
      </c>
      <c r="BM269">
        <v>267</v>
      </c>
      <c r="BN269" t="s">
        <v>6</v>
      </c>
      <c r="BO269" s="1">
        <v>0.41796879999999997</v>
      </c>
      <c r="BP269" t="s">
        <v>7</v>
      </c>
      <c r="BQ269" s="1">
        <v>0.5</v>
      </c>
      <c r="BR269" t="s">
        <v>8</v>
      </c>
      <c r="BS269" s="1">
        <v>0</v>
      </c>
      <c r="BT269" s="1">
        <v>11.593697229913801</v>
      </c>
      <c r="BU269" s="1">
        <f t="shared" si="21"/>
        <v>0.83593759999999995</v>
      </c>
      <c r="BV269" s="1">
        <f t="shared" si="22"/>
        <v>11.593697229913801</v>
      </c>
      <c r="BX269" s="1">
        <v>267</v>
      </c>
      <c r="BY269" s="1">
        <v>13.6615434044766</v>
      </c>
      <c r="CA269" t="s">
        <v>4</v>
      </c>
      <c r="CB269">
        <v>0</v>
      </c>
      <c r="CC269" t="s">
        <v>5</v>
      </c>
      <c r="CD269">
        <v>267</v>
      </c>
      <c r="CE269" t="s">
        <v>6</v>
      </c>
      <c r="CF269" s="1">
        <v>0.41796879999999997</v>
      </c>
      <c r="CG269" t="s">
        <v>7</v>
      </c>
      <c r="CH269" s="1">
        <v>0.5</v>
      </c>
      <c r="CI269" t="s">
        <v>8</v>
      </c>
      <c r="CJ269" s="1">
        <v>0</v>
      </c>
      <c r="CK269" s="1">
        <v>11.0876667001921</v>
      </c>
    </row>
    <row r="270" spans="43:89">
      <c r="AQ270" t="s">
        <v>7</v>
      </c>
      <c r="AR270" s="1">
        <v>0.5</v>
      </c>
      <c r="AS270" t="s">
        <v>8</v>
      </c>
      <c r="AT270" s="1">
        <v>0</v>
      </c>
      <c r="AU270" s="1">
        <v>3.4097535034864797E-2</v>
      </c>
      <c r="AW270" t="s">
        <v>4</v>
      </c>
      <c r="AX270">
        <v>0</v>
      </c>
      <c r="AY270" t="s">
        <v>5</v>
      </c>
      <c r="AZ270">
        <v>268</v>
      </c>
      <c r="BA270" t="s">
        <v>6</v>
      </c>
      <c r="BB270" s="1">
        <v>0.4195313</v>
      </c>
      <c r="BC270" t="s">
        <v>7</v>
      </c>
      <c r="BD270" s="1">
        <v>0.5</v>
      </c>
      <c r="BE270" t="s">
        <v>8</v>
      </c>
      <c r="BF270" s="1">
        <v>0</v>
      </c>
      <c r="BG270" s="1">
        <f t="shared" si="20"/>
        <v>0.83906259999999999</v>
      </c>
      <c r="BH270" s="1">
        <v>11.4071480319906</v>
      </c>
      <c r="BJ270" t="s">
        <v>4</v>
      </c>
      <c r="BK270">
        <v>0</v>
      </c>
      <c r="BL270" t="s">
        <v>5</v>
      </c>
      <c r="BM270">
        <v>268</v>
      </c>
      <c r="BN270" t="s">
        <v>6</v>
      </c>
      <c r="BO270" s="1">
        <v>0.4195313</v>
      </c>
      <c r="BP270" t="s">
        <v>7</v>
      </c>
      <c r="BQ270" s="1">
        <v>0.5</v>
      </c>
      <c r="BR270" t="s">
        <v>8</v>
      </c>
      <c r="BS270" s="1">
        <v>0</v>
      </c>
      <c r="BT270" s="1">
        <v>11.487452457455699</v>
      </c>
      <c r="BU270" s="1">
        <f t="shared" si="21"/>
        <v>0.83906259999999999</v>
      </c>
      <c r="BV270" s="1">
        <f t="shared" si="22"/>
        <v>11.487452457455699</v>
      </c>
      <c r="BX270" s="1">
        <v>268</v>
      </c>
      <c r="BY270" s="1">
        <v>13.6535308050558</v>
      </c>
      <c r="CA270" t="s">
        <v>4</v>
      </c>
      <c r="CB270">
        <v>0</v>
      </c>
      <c r="CC270" t="s">
        <v>5</v>
      </c>
      <c r="CD270">
        <v>268</v>
      </c>
      <c r="CE270" t="s">
        <v>6</v>
      </c>
      <c r="CF270" s="1">
        <v>0.4195313</v>
      </c>
      <c r="CG270" t="s">
        <v>7</v>
      </c>
      <c r="CH270" s="1">
        <v>0.5</v>
      </c>
      <c r="CI270" t="s">
        <v>8</v>
      </c>
      <c r="CJ270" s="1">
        <v>0</v>
      </c>
      <c r="CK270" s="1">
        <v>11.0713131451266</v>
      </c>
    </row>
    <row r="271" spans="43:89">
      <c r="AQ271" t="s">
        <v>7</v>
      </c>
      <c r="AR271" s="1">
        <v>0.5</v>
      </c>
      <c r="AS271" t="s">
        <v>8</v>
      </c>
      <c r="AT271" s="1">
        <v>0</v>
      </c>
      <c r="AU271" s="1">
        <v>3.4091751300574902E-2</v>
      </c>
      <c r="AW271" t="s">
        <v>4</v>
      </c>
      <c r="AX271">
        <v>0</v>
      </c>
      <c r="AY271" t="s">
        <v>5</v>
      </c>
      <c r="AZ271">
        <v>269</v>
      </c>
      <c r="BA271" t="s">
        <v>6</v>
      </c>
      <c r="BB271" s="1">
        <v>0.42109370000000002</v>
      </c>
      <c r="BC271" t="s">
        <v>7</v>
      </c>
      <c r="BD271" s="1">
        <v>0.5</v>
      </c>
      <c r="BE271" t="s">
        <v>8</v>
      </c>
      <c r="BF271" s="1">
        <v>0</v>
      </c>
      <c r="BG271" s="1">
        <f t="shared" si="20"/>
        <v>0.84218740000000003</v>
      </c>
      <c r="BH271" s="1">
        <v>11.094965863757899</v>
      </c>
      <c r="BJ271" t="s">
        <v>4</v>
      </c>
      <c r="BK271">
        <v>0</v>
      </c>
      <c r="BL271" t="s">
        <v>5</v>
      </c>
      <c r="BM271">
        <v>269</v>
      </c>
      <c r="BN271" t="s">
        <v>6</v>
      </c>
      <c r="BO271" s="1">
        <v>0.42109370000000002</v>
      </c>
      <c r="BP271" t="s">
        <v>7</v>
      </c>
      <c r="BQ271" s="1">
        <v>0.5</v>
      </c>
      <c r="BR271" t="s">
        <v>8</v>
      </c>
      <c r="BS271" s="1">
        <v>0</v>
      </c>
      <c r="BT271" s="1">
        <v>11.240173837455201</v>
      </c>
      <c r="BU271" s="1">
        <f t="shared" si="21"/>
        <v>0.84218740000000003</v>
      </c>
      <c r="BV271" s="1">
        <f t="shared" si="22"/>
        <v>11.240173837455201</v>
      </c>
      <c r="BX271" s="1">
        <v>269</v>
      </c>
      <c r="BY271" s="1">
        <v>13.650494716652901</v>
      </c>
      <c r="CA271" t="s">
        <v>4</v>
      </c>
      <c r="CB271">
        <v>0</v>
      </c>
      <c r="CC271" t="s">
        <v>5</v>
      </c>
      <c r="CD271">
        <v>269</v>
      </c>
      <c r="CE271" t="s">
        <v>6</v>
      </c>
      <c r="CF271" s="1">
        <v>0.42109370000000002</v>
      </c>
      <c r="CG271" t="s">
        <v>7</v>
      </c>
      <c r="CH271" s="1">
        <v>0.5</v>
      </c>
      <c r="CI271" t="s">
        <v>8</v>
      </c>
      <c r="CJ271" s="1">
        <v>0</v>
      </c>
      <c r="CK271" s="1">
        <v>11.0547658217702</v>
      </c>
    </row>
    <row r="272" spans="43:89">
      <c r="AQ272" t="s">
        <v>7</v>
      </c>
      <c r="AR272" s="1">
        <v>0.5</v>
      </c>
      <c r="AS272" t="s">
        <v>8</v>
      </c>
      <c r="AT272" s="1">
        <v>0</v>
      </c>
      <c r="AU272" s="1">
        <v>3.4083259528537101E-2</v>
      </c>
      <c r="AW272" t="s">
        <v>4</v>
      </c>
      <c r="AX272">
        <v>0</v>
      </c>
      <c r="AY272" t="s">
        <v>5</v>
      </c>
      <c r="AZ272">
        <v>270</v>
      </c>
      <c r="BA272" t="s">
        <v>6</v>
      </c>
      <c r="BB272" s="1">
        <v>0.42265629999999998</v>
      </c>
      <c r="BC272" t="s">
        <v>7</v>
      </c>
      <c r="BD272" s="1">
        <v>0.5</v>
      </c>
      <c r="BE272" t="s">
        <v>8</v>
      </c>
      <c r="BF272" s="1">
        <v>0</v>
      </c>
      <c r="BG272" s="1">
        <f t="shared" si="20"/>
        <v>0.84531259999999997</v>
      </c>
      <c r="BH272" s="1">
        <v>10.654218842942401</v>
      </c>
      <c r="BJ272" t="s">
        <v>4</v>
      </c>
      <c r="BK272">
        <v>0</v>
      </c>
      <c r="BL272" t="s">
        <v>5</v>
      </c>
      <c r="BM272">
        <v>270</v>
      </c>
      <c r="BN272" t="s">
        <v>6</v>
      </c>
      <c r="BO272" s="1">
        <v>0.42265629999999998</v>
      </c>
      <c r="BP272" t="s">
        <v>7</v>
      </c>
      <c r="BQ272" s="1">
        <v>0.5</v>
      </c>
      <c r="BR272" t="s">
        <v>8</v>
      </c>
      <c r="BS272" s="1">
        <v>0</v>
      </c>
      <c r="BT272" s="1">
        <v>10.849732023027199</v>
      </c>
      <c r="BU272" s="1">
        <f t="shared" si="21"/>
        <v>0.84531259999999997</v>
      </c>
      <c r="BV272" s="1">
        <f t="shared" si="22"/>
        <v>10.849732023027199</v>
      </c>
      <c r="BX272" s="1">
        <v>270</v>
      </c>
      <c r="BY272" s="1">
        <v>13.651973550120299</v>
      </c>
      <c r="CA272" t="s">
        <v>4</v>
      </c>
      <c r="CB272">
        <v>0</v>
      </c>
      <c r="CC272" t="s">
        <v>5</v>
      </c>
      <c r="CD272">
        <v>270</v>
      </c>
      <c r="CE272" t="s">
        <v>6</v>
      </c>
      <c r="CF272" s="1">
        <v>0.42265629999999998</v>
      </c>
      <c r="CG272" t="s">
        <v>7</v>
      </c>
      <c r="CH272" s="1">
        <v>0.5</v>
      </c>
      <c r="CI272" t="s">
        <v>8</v>
      </c>
      <c r="CJ272" s="1">
        <v>0</v>
      </c>
      <c r="CK272" s="1">
        <v>11.0381405190441</v>
      </c>
    </row>
    <row r="273" spans="43:89">
      <c r="AQ273" t="s">
        <v>7</v>
      </c>
      <c r="AR273" s="1">
        <v>0.5</v>
      </c>
      <c r="AS273" t="s">
        <v>8</v>
      </c>
      <c r="AT273" s="1">
        <v>0</v>
      </c>
      <c r="AU273" s="1">
        <v>3.4075680408885603E-2</v>
      </c>
      <c r="AW273" t="s">
        <v>4</v>
      </c>
      <c r="AX273">
        <v>0</v>
      </c>
      <c r="AY273" t="s">
        <v>5</v>
      </c>
      <c r="AZ273">
        <v>271</v>
      </c>
      <c r="BA273" t="s">
        <v>6</v>
      </c>
      <c r="BB273" s="1">
        <v>0.4242187</v>
      </c>
      <c r="BC273" t="s">
        <v>7</v>
      </c>
      <c r="BD273" s="1">
        <v>0.5</v>
      </c>
      <c r="BE273" t="s">
        <v>8</v>
      </c>
      <c r="BF273" s="1">
        <v>0</v>
      </c>
      <c r="BG273" s="1">
        <f t="shared" si="20"/>
        <v>0.84843740000000001</v>
      </c>
      <c r="BH273" s="1">
        <v>10.0826730292078</v>
      </c>
      <c r="BJ273" t="s">
        <v>4</v>
      </c>
      <c r="BK273">
        <v>0</v>
      </c>
      <c r="BL273" t="s">
        <v>5</v>
      </c>
      <c r="BM273">
        <v>271</v>
      </c>
      <c r="BN273" t="s">
        <v>6</v>
      </c>
      <c r="BO273" s="1">
        <v>0.4242187</v>
      </c>
      <c r="BP273" t="s">
        <v>7</v>
      </c>
      <c r="BQ273" s="1">
        <v>0.5</v>
      </c>
      <c r="BR273" t="s">
        <v>8</v>
      </c>
      <c r="BS273" s="1">
        <v>0</v>
      </c>
      <c r="BT273" s="1">
        <v>10.3142229185007</v>
      </c>
      <c r="BU273" s="1">
        <f t="shared" si="21"/>
        <v>0.84843740000000001</v>
      </c>
      <c r="BV273" s="1">
        <f t="shared" si="22"/>
        <v>10.3142229185007</v>
      </c>
      <c r="BX273" s="1">
        <v>271</v>
      </c>
      <c r="BY273" s="1">
        <v>13.6581218339297</v>
      </c>
      <c r="CA273" t="s">
        <v>4</v>
      </c>
      <c r="CB273">
        <v>0</v>
      </c>
      <c r="CC273" t="s">
        <v>5</v>
      </c>
      <c r="CD273">
        <v>271</v>
      </c>
      <c r="CE273" t="s">
        <v>6</v>
      </c>
      <c r="CF273" s="1">
        <v>0.4242187</v>
      </c>
      <c r="CG273" t="s">
        <v>7</v>
      </c>
      <c r="CH273" s="1">
        <v>0.5</v>
      </c>
      <c r="CI273" t="s">
        <v>8</v>
      </c>
      <c r="CJ273" s="1">
        <v>0</v>
      </c>
      <c r="CK273" s="1">
        <v>11.0217619159317</v>
      </c>
    </row>
    <row r="274" spans="43:89">
      <c r="AQ274" t="s">
        <v>7</v>
      </c>
      <c r="AR274" s="1">
        <v>0.5</v>
      </c>
      <c r="AS274" t="s">
        <v>8</v>
      </c>
      <c r="AT274" s="1">
        <v>0</v>
      </c>
      <c r="AU274" s="1">
        <v>3.4074712003362997E-2</v>
      </c>
      <c r="AW274" t="s">
        <v>4</v>
      </c>
      <c r="AX274">
        <v>0</v>
      </c>
      <c r="AY274" t="s">
        <v>5</v>
      </c>
      <c r="AZ274">
        <v>272</v>
      </c>
      <c r="BA274" t="s">
        <v>6</v>
      </c>
      <c r="BB274" s="1">
        <v>0.42578120000000003</v>
      </c>
      <c r="BC274" t="s">
        <v>7</v>
      </c>
      <c r="BD274" s="1">
        <v>0.5</v>
      </c>
      <c r="BE274" t="s">
        <v>8</v>
      </c>
      <c r="BF274" s="1">
        <v>0</v>
      </c>
      <c r="BG274" s="1">
        <f t="shared" si="20"/>
        <v>0.85156240000000005</v>
      </c>
      <c r="BH274" s="1">
        <v>9.3779374493658594</v>
      </c>
      <c r="BJ274" t="s">
        <v>4</v>
      </c>
      <c r="BK274">
        <v>0</v>
      </c>
      <c r="BL274" t="s">
        <v>5</v>
      </c>
      <c r="BM274">
        <v>272</v>
      </c>
      <c r="BN274" t="s">
        <v>6</v>
      </c>
      <c r="BO274" s="1">
        <v>0.42578120000000003</v>
      </c>
      <c r="BP274" t="s">
        <v>7</v>
      </c>
      <c r="BQ274" s="1">
        <v>0.5</v>
      </c>
      <c r="BR274" t="s">
        <v>8</v>
      </c>
      <c r="BS274" s="1">
        <v>0</v>
      </c>
      <c r="BT274" s="1">
        <v>9.6316705157209093</v>
      </c>
      <c r="BU274" s="1">
        <f t="shared" si="21"/>
        <v>0.85156240000000005</v>
      </c>
      <c r="BV274" s="1">
        <f t="shared" si="22"/>
        <v>9.6316705157209093</v>
      </c>
      <c r="BX274" s="1">
        <v>272</v>
      </c>
      <c r="BY274" s="1">
        <v>13.6694837510863</v>
      </c>
      <c r="CA274" t="s">
        <v>4</v>
      </c>
      <c r="CB274">
        <v>0</v>
      </c>
      <c r="CC274" t="s">
        <v>5</v>
      </c>
      <c r="CD274">
        <v>272</v>
      </c>
      <c r="CE274" t="s">
        <v>6</v>
      </c>
      <c r="CF274" s="1">
        <v>0.42578120000000003</v>
      </c>
      <c r="CG274" t="s">
        <v>7</v>
      </c>
      <c r="CH274" s="1">
        <v>0.5</v>
      </c>
      <c r="CI274" t="s">
        <v>8</v>
      </c>
      <c r="CJ274" s="1">
        <v>0</v>
      </c>
      <c r="CK274" s="1">
        <v>11.0059584708283</v>
      </c>
    </row>
    <row r="275" spans="43:89">
      <c r="AQ275" t="s">
        <v>7</v>
      </c>
      <c r="AR275" s="1">
        <v>0.5</v>
      </c>
      <c r="AS275" t="s">
        <v>8</v>
      </c>
      <c r="AT275" s="1">
        <v>0</v>
      </c>
      <c r="AU275" s="1">
        <v>3.4069874176656398E-2</v>
      </c>
      <c r="AW275" t="s">
        <v>4</v>
      </c>
      <c r="AX275">
        <v>0</v>
      </c>
      <c r="AY275" t="s">
        <v>5</v>
      </c>
      <c r="AZ275">
        <v>273</v>
      </c>
      <c r="BA275" t="s">
        <v>6</v>
      </c>
      <c r="BB275" s="1">
        <v>0.4273438</v>
      </c>
      <c r="BC275" t="s">
        <v>7</v>
      </c>
      <c r="BD275" s="1">
        <v>0.5</v>
      </c>
      <c r="BE275" t="s">
        <v>8</v>
      </c>
      <c r="BF275" s="1">
        <v>0</v>
      </c>
      <c r="BG275" s="1">
        <f t="shared" si="20"/>
        <v>0.85468759999999999</v>
      </c>
      <c r="BH275" s="1">
        <v>8.5375904261311408</v>
      </c>
      <c r="BJ275" t="s">
        <v>4</v>
      </c>
      <c r="BK275">
        <v>0</v>
      </c>
      <c r="BL275" t="s">
        <v>5</v>
      </c>
      <c r="BM275">
        <v>273</v>
      </c>
      <c r="BN275" t="s">
        <v>6</v>
      </c>
      <c r="BO275" s="1">
        <v>0.4273438</v>
      </c>
      <c r="BP275" t="s">
        <v>7</v>
      </c>
      <c r="BQ275" s="1">
        <v>0.5</v>
      </c>
      <c r="BR275" t="s">
        <v>8</v>
      </c>
      <c r="BS275" s="1">
        <v>0</v>
      </c>
      <c r="BT275" s="1">
        <v>8.7999281116725605</v>
      </c>
      <c r="BU275" s="1">
        <f t="shared" si="21"/>
        <v>0.85468759999999999</v>
      </c>
      <c r="BV275" s="1">
        <f t="shared" si="22"/>
        <v>8.7999281116725605</v>
      </c>
      <c r="BX275" s="1">
        <v>273</v>
      </c>
      <c r="BY275" s="1">
        <v>13.6858834180182</v>
      </c>
      <c r="CA275" t="s">
        <v>4</v>
      </c>
      <c r="CB275">
        <v>0</v>
      </c>
      <c r="CC275" t="s">
        <v>5</v>
      </c>
      <c r="CD275">
        <v>273</v>
      </c>
      <c r="CE275" t="s">
        <v>6</v>
      </c>
      <c r="CF275" s="1">
        <v>0.4273438</v>
      </c>
      <c r="CG275" t="s">
        <v>7</v>
      </c>
      <c r="CH275" s="1">
        <v>0.5</v>
      </c>
      <c r="CI275" t="s">
        <v>8</v>
      </c>
      <c r="CJ275" s="1">
        <v>0</v>
      </c>
      <c r="CK275" s="1">
        <v>10.990984237927901</v>
      </c>
    </row>
    <row r="276" spans="43:89">
      <c r="AQ276" t="s">
        <v>7</v>
      </c>
      <c r="AR276" s="1">
        <v>0.5</v>
      </c>
      <c r="AS276" t="s">
        <v>8</v>
      </c>
      <c r="AT276" s="1">
        <v>0</v>
      </c>
      <c r="AU276" s="1">
        <v>3.4065954311866598E-2</v>
      </c>
      <c r="AW276" t="s">
        <v>4</v>
      </c>
      <c r="AX276">
        <v>0</v>
      </c>
      <c r="AY276" t="s">
        <v>5</v>
      </c>
      <c r="AZ276">
        <v>274</v>
      </c>
      <c r="BA276" t="s">
        <v>6</v>
      </c>
      <c r="BB276" s="1">
        <v>0.42890630000000002</v>
      </c>
      <c r="BC276" t="s">
        <v>7</v>
      </c>
      <c r="BD276" s="1">
        <v>0.5</v>
      </c>
      <c r="BE276" t="s">
        <v>8</v>
      </c>
      <c r="BF276" s="1">
        <v>0</v>
      </c>
      <c r="BG276" s="1">
        <f t="shared" si="20"/>
        <v>0.85781260000000004</v>
      </c>
      <c r="BH276" s="1">
        <v>7.5591700581752104</v>
      </c>
      <c r="BJ276" t="s">
        <v>4</v>
      </c>
      <c r="BK276">
        <v>0</v>
      </c>
      <c r="BL276" t="s">
        <v>5</v>
      </c>
      <c r="BM276">
        <v>274</v>
      </c>
      <c r="BN276" t="s">
        <v>6</v>
      </c>
      <c r="BO276" s="1">
        <v>0.42890630000000002</v>
      </c>
      <c r="BP276" t="s">
        <v>7</v>
      </c>
      <c r="BQ276" s="1">
        <v>0.5</v>
      </c>
      <c r="BR276" t="s">
        <v>8</v>
      </c>
      <c r="BS276" s="1">
        <v>0</v>
      </c>
      <c r="BT276" s="1">
        <v>7.8169980300039699</v>
      </c>
      <c r="BU276" s="1">
        <f t="shared" si="21"/>
        <v>0.85781260000000004</v>
      </c>
      <c r="BV276" s="1">
        <f t="shared" si="22"/>
        <v>7.8169980300039699</v>
      </c>
      <c r="BX276" s="1">
        <v>274</v>
      </c>
      <c r="BY276" s="1">
        <v>13.707692011540599</v>
      </c>
      <c r="CA276" t="s">
        <v>4</v>
      </c>
      <c r="CB276">
        <v>0</v>
      </c>
      <c r="CC276" t="s">
        <v>5</v>
      </c>
      <c r="CD276">
        <v>274</v>
      </c>
      <c r="CE276" t="s">
        <v>6</v>
      </c>
      <c r="CF276" s="1">
        <v>0.42890630000000002</v>
      </c>
      <c r="CG276" t="s">
        <v>7</v>
      </c>
      <c r="CH276" s="1">
        <v>0.5</v>
      </c>
      <c r="CI276" t="s">
        <v>8</v>
      </c>
      <c r="CJ276" s="1">
        <v>0</v>
      </c>
      <c r="CK276" s="1">
        <v>10.9771915873994</v>
      </c>
    </row>
    <row r="277" spans="43:89">
      <c r="AQ277" t="s">
        <v>7</v>
      </c>
      <c r="AR277" s="1">
        <v>0.5</v>
      </c>
      <c r="AS277" t="s">
        <v>8</v>
      </c>
      <c r="AT277" s="1">
        <v>0</v>
      </c>
      <c r="AU277" s="1">
        <v>3.4063748174884501E-2</v>
      </c>
      <c r="AW277" t="s">
        <v>4</v>
      </c>
      <c r="AX277">
        <v>0</v>
      </c>
      <c r="AY277" t="s">
        <v>5</v>
      </c>
      <c r="AZ277">
        <v>275</v>
      </c>
      <c r="BA277" t="s">
        <v>6</v>
      </c>
      <c r="BB277" s="1">
        <v>0.43046879999999998</v>
      </c>
      <c r="BC277" t="s">
        <v>7</v>
      </c>
      <c r="BD277" s="1">
        <v>0.5</v>
      </c>
      <c r="BE277" t="s">
        <v>8</v>
      </c>
      <c r="BF277" s="1">
        <v>0</v>
      </c>
      <c r="BG277" s="1">
        <f t="shared" si="20"/>
        <v>0.86093759999999997</v>
      </c>
      <c r="BH277" s="1">
        <v>6.4402609574548597</v>
      </c>
      <c r="BJ277" t="s">
        <v>4</v>
      </c>
      <c r="BK277">
        <v>0</v>
      </c>
      <c r="BL277" t="s">
        <v>5</v>
      </c>
      <c r="BM277">
        <v>275</v>
      </c>
      <c r="BN277" t="s">
        <v>6</v>
      </c>
      <c r="BO277" s="1">
        <v>0.43046879999999998</v>
      </c>
      <c r="BP277" t="s">
        <v>7</v>
      </c>
      <c r="BQ277" s="1">
        <v>0.5</v>
      </c>
      <c r="BR277" t="s">
        <v>8</v>
      </c>
      <c r="BS277" s="1">
        <v>0</v>
      </c>
      <c r="BT277" s="1">
        <v>6.6809064289771403</v>
      </c>
      <c r="BU277" s="1">
        <f t="shared" si="21"/>
        <v>0.86093759999999997</v>
      </c>
      <c r="BV277" s="1">
        <f t="shared" si="22"/>
        <v>6.6809064289771403</v>
      </c>
      <c r="BX277" s="1">
        <v>275</v>
      </c>
      <c r="BY277" s="1">
        <v>13.7351618152023</v>
      </c>
      <c r="CA277" t="s">
        <v>4</v>
      </c>
      <c r="CB277">
        <v>0</v>
      </c>
      <c r="CC277" t="s">
        <v>5</v>
      </c>
      <c r="CD277">
        <v>275</v>
      </c>
      <c r="CE277" t="s">
        <v>6</v>
      </c>
      <c r="CF277" s="1">
        <v>0.43046879999999998</v>
      </c>
      <c r="CG277" t="s">
        <v>7</v>
      </c>
      <c r="CH277" s="1">
        <v>0.5</v>
      </c>
      <c r="CI277" t="s">
        <v>8</v>
      </c>
      <c r="CJ277" s="1">
        <v>0</v>
      </c>
      <c r="CK277" s="1">
        <v>10.964909240524401</v>
      </c>
    </row>
    <row r="278" spans="43:89">
      <c r="AQ278" t="s">
        <v>7</v>
      </c>
      <c r="AR278" s="1">
        <v>0.5</v>
      </c>
      <c r="AS278" t="s">
        <v>8</v>
      </c>
      <c r="AT278" s="1">
        <v>0</v>
      </c>
      <c r="AU278" s="1">
        <v>3.4063135139414197E-2</v>
      </c>
      <c r="AW278" t="s">
        <v>4</v>
      </c>
      <c r="AX278">
        <v>0</v>
      </c>
      <c r="AY278" t="s">
        <v>5</v>
      </c>
      <c r="AZ278">
        <v>276</v>
      </c>
      <c r="BA278" t="s">
        <v>6</v>
      </c>
      <c r="BB278" s="1">
        <v>0.4320312</v>
      </c>
      <c r="BC278" t="s">
        <v>7</v>
      </c>
      <c r="BD278" s="1">
        <v>0.5</v>
      </c>
      <c r="BE278" t="s">
        <v>8</v>
      </c>
      <c r="BF278" s="1">
        <v>0</v>
      </c>
      <c r="BG278" s="1">
        <f t="shared" si="20"/>
        <v>0.86406240000000001</v>
      </c>
      <c r="BH278" s="1">
        <v>5.1782028436446703</v>
      </c>
      <c r="BJ278" t="s">
        <v>4</v>
      </c>
      <c r="BK278">
        <v>0</v>
      </c>
      <c r="BL278" t="s">
        <v>5</v>
      </c>
      <c r="BM278">
        <v>276</v>
      </c>
      <c r="BN278" t="s">
        <v>6</v>
      </c>
      <c r="BO278" s="1">
        <v>0.4320312</v>
      </c>
      <c r="BP278" t="s">
        <v>7</v>
      </c>
      <c r="BQ278" s="1">
        <v>0.5</v>
      </c>
      <c r="BR278" t="s">
        <v>8</v>
      </c>
      <c r="BS278" s="1">
        <v>0</v>
      </c>
      <c r="BT278" s="1">
        <v>5.3894557556829898</v>
      </c>
      <c r="BU278" s="1">
        <f t="shared" si="21"/>
        <v>0.86406240000000001</v>
      </c>
      <c r="BV278" s="1">
        <f t="shared" si="22"/>
        <v>5.3894557556829898</v>
      </c>
      <c r="BX278" s="1">
        <v>276</v>
      </c>
      <c r="BY278" s="1">
        <v>13.768324456541301</v>
      </c>
      <c r="CA278" t="s">
        <v>4</v>
      </c>
      <c r="CB278">
        <v>0</v>
      </c>
      <c r="CC278" t="s">
        <v>5</v>
      </c>
      <c r="CD278">
        <v>276</v>
      </c>
      <c r="CE278" t="s">
        <v>6</v>
      </c>
      <c r="CF278" s="1">
        <v>0.4320312</v>
      </c>
      <c r="CG278" t="s">
        <v>7</v>
      </c>
      <c r="CH278" s="1">
        <v>0.5</v>
      </c>
      <c r="CI278" t="s">
        <v>8</v>
      </c>
      <c r="CJ278" s="1">
        <v>0</v>
      </c>
      <c r="CK278" s="1">
        <v>10.954644002042899</v>
      </c>
    </row>
    <row r="279" spans="43:89">
      <c r="AQ279" t="s">
        <v>7</v>
      </c>
      <c r="AR279" s="1">
        <v>0.5</v>
      </c>
      <c r="AS279" t="s">
        <v>8</v>
      </c>
      <c r="AT279" s="1">
        <v>0</v>
      </c>
      <c r="AU279" s="1">
        <v>3.4065046144459002E-2</v>
      </c>
      <c r="AW279" t="s">
        <v>4</v>
      </c>
      <c r="AX279">
        <v>0</v>
      </c>
      <c r="AY279" t="s">
        <v>5</v>
      </c>
      <c r="AZ279">
        <v>277</v>
      </c>
      <c r="BA279" t="s">
        <v>6</v>
      </c>
      <c r="BB279" s="1">
        <v>0.43359379999999997</v>
      </c>
      <c r="BC279" t="s">
        <v>7</v>
      </c>
      <c r="BD279" s="1">
        <v>0.5</v>
      </c>
      <c r="BE279" t="s">
        <v>8</v>
      </c>
      <c r="BF279" s="1">
        <v>0</v>
      </c>
      <c r="BG279" s="1">
        <f t="shared" si="20"/>
        <v>0.86718759999999995</v>
      </c>
      <c r="BH279" s="1">
        <v>3.7705543546619</v>
      </c>
      <c r="BJ279" t="s">
        <v>4</v>
      </c>
      <c r="BK279">
        <v>0</v>
      </c>
      <c r="BL279" t="s">
        <v>5</v>
      </c>
      <c r="BM279">
        <v>277</v>
      </c>
      <c r="BN279" t="s">
        <v>6</v>
      </c>
      <c r="BO279" s="1">
        <v>0.43359379999999997</v>
      </c>
      <c r="BP279" t="s">
        <v>7</v>
      </c>
      <c r="BQ279" s="1">
        <v>0.5</v>
      </c>
      <c r="BR279" t="s">
        <v>8</v>
      </c>
      <c r="BS279" s="1">
        <v>0</v>
      </c>
      <c r="BT279" s="1">
        <v>3.9405700798768</v>
      </c>
      <c r="BU279" s="1">
        <f t="shared" si="21"/>
        <v>0.86718759999999995</v>
      </c>
      <c r="BV279" s="1">
        <f t="shared" si="22"/>
        <v>3.9405700798768</v>
      </c>
      <c r="BX279" s="1">
        <v>277</v>
      </c>
      <c r="BY279" s="1">
        <v>13.8079212709518</v>
      </c>
      <c r="CA279" t="s">
        <v>4</v>
      </c>
      <c r="CB279">
        <v>0</v>
      </c>
      <c r="CC279" t="s">
        <v>5</v>
      </c>
      <c r="CD279">
        <v>277</v>
      </c>
      <c r="CE279" t="s">
        <v>6</v>
      </c>
      <c r="CF279" s="1">
        <v>0.43359379999999997</v>
      </c>
      <c r="CG279" t="s">
        <v>7</v>
      </c>
      <c r="CH279" s="1">
        <v>0.5</v>
      </c>
      <c r="CI279" t="s">
        <v>8</v>
      </c>
      <c r="CJ279" s="1">
        <v>0</v>
      </c>
      <c r="CK279" s="1">
        <v>10.946864112769701</v>
      </c>
    </row>
    <row r="280" spans="43:89">
      <c r="AQ280" t="s">
        <v>7</v>
      </c>
      <c r="AR280" s="1">
        <v>0.5</v>
      </c>
      <c r="AS280" t="s">
        <v>8</v>
      </c>
      <c r="AT280" s="1">
        <v>0</v>
      </c>
      <c r="AU280" s="1">
        <v>3.4068494498270797E-2</v>
      </c>
      <c r="AW280" t="s">
        <v>4</v>
      </c>
      <c r="AX280">
        <v>0</v>
      </c>
      <c r="AY280" t="s">
        <v>5</v>
      </c>
      <c r="AZ280">
        <v>278</v>
      </c>
      <c r="BA280" t="s">
        <v>6</v>
      </c>
      <c r="BB280" s="1">
        <v>0.4351563</v>
      </c>
      <c r="BC280" t="s">
        <v>7</v>
      </c>
      <c r="BD280" s="1">
        <v>0.5</v>
      </c>
      <c r="BE280" t="s">
        <v>8</v>
      </c>
      <c r="BF280" s="1">
        <v>0</v>
      </c>
      <c r="BG280" s="1">
        <f t="shared" si="20"/>
        <v>0.87031259999999999</v>
      </c>
      <c r="BH280" s="1">
        <v>2.2143838461599401</v>
      </c>
      <c r="BJ280" t="s">
        <v>4</v>
      </c>
      <c r="BK280">
        <v>0</v>
      </c>
      <c r="BL280" t="s">
        <v>5</v>
      </c>
      <c r="BM280">
        <v>278</v>
      </c>
      <c r="BN280" t="s">
        <v>6</v>
      </c>
      <c r="BO280" s="1">
        <v>0.4351563</v>
      </c>
      <c r="BP280" t="s">
        <v>7</v>
      </c>
      <c r="BQ280" s="1">
        <v>0.5</v>
      </c>
      <c r="BR280" t="s">
        <v>8</v>
      </c>
      <c r="BS280" s="1">
        <v>0</v>
      </c>
      <c r="BT280" s="1">
        <v>2.3322172551703302</v>
      </c>
      <c r="BU280" s="1">
        <f t="shared" si="21"/>
        <v>0.87031259999999999</v>
      </c>
      <c r="BV280" s="1">
        <f t="shared" si="22"/>
        <v>2.3322172551703302</v>
      </c>
      <c r="BX280" s="1">
        <v>278</v>
      </c>
      <c r="BY280" s="1">
        <v>13.853777723340199</v>
      </c>
      <c r="CA280" t="s">
        <v>4</v>
      </c>
      <c r="CB280">
        <v>0</v>
      </c>
      <c r="CC280" t="s">
        <v>5</v>
      </c>
      <c r="CD280">
        <v>278</v>
      </c>
      <c r="CE280" t="s">
        <v>6</v>
      </c>
      <c r="CF280" s="1">
        <v>0.4351563</v>
      </c>
      <c r="CG280" t="s">
        <v>7</v>
      </c>
      <c r="CH280" s="1">
        <v>0.5</v>
      </c>
      <c r="CI280" t="s">
        <v>8</v>
      </c>
      <c r="CJ280" s="1">
        <v>0</v>
      </c>
      <c r="CK280" s="1">
        <v>10.941741984467299</v>
      </c>
    </row>
    <row r="281" spans="43:89">
      <c r="AQ281" t="s">
        <v>7</v>
      </c>
      <c r="AR281" s="1">
        <v>0.5</v>
      </c>
      <c r="AS281" t="s">
        <v>8</v>
      </c>
      <c r="AT281" s="1">
        <v>0</v>
      </c>
      <c r="AU281" s="1">
        <v>3.4075062112786797E-2</v>
      </c>
      <c r="AW281" t="s">
        <v>4</v>
      </c>
      <c r="AX281">
        <v>0</v>
      </c>
      <c r="AY281" t="s">
        <v>5</v>
      </c>
      <c r="AZ281">
        <v>279</v>
      </c>
      <c r="BA281" t="s">
        <v>6</v>
      </c>
      <c r="BB281" s="1">
        <v>0.43671870000000002</v>
      </c>
      <c r="BC281" t="s">
        <v>7</v>
      </c>
      <c r="BD281" s="1">
        <v>0.5</v>
      </c>
      <c r="BE281" t="s">
        <v>8</v>
      </c>
      <c r="BF281" s="1">
        <v>0</v>
      </c>
      <c r="BG281" s="1">
        <f t="shared" si="20"/>
        <v>0.87343740000000003</v>
      </c>
      <c r="BH281" s="1">
        <v>0.50680817270954504</v>
      </c>
      <c r="BJ281" t="s">
        <v>4</v>
      </c>
      <c r="BK281">
        <v>0</v>
      </c>
      <c r="BL281" t="s">
        <v>5</v>
      </c>
      <c r="BM281">
        <v>279</v>
      </c>
      <c r="BN281" t="s">
        <v>6</v>
      </c>
      <c r="BO281" s="1">
        <v>0.43671870000000002</v>
      </c>
      <c r="BP281" t="s">
        <v>7</v>
      </c>
      <c r="BQ281" s="1">
        <v>0.5</v>
      </c>
      <c r="BR281" t="s">
        <v>8</v>
      </c>
      <c r="BS281" s="1">
        <v>0</v>
      </c>
      <c r="BT281" s="1">
        <v>0.56203679209160695</v>
      </c>
      <c r="BU281" s="1">
        <f t="shared" si="21"/>
        <v>0.87343740000000003</v>
      </c>
      <c r="BV281" s="1">
        <f t="shared" si="22"/>
        <v>0.56203679209160695</v>
      </c>
      <c r="BX281" s="1">
        <v>279</v>
      </c>
      <c r="BY281" s="1">
        <v>13.906985064613799</v>
      </c>
      <c r="CA281" t="s">
        <v>4</v>
      </c>
      <c r="CB281">
        <v>0</v>
      </c>
      <c r="CC281" t="s">
        <v>5</v>
      </c>
      <c r="CD281">
        <v>279</v>
      </c>
      <c r="CE281" t="s">
        <v>6</v>
      </c>
      <c r="CF281" s="1">
        <v>0.43671870000000002</v>
      </c>
      <c r="CG281" t="s">
        <v>7</v>
      </c>
      <c r="CH281" s="1">
        <v>0.5</v>
      </c>
      <c r="CI281" t="s">
        <v>8</v>
      </c>
      <c r="CJ281" s="1">
        <v>0</v>
      </c>
      <c r="CK281" s="1">
        <v>10.939957463114499</v>
      </c>
    </row>
    <row r="282" spans="43:89">
      <c r="AQ282" t="s">
        <v>7</v>
      </c>
      <c r="AR282" s="1">
        <v>0.5</v>
      </c>
      <c r="AS282" t="s">
        <v>8</v>
      </c>
      <c r="AT282" s="1">
        <v>0</v>
      </c>
      <c r="AU282" s="1">
        <v>3.4001489443428803E-2</v>
      </c>
      <c r="AW282" t="s">
        <v>4</v>
      </c>
      <c r="AX282">
        <v>0</v>
      </c>
      <c r="AY282" t="s">
        <v>5</v>
      </c>
      <c r="AZ282">
        <v>280</v>
      </c>
      <c r="BA282" t="s">
        <v>6</v>
      </c>
      <c r="BB282" s="1">
        <v>0.43828129999999998</v>
      </c>
      <c r="BC282" t="s">
        <v>7</v>
      </c>
      <c r="BD282" s="1">
        <v>0.5</v>
      </c>
      <c r="BE282" t="s">
        <v>8</v>
      </c>
      <c r="BF282" s="1">
        <v>0</v>
      </c>
      <c r="BG282" s="1">
        <f t="shared" si="20"/>
        <v>0.87656259999999997</v>
      </c>
      <c r="BH282" s="1">
        <v>1.5060929684018001</v>
      </c>
      <c r="BJ282" t="s">
        <v>4</v>
      </c>
      <c r="BK282">
        <v>0</v>
      </c>
      <c r="BL282" t="s">
        <v>5</v>
      </c>
      <c r="BM282">
        <v>280</v>
      </c>
      <c r="BN282" t="s">
        <v>6</v>
      </c>
      <c r="BO282" s="1">
        <v>0.43828129999999998</v>
      </c>
      <c r="BP282" t="s">
        <v>7</v>
      </c>
      <c r="BQ282" s="1">
        <v>0.5</v>
      </c>
      <c r="BR282" t="s">
        <v>8</v>
      </c>
      <c r="BS282" s="1">
        <v>0</v>
      </c>
      <c r="BT282" s="1">
        <v>1.5226051571744099</v>
      </c>
      <c r="BU282" s="1">
        <f t="shared" si="21"/>
        <v>0.87656259999999997</v>
      </c>
      <c r="BV282" s="1">
        <f t="shared" si="22"/>
        <v>1.5226051571744099</v>
      </c>
      <c r="BX282" s="1">
        <v>280</v>
      </c>
      <c r="BY282" s="1">
        <v>13.5819412386117</v>
      </c>
      <c r="CA282" t="s">
        <v>4</v>
      </c>
      <c r="CB282">
        <v>0</v>
      </c>
      <c r="CC282" t="s">
        <v>5</v>
      </c>
      <c r="CD282">
        <v>280</v>
      </c>
      <c r="CE282" t="s">
        <v>6</v>
      </c>
      <c r="CF282" s="1">
        <v>0.43828129999999998</v>
      </c>
      <c r="CG282" t="s">
        <v>7</v>
      </c>
      <c r="CH282" s="1">
        <v>0.5</v>
      </c>
      <c r="CI282" t="s">
        <v>8</v>
      </c>
      <c r="CJ282" s="1">
        <v>0</v>
      </c>
      <c r="CK282" s="1">
        <v>10.581354870936501</v>
      </c>
    </row>
    <row r="283" spans="43:89">
      <c r="AQ283" t="s">
        <v>7</v>
      </c>
      <c r="AR283" s="1">
        <v>0.5</v>
      </c>
      <c r="AS283" t="s">
        <v>8</v>
      </c>
      <c r="AT283" s="1">
        <v>0</v>
      </c>
      <c r="AU283" s="1">
        <v>3.3843606435408E-2</v>
      </c>
      <c r="AW283" t="s">
        <v>4</v>
      </c>
      <c r="AX283">
        <v>0</v>
      </c>
      <c r="AY283" t="s">
        <v>5</v>
      </c>
      <c r="AZ283">
        <v>281</v>
      </c>
      <c r="BA283" t="s">
        <v>6</v>
      </c>
      <c r="BB283" s="1">
        <v>0.4398437</v>
      </c>
      <c r="BC283" t="s">
        <v>7</v>
      </c>
      <c r="BD283" s="1">
        <v>0.5</v>
      </c>
      <c r="BE283" t="s">
        <v>8</v>
      </c>
      <c r="BF283" s="1">
        <v>0</v>
      </c>
      <c r="BG283" s="1">
        <f t="shared" si="20"/>
        <v>0.87968740000000001</v>
      </c>
      <c r="BH283" s="1">
        <v>5.0031737686790203</v>
      </c>
      <c r="BJ283" t="s">
        <v>4</v>
      </c>
      <c r="BK283">
        <v>0</v>
      </c>
      <c r="BL283" t="s">
        <v>5</v>
      </c>
      <c r="BM283">
        <v>281</v>
      </c>
      <c r="BN283" t="s">
        <v>6</v>
      </c>
      <c r="BO283" s="1">
        <v>0.4398437</v>
      </c>
      <c r="BP283" t="s">
        <v>7</v>
      </c>
      <c r="BQ283" s="1">
        <v>0.5</v>
      </c>
      <c r="BR283" t="s">
        <v>8</v>
      </c>
      <c r="BS283" s="1">
        <v>0</v>
      </c>
      <c r="BT283" s="1">
        <v>5.0125546167889299</v>
      </c>
      <c r="BU283" s="1">
        <f t="shared" si="21"/>
        <v>0.87968740000000001</v>
      </c>
      <c r="BV283" s="1">
        <f t="shared" si="22"/>
        <v>5.0125546167889299</v>
      </c>
      <c r="BX283" s="1">
        <v>281</v>
      </c>
      <c r="BY283" s="1">
        <v>13.1715615305488</v>
      </c>
      <c r="CA283" t="s">
        <v>4</v>
      </c>
      <c r="CB283">
        <v>0</v>
      </c>
      <c r="CC283" t="s">
        <v>5</v>
      </c>
      <c r="CD283">
        <v>281</v>
      </c>
      <c r="CE283" t="s">
        <v>6</v>
      </c>
      <c r="CF283" s="1">
        <v>0.4398437</v>
      </c>
      <c r="CG283" t="s">
        <v>7</v>
      </c>
      <c r="CH283" s="1">
        <v>0.5</v>
      </c>
      <c r="CI283" t="s">
        <v>8</v>
      </c>
      <c r="CJ283" s="1">
        <v>0</v>
      </c>
      <c r="CK283" s="1">
        <v>10.499913464077</v>
      </c>
    </row>
    <row r="284" spans="43:89">
      <c r="AQ284" t="s">
        <v>7</v>
      </c>
      <c r="AR284" s="1">
        <v>0.5</v>
      </c>
      <c r="AS284" t="s">
        <v>8</v>
      </c>
      <c r="AT284" s="1">
        <v>0</v>
      </c>
      <c r="AU284" s="1">
        <v>3.3683110388437201E-2</v>
      </c>
      <c r="AW284" t="s">
        <v>4</v>
      </c>
      <c r="AX284">
        <v>0</v>
      </c>
      <c r="AY284" t="s">
        <v>5</v>
      </c>
      <c r="AZ284">
        <v>282</v>
      </c>
      <c r="BA284" t="s">
        <v>6</v>
      </c>
      <c r="BB284" s="1">
        <v>0.44140629999999997</v>
      </c>
      <c r="BC284" t="s">
        <v>7</v>
      </c>
      <c r="BD284" s="1">
        <v>0.5</v>
      </c>
      <c r="BE284" t="s">
        <v>8</v>
      </c>
      <c r="BF284" s="1">
        <v>0</v>
      </c>
      <c r="BG284" s="1">
        <f t="shared" si="20"/>
        <v>0.88281259999999995</v>
      </c>
      <c r="BH284" s="1">
        <v>8.0469906227784698</v>
      </c>
      <c r="BJ284" t="s">
        <v>4</v>
      </c>
      <c r="BK284">
        <v>0</v>
      </c>
      <c r="BL284" t="s">
        <v>5</v>
      </c>
      <c r="BM284">
        <v>282</v>
      </c>
      <c r="BN284" t="s">
        <v>6</v>
      </c>
      <c r="BO284" s="1">
        <v>0.44140629999999997</v>
      </c>
      <c r="BP284" t="s">
        <v>7</v>
      </c>
      <c r="BQ284" s="1">
        <v>0.5</v>
      </c>
      <c r="BR284" t="s">
        <v>8</v>
      </c>
      <c r="BS284" s="1">
        <v>0</v>
      </c>
      <c r="BT284" s="1">
        <v>8.0500454370277499</v>
      </c>
      <c r="BU284" s="1">
        <f t="shared" si="21"/>
        <v>0.88281259999999995</v>
      </c>
      <c r="BV284" s="1">
        <f t="shared" si="22"/>
        <v>8.0500454370277499</v>
      </c>
      <c r="BX284" s="1">
        <v>282</v>
      </c>
      <c r="BY284" s="1">
        <v>12.740240790270001</v>
      </c>
      <c r="CA284" t="s">
        <v>4</v>
      </c>
      <c r="CB284">
        <v>0</v>
      </c>
      <c r="CC284" t="s">
        <v>5</v>
      </c>
      <c r="CD284">
        <v>282</v>
      </c>
      <c r="CE284" t="s">
        <v>6</v>
      </c>
      <c r="CF284" s="1">
        <v>0.44140629999999997</v>
      </c>
      <c r="CG284" t="s">
        <v>7</v>
      </c>
      <c r="CH284" s="1">
        <v>0.5</v>
      </c>
      <c r="CI284" t="s">
        <v>8</v>
      </c>
      <c r="CJ284" s="1">
        <v>0</v>
      </c>
      <c r="CK284" s="1">
        <v>10.412327425107099</v>
      </c>
    </row>
    <row r="285" spans="43:89">
      <c r="AQ285" t="s">
        <v>7</v>
      </c>
      <c r="AR285" s="1">
        <v>0.5</v>
      </c>
      <c r="AS285" t="s">
        <v>8</v>
      </c>
      <c r="AT285" s="1">
        <v>0</v>
      </c>
      <c r="AU285" s="1">
        <v>3.35181779896431E-2</v>
      </c>
      <c r="AW285" t="s">
        <v>4</v>
      </c>
      <c r="AX285">
        <v>0</v>
      </c>
      <c r="AY285" t="s">
        <v>5</v>
      </c>
      <c r="AZ285">
        <v>283</v>
      </c>
      <c r="BA285" t="s">
        <v>6</v>
      </c>
      <c r="BB285" s="1">
        <v>0.4429688</v>
      </c>
      <c r="BC285" t="s">
        <v>7</v>
      </c>
      <c r="BD285" s="1">
        <v>0.5</v>
      </c>
      <c r="BE285" t="s">
        <v>8</v>
      </c>
      <c r="BF285" s="1">
        <v>0</v>
      </c>
      <c r="BG285" s="1">
        <f t="shared" si="20"/>
        <v>0.88593759999999999</v>
      </c>
      <c r="BH285" s="1">
        <v>10.6323352222189</v>
      </c>
      <c r="BJ285" t="s">
        <v>4</v>
      </c>
      <c r="BK285">
        <v>0</v>
      </c>
      <c r="BL285" t="s">
        <v>5</v>
      </c>
      <c r="BM285">
        <v>283</v>
      </c>
      <c r="BN285" t="s">
        <v>6</v>
      </c>
      <c r="BO285" s="1">
        <v>0.4429688</v>
      </c>
      <c r="BP285" t="s">
        <v>7</v>
      </c>
      <c r="BQ285" s="1">
        <v>0.5</v>
      </c>
      <c r="BR285" t="s">
        <v>8</v>
      </c>
      <c r="BS285" s="1">
        <v>0</v>
      </c>
      <c r="BT285" s="1">
        <v>10.629986173070099</v>
      </c>
      <c r="BU285" s="1">
        <f t="shared" si="21"/>
        <v>0.88593759999999999</v>
      </c>
      <c r="BV285" s="1">
        <f t="shared" si="22"/>
        <v>10.629986173070099</v>
      </c>
      <c r="BX285" s="1">
        <v>283</v>
      </c>
      <c r="BY285" s="1">
        <v>12.287870722123801</v>
      </c>
      <c r="CA285" t="s">
        <v>4</v>
      </c>
      <c r="CB285">
        <v>0</v>
      </c>
      <c r="CC285" t="s">
        <v>5</v>
      </c>
      <c r="CD285">
        <v>283</v>
      </c>
      <c r="CE285" t="s">
        <v>6</v>
      </c>
      <c r="CF285" s="1">
        <v>0.4429688</v>
      </c>
      <c r="CG285" t="s">
        <v>7</v>
      </c>
      <c r="CH285" s="1">
        <v>0.5</v>
      </c>
      <c r="CI285" t="s">
        <v>8</v>
      </c>
      <c r="CJ285" s="1">
        <v>0</v>
      </c>
      <c r="CK285" s="1">
        <v>10.318473363493201</v>
      </c>
    </row>
    <row r="286" spans="43:89">
      <c r="AQ286" t="s">
        <v>7</v>
      </c>
      <c r="AR286" s="1">
        <v>0.5</v>
      </c>
      <c r="AS286" t="s">
        <v>8</v>
      </c>
      <c r="AT286" s="1">
        <v>0</v>
      </c>
      <c r="AU286" s="1">
        <v>3.3349562286283899E-2</v>
      </c>
      <c r="AW286" t="s">
        <v>4</v>
      </c>
      <c r="AX286">
        <v>0</v>
      </c>
      <c r="AY286" t="s">
        <v>5</v>
      </c>
      <c r="AZ286">
        <v>284</v>
      </c>
      <c r="BA286" t="s">
        <v>6</v>
      </c>
      <c r="BB286" s="1">
        <v>0.44453120000000002</v>
      </c>
      <c r="BC286" t="s">
        <v>7</v>
      </c>
      <c r="BD286" s="1">
        <v>0.5</v>
      </c>
      <c r="BE286" t="s">
        <v>8</v>
      </c>
      <c r="BF286" s="1">
        <v>0</v>
      </c>
      <c r="BG286" s="1">
        <f t="shared" si="20"/>
        <v>0.88906240000000003</v>
      </c>
      <c r="BH286" s="1">
        <v>12.754546069974801</v>
      </c>
      <c r="BJ286" t="s">
        <v>4</v>
      </c>
      <c r="BK286">
        <v>0</v>
      </c>
      <c r="BL286" t="s">
        <v>5</v>
      </c>
      <c r="BM286">
        <v>284</v>
      </c>
      <c r="BN286" t="s">
        <v>6</v>
      </c>
      <c r="BO286" s="1">
        <v>0.44453120000000002</v>
      </c>
      <c r="BP286" t="s">
        <v>7</v>
      </c>
      <c r="BQ286" s="1">
        <v>0.5</v>
      </c>
      <c r="BR286" t="s">
        <v>8</v>
      </c>
      <c r="BS286" s="1">
        <v>0</v>
      </c>
      <c r="BT286" s="1">
        <v>12.747647085516</v>
      </c>
      <c r="BU286" s="1">
        <f t="shared" si="21"/>
        <v>0.88906240000000003</v>
      </c>
      <c r="BV286" s="1">
        <f t="shared" si="22"/>
        <v>12.747647085516</v>
      </c>
      <c r="BX286" s="1">
        <v>284</v>
      </c>
      <c r="BY286" s="1">
        <v>11.8107957217698</v>
      </c>
      <c r="CA286" t="s">
        <v>4</v>
      </c>
      <c r="CB286">
        <v>0</v>
      </c>
      <c r="CC286" t="s">
        <v>5</v>
      </c>
      <c r="CD286">
        <v>284</v>
      </c>
      <c r="CE286" t="s">
        <v>6</v>
      </c>
      <c r="CF286" s="1">
        <v>0.44453120000000002</v>
      </c>
      <c r="CG286" t="s">
        <v>7</v>
      </c>
      <c r="CH286" s="1">
        <v>0.5</v>
      </c>
      <c r="CI286" t="s">
        <v>8</v>
      </c>
      <c r="CJ286" s="1">
        <v>0</v>
      </c>
      <c r="CK286" s="1">
        <v>10.218326832454499</v>
      </c>
    </row>
    <row r="287" spans="43:89">
      <c r="AQ287" t="s">
        <v>7</v>
      </c>
      <c r="AR287" s="1">
        <v>0.5</v>
      </c>
      <c r="AS287" t="s">
        <v>8</v>
      </c>
      <c r="AT287" s="1">
        <v>0</v>
      </c>
      <c r="AU287" s="1">
        <v>3.3177394698965398E-2</v>
      </c>
      <c r="AW287" t="s">
        <v>4</v>
      </c>
      <c r="AX287">
        <v>0</v>
      </c>
      <c r="AY287" t="s">
        <v>5</v>
      </c>
      <c r="AZ287">
        <v>285</v>
      </c>
      <c r="BA287" t="s">
        <v>6</v>
      </c>
      <c r="BB287" s="1">
        <v>0.44609379999999998</v>
      </c>
      <c r="BC287" t="s">
        <v>7</v>
      </c>
      <c r="BD287" s="1">
        <v>0.5</v>
      </c>
      <c r="BE287" t="s">
        <v>8</v>
      </c>
      <c r="BF287" s="1">
        <v>0</v>
      </c>
      <c r="BG287" s="1">
        <f t="shared" si="20"/>
        <v>0.89218759999999997</v>
      </c>
      <c r="BH287" s="1">
        <v>14.4094126726576</v>
      </c>
      <c r="BJ287" t="s">
        <v>4</v>
      </c>
      <c r="BK287">
        <v>0</v>
      </c>
      <c r="BL287" t="s">
        <v>5</v>
      </c>
      <c r="BM287">
        <v>285</v>
      </c>
      <c r="BN287" t="s">
        <v>6</v>
      </c>
      <c r="BO287" s="1">
        <v>0.44609379999999998</v>
      </c>
      <c r="BP287" t="s">
        <v>7</v>
      </c>
      <c r="BQ287" s="1">
        <v>0.5</v>
      </c>
      <c r="BR287" t="s">
        <v>8</v>
      </c>
      <c r="BS287" s="1">
        <v>0</v>
      </c>
      <c r="BT287" s="1">
        <v>14.398747960798399</v>
      </c>
      <c r="BU287" s="1">
        <f t="shared" si="21"/>
        <v>0.89218759999999997</v>
      </c>
      <c r="BV287" s="1">
        <f t="shared" si="22"/>
        <v>14.398747960798399</v>
      </c>
      <c r="BX287" s="1">
        <v>285</v>
      </c>
      <c r="BY287" s="1">
        <v>11.308972917122199</v>
      </c>
      <c r="CA287" t="s">
        <v>4</v>
      </c>
      <c r="CB287">
        <v>0</v>
      </c>
      <c r="CC287" t="s">
        <v>5</v>
      </c>
      <c r="CD287">
        <v>285</v>
      </c>
      <c r="CE287" t="s">
        <v>6</v>
      </c>
      <c r="CF287" s="1">
        <v>0.44609379999999998</v>
      </c>
      <c r="CG287" t="s">
        <v>7</v>
      </c>
      <c r="CH287" s="1">
        <v>0.5</v>
      </c>
      <c r="CI287" t="s">
        <v>8</v>
      </c>
      <c r="CJ287" s="1">
        <v>0</v>
      </c>
      <c r="CK287" s="1">
        <v>10.1116067701109</v>
      </c>
    </row>
    <row r="288" spans="43:89">
      <c r="AQ288" t="s">
        <v>7</v>
      </c>
      <c r="AR288" s="1">
        <v>0.5</v>
      </c>
      <c r="AS288" t="s">
        <v>8</v>
      </c>
      <c r="AT288" s="1">
        <v>0</v>
      </c>
      <c r="AU288" s="1">
        <v>3.3000943685061103E-2</v>
      </c>
      <c r="AW288" t="s">
        <v>4</v>
      </c>
      <c r="AX288">
        <v>0</v>
      </c>
      <c r="AY288" t="s">
        <v>5</v>
      </c>
      <c r="AZ288">
        <v>286</v>
      </c>
      <c r="BA288" t="s">
        <v>6</v>
      </c>
      <c r="BB288" s="1">
        <v>0.4476562</v>
      </c>
      <c r="BC288" t="s">
        <v>7</v>
      </c>
      <c r="BD288" s="1">
        <v>0.5</v>
      </c>
      <c r="BE288" t="s">
        <v>8</v>
      </c>
      <c r="BF288" s="1">
        <v>0</v>
      </c>
      <c r="BG288" s="1">
        <f t="shared" si="20"/>
        <v>0.89531240000000001</v>
      </c>
      <c r="BH288" s="1">
        <v>15.5932062075874</v>
      </c>
      <c r="BJ288" t="s">
        <v>4</v>
      </c>
      <c r="BK288">
        <v>0</v>
      </c>
      <c r="BL288" t="s">
        <v>5</v>
      </c>
      <c r="BM288">
        <v>286</v>
      </c>
      <c r="BN288" t="s">
        <v>6</v>
      </c>
      <c r="BO288" s="1">
        <v>0.4476562</v>
      </c>
      <c r="BP288" t="s">
        <v>7</v>
      </c>
      <c r="BQ288" s="1">
        <v>0.5</v>
      </c>
      <c r="BR288" t="s">
        <v>8</v>
      </c>
      <c r="BS288" s="1">
        <v>0</v>
      </c>
      <c r="BT288" s="1">
        <v>15.579323313652001</v>
      </c>
      <c r="BU288" s="1">
        <f t="shared" si="21"/>
        <v>0.89531240000000001</v>
      </c>
      <c r="BV288" s="1">
        <f t="shared" si="22"/>
        <v>15.579323313652001</v>
      </c>
      <c r="BX288" s="1">
        <v>286</v>
      </c>
      <c r="BY288" s="1">
        <v>10.779826943764499</v>
      </c>
      <c r="CA288" t="s">
        <v>4</v>
      </c>
      <c r="CB288">
        <v>0</v>
      </c>
      <c r="CC288" t="s">
        <v>5</v>
      </c>
      <c r="CD288">
        <v>286</v>
      </c>
      <c r="CE288" t="s">
        <v>6</v>
      </c>
      <c r="CF288" s="1">
        <v>0.4476562</v>
      </c>
      <c r="CG288" t="s">
        <v>7</v>
      </c>
      <c r="CH288" s="1">
        <v>0.5</v>
      </c>
      <c r="CI288" t="s">
        <v>8</v>
      </c>
      <c r="CJ288" s="1">
        <v>0</v>
      </c>
      <c r="CK288" s="1">
        <v>9.9985272676689405</v>
      </c>
    </row>
    <row r="289" spans="43:89">
      <c r="AQ289" t="s">
        <v>7</v>
      </c>
      <c r="AR289" s="1">
        <v>0.5</v>
      </c>
      <c r="AS289" t="s">
        <v>8</v>
      </c>
      <c r="AT289" s="1">
        <v>0</v>
      </c>
      <c r="AU289" s="1">
        <v>3.2820414901683699E-2</v>
      </c>
      <c r="AW289" t="s">
        <v>4</v>
      </c>
      <c r="AX289">
        <v>0</v>
      </c>
      <c r="AY289" t="s">
        <v>5</v>
      </c>
      <c r="AZ289">
        <v>287</v>
      </c>
      <c r="BA289" t="s">
        <v>6</v>
      </c>
      <c r="BB289" s="1">
        <v>0.44921879999999997</v>
      </c>
      <c r="BC289" t="s">
        <v>7</v>
      </c>
      <c r="BD289" s="1">
        <v>0.5</v>
      </c>
      <c r="BE289" t="s">
        <v>8</v>
      </c>
      <c r="BF289" s="1">
        <v>0</v>
      </c>
      <c r="BG289" s="1">
        <f t="shared" si="20"/>
        <v>0.89843759999999995</v>
      </c>
      <c r="BH289" s="1">
        <v>16.3026348604247</v>
      </c>
      <c r="BJ289" t="s">
        <v>4</v>
      </c>
      <c r="BK289">
        <v>0</v>
      </c>
      <c r="BL289" t="s">
        <v>5</v>
      </c>
      <c r="BM289">
        <v>287</v>
      </c>
      <c r="BN289" t="s">
        <v>6</v>
      </c>
      <c r="BO289" s="1">
        <v>0.44921879999999997</v>
      </c>
      <c r="BP289" t="s">
        <v>7</v>
      </c>
      <c r="BQ289" s="1">
        <v>0.5</v>
      </c>
      <c r="BR289" t="s">
        <v>8</v>
      </c>
      <c r="BS289" s="1">
        <v>0</v>
      </c>
      <c r="BT289" s="1">
        <v>16.2859278098177</v>
      </c>
      <c r="BU289" s="1">
        <f t="shared" si="21"/>
        <v>0.89843759999999995</v>
      </c>
      <c r="BV289" s="1">
        <f t="shared" si="22"/>
        <v>16.2859278098177</v>
      </c>
      <c r="BX289" s="1">
        <v>287</v>
      </c>
      <c r="BY289" s="1">
        <v>10.222261479086599</v>
      </c>
      <c r="CA289" t="s">
        <v>4</v>
      </c>
      <c r="CB289">
        <v>0</v>
      </c>
      <c r="CC289" t="s">
        <v>5</v>
      </c>
      <c r="CD289">
        <v>287</v>
      </c>
      <c r="CE289" t="s">
        <v>6</v>
      </c>
      <c r="CF289" s="1">
        <v>0.44921879999999997</v>
      </c>
      <c r="CG289" t="s">
        <v>7</v>
      </c>
      <c r="CH289" s="1">
        <v>0.5</v>
      </c>
      <c r="CI289" t="s">
        <v>8</v>
      </c>
      <c r="CJ289" s="1">
        <v>0</v>
      </c>
      <c r="CK289" s="1">
        <v>9.8791012613657596</v>
      </c>
    </row>
    <row r="290" spans="43:89">
      <c r="AQ290" t="s">
        <v>7</v>
      </c>
      <c r="AR290" s="1">
        <v>0.5</v>
      </c>
      <c r="AS290" t="s">
        <v>8</v>
      </c>
      <c r="AT290" s="1">
        <v>0</v>
      </c>
      <c r="AU290" s="1">
        <v>3.2635824694931898E-2</v>
      </c>
      <c r="AW290" t="s">
        <v>4</v>
      </c>
      <c r="AX290">
        <v>0</v>
      </c>
      <c r="AY290" t="s">
        <v>5</v>
      </c>
      <c r="AZ290">
        <v>288</v>
      </c>
      <c r="BA290" t="s">
        <v>6</v>
      </c>
      <c r="BB290" s="1">
        <v>0.4507813</v>
      </c>
      <c r="BC290" t="s">
        <v>7</v>
      </c>
      <c r="BD290" s="1">
        <v>0.5</v>
      </c>
      <c r="BE290" t="s">
        <v>8</v>
      </c>
      <c r="BF290" s="1">
        <v>0</v>
      </c>
      <c r="BG290" s="1">
        <f t="shared" si="20"/>
        <v>0.90156259999999999</v>
      </c>
      <c r="BH290" s="1">
        <v>16.534722919764299</v>
      </c>
      <c r="BJ290" t="s">
        <v>4</v>
      </c>
      <c r="BK290">
        <v>0</v>
      </c>
      <c r="BL290" t="s">
        <v>5</v>
      </c>
      <c r="BM290">
        <v>288</v>
      </c>
      <c r="BN290" t="s">
        <v>6</v>
      </c>
      <c r="BO290" s="1">
        <v>0.4507813</v>
      </c>
      <c r="BP290" t="s">
        <v>7</v>
      </c>
      <c r="BQ290" s="1">
        <v>0.5</v>
      </c>
      <c r="BR290" t="s">
        <v>8</v>
      </c>
      <c r="BS290" s="1">
        <v>0</v>
      </c>
      <c r="BT290" s="1">
        <v>16.515473471830799</v>
      </c>
      <c r="BU290" s="1">
        <f t="shared" si="21"/>
        <v>0.90156259999999999</v>
      </c>
      <c r="BV290" s="1">
        <f t="shared" si="22"/>
        <v>16.515473471830799</v>
      </c>
      <c r="BX290" s="1">
        <v>288</v>
      </c>
      <c r="BY290" s="1">
        <v>9.6336087282610894</v>
      </c>
      <c r="CA290" t="s">
        <v>4</v>
      </c>
      <c r="CB290">
        <v>0</v>
      </c>
      <c r="CC290" t="s">
        <v>5</v>
      </c>
      <c r="CD290">
        <v>288</v>
      </c>
      <c r="CE290" t="s">
        <v>6</v>
      </c>
      <c r="CF290" s="1">
        <v>0.4507813</v>
      </c>
      <c r="CG290" t="s">
        <v>7</v>
      </c>
      <c r="CH290" s="1">
        <v>0.5</v>
      </c>
      <c r="CI290" t="s">
        <v>8</v>
      </c>
      <c r="CJ290" s="1">
        <v>0</v>
      </c>
      <c r="CK290" s="1">
        <v>9.7532094162313694</v>
      </c>
    </row>
    <row r="291" spans="43:89">
      <c r="AQ291" t="s">
        <v>7</v>
      </c>
      <c r="AR291" s="1">
        <v>0.5</v>
      </c>
      <c r="AS291" t="s">
        <v>8</v>
      </c>
      <c r="AT291" s="1">
        <v>0</v>
      </c>
      <c r="AU291" s="1">
        <v>3.2447236203339898E-2</v>
      </c>
      <c r="AW291" t="s">
        <v>4</v>
      </c>
      <c r="AX291">
        <v>0</v>
      </c>
      <c r="AY291" t="s">
        <v>5</v>
      </c>
      <c r="AZ291">
        <v>289</v>
      </c>
      <c r="BA291" t="s">
        <v>6</v>
      </c>
      <c r="BB291" s="1">
        <v>0.45234370000000002</v>
      </c>
      <c r="BC291" t="s">
        <v>7</v>
      </c>
      <c r="BD291" s="1">
        <v>0.5</v>
      </c>
      <c r="BE291" t="s">
        <v>8</v>
      </c>
      <c r="BF291" s="1">
        <v>0</v>
      </c>
      <c r="BG291" s="1">
        <f t="shared" si="20"/>
        <v>0.90468740000000003</v>
      </c>
      <c r="BH291" s="1">
        <v>16.286938367280101</v>
      </c>
      <c r="BJ291" t="s">
        <v>4</v>
      </c>
      <c r="BK291">
        <v>0</v>
      </c>
      <c r="BL291" t="s">
        <v>5</v>
      </c>
      <c r="BM291">
        <v>289</v>
      </c>
      <c r="BN291" t="s">
        <v>6</v>
      </c>
      <c r="BO291" s="1">
        <v>0.45234370000000002</v>
      </c>
      <c r="BP291" t="s">
        <v>7</v>
      </c>
      <c r="BQ291" s="1">
        <v>0.5</v>
      </c>
      <c r="BR291" t="s">
        <v>8</v>
      </c>
      <c r="BS291" s="1">
        <v>0</v>
      </c>
      <c r="BT291" s="1">
        <v>16.265315223305802</v>
      </c>
      <c r="BU291" s="1">
        <f t="shared" si="21"/>
        <v>0.90468740000000003</v>
      </c>
      <c r="BV291" s="1">
        <f t="shared" si="22"/>
        <v>16.265315223305802</v>
      </c>
      <c r="BX291" s="1">
        <v>289</v>
      </c>
      <c r="BY291" s="1">
        <v>9.0126165908356395</v>
      </c>
      <c r="CA291" t="s">
        <v>4</v>
      </c>
      <c r="CB291">
        <v>0</v>
      </c>
      <c r="CC291" t="s">
        <v>5</v>
      </c>
      <c r="CD291">
        <v>289</v>
      </c>
      <c r="CE291" t="s">
        <v>6</v>
      </c>
      <c r="CF291" s="1">
        <v>0.45234370000000002</v>
      </c>
      <c r="CG291" t="s">
        <v>7</v>
      </c>
      <c r="CH291" s="1">
        <v>0.5</v>
      </c>
      <c r="CI291" t="s">
        <v>8</v>
      </c>
      <c r="CJ291" s="1">
        <v>0</v>
      </c>
      <c r="CK291" s="1">
        <v>9.6208754205467706</v>
      </c>
    </row>
    <row r="292" spans="43:89">
      <c r="AQ292" t="s">
        <v>7</v>
      </c>
      <c r="AR292" s="1">
        <v>0.5</v>
      </c>
      <c r="AS292" t="s">
        <v>8</v>
      </c>
      <c r="AT292" s="1">
        <v>0</v>
      </c>
      <c r="AU292" s="1">
        <v>3.2254754486277903E-2</v>
      </c>
      <c r="AW292" t="s">
        <v>4</v>
      </c>
      <c r="AX292">
        <v>0</v>
      </c>
      <c r="AY292" t="s">
        <v>5</v>
      </c>
      <c r="AZ292">
        <v>290</v>
      </c>
      <c r="BA292" t="s">
        <v>6</v>
      </c>
      <c r="BB292" s="1">
        <v>0.45390629999999998</v>
      </c>
      <c r="BC292" t="s">
        <v>7</v>
      </c>
      <c r="BD292" s="1">
        <v>0.5</v>
      </c>
      <c r="BE292" t="s">
        <v>8</v>
      </c>
      <c r="BF292" s="1">
        <v>0</v>
      </c>
      <c r="BG292" s="1">
        <f t="shared" si="20"/>
        <v>0.90781259999999997</v>
      </c>
      <c r="BH292" s="1">
        <v>15.557481512651</v>
      </c>
      <c r="BJ292" t="s">
        <v>4</v>
      </c>
      <c r="BK292">
        <v>0</v>
      </c>
      <c r="BL292" t="s">
        <v>5</v>
      </c>
      <c r="BM292">
        <v>290</v>
      </c>
      <c r="BN292" t="s">
        <v>6</v>
      </c>
      <c r="BO292" s="1">
        <v>0.45390629999999998</v>
      </c>
      <c r="BP292" t="s">
        <v>7</v>
      </c>
      <c r="BQ292" s="1">
        <v>0.5</v>
      </c>
      <c r="BR292" t="s">
        <v>8</v>
      </c>
      <c r="BS292" s="1">
        <v>0</v>
      </c>
      <c r="BT292" s="1">
        <v>15.5326965610451</v>
      </c>
      <c r="BU292" s="1">
        <f t="shared" si="21"/>
        <v>0.90781259999999997</v>
      </c>
      <c r="BV292" s="1">
        <f t="shared" si="22"/>
        <v>15.5326965610451</v>
      </c>
      <c r="BX292" s="1">
        <v>290</v>
      </c>
      <c r="BY292" s="1">
        <v>8.3577526638459201</v>
      </c>
      <c r="CA292" t="s">
        <v>4</v>
      </c>
      <c r="CB292">
        <v>0</v>
      </c>
      <c r="CC292" t="s">
        <v>5</v>
      </c>
      <c r="CD292">
        <v>290</v>
      </c>
      <c r="CE292" t="s">
        <v>6</v>
      </c>
      <c r="CF292" s="1">
        <v>0.45390629999999998</v>
      </c>
      <c r="CG292" t="s">
        <v>7</v>
      </c>
      <c r="CH292" s="1">
        <v>0.5</v>
      </c>
      <c r="CI292" t="s">
        <v>8</v>
      </c>
      <c r="CJ292" s="1">
        <v>0</v>
      </c>
      <c r="CK292" s="1">
        <v>9.4824364064789197</v>
      </c>
    </row>
    <row r="293" spans="43:89">
      <c r="AQ293" t="s">
        <v>7</v>
      </c>
      <c r="AR293" s="1">
        <v>0.5</v>
      </c>
      <c r="AS293" t="s">
        <v>8</v>
      </c>
      <c r="AT293" s="1">
        <v>0</v>
      </c>
      <c r="AU293" s="1">
        <v>3.2058592706986598E-2</v>
      </c>
      <c r="AW293" t="s">
        <v>4</v>
      </c>
      <c r="AX293">
        <v>0</v>
      </c>
      <c r="AY293" t="s">
        <v>5</v>
      </c>
      <c r="AZ293">
        <v>291</v>
      </c>
      <c r="BA293" t="s">
        <v>6</v>
      </c>
      <c r="BB293" s="1">
        <v>0.45546880000000001</v>
      </c>
      <c r="BC293" t="s">
        <v>7</v>
      </c>
      <c r="BD293" s="1">
        <v>0.5</v>
      </c>
      <c r="BE293" t="s">
        <v>8</v>
      </c>
      <c r="BF293" s="1">
        <v>0</v>
      </c>
      <c r="BG293" s="1">
        <f t="shared" si="20"/>
        <v>0.91093760000000001</v>
      </c>
      <c r="BH293" s="1">
        <v>14.3449037500089</v>
      </c>
      <c r="BJ293" t="s">
        <v>4</v>
      </c>
      <c r="BK293">
        <v>0</v>
      </c>
      <c r="BL293" t="s">
        <v>5</v>
      </c>
      <c r="BM293">
        <v>291</v>
      </c>
      <c r="BN293" t="s">
        <v>6</v>
      </c>
      <c r="BO293" s="1">
        <v>0.45546880000000001</v>
      </c>
      <c r="BP293" t="s">
        <v>7</v>
      </c>
      <c r="BQ293" s="1">
        <v>0.5</v>
      </c>
      <c r="BR293" t="s">
        <v>8</v>
      </c>
      <c r="BS293" s="1">
        <v>0</v>
      </c>
      <c r="BT293" s="1">
        <v>14.316126656943601</v>
      </c>
      <c r="BU293" s="1">
        <f t="shared" si="21"/>
        <v>0.91093760000000001</v>
      </c>
      <c r="BV293" s="1">
        <f t="shared" si="22"/>
        <v>14.316126656943601</v>
      </c>
      <c r="BX293" s="1">
        <v>291</v>
      </c>
      <c r="BY293" s="1">
        <v>7.6681856549420297</v>
      </c>
      <c r="CA293" t="s">
        <v>4</v>
      </c>
      <c r="CB293">
        <v>0</v>
      </c>
      <c r="CC293" t="s">
        <v>5</v>
      </c>
      <c r="CD293">
        <v>291</v>
      </c>
      <c r="CE293" t="s">
        <v>6</v>
      </c>
      <c r="CF293" s="1">
        <v>0.45546880000000001</v>
      </c>
      <c r="CG293" t="s">
        <v>7</v>
      </c>
      <c r="CH293" s="1">
        <v>0.5</v>
      </c>
      <c r="CI293" t="s">
        <v>8</v>
      </c>
      <c r="CJ293" s="1">
        <v>0</v>
      </c>
      <c r="CK293" s="1">
        <v>9.3383821764862596</v>
      </c>
    </row>
    <row r="294" spans="43:89">
      <c r="AQ294" t="s">
        <v>7</v>
      </c>
      <c r="AR294" s="1">
        <v>0.5</v>
      </c>
      <c r="AS294" t="s">
        <v>8</v>
      </c>
      <c r="AT294" s="1">
        <v>0</v>
      </c>
      <c r="AU294" s="1">
        <v>3.1859087413235197E-2</v>
      </c>
      <c r="AW294" t="s">
        <v>4</v>
      </c>
      <c r="AX294">
        <v>0</v>
      </c>
      <c r="AY294" t="s">
        <v>5</v>
      </c>
      <c r="AZ294">
        <v>292</v>
      </c>
      <c r="BA294" t="s">
        <v>6</v>
      </c>
      <c r="BB294" s="1">
        <v>0.45703120000000003</v>
      </c>
      <c r="BC294" t="s">
        <v>7</v>
      </c>
      <c r="BD294" s="1">
        <v>0.5</v>
      </c>
      <c r="BE294" t="s">
        <v>8</v>
      </c>
      <c r="BF294" s="1">
        <v>0</v>
      </c>
      <c r="BG294" s="1">
        <f t="shared" si="20"/>
        <v>0.91406240000000005</v>
      </c>
      <c r="BH294" s="1">
        <v>12.647695306785</v>
      </c>
      <c r="BJ294" t="s">
        <v>4</v>
      </c>
      <c r="BK294">
        <v>0</v>
      </c>
      <c r="BL294" t="s">
        <v>5</v>
      </c>
      <c r="BM294">
        <v>292</v>
      </c>
      <c r="BN294" t="s">
        <v>6</v>
      </c>
      <c r="BO294" s="1">
        <v>0.45703120000000003</v>
      </c>
      <c r="BP294" t="s">
        <v>7</v>
      </c>
      <c r="BQ294" s="1">
        <v>0.5</v>
      </c>
      <c r="BR294" t="s">
        <v>8</v>
      </c>
      <c r="BS294" s="1">
        <v>0</v>
      </c>
      <c r="BT294" s="1">
        <v>12.6136491026159</v>
      </c>
      <c r="BU294" s="1">
        <f t="shared" si="21"/>
        <v>0.91406240000000005</v>
      </c>
      <c r="BV294" s="1">
        <f t="shared" si="22"/>
        <v>12.6136491026159</v>
      </c>
      <c r="BX294" s="1">
        <v>292</v>
      </c>
      <c r="BY294" s="1">
        <v>6.9415489353921602</v>
      </c>
      <c r="CA294" t="s">
        <v>4</v>
      </c>
      <c r="CB294">
        <v>0</v>
      </c>
      <c r="CC294" t="s">
        <v>5</v>
      </c>
      <c r="CD294">
        <v>292</v>
      </c>
      <c r="CE294" t="s">
        <v>6</v>
      </c>
      <c r="CF294" s="1">
        <v>0.45703120000000003</v>
      </c>
      <c r="CG294" t="s">
        <v>7</v>
      </c>
      <c r="CH294" s="1">
        <v>0.5</v>
      </c>
      <c r="CI294" t="s">
        <v>8</v>
      </c>
      <c r="CJ294" s="1">
        <v>0</v>
      </c>
      <c r="CK294" s="1">
        <v>9.1886588228552597</v>
      </c>
    </row>
    <row r="295" spans="43:89">
      <c r="AQ295" t="s">
        <v>7</v>
      </c>
      <c r="AR295" s="1">
        <v>0.5</v>
      </c>
      <c r="AS295" t="s">
        <v>8</v>
      </c>
      <c r="AT295" s="1">
        <v>0</v>
      </c>
      <c r="AU295" s="1">
        <v>3.1656556254252198E-2</v>
      </c>
      <c r="AW295" t="s">
        <v>4</v>
      </c>
      <c r="AX295">
        <v>0</v>
      </c>
      <c r="AY295" t="s">
        <v>5</v>
      </c>
      <c r="AZ295">
        <v>293</v>
      </c>
      <c r="BA295" t="s">
        <v>6</v>
      </c>
      <c r="BB295" s="1">
        <v>0.4585938</v>
      </c>
      <c r="BC295" t="s">
        <v>7</v>
      </c>
      <c r="BD295" s="1">
        <v>0.5</v>
      </c>
      <c r="BE295" t="s">
        <v>8</v>
      </c>
      <c r="BF295" s="1">
        <v>0</v>
      </c>
      <c r="BG295" s="1">
        <f t="shared" si="20"/>
        <v>0.91718759999999999</v>
      </c>
      <c r="BH295" s="1">
        <v>10.4654582498196</v>
      </c>
      <c r="BJ295" t="s">
        <v>4</v>
      </c>
      <c r="BK295">
        <v>0</v>
      </c>
      <c r="BL295" t="s">
        <v>5</v>
      </c>
      <c r="BM295">
        <v>293</v>
      </c>
      <c r="BN295" t="s">
        <v>6</v>
      </c>
      <c r="BO295" s="1">
        <v>0.4585938</v>
      </c>
      <c r="BP295" t="s">
        <v>7</v>
      </c>
      <c r="BQ295" s="1">
        <v>0.5</v>
      </c>
      <c r="BR295" t="s">
        <v>8</v>
      </c>
      <c r="BS295" s="1">
        <v>0</v>
      </c>
      <c r="BT295" s="1">
        <v>10.424025641539799</v>
      </c>
      <c r="BU295" s="1">
        <f t="shared" si="21"/>
        <v>0.91718759999999999</v>
      </c>
      <c r="BV295" s="1">
        <f t="shared" si="22"/>
        <v>10.424025641539799</v>
      </c>
      <c r="BX295" s="1">
        <v>293</v>
      </c>
      <c r="BY295" s="1">
        <v>6.1757855188329298</v>
      </c>
      <c r="CA295" t="s">
        <v>4</v>
      </c>
      <c r="CB295">
        <v>0</v>
      </c>
      <c r="CC295" t="s">
        <v>5</v>
      </c>
      <c r="CD295">
        <v>293</v>
      </c>
      <c r="CE295" t="s">
        <v>6</v>
      </c>
      <c r="CF295" s="1">
        <v>0.4585938</v>
      </c>
      <c r="CG295" t="s">
        <v>7</v>
      </c>
      <c r="CH295" s="1">
        <v>0.5</v>
      </c>
      <c r="CI295" t="s">
        <v>8</v>
      </c>
      <c r="CJ295" s="1">
        <v>0</v>
      </c>
      <c r="CK295" s="1">
        <v>9.0336184017995595</v>
      </c>
    </row>
    <row r="296" spans="43:89">
      <c r="AQ296" t="s">
        <v>7</v>
      </c>
      <c r="AR296" s="1">
        <v>0.5</v>
      </c>
      <c r="AS296" t="s">
        <v>8</v>
      </c>
      <c r="AT296" s="1">
        <v>0</v>
      </c>
      <c r="AU296" s="1">
        <v>3.1451452011873798E-2</v>
      </c>
      <c r="AW296" t="s">
        <v>4</v>
      </c>
      <c r="AX296">
        <v>0</v>
      </c>
      <c r="AY296" t="s">
        <v>5</v>
      </c>
      <c r="AZ296">
        <v>294</v>
      </c>
      <c r="BA296" t="s">
        <v>6</v>
      </c>
      <c r="BB296" s="1">
        <v>0.46015620000000002</v>
      </c>
      <c r="BC296" t="s">
        <v>7</v>
      </c>
      <c r="BD296" s="1">
        <v>0.5</v>
      </c>
      <c r="BE296" t="s">
        <v>8</v>
      </c>
      <c r="BF296" s="1">
        <v>0</v>
      </c>
      <c r="BG296" s="1">
        <f t="shared" si="20"/>
        <v>0.92031240000000003</v>
      </c>
      <c r="BH296" s="1">
        <v>7.7977590994818602</v>
      </c>
      <c r="BJ296" t="s">
        <v>4</v>
      </c>
      <c r="BK296">
        <v>0</v>
      </c>
      <c r="BL296" t="s">
        <v>5</v>
      </c>
      <c r="BM296">
        <v>294</v>
      </c>
      <c r="BN296" t="s">
        <v>6</v>
      </c>
      <c r="BO296" s="1">
        <v>0.46015620000000002</v>
      </c>
      <c r="BP296" t="s">
        <v>7</v>
      </c>
      <c r="BQ296" s="1">
        <v>0.5</v>
      </c>
      <c r="BR296" t="s">
        <v>8</v>
      </c>
      <c r="BS296" s="1">
        <v>0</v>
      </c>
      <c r="BT296" s="1">
        <v>7.7461436402360002</v>
      </c>
      <c r="BU296" s="1">
        <f t="shared" si="21"/>
        <v>0.92031240000000003</v>
      </c>
      <c r="BV296" s="1">
        <f t="shared" si="22"/>
        <v>7.7461436402360002</v>
      </c>
      <c r="BX296" s="1">
        <v>294</v>
      </c>
      <c r="BY296" s="1">
        <v>5.3695410730257702</v>
      </c>
      <c r="CA296" t="s">
        <v>4</v>
      </c>
      <c r="CB296">
        <v>0</v>
      </c>
      <c r="CC296" t="s">
        <v>5</v>
      </c>
      <c r="CD296">
        <v>294</v>
      </c>
      <c r="CE296" t="s">
        <v>6</v>
      </c>
      <c r="CF296" s="1">
        <v>0.46015620000000002</v>
      </c>
      <c r="CG296" t="s">
        <v>7</v>
      </c>
      <c r="CH296" s="1">
        <v>0.5</v>
      </c>
      <c r="CI296" t="s">
        <v>8</v>
      </c>
      <c r="CJ296" s="1">
        <v>0</v>
      </c>
      <c r="CK296" s="1">
        <v>8.8739162514613703</v>
      </c>
    </row>
    <row r="297" spans="43:89">
      <c r="AQ297" t="s">
        <v>7</v>
      </c>
      <c r="AR297" s="1">
        <v>0.5</v>
      </c>
      <c r="AS297" t="s">
        <v>8</v>
      </c>
      <c r="AT297" s="1">
        <v>0</v>
      </c>
      <c r="AU297" s="1">
        <v>3.1243338511714701E-2</v>
      </c>
      <c r="AW297" t="s">
        <v>4</v>
      </c>
      <c r="AX297">
        <v>0</v>
      </c>
      <c r="AY297" t="s">
        <v>5</v>
      </c>
      <c r="AZ297">
        <v>295</v>
      </c>
      <c r="BA297" t="s">
        <v>6</v>
      </c>
      <c r="BB297" s="1">
        <v>0.46171879999999998</v>
      </c>
      <c r="BC297" t="s">
        <v>7</v>
      </c>
      <c r="BD297" s="1">
        <v>0.5</v>
      </c>
      <c r="BE297" t="s">
        <v>8</v>
      </c>
      <c r="BF297" s="1">
        <v>0</v>
      </c>
      <c r="BG297" s="1">
        <f t="shared" si="20"/>
        <v>0.92343759999999997</v>
      </c>
      <c r="BH297" s="1">
        <v>4.6448689836522901</v>
      </c>
      <c r="BJ297" t="s">
        <v>4</v>
      </c>
      <c r="BK297">
        <v>0</v>
      </c>
      <c r="BL297" t="s">
        <v>5</v>
      </c>
      <c r="BM297">
        <v>295</v>
      </c>
      <c r="BN297" t="s">
        <v>6</v>
      </c>
      <c r="BO297" s="1">
        <v>0.46171879999999998</v>
      </c>
      <c r="BP297" t="s">
        <v>7</v>
      </c>
      <c r="BQ297" s="1">
        <v>0.5</v>
      </c>
      <c r="BR297" t="s">
        <v>8</v>
      </c>
      <c r="BS297" s="1">
        <v>0</v>
      </c>
      <c r="BT297" s="1">
        <v>4.5798991670748803</v>
      </c>
      <c r="BU297" s="1">
        <f t="shared" si="21"/>
        <v>0.92343759999999997</v>
      </c>
      <c r="BV297" s="1">
        <f t="shared" si="22"/>
        <v>4.5798991670748803</v>
      </c>
      <c r="BX297" s="1">
        <v>295</v>
      </c>
      <c r="BY297" s="1">
        <v>4.5227041049094003</v>
      </c>
      <c r="CA297" t="s">
        <v>4</v>
      </c>
      <c r="CB297">
        <v>0</v>
      </c>
      <c r="CC297" t="s">
        <v>5</v>
      </c>
      <c r="CD297">
        <v>295</v>
      </c>
      <c r="CE297" t="s">
        <v>6</v>
      </c>
      <c r="CF297" s="1">
        <v>0.46171879999999998</v>
      </c>
      <c r="CG297" t="s">
        <v>7</v>
      </c>
      <c r="CH297" s="1">
        <v>0.5</v>
      </c>
      <c r="CI297" t="s">
        <v>8</v>
      </c>
      <c r="CJ297" s="1">
        <v>0</v>
      </c>
      <c r="CK297" s="1">
        <v>8.7105465483208899</v>
      </c>
    </row>
    <row r="298" spans="43:89">
      <c r="AQ298" t="s">
        <v>7</v>
      </c>
      <c r="AR298" s="1">
        <v>0.5</v>
      </c>
      <c r="AS298" t="s">
        <v>8</v>
      </c>
      <c r="AT298" s="1">
        <v>0</v>
      </c>
      <c r="AU298" s="1">
        <v>3.1034319402147199E-2</v>
      </c>
      <c r="AW298" t="s">
        <v>4</v>
      </c>
      <c r="AX298">
        <v>0</v>
      </c>
      <c r="AY298" t="s">
        <v>5</v>
      </c>
      <c r="AZ298">
        <v>296</v>
      </c>
      <c r="BA298" t="s">
        <v>6</v>
      </c>
      <c r="BB298" s="1">
        <v>0.4632812</v>
      </c>
      <c r="BC298" t="s">
        <v>7</v>
      </c>
      <c r="BD298" s="1">
        <v>0.5</v>
      </c>
      <c r="BE298" t="s">
        <v>8</v>
      </c>
      <c r="BF298" s="1">
        <v>0</v>
      </c>
      <c r="BG298" s="1">
        <f t="shared" si="20"/>
        <v>0.92656240000000001</v>
      </c>
      <c r="BH298" s="1">
        <v>1.0080022499980901</v>
      </c>
      <c r="BJ298" t="s">
        <v>4</v>
      </c>
      <c r="BK298">
        <v>0</v>
      </c>
      <c r="BL298" t="s">
        <v>5</v>
      </c>
      <c r="BM298">
        <v>296</v>
      </c>
      <c r="BN298" t="s">
        <v>6</v>
      </c>
      <c r="BO298" s="1">
        <v>0.4632812</v>
      </c>
      <c r="BP298" t="s">
        <v>7</v>
      </c>
      <c r="BQ298" s="1">
        <v>0.5</v>
      </c>
      <c r="BR298" t="s">
        <v>8</v>
      </c>
      <c r="BS298" s="1">
        <v>0</v>
      </c>
      <c r="BT298" s="1">
        <v>0.92448900094515796</v>
      </c>
      <c r="BU298" s="1">
        <f t="shared" si="21"/>
        <v>0.92656240000000001</v>
      </c>
      <c r="BV298" s="1">
        <f t="shared" si="22"/>
        <v>0.92448900094515796</v>
      </c>
      <c r="BX298" s="1">
        <v>296</v>
      </c>
      <c r="BY298" s="1">
        <v>3.6348390625908298</v>
      </c>
      <c r="CA298" t="s">
        <v>4</v>
      </c>
      <c r="CB298">
        <v>0</v>
      </c>
      <c r="CC298" t="s">
        <v>5</v>
      </c>
      <c r="CD298">
        <v>296</v>
      </c>
      <c r="CE298" t="s">
        <v>6</v>
      </c>
      <c r="CF298" s="1">
        <v>0.4632812</v>
      </c>
      <c r="CG298" t="s">
        <v>7</v>
      </c>
      <c r="CH298" s="1">
        <v>0.5</v>
      </c>
      <c r="CI298" t="s">
        <v>8</v>
      </c>
      <c r="CJ298" s="1">
        <v>0</v>
      </c>
      <c r="CK298" s="1">
        <v>8.5453135584175008</v>
      </c>
    </row>
    <row r="299" spans="43:89">
      <c r="AQ299" t="s">
        <v>7</v>
      </c>
      <c r="AR299" s="1">
        <v>0.5</v>
      </c>
      <c r="AS299" t="s">
        <v>8</v>
      </c>
      <c r="AT299" s="1">
        <v>0</v>
      </c>
      <c r="AU299" s="1">
        <v>3.0826755556250501E-2</v>
      </c>
      <c r="AW299" t="s">
        <v>4</v>
      </c>
      <c r="AX299">
        <v>0</v>
      </c>
      <c r="AY299" t="s">
        <v>5</v>
      </c>
      <c r="AZ299">
        <v>297</v>
      </c>
      <c r="BA299" t="s">
        <v>6</v>
      </c>
      <c r="BB299" s="1">
        <v>0.46484379999999997</v>
      </c>
      <c r="BC299" t="s">
        <v>7</v>
      </c>
      <c r="BD299" s="1">
        <v>0.5</v>
      </c>
      <c r="BE299" t="s">
        <v>8</v>
      </c>
      <c r="BF299" s="1">
        <v>0</v>
      </c>
      <c r="BG299" s="1">
        <f t="shared" si="20"/>
        <v>0.92968759999999995</v>
      </c>
      <c r="BH299" s="1">
        <v>-3.1124546414286698</v>
      </c>
      <c r="BJ299" t="s">
        <v>4</v>
      </c>
      <c r="BK299">
        <v>0</v>
      </c>
      <c r="BL299" t="s">
        <v>5</v>
      </c>
      <c r="BM299">
        <v>297</v>
      </c>
      <c r="BN299" t="s">
        <v>6</v>
      </c>
      <c r="BO299" s="1">
        <v>0.46484379999999997</v>
      </c>
      <c r="BP299" t="s">
        <v>7</v>
      </c>
      <c r="BQ299" s="1">
        <v>0.5</v>
      </c>
      <c r="BR299" t="s">
        <v>8</v>
      </c>
      <c r="BS299" s="1">
        <v>0</v>
      </c>
      <c r="BT299" s="1">
        <v>-3.2198016694757898</v>
      </c>
      <c r="BU299" s="1">
        <f t="shared" si="21"/>
        <v>0.92968759999999995</v>
      </c>
      <c r="BV299" s="1">
        <f t="shared" si="22"/>
        <v>-3.2198016694757898</v>
      </c>
      <c r="BX299" s="1">
        <v>297</v>
      </c>
      <c r="BY299" s="1">
        <v>2.7053285284161501</v>
      </c>
      <c r="CA299" t="s">
        <v>4</v>
      </c>
      <c r="CB299">
        <v>0</v>
      </c>
      <c r="CC299" t="s">
        <v>5</v>
      </c>
      <c r="CD299">
        <v>297</v>
      </c>
      <c r="CE299" t="s">
        <v>6</v>
      </c>
      <c r="CF299" s="1">
        <v>0.46484379999999997</v>
      </c>
      <c r="CG299" t="s">
        <v>7</v>
      </c>
      <c r="CH299" s="1">
        <v>0.5</v>
      </c>
      <c r="CI299" t="s">
        <v>8</v>
      </c>
      <c r="CJ299" s="1">
        <v>0</v>
      </c>
      <c r="CK299" s="1">
        <v>8.3782915670752107</v>
      </c>
    </row>
    <row r="300" spans="43:89">
      <c r="AQ300" t="s">
        <v>7</v>
      </c>
      <c r="AR300" s="1">
        <v>0.5</v>
      </c>
      <c r="AS300" t="s">
        <v>8</v>
      </c>
      <c r="AT300" s="1">
        <v>0</v>
      </c>
      <c r="AU300" s="1">
        <v>3.06146912775438E-2</v>
      </c>
      <c r="AW300" t="s">
        <v>4</v>
      </c>
      <c r="AX300">
        <v>0</v>
      </c>
      <c r="AY300" t="s">
        <v>5</v>
      </c>
      <c r="AZ300">
        <v>298</v>
      </c>
      <c r="BA300" t="s">
        <v>6</v>
      </c>
      <c r="BB300" s="1">
        <v>0.46640619999999999</v>
      </c>
      <c r="BC300" t="s">
        <v>7</v>
      </c>
      <c r="BD300" s="1">
        <v>0.5</v>
      </c>
      <c r="BE300" t="s">
        <v>8</v>
      </c>
      <c r="BF300" s="1">
        <v>0</v>
      </c>
      <c r="BG300" s="1">
        <f t="shared" si="20"/>
        <v>0.93281239999999999</v>
      </c>
      <c r="BH300" s="1">
        <v>-7.7148876104311404</v>
      </c>
      <c r="BJ300" t="s">
        <v>4</v>
      </c>
      <c r="BK300">
        <v>0</v>
      </c>
      <c r="BL300" t="s">
        <v>5</v>
      </c>
      <c r="BM300">
        <v>298</v>
      </c>
      <c r="BN300" t="s">
        <v>6</v>
      </c>
      <c r="BO300" s="1">
        <v>0.46640619999999999</v>
      </c>
      <c r="BP300" t="s">
        <v>7</v>
      </c>
      <c r="BQ300" s="1">
        <v>0.5</v>
      </c>
      <c r="BR300" t="s">
        <v>8</v>
      </c>
      <c r="BS300" s="1">
        <v>0</v>
      </c>
      <c r="BT300" s="1">
        <v>-7.8528825822271404</v>
      </c>
      <c r="BU300" s="1">
        <f t="shared" si="21"/>
        <v>0.93281239999999999</v>
      </c>
      <c r="BV300" s="1">
        <f t="shared" si="22"/>
        <v>-7.8528825822271404</v>
      </c>
      <c r="BX300" s="1">
        <v>298</v>
      </c>
      <c r="BY300" s="1">
        <v>1.73312457716936</v>
      </c>
      <c r="CA300" t="s">
        <v>4</v>
      </c>
      <c r="CB300">
        <v>0</v>
      </c>
      <c r="CC300" t="s">
        <v>5</v>
      </c>
      <c r="CD300">
        <v>298</v>
      </c>
      <c r="CE300" t="s">
        <v>6</v>
      </c>
      <c r="CF300" s="1">
        <v>0.46640619999999999</v>
      </c>
      <c r="CG300" t="s">
        <v>7</v>
      </c>
      <c r="CH300" s="1">
        <v>0.5</v>
      </c>
      <c r="CI300" t="s">
        <v>8</v>
      </c>
      <c r="CJ300" s="1">
        <v>0</v>
      </c>
      <c r="CK300" s="1">
        <v>8.2111932597919104</v>
      </c>
    </row>
    <row r="301" spans="43:89">
      <c r="AQ301" t="s">
        <v>7</v>
      </c>
      <c r="AR301" s="1">
        <v>0.5</v>
      </c>
      <c r="AS301" t="s">
        <v>8</v>
      </c>
      <c r="AT301" s="1">
        <v>0</v>
      </c>
      <c r="AU301" s="1">
        <v>3.0405015167096702E-2</v>
      </c>
      <c r="AW301" t="s">
        <v>4</v>
      </c>
      <c r="AX301">
        <v>0</v>
      </c>
      <c r="AY301" t="s">
        <v>5</v>
      </c>
      <c r="AZ301">
        <v>299</v>
      </c>
      <c r="BA301" t="s">
        <v>6</v>
      </c>
      <c r="BB301" s="1">
        <v>0.46796870000000002</v>
      </c>
      <c r="BC301" t="s">
        <v>7</v>
      </c>
      <c r="BD301" s="1">
        <v>0.5</v>
      </c>
      <c r="BE301" t="s">
        <v>8</v>
      </c>
      <c r="BF301" s="1">
        <v>0</v>
      </c>
      <c r="BG301" s="1">
        <f t="shared" si="20"/>
        <v>0.93593740000000003</v>
      </c>
      <c r="BH301" s="1">
        <v>-12.797763663025099</v>
      </c>
      <c r="BJ301" t="s">
        <v>4</v>
      </c>
      <c r="BK301">
        <v>0</v>
      </c>
      <c r="BL301" t="s">
        <v>5</v>
      </c>
      <c r="BM301">
        <v>299</v>
      </c>
      <c r="BN301" t="s">
        <v>6</v>
      </c>
      <c r="BO301" s="1">
        <v>0.46796870000000002</v>
      </c>
      <c r="BP301" t="s">
        <v>7</v>
      </c>
      <c r="BQ301" s="1">
        <v>0.5</v>
      </c>
      <c r="BR301" t="s">
        <v>8</v>
      </c>
      <c r="BS301" s="1">
        <v>0</v>
      </c>
      <c r="BT301" s="1">
        <v>-12.974420359062</v>
      </c>
      <c r="BU301" s="1">
        <f t="shared" si="21"/>
        <v>0.93593740000000003</v>
      </c>
      <c r="BV301" s="1">
        <f t="shared" si="22"/>
        <v>-12.974420359062</v>
      </c>
      <c r="BX301" s="1">
        <v>299</v>
      </c>
      <c r="BY301" s="1">
        <v>0.72141775921526696</v>
      </c>
      <c r="CA301" t="s">
        <v>4</v>
      </c>
      <c r="CB301">
        <v>0</v>
      </c>
      <c r="CC301" t="s">
        <v>5</v>
      </c>
      <c r="CD301">
        <v>299</v>
      </c>
      <c r="CE301" t="s">
        <v>6</v>
      </c>
      <c r="CF301" s="1">
        <v>0.46796870000000002</v>
      </c>
      <c r="CG301" t="s">
        <v>7</v>
      </c>
      <c r="CH301" s="1">
        <v>0.5</v>
      </c>
      <c r="CI301" t="s">
        <v>8</v>
      </c>
      <c r="CJ301" s="1">
        <v>0</v>
      </c>
      <c r="CK301" s="1">
        <v>8.0477533520443707</v>
      </c>
    </row>
    <row r="302" spans="43:89">
      <c r="AQ302" t="s">
        <v>7</v>
      </c>
      <c r="AR302" s="1">
        <v>0.5</v>
      </c>
      <c r="AS302" t="s">
        <v>8</v>
      </c>
      <c r="AT302" s="1">
        <v>0</v>
      </c>
      <c r="AU302" s="1">
        <v>3.03365353421324E-2</v>
      </c>
      <c r="AW302" t="s">
        <v>4</v>
      </c>
      <c r="AX302">
        <v>0</v>
      </c>
      <c r="AY302" t="s">
        <v>5</v>
      </c>
      <c r="AZ302">
        <v>300</v>
      </c>
      <c r="BA302" t="s">
        <v>6</v>
      </c>
      <c r="BB302" s="1">
        <v>0.46953129999999998</v>
      </c>
      <c r="BC302" t="s">
        <v>7</v>
      </c>
      <c r="BD302" s="1">
        <v>0.5</v>
      </c>
      <c r="BE302" t="s">
        <v>8</v>
      </c>
      <c r="BF302" s="1">
        <v>0</v>
      </c>
      <c r="BG302" s="1">
        <f t="shared" si="20"/>
        <v>0.93906259999999997</v>
      </c>
      <c r="BH302" s="1">
        <v>-11.2486543254222</v>
      </c>
      <c r="BJ302" t="s">
        <v>4</v>
      </c>
      <c r="BK302">
        <v>0</v>
      </c>
      <c r="BL302" t="s">
        <v>5</v>
      </c>
      <c r="BM302">
        <v>300</v>
      </c>
      <c r="BN302" t="s">
        <v>6</v>
      </c>
      <c r="BO302" s="1">
        <v>0.46953129999999998</v>
      </c>
      <c r="BP302" t="s">
        <v>7</v>
      </c>
      <c r="BQ302" s="1">
        <v>0.5</v>
      </c>
      <c r="BR302" t="s">
        <v>8</v>
      </c>
      <c r="BS302" s="1">
        <v>0</v>
      </c>
      <c r="BT302" s="1">
        <v>-11.400272375889701</v>
      </c>
      <c r="BU302" s="1">
        <f t="shared" si="21"/>
        <v>0.93906259999999997</v>
      </c>
      <c r="BV302" s="1">
        <f t="shared" si="22"/>
        <v>-11.400272375889701</v>
      </c>
      <c r="BX302" s="1">
        <v>300</v>
      </c>
      <c r="BY302" s="1">
        <v>0.30119101131505799</v>
      </c>
      <c r="CA302" t="s">
        <v>4</v>
      </c>
      <c r="CB302">
        <v>0</v>
      </c>
      <c r="CC302" t="s">
        <v>5</v>
      </c>
      <c r="CD302">
        <v>300</v>
      </c>
      <c r="CE302" t="s">
        <v>6</v>
      </c>
      <c r="CF302" s="1">
        <v>0.46953129999999998</v>
      </c>
      <c r="CG302" t="s">
        <v>7</v>
      </c>
      <c r="CH302" s="1">
        <v>0.5</v>
      </c>
      <c r="CI302" t="s">
        <v>8</v>
      </c>
      <c r="CJ302" s="1">
        <v>0</v>
      </c>
      <c r="CK302" s="1">
        <v>7.9348761756876103</v>
      </c>
    </row>
    <row r="303" spans="43:89">
      <c r="AQ303" t="s">
        <v>7</v>
      </c>
      <c r="AR303" s="1">
        <v>0.5</v>
      </c>
      <c r="AS303" t="s">
        <v>8</v>
      </c>
      <c r="AT303" s="1">
        <v>0</v>
      </c>
      <c r="AU303" s="1">
        <v>3.0359437167469E-2</v>
      </c>
      <c r="AW303" t="s">
        <v>4</v>
      </c>
      <c r="AX303">
        <v>0</v>
      </c>
      <c r="AY303" t="s">
        <v>5</v>
      </c>
      <c r="AZ303">
        <v>301</v>
      </c>
      <c r="BA303" t="s">
        <v>6</v>
      </c>
      <c r="BB303" s="1">
        <v>0.47109380000000001</v>
      </c>
      <c r="BC303" t="s">
        <v>7</v>
      </c>
      <c r="BD303" s="1">
        <v>0.5</v>
      </c>
      <c r="BE303" t="s">
        <v>8</v>
      </c>
      <c r="BF303" s="1">
        <v>0</v>
      </c>
      <c r="BG303" s="1">
        <f t="shared" si="20"/>
        <v>0.94218760000000001</v>
      </c>
      <c r="BH303" s="1">
        <v>-3.5000695964838702</v>
      </c>
      <c r="BJ303" t="s">
        <v>4</v>
      </c>
      <c r="BK303">
        <v>0</v>
      </c>
      <c r="BL303" t="s">
        <v>5</v>
      </c>
      <c r="BM303">
        <v>301</v>
      </c>
      <c r="BN303" t="s">
        <v>6</v>
      </c>
      <c r="BO303" s="1">
        <v>0.47109380000000001</v>
      </c>
      <c r="BP303" t="s">
        <v>7</v>
      </c>
      <c r="BQ303" s="1">
        <v>0.5</v>
      </c>
      <c r="BR303" t="s">
        <v>8</v>
      </c>
      <c r="BS303" s="1">
        <v>0</v>
      </c>
      <c r="BT303" s="1">
        <v>-3.5598474848064101</v>
      </c>
      <c r="BU303" s="1">
        <f t="shared" si="21"/>
        <v>0.94218760000000001</v>
      </c>
      <c r="BV303" s="1">
        <f t="shared" si="22"/>
        <v>-3.5598474848064101</v>
      </c>
      <c r="BX303" s="1">
        <v>301</v>
      </c>
      <c r="BY303" s="1">
        <v>-0.95928774899843205</v>
      </c>
      <c r="CA303" t="s">
        <v>4</v>
      </c>
      <c r="CB303">
        <v>0</v>
      </c>
      <c r="CC303" t="s">
        <v>5</v>
      </c>
      <c r="CD303">
        <v>301</v>
      </c>
      <c r="CE303" t="s">
        <v>6</v>
      </c>
      <c r="CF303" s="1">
        <v>0.47109380000000001</v>
      </c>
      <c r="CG303" t="s">
        <v>7</v>
      </c>
      <c r="CH303" s="1">
        <v>0.5</v>
      </c>
      <c r="CI303" t="s">
        <v>8</v>
      </c>
      <c r="CJ303" s="1">
        <v>0</v>
      </c>
      <c r="CK303" s="1">
        <v>7.8172270775647501</v>
      </c>
    </row>
    <row r="304" spans="43:89">
      <c r="AQ304" t="s">
        <v>7</v>
      </c>
      <c r="AR304" s="1">
        <v>0.5</v>
      </c>
      <c r="AS304" t="s">
        <v>8</v>
      </c>
      <c r="AT304" s="1">
        <v>0</v>
      </c>
      <c r="AU304" s="1">
        <v>3.0309652387657E-2</v>
      </c>
      <c r="AW304" t="s">
        <v>4</v>
      </c>
      <c r="AX304">
        <v>0</v>
      </c>
      <c r="AY304" t="s">
        <v>5</v>
      </c>
      <c r="AZ304">
        <v>302</v>
      </c>
      <c r="BA304" t="s">
        <v>6</v>
      </c>
      <c r="BB304" s="1">
        <v>0.47265620000000003</v>
      </c>
      <c r="BC304" t="s">
        <v>7</v>
      </c>
      <c r="BD304" s="1">
        <v>0.5</v>
      </c>
      <c r="BE304" t="s">
        <v>8</v>
      </c>
      <c r="BF304" s="1">
        <v>0</v>
      </c>
      <c r="BG304" s="1">
        <f t="shared" si="20"/>
        <v>0.94531240000000005</v>
      </c>
      <c r="BH304" s="1">
        <v>3.1614025854348902</v>
      </c>
      <c r="BJ304" t="s">
        <v>4</v>
      </c>
      <c r="BK304">
        <v>0</v>
      </c>
      <c r="BL304" t="s">
        <v>5</v>
      </c>
      <c r="BM304">
        <v>302</v>
      </c>
      <c r="BN304" t="s">
        <v>6</v>
      </c>
      <c r="BO304" s="1">
        <v>0.47265620000000003</v>
      </c>
      <c r="BP304" t="s">
        <v>7</v>
      </c>
      <c r="BQ304" s="1">
        <v>0.5</v>
      </c>
      <c r="BR304" t="s">
        <v>8</v>
      </c>
      <c r="BS304" s="1">
        <v>0</v>
      </c>
      <c r="BT304" s="1">
        <v>3.18889017396749</v>
      </c>
      <c r="BU304" s="1">
        <f t="shared" si="21"/>
        <v>0.94531240000000005</v>
      </c>
      <c r="BV304" s="1">
        <f t="shared" si="22"/>
        <v>3.18889017396749</v>
      </c>
      <c r="BX304" s="1">
        <v>302</v>
      </c>
      <c r="BY304" s="1">
        <v>-2.1793104251578002</v>
      </c>
      <c r="CA304" t="s">
        <v>4</v>
      </c>
      <c r="CB304">
        <v>0</v>
      </c>
      <c r="CC304" t="s">
        <v>5</v>
      </c>
      <c r="CD304">
        <v>302</v>
      </c>
      <c r="CE304" t="s">
        <v>6</v>
      </c>
      <c r="CF304" s="1">
        <v>0.47265620000000003</v>
      </c>
      <c r="CG304" t="s">
        <v>7</v>
      </c>
      <c r="CH304" s="1">
        <v>0.5</v>
      </c>
      <c r="CI304" t="s">
        <v>8</v>
      </c>
      <c r="CJ304" s="1">
        <v>0</v>
      </c>
      <c r="CK304" s="1">
        <v>7.7188410973043</v>
      </c>
    </row>
    <row r="305" spans="43:89">
      <c r="AQ305" t="s">
        <v>7</v>
      </c>
      <c r="AR305" s="1">
        <v>0.5</v>
      </c>
      <c r="AS305" t="s">
        <v>8</v>
      </c>
      <c r="AT305" s="1">
        <v>0</v>
      </c>
      <c r="AU305" s="1">
        <v>3.0184264235741401E-2</v>
      </c>
      <c r="AW305" t="s">
        <v>4</v>
      </c>
      <c r="AX305">
        <v>0</v>
      </c>
      <c r="AY305" t="s">
        <v>5</v>
      </c>
      <c r="AZ305">
        <v>303</v>
      </c>
      <c r="BA305" t="s">
        <v>6</v>
      </c>
      <c r="BB305" s="1">
        <v>0.4742188</v>
      </c>
      <c r="BC305" t="s">
        <v>7</v>
      </c>
      <c r="BD305" s="1">
        <v>0.5</v>
      </c>
      <c r="BE305" t="s">
        <v>8</v>
      </c>
      <c r="BF305" s="1">
        <v>0</v>
      </c>
      <c r="BG305" s="1">
        <f t="shared" si="20"/>
        <v>0.94843759999999999</v>
      </c>
      <c r="BH305" s="1">
        <v>8.7365378812205101</v>
      </c>
      <c r="BJ305" t="s">
        <v>4</v>
      </c>
      <c r="BK305">
        <v>0</v>
      </c>
      <c r="BL305" t="s">
        <v>5</v>
      </c>
      <c r="BM305">
        <v>303</v>
      </c>
      <c r="BN305" t="s">
        <v>6</v>
      </c>
      <c r="BO305" s="1">
        <v>0.4742188</v>
      </c>
      <c r="BP305" t="s">
        <v>7</v>
      </c>
      <c r="BQ305" s="1">
        <v>0.5</v>
      </c>
      <c r="BR305" t="s">
        <v>8</v>
      </c>
      <c r="BS305" s="1">
        <v>0</v>
      </c>
      <c r="BT305" s="1">
        <v>8.8451814597078506</v>
      </c>
      <c r="BU305" s="1">
        <f t="shared" si="21"/>
        <v>0.94843759999999999</v>
      </c>
      <c r="BV305" s="1">
        <f t="shared" si="22"/>
        <v>8.8451814597078506</v>
      </c>
      <c r="BX305" s="1">
        <v>303</v>
      </c>
      <c r="BY305" s="1">
        <v>-3.3674377872166299</v>
      </c>
      <c r="CA305" t="s">
        <v>4</v>
      </c>
      <c r="CB305">
        <v>0</v>
      </c>
      <c r="CC305" t="s">
        <v>5</v>
      </c>
      <c r="CD305">
        <v>303</v>
      </c>
      <c r="CE305" t="s">
        <v>6</v>
      </c>
      <c r="CF305" s="1">
        <v>0.4742188</v>
      </c>
      <c r="CG305" t="s">
        <v>7</v>
      </c>
      <c r="CH305" s="1">
        <v>0.5</v>
      </c>
      <c r="CI305" t="s">
        <v>8</v>
      </c>
      <c r="CJ305" s="1">
        <v>0</v>
      </c>
      <c r="CK305" s="1">
        <v>7.6368006022451302</v>
      </c>
    </row>
    <row r="306" spans="43:89">
      <c r="AQ306" t="s">
        <v>7</v>
      </c>
      <c r="AR306" s="1">
        <v>0.5</v>
      </c>
      <c r="AS306" t="s">
        <v>8</v>
      </c>
      <c r="AT306" s="1">
        <v>0</v>
      </c>
      <c r="AU306" s="1">
        <v>2.9979596438364699E-2</v>
      </c>
      <c r="AW306" t="s">
        <v>4</v>
      </c>
      <c r="AX306">
        <v>0</v>
      </c>
      <c r="AY306" t="s">
        <v>5</v>
      </c>
      <c r="AZ306">
        <v>304</v>
      </c>
      <c r="BA306" t="s">
        <v>6</v>
      </c>
      <c r="BB306" s="1">
        <v>0.47578120000000002</v>
      </c>
      <c r="BC306" t="s">
        <v>7</v>
      </c>
      <c r="BD306" s="1">
        <v>0.5</v>
      </c>
      <c r="BE306" t="s">
        <v>8</v>
      </c>
      <c r="BF306" s="1">
        <v>0</v>
      </c>
      <c r="BG306" s="1">
        <f t="shared" si="20"/>
        <v>0.95156240000000003</v>
      </c>
      <c r="BH306" s="1">
        <v>13.2301104618815</v>
      </c>
      <c r="BJ306" t="s">
        <v>4</v>
      </c>
      <c r="BK306">
        <v>0</v>
      </c>
      <c r="BL306" t="s">
        <v>5</v>
      </c>
      <c r="BM306">
        <v>304</v>
      </c>
      <c r="BN306" t="s">
        <v>6</v>
      </c>
      <c r="BO306" s="1">
        <v>0.47578120000000002</v>
      </c>
      <c r="BP306" t="s">
        <v>7</v>
      </c>
      <c r="BQ306" s="1">
        <v>0.5</v>
      </c>
      <c r="BR306" t="s">
        <v>8</v>
      </c>
      <c r="BS306" s="1">
        <v>0</v>
      </c>
      <c r="BT306" s="1">
        <v>13.4127266179449</v>
      </c>
      <c r="BU306" s="1">
        <f t="shared" si="21"/>
        <v>0.95156240000000003</v>
      </c>
      <c r="BV306" s="1">
        <f t="shared" si="22"/>
        <v>13.4127266179449</v>
      </c>
      <c r="BX306" s="1">
        <v>304</v>
      </c>
      <c r="BY306" s="1">
        <v>-4.5369733754707697</v>
      </c>
      <c r="CA306" t="s">
        <v>4</v>
      </c>
      <c r="CB306">
        <v>0</v>
      </c>
      <c r="CC306" t="s">
        <v>5</v>
      </c>
      <c r="CD306">
        <v>304</v>
      </c>
      <c r="CE306" t="s">
        <v>6</v>
      </c>
      <c r="CF306" s="1">
        <v>0.47578120000000002</v>
      </c>
      <c r="CG306" t="s">
        <v>7</v>
      </c>
      <c r="CH306" s="1">
        <v>0.5</v>
      </c>
      <c r="CI306" t="s">
        <v>8</v>
      </c>
      <c r="CJ306" s="1">
        <v>0</v>
      </c>
      <c r="CK306" s="1">
        <v>7.5679400427416601</v>
      </c>
    </row>
    <row r="307" spans="43:89">
      <c r="AQ307" t="s">
        <v>7</v>
      </c>
      <c r="AR307" s="1">
        <v>0.5</v>
      </c>
      <c r="AS307" t="s">
        <v>8</v>
      </c>
      <c r="AT307" s="1">
        <v>0</v>
      </c>
      <c r="AU307" s="1">
        <v>2.96815400165602E-2</v>
      </c>
      <c r="AW307" t="s">
        <v>4</v>
      </c>
      <c r="AX307">
        <v>0</v>
      </c>
      <c r="AY307" t="s">
        <v>5</v>
      </c>
      <c r="AZ307">
        <v>305</v>
      </c>
      <c r="BA307" t="s">
        <v>6</v>
      </c>
      <c r="BB307" s="1">
        <v>0.47734379999999998</v>
      </c>
      <c r="BC307" t="s">
        <v>7</v>
      </c>
      <c r="BD307" s="1">
        <v>0.5</v>
      </c>
      <c r="BE307" t="s">
        <v>8</v>
      </c>
      <c r="BF307" s="1">
        <v>0</v>
      </c>
      <c r="BG307" s="1">
        <f t="shared" si="20"/>
        <v>0.95468759999999997</v>
      </c>
      <c r="BH307" s="1">
        <v>16.646962548707901</v>
      </c>
      <c r="BJ307" t="s">
        <v>4</v>
      </c>
      <c r="BK307">
        <v>0</v>
      </c>
      <c r="BL307" t="s">
        <v>5</v>
      </c>
      <c r="BM307">
        <v>305</v>
      </c>
      <c r="BN307" t="s">
        <v>6</v>
      </c>
      <c r="BO307" s="1">
        <v>0.47734379999999998</v>
      </c>
      <c r="BP307" t="s">
        <v>7</v>
      </c>
      <c r="BQ307" s="1">
        <v>0.5</v>
      </c>
      <c r="BR307" t="s">
        <v>8</v>
      </c>
      <c r="BS307" s="1">
        <v>0</v>
      </c>
      <c r="BT307" s="1">
        <v>16.8948900125203</v>
      </c>
      <c r="BU307" s="1">
        <f t="shared" si="21"/>
        <v>0.95468759999999997</v>
      </c>
      <c r="BV307" s="1">
        <f t="shared" si="22"/>
        <v>16.8948900125203</v>
      </c>
      <c r="BX307" s="1">
        <v>305</v>
      </c>
      <c r="BY307" s="1">
        <v>-5.6967045021901699</v>
      </c>
      <c r="CA307" t="s">
        <v>4</v>
      </c>
      <c r="CB307">
        <v>0</v>
      </c>
      <c r="CC307" t="s">
        <v>5</v>
      </c>
      <c r="CD307">
        <v>305</v>
      </c>
      <c r="CE307" t="s">
        <v>6</v>
      </c>
      <c r="CF307" s="1">
        <v>0.47734379999999998</v>
      </c>
      <c r="CG307" t="s">
        <v>7</v>
      </c>
      <c r="CH307" s="1">
        <v>0.5</v>
      </c>
      <c r="CI307" t="s">
        <v>8</v>
      </c>
      <c r="CJ307" s="1">
        <v>0</v>
      </c>
      <c r="CK307" s="1">
        <v>7.5095841914665904</v>
      </c>
    </row>
    <row r="308" spans="43:89">
      <c r="AQ308" t="s">
        <v>7</v>
      </c>
      <c r="AR308" s="1">
        <v>0.5</v>
      </c>
      <c r="AS308" t="s">
        <v>8</v>
      </c>
      <c r="AT308" s="1">
        <v>0</v>
      </c>
      <c r="AU308" s="1">
        <v>2.9302626843088899E-2</v>
      </c>
      <c r="AW308" t="s">
        <v>4</v>
      </c>
      <c r="AX308">
        <v>0</v>
      </c>
      <c r="AY308" t="s">
        <v>5</v>
      </c>
      <c r="AZ308">
        <v>306</v>
      </c>
      <c r="BA308" t="s">
        <v>6</v>
      </c>
      <c r="BB308" s="1">
        <v>0.4789062</v>
      </c>
      <c r="BC308" t="s">
        <v>7</v>
      </c>
      <c r="BD308" s="1">
        <v>0.5</v>
      </c>
      <c r="BE308" t="s">
        <v>8</v>
      </c>
      <c r="BF308" s="1">
        <v>0</v>
      </c>
      <c r="BG308" s="1">
        <f t="shared" si="20"/>
        <v>0.95781240000000001</v>
      </c>
      <c r="BH308" s="1">
        <v>18.993477461753301</v>
      </c>
      <c r="BJ308" t="s">
        <v>4</v>
      </c>
      <c r="BK308">
        <v>0</v>
      </c>
      <c r="BL308" t="s">
        <v>5</v>
      </c>
      <c r="BM308">
        <v>306</v>
      </c>
      <c r="BN308" t="s">
        <v>6</v>
      </c>
      <c r="BO308" s="1">
        <v>0.4789062</v>
      </c>
      <c r="BP308" t="s">
        <v>7</v>
      </c>
      <c r="BQ308" s="1">
        <v>0.5</v>
      </c>
      <c r="BR308" t="s">
        <v>8</v>
      </c>
      <c r="BS308" s="1">
        <v>0</v>
      </c>
      <c r="BT308" s="1">
        <v>19.296076947086501</v>
      </c>
      <c r="BU308" s="1">
        <f t="shared" si="21"/>
        <v>0.95781240000000001</v>
      </c>
      <c r="BV308" s="1">
        <f t="shared" si="22"/>
        <v>19.296076947086501</v>
      </c>
      <c r="BX308" s="1">
        <v>306</v>
      </c>
      <c r="BY308" s="1">
        <v>-6.8568545114837098</v>
      </c>
      <c r="CA308" t="s">
        <v>4</v>
      </c>
      <c r="CB308">
        <v>0</v>
      </c>
      <c r="CC308" t="s">
        <v>5</v>
      </c>
      <c r="CD308">
        <v>306</v>
      </c>
      <c r="CE308" t="s">
        <v>6</v>
      </c>
      <c r="CF308" s="1">
        <v>0.4789062</v>
      </c>
      <c r="CG308" t="s">
        <v>7</v>
      </c>
      <c r="CH308" s="1">
        <v>0.5</v>
      </c>
      <c r="CI308" t="s">
        <v>8</v>
      </c>
      <c r="CJ308" s="1">
        <v>0</v>
      </c>
      <c r="CK308" s="1">
        <v>7.4572650637431703</v>
      </c>
    </row>
    <row r="309" spans="43:89">
      <c r="AQ309" t="s">
        <v>7</v>
      </c>
      <c r="AR309" s="1">
        <v>0.5</v>
      </c>
      <c r="AS309" t="s">
        <v>8</v>
      </c>
      <c r="AT309" s="1">
        <v>0</v>
      </c>
      <c r="AU309" s="1">
        <v>2.8840390378212798E-2</v>
      </c>
      <c r="AW309" t="s">
        <v>4</v>
      </c>
      <c r="AX309">
        <v>0</v>
      </c>
      <c r="AY309" t="s">
        <v>5</v>
      </c>
      <c r="AZ309">
        <v>307</v>
      </c>
      <c r="BA309" t="s">
        <v>6</v>
      </c>
      <c r="BB309" s="1">
        <v>0.48046879999999997</v>
      </c>
      <c r="BC309" t="s">
        <v>7</v>
      </c>
      <c r="BD309" s="1">
        <v>0.5</v>
      </c>
      <c r="BE309" t="s">
        <v>8</v>
      </c>
      <c r="BF309" s="1">
        <v>0</v>
      </c>
      <c r="BG309" s="1">
        <f t="shared" si="20"/>
        <v>0.96093759999999995</v>
      </c>
      <c r="BH309" s="1">
        <v>20.278206922886</v>
      </c>
      <c r="BJ309" t="s">
        <v>4</v>
      </c>
      <c r="BK309">
        <v>0</v>
      </c>
      <c r="BL309" t="s">
        <v>5</v>
      </c>
      <c r="BM309">
        <v>307</v>
      </c>
      <c r="BN309" t="s">
        <v>6</v>
      </c>
      <c r="BO309" s="1">
        <v>0.48046879999999997</v>
      </c>
      <c r="BP309" t="s">
        <v>7</v>
      </c>
      <c r="BQ309" s="1">
        <v>0.5</v>
      </c>
      <c r="BR309" t="s">
        <v>8</v>
      </c>
      <c r="BS309" s="1">
        <v>0</v>
      </c>
      <c r="BT309" s="1">
        <v>20.622520384912502</v>
      </c>
      <c r="BU309" s="1">
        <f t="shared" si="21"/>
        <v>0.96093759999999995</v>
      </c>
      <c r="BV309" s="1">
        <f t="shared" si="22"/>
        <v>20.622520384912502</v>
      </c>
      <c r="BX309" s="1">
        <v>307</v>
      </c>
      <c r="BY309" s="1">
        <v>-8.0263016938034006</v>
      </c>
      <c r="CA309" t="s">
        <v>4</v>
      </c>
      <c r="CB309">
        <v>0</v>
      </c>
      <c r="CC309" t="s">
        <v>5</v>
      </c>
      <c r="CD309">
        <v>307</v>
      </c>
      <c r="CE309" t="s">
        <v>6</v>
      </c>
      <c r="CF309" s="1">
        <v>0.48046879999999997</v>
      </c>
      <c r="CG309" t="s">
        <v>7</v>
      </c>
      <c r="CH309" s="1">
        <v>0.5</v>
      </c>
      <c r="CI309" t="s">
        <v>8</v>
      </c>
      <c r="CJ309" s="1">
        <v>0</v>
      </c>
      <c r="CK309" s="1">
        <v>7.4071159623655198</v>
      </c>
    </row>
    <row r="310" spans="43:89">
      <c r="AQ310" t="s">
        <v>7</v>
      </c>
      <c r="AR310" s="1">
        <v>0.5</v>
      </c>
      <c r="AS310" t="s">
        <v>8</v>
      </c>
      <c r="AT310" s="1">
        <v>0</v>
      </c>
      <c r="AU310" s="1">
        <v>2.8283009311083199E-2</v>
      </c>
      <c r="AW310" t="s">
        <v>4</v>
      </c>
      <c r="AX310">
        <v>0</v>
      </c>
      <c r="AY310" t="s">
        <v>5</v>
      </c>
      <c r="AZ310">
        <v>308</v>
      </c>
      <c r="BA310" t="s">
        <v>6</v>
      </c>
      <c r="BB310" s="1">
        <v>0.4820313</v>
      </c>
      <c r="BC310" t="s">
        <v>7</v>
      </c>
      <c r="BD310" s="1">
        <v>0.5</v>
      </c>
      <c r="BE310" t="s">
        <v>8</v>
      </c>
      <c r="BF310" s="1">
        <v>0</v>
      </c>
      <c r="BG310" s="1">
        <f t="shared" si="20"/>
        <v>0.96406259999999999</v>
      </c>
      <c r="BH310" s="1">
        <v>20.508901160333899</v>
      </c>
      <c r="BJ310" t="s">
        <v>4</v>
      </c>
      <c r="BK310">
        <v>0</v>
      </c>
      <c r="BL310" t="s">
        <v>5</v>
      </c>
      <c r="BM310">
        <v>308</v>
      </c>
      <c r="BN310" t="s">
        <v>6</v>
      </c>
      <c r="BO310" s="1">
        <v>0.4820313</v>
      </c>
      <c r="BP310" t="s">
        <v>7</v>
      </c>
      <c r="BQ310" s="1">
        <v>0.5</v>
      </c>
      <c r="BR310" t="s">
        <v>8</v>
      </c>
      <c r="BS310" s="1">
        <v>0</v>
      </c>
      <c r="BT310" s="1">
        <v>20.880012294271001</v>
      </c>
      <c r="BU310" s="1">
        <f t="shared" si="21"/>
        <v>0.96406259999999999</v>
      </c>
      <c r="BV310" s="1">
        <f t="shared" si="22"/>
        <v>20.880012294271001</v>
      </c>
      <c r="BX310" s="1">
        <v>308</v>
      </c>
      <c r="BY310" s="1">
        <v>-9.2185873104882301</v>
      </c>
      <c r="CA310" t="s">
        <v>4</v>
      </c>
      <c r="CB310">
        <v>0</v>
      </c>
      <c r="CC310" t="s">
        <v>5</v>
      </c>
      <c r="CD310">
        <v>308</v>
      </c>
      <c r="CE310" t="s">
        <v>6</v>
      </c>
      <c r="CF310" s="1">
        <v>0.4820313</v>
      </c>
      <c r="CG310" t="s">
        <v>7</v>
      </c>
      <c r="CH310" s="1">
        <v>0.5</v>
      </c>
      <c r="CI310" t="s">
        <v>8</v>
      </c>
      <c r="CJ310" s="1">
        <v>0</v>
      </c>
      <c r="CK310" s="1">
        <v>7.3519028504910899</v>
      </c>
    </row>
    <row r="311" spans="43:89">
      <c r="AQ311" t="s">
        <v>7</v>
      </c>
      <c r="AR311" s="1">
        <v>0.5</v>
      </c>
      <c r="AS311" t="s">
        <v>8</v>
      </c>
      <c r="AT311" s="1">
        <v>0</v>
      </c>
      <c r="AU311" s="1">
        <v>2.7635545487972001E-2</v>
      </c>
      <c r="AW311" t="s">
        <v>4</v>
      </c>
      <c r="AX311">
        <v>0</v>
      </c>
      <c r="AY311" t="s">
        <v>5</v>
      </c>
      <c r="AZ311">
        <v>309</v>
      </c>
      <c r="BA311" t="s">
        <v>6</v>
      </c>
      <c r="BB311" s="1">
        <v>0.48359370000000002</v>
      </c>
      <c r="BC311" t="s">
        <v>7</v>
      </c>
      <c r="BD311" s="1">
        <v>0.5</v>
      </c>
      <c r="BE311" t="s">
        <v>8</v>
      </c>
      <c r="BF311" s="1">
        <v>0</v>
      </c>
      <c r="BG311" s="1">
        <f t="shared" si="20"/>
        <v>0.96718740000000003</v>
      </c>
      <c r="BH311" s="1">
        <v>19.6957342761267</v>
      </c>
      <c r="BJ311" t="s">
        <v>4</v>
      </c>
      <c r="BK311">
        <v>0</v>
      </c>
      <c r="BL311" t="s">
        <v>5</v>
      </c>
      <c r="BM311">
        <v>309</v>
      </c>
      <c r="BN311" t="s">
        <v>6</v>
      </c>
      <c r="BO311" s="1">
        <v>0.48359370000000002</v>
      </c>
      <c r="BP311" t="s">
        <v>7</v>
      </c>
      <c r="BQ311" s="1">
        <v>0.5</v>
      </c>
      <c r="BR311" t="s">
        <v>8</v>
      </c>
      <c r="BS311" s="1">
        <v>0</v>
      </c>
      <c r="BT311" s="1">
        <v>20.074093796843702</v>
      </c>
      <c r="BU311" s="1">
        <f t="shared" si="21"/>
        <v>0.96718740000000003</v>
      </c>
      <c r="BV311" s="1">
        <f t="shared" si="22"/>
        <v>20.074093796843702</v>
      </c>
      <c r="BX311" s="1">
        <v>309</v>
      </c>
      <c r="BY311" s="1">
        <v>-10.435416683013599</v>
      </c>
      <c r="CA311" t="s">
        <v>4</v>
      </c>
      <c r="CB311">
        <v>0</v>
      </c>
      <c r="CC311" t="s">
        <v>5</v>
      </c>
      <c r="CD311">
        <v>309</v>
      </c>
      <c r="CE311" t="s">
        <v>6</v>
      </c>
      <c r="CF311" s="1">
        <v>0.48359370000000002</v>
      </c>
      <c r="CG311" t="s">
        <v>7</v>
      </c>
      <c r="CH311" s="1">
        <v>0.5</v>
      </c>
      <c r="CI311" t="s">
        <v>8</v>
      </c>
      <c r="CJ311" s="1">
        <v>0</v>
      </c>
      <c r="CK311" s="1">
        <v>7.2876742083210697</v>
      </c>
    </row>
    <row r="312" spans="43:89">
      <c r="AQ312" t="s">
        <v>7</v>
      </c>
      <c r="AR312" s="1">
        <v>0.5</v>
      </c>
      <c r="AS312" t="s">
        <v>8</v>
      </c>
      <c r="AT312" s="1">
        <v>0</v>
      </c>
      <c r="AU312" s="1">
        <v>2.69162647154348E-2</v>
      </c>
      <c r="AW312" t="s">
        <v>4</v>
      </c>
      <c r="AX312">
        <v>0</v>
      </c>
      <c r="AY312" t="s">
        <v>5</v>
      </c>
      <c r="AZ312">
        <v>310</v>
      </c>
      <c r="BA312" t="s">
        <v>6</v>
      </c>
      <c r="BB312" s="1">
        <v>0.48515629999999998</v>
      </c>
      <c r="BC312" t="s">
        <v>7</v>
      </c>
      <c r="BD312" s="1">
        <v>0.5</v>
      </c>
      <c r="BE312" t="s">
        <v>8</v>
      </c>
      <c r="BF312" s="1">
        <v>0</v>
      </c>
      <c r="BG312" s="1">
        <f t="shared" si="20"/>
        <v>0.97031259999999997</v>
      </c>
      <c r="BH312" s="1">
        <v>17.8496433211976</v>
      </c>
      <c r="BJ312" t="s">
        <v>4</v>
      </c>
      <c r="BK312">
        <v>0</v>
      </c>
      <c r="BL312" t="s">
        <v>5</v>
      </c>
      <c r="BM312">
        <v>310</v>
      </c>
      <c r="BN312" t="s">
        <v>6</v>
      </c>
      <c r="BO312" s="1">
        <v>0.48515629999999998</v>
      </c>
      <c r="BP312" t="s">
        <v>7</v>
      </c>
      <c r="BQ312" s="1">
        <v>0.5</v>
      </c>
      <c r="BR312" t="s">
        <v>8</v>
      </c>
      <c r="BS312" s="1">
        <v>0</v>
      </c>
      <c r="BT312" s="1">
        <v>18.222990060689401</v>
      </c>
      <c r="BU312" s="1">
        <f t="shared" si="21"/>
        <v>0.97031259999999997</v>
      </c>
      <c r="BV312" s="1">
        <f t="shared" si="22"/>
        <v>18.222990060689401</v>
      </c>
      <c r="BX312" s="1">
        <v>310</v>
      </c>
      <c r="BY312" s="1">
        <v>-11.6852624363271</v>
      </c>
      <c r="CA312" t="s">
        <v>4</v>
      </c>
      <c r="CB312">
        <v>0</v>
      </c>
      <c r="CC312" t="s">
        <v>5</v>
      </c>
      <c r="CD312">
        <v>310</v>
      </c>
      <c r="CE312" t="s">
        <v>6</v>
      </c>
      <c r="CF312" s="1">
        <v>0.48515629999999998</v>
      </c>
      <c r="CG312" t="s">
        <v>7</v>
      </c>
      <c r="CH312" s="1">
        <v>0.5</v>
      </c>
      <c r="CI312" t="s">
        <v>8</v>
      </c>
      <c r="CJ312" s="1">
        <v>0</v>
      </c>
      <c r="CK312" s="1">
        <v>7.2088915007792904</v>
      </c>
    </row>
    <row r="313" spans="43:89">
      <c r="AQ313" t="s">
        <v>7</v>
      </c>
      <c r="AR313" s="1">
        <v>0.5</v>
      </c>
      <c r="AS313" t="s">
        <v>8</v>
      </c>
      <c r="AT313" s="1">
        <v>0</v>
      </c>
      <c r="AU313" s="1">
        <v>2.6116262082704299E-2</v>
      </c>
      <c r="AW313" t="s">
        <v>4</v>
      </c>
      <c r="AX313">
        <v>0</v>
      </c>
      <c r="AY313" t="s">
        <v>5</v>
      </c>
      <c r="AZ313">
        <v>311</v>
      </c>
      <c r="BA313" t="s">
        <v>6</v>
      </c>
      <c r="BB313" s="1">
        <v>0.48671880000000001</v>
      </c>
      <c r="BC313" t="s">
        <v>7</v>
      </c>
      <c r="BD313" s="1">
        <v>0.5</v>
      </c>
      <c r="BE313" t="s">
        <v>8</v>
      </c>
      <c r="BF313" s="1">
        <v>0</v>
      </c>
      <c r="BG313" s="1">
        <f t="shared" si="20"/>
        <v>0.97343760000000001</v>
      </c>
      <c r="BH313" s="1">
        <v>14.98845130386</v>
      </c>
      <c r="BJ313" t="s">
        <v>4</v>
      </c>
      <c r="BK313">
        <v>0</v>
      </c>
      <c r="BL313" t="s">
        <v>5</v>
      </c>
      <c r="BM313">
        <v>311</v>
      </c>
      <c r="BN313" t="s">
        <v>6</v>
      </c>
      <c r="BO313" s="1">
        <v>0.48671880000000001</v>
      </c>
      <c r="BP313" t="s">
        <v>7</v>
      </c>
      <c r="BQ313" s="1">
        <v>0.5</v>
      </c>
      <c r="BR313" t="s">
        <v>8</v>
      </c>
      <c r="BS313" s="1">
        <v>0</v>
      </c>
      <c r="BT313" s="1">
        <v>15.3247660878225</v>
      </c>
      <c r="BU313" s="1">
        <f t="shared" si="21"/>
        <v>0.97343760000000001</v>
      </c>
      <c r="BV313" s="1">
        <f t="shared" si="22"/>
        <v>15.3247660878225</v>
      </c>
      <c r="BX313" s="1">
        <v>311</v>
      </c>
      <c r="BY313" s="1">
        <v>-12.957997638341901</v>
      </c>
      <c r="CA313" t="s">
        <v>4</v>
      </c>
      <c r="CB313">
        <v>0</v>
      </c>
      <c r="CC313" t="s">
        <v>5</v>
      </c>
      <c r="CD313">
        <v>311</v>
      </c>
      <c r="CE313" t="s">
        <v>6</v>
      </c>
      <c r="CF313" s="1">
        <v>0.48671880000000001</v>
      </c>
      <c r="CG313" t="s">
        <v>7</v>
      </c>
      <c r="CH313" s="1">
        <v>0.5</v>
      </c>
      <c r="CI313" t="s">
        <v>8</v>
      </c>
      <c r="CJ313" s="1">
        <v>0</v>
      </c>
      <c r="CK313" s="1">
        <v>7.1136096707485503</v>
      </c>
    </row>
    <row r="314" spans="43:89">
      <c r="AQ314" t="s">
        <v>7</v>
      </c>
      <c r="AR314" s="1">
        <v>0.5</v>
      </c>
      <c r="AS314" t="s">
        <v>8</v>
      </c>
      <c r="AT314" s="1">
        <v>0</v>
      </c>
      <c r="AU314" s="1">
        <v>2.5243223136243002E-2</v>
      </c>
      <c r="AW314" t="s">
        <v>4</v>
      </c>
      <c r="AX314">
        <v>0</v>
      </c>
      <c r="AY314" t="s">
        <v>5</v>
      </c>
      <c r="AZ314">
        <v>312</v>
      </c>
      <c r="BA314" t="s">
        <v>6</v>
      </c>
      <c r="BB314" s="1">
        <v>0.48828120000000003</v>
      </c>
      <c r="BC314" t="s">
        <v>7</v>
      </c>
      <c r="BD314" s="1">
        <v>0.5</v>
      </c>
      <c r="BE314" t="s">
        <v>8</v>
      </c>
      <c r="BF314" s="1">
        <v>0</v>
      </c>
      <c r="BG314" s="1">
        <f t="shared" si="20"/>
        <v>0.97656240000000005</v>
      </c>
      <c r="BH314" s="1">
        <v>11.1151836276743</v>
      </c>
      <c r="BJ314" t="s">
        <v>4</v>
      </c>
      <c r="BK314">
        <v>0</v>
      </c>
      <c r="BL314" t="s">
        <v>5</v>
      </c>
      <c r="BM314">
        <v>312</v>
      </c>
      <c r="BN314" t="s">
        <v>6</v>
      </c>
      <c r="BO314" s="1">
        <v>0.48828120000000003</v>
      </c>
      <c r="BP314" t="s">
        <v>7</v>
      </c>
      <c r="BQ314" s="1">
        <v>0.5</v>
      </c>
      <c r="BR314" t="s">
        <v>8</v>
      </c>
      <c r="BS314" s="1">
        <v>0</v>
      </c>
      <c r="BT314" s="1">
        <v>11.389256344695999</v>
      </c>
      <c r="BU314" s="1">
        <f t="shared" si="21"/>
        <v>0.97656240000000005</v>
      </c>
      <c r="BV314" s="1">
        <f t="shared" si="22"/>
        <v>11.389256344695999</v>
      </c>
      <c r="BX314" s="1">
        <v>312</v>
      </c>
      <c r="BY314" s="1">
        <v>-14.241239056963799</v>
      </c>
      <c r="CA314" t="s">
        <v>4</v>
      </c>
      <c r="CB314">
        <v>0</v>
      </c>
      <c r="CC314" t="s">
        <v>5</v>
      </c>
      <c r="CD314">
        <v>312</v>
      </c>
      <c r="CE314" t="s">
        <v>6</v>
      </c>
      <c r="CF314" s="1">
        <v>0.48828120000000003</v>
      </c>
      <c r="CG314" t="s">
        <v>7</v>
      </c>
      <c r="CH314" s="1">
        <v>0.5</v>
      </c>
      <c r="CI314" t="s">
        <v>8</v>
      </c>
      <c r="CJ314" s="1">
        <v>0</v>
      </c>
      <c r="CK314" s="1">
        <v>6.9956812805919002</v>
      </c>
    </row>
    <row r="315" spans="43:89">
      <c r="AQ315" t="s">
        <v>7</v>
      </c>
      <c r="AR315" s="1">
        <v>0.5</v>
      </c>
      <c r="AS315" t="s">
        <v>8</v>
      </c>
      <c r="AT315" s="1">
        <v>0</v>
      </c>
      <c r="AU315" s="1">
        <v>2.4272681214146701E-2</v>
      </c>
      <c r="AW315" t="s">
        <v>4</v>
      </c>
      <c r="AX315">
        <v>0</v>
      </c>
      <c r="AY315" t="s">
        <v>5</v>
      </c>
      <c r="AZ315">
        <v>313</v>
      </c>
      <c r="BA315" t="s">
        <v>6</v>
      </c>
      <c r="BB315" s="1">
        <v>0.4898438</v>
      </c>
      <c r="BC315" t="s">
        <v>7</v>
      </c>
      <c r="BD315" s="1">
        <v>0.5</v>
      </c>
      <c r="BE315" t="s">
        <v>8</v>
      </c>
      <c r="BF315" s="1">
        <v>0</v>
      </c>
      <c r="BG315" s="1">
        <f t="shared" si="20"/>
        <v>0.97968759999999999</v>
      </c>
      <c r="BH315" s="1">
        <v>6.2572783933278302</v>
      </c>
      <c r="BJ315" t="s">
        <v>4</v>
      </c>
      <c r="BK315">
        <v>0</v>
      </c>
      <c r="BL315" t="s">
        <v>5</v>
      </c>
      <c r="BM315">
        <v>313</v>
      </c>
      <c r="BN315" t="s">
        <v>6</v>
      </c>
      <c r="BO315" s="1">
        <v>0.4898438</v>
      </c>
      <c r="BP315" t="s">
        <v>7</v>
      </c>
      <c r="BQ315" s="1">
        <v>0.5</v>
      </c>
      <c r="BR315" t="s">
        <v>8</v>
      </c>
      <c r="BS315" s="1">
        <v>0</v>
      </c>
      <c r="BT315" s="1">
        <v>6.4254993121130299</v>
      </c>
      <c r="BU315" s="1">
        <f t="shared" si="21"/>
        <v>0.97968759999999999</v>
      </c>
      <c r="BV315" s="1">
        <f t="shared" si="22"/>
        <v>6.4254993121130299</v>
      </c>
      <c r="BX315" s="1">
        <v>313</v>
      </c>
      <c r="BY315" s="1">
        <v>-15.468593077203399</v>
      </c>
      <c r="CA315" t="s">
        <v>4</v>
      </c>
      <c r="CB315">
        <v>0</v>
      </c>
      <c r="CC315" t="s">
        <v>5</v>
      </c>
      <c r="CD315">
        <v>313</v>
      </c>
      <c r="CE315" t="s">
        <v>6</v>
      </c>
      <c r="CF315" s="1">
        <v>0.4898438</v>
      </c>
      <c r="CG315" t="s">
        <v>7</v>
      </c>
      <c r="CH315" s="1">
        <v>0.5</v>
      </c>
      <c r="CI315" t="s">
        <v>8</v>
      </c>
      <c r="CJ315" s="1">
        <v>0</v>
      </c>
      <c r="CK315" s="1">
        <v>6.8823567400223196</v>
      </c>
    </row>
    <row r="316" spans="43:89">
      <c r="AQ316" t="s">
        <v>7</v>
      </c>
      <c r="AR316" s="1">
        <v>0.5</v>
      </c>
      <c r="AS316" t="s">
        <v>8</v>
      </c>
      <c r="AT316" s="1">
        <v>0</v>
      </c>
      <c r="AU316" s="1">
        <v>2.3215439933306999E-2</v>
      </c>
      <c r="AW316" t="s">
        <v>4</v>
      </c>
      <c r="AX316">
        <v>0</v>
      </c>
      <c r="AY316" t="s">
        <v>5</v>
      </c>
      <c r="AZ316">
        <v>314</v>
      </c>
      <c r="BA316" t="s">
        <v>6</v>
      </c>
      <c r="BB316" s="1">
        <v>0.49140620000000002</v>
      </c>
      <c r="BC316" t="s">
        <v>7</v>
      </c>
      <c r="BD316" s="1">
        <v>0.5</v>
      </c>
      <c r="BE316" t="s">
        <v>8</v>
      </c>
      <c r="BF316" s="1">
        <v>0</v>
      </c>
      <c r="BG316" s="1">
        <f t="shared" si="20"/>
        <v>0.98281240000000003</v>
      </c>
      <c r="BH316" s="1">
        <v>0.399605454491542</v>
      </c>
      <c r="BJ316" t="s">
        <v>4</v>
      </c>
      <c r="BK316">
        <v>0</v>
      </c>
      <c r="BL316" t="s">
        <v>5</v>
      </c>
      <c r="BM316">
        <v>314</v>
      </c>
      <c r="BN316" t="s">
        <v>6</v>
      </c>
      <c r="BO316" s="1">
        <v>0.49140620000000002</v>
      </c>
      <c r="BP316" t="s">
        <v>7</v>
      </c>
      <c r="BQ316" s="1">
        <v>0.5</v>
      </c>
      <c r="BR316" t="s">
        <v>8</v>
      </c>
      <c r="BS316" s="1">
        <v>0</v>
      </c>
      <c r="BT316" s="1">
        <v>0.44706891244679903</v>
      </c>
      <c r="BU316" s="1">
        <f t="shared" si="21"/>
        <v>0.98281240000000003</v>
      </c>
      <c r="BV316" s="1">
        <f t="shared" si="22"/>
        <v>0.44706891244679903</v>
      </c>
      <c r="BX316" s="1">
        <v>314</v>
      </c>
      <c r="BY316" s="1">
        <v>-16.626342770442399</v>
      </c>
      <c r="CA316" t="s">
        <v>4</v>
      </c>
      <c r="CB316">
        <v>0</v>
      </c>
      <c r="CC316" t="s">
        <v>5</v>
      </c>
      <c r="CD316">
        <v>314</v>
      </c>
      <c r="CE316" t="s">
        <v>6</v>
      </c>
      <c r="CF316" s="1">
        <v>0.49140620000000002</v>
      </c>
      <c r="CG316" t="s">
        <v>7</v>
      </c>
      <c r="CH316" s="1">
        <v>0.5</v>
      </c>
      <c r="CI316" t="s">
        <v>8</v>
      </c>
      <c r="CJ316" s="1">
        <v>0</v>
      </c>
      <c r="CK316" s="1">
        <v>6.76617141190615</v>
      </c>
    </row>
    <row r="317" spans="43:89">
      <c r="AQ317" t="s">
        <v>7</v>
      </c>
      <c r="AR317" s="1">
        <v>0.5</v>
      </c>
      <c r="AS317" t="s">
        <v>8</v>
      </c>
      <c r="AT317" s="1">
        <v>0</v>
      </c>
      <c r="AU317" s="1">
        <v>2.2080878465345299E-2</v>
      </c>
      <c r="AW317" t="s">
        <v>4</v>
      </c>
      <c r="AX317">
        <v>0</v>
      </c>
      <c r="AY317" t="s">
        <v>5</v>
      </c>
      <c r="AZ317">
        <v>315</v>
      </c>
      <c r="BA317" t="s">
        <v>6</v>
      </c>
      <c r="BB317" s="1">
        <v>0.49296879999999998</v>
      </c>
      <c r="BC317" t="s">
        <v>7</v>
      </c>
      <c r="BD317" s="1">
        <v>0.5</v>
      </c>
      <c r="BE317" t="s">
        <v>8</v>
      </c>
      <c r="BF317" s="1">
        <v>0</v>
      </c>
      <c r="BG317" s="1">
        <f t="shared" si="20"/>
        <v>0.98593759999999997</v>
      </c>
      <c r="BH317" s="1">
        <v>-6.4247124070033097</v>
      </c>
      <c r="BJ317" t="s">
        <v>4</v>
      </c>
      <c r="BK317">
        <v>0</v>
      </c>
      <c r="BL317" t="s">
        <v>5</v>
      </c>
      <c r="BM317">
        <v>315</v>
      </c>
      <c r="BN317" t="s">
        <v>6</v>
      </c>
      <c r="BO317" s="1">
        <v>0.49296879999999998</v>
      </c>
      <c r="BP317" t="s">
        <v>7</v>
      </c>
      <c r="BQ317" s="1">
        <v>0.5</v>
      </c>
      <c r="BR317" t="s">
        <v>8</v>
      </c>
      <c r="BS317" s="1">
        <v>0</v>
      </c>
      <c r="BT317" s="1">
        <v>-6.5302049355988503</v>
      </c>
      <c r="BU317" s="1">
        <f t="shared" si="21"/>
        <v>0.98593759999999997</v>
      </c>
      <c r="BV317" s="1">
        <f t="shared" si="22"/>
        <v>-6.5302049355988503</v>
      </c>
      <c r="BX317" s="1">
        <v>315</v>
      </c>
      <c r="BY317" s="1">
        <v>-17.626808833930301</v>
      </c>
      <c r="CA317" t="s">
        <v>4</v>
      </c>
      <c r="CB317">
        <v>0</v>
      </c>
      <c r="CC317" t="s">
        <v>5</v>
      </c>
      <c r="CD317">
        <v>315</v>
      </c>
      <c r="CE317" t="s">
        <v>6</v>
      </c>
      <c r="CF317" s="1">
        <v>0.49296879999999998</v>
      </c>
      <c r="CG317" t="s">
        <v>7</v>
      </c>
      <c r="CH317" s="1">
        <v>0.5</v>
      </c>
      <c r="CI317" t="s">
        <v>8</v>
      </c>
      <c r="CJ317" s="1">
        <v>0</v>
      </c>
      <c r="CK317" s="1">
        <v>6.66952347936863</v>
      </c>
    </row>
    <row r="318" spans="43:89">
      <c r="AQ318" t="s">
        <v>7</v>
      </c>
      <c r="AR318" s="1">
        <v>0.5</v>
      </c>
      <c r="AS318" t="s">
        <v>8</v>
      </c>
      <c r="AT318" s="1">
        <v>0</v>
      </c>
      <c r="AU318" s="1">
        <v>2.09151973337224E-2</v>
      </c>
      <c r="AW318" t="s">
        <v>4</v>
      </c>
      <c r="AX318">
        <v>0</v>
      </c>
      <c r="AY318" t="s">
        <v>5</v>
      </c>
      <c r="AZ318">
        <v>316</v>
      </c>
      <c r="BA318" t="s">
        <v>6</v>
      </c>
      <c r="BB318" s="1">
        <v>0.4945312</v>
      </c>
      <c r="BC318" t="s">
        <v>7</v>
      </c>
      <c r="BD318" s="1">
        <v>0.5</v>
      </c>
      <c r="BE318" t="s">
        <v>8</v>
      </c>
      <c r="BF318" s="1">
        <v>0</v>
      </c>
      <c r="BG318" s="1">
        <f t="shared" si="20"/>
        <v>0.98906240000000001</v>
      </c>
      <c r="BH318" s="1">
        <v>-14.1671585551797</v>
      </c>
      <c r="BJ318" t="s">
        <v>4</v>
      </c>
      <c r="BK318">
        <v>0</v>
      </c>
      <c r="BL318" t="s">
        <v>5</v>
      </c>
      <c r="BM318">
        <v>316</v>
      </c>
      <c r="BN318" t="s">
        <v>6</v>
      </c>
      <c r="BO318" s="1">
        <v>0.4945312</v>
      </c>
      <c r="BP318" t="s">
        <v>7</v>
      </c>
      <c r="BQ318" s="1">
        <v>0.5</v>
      </c>
      <c r="BR318" t="s">
        <v>8</v>
      </c>
      <c r="BS318" s="1">
        <v>0</v>
      </c>
      <c r="BT318" s="1">
        <v>-14.4989375397499</v>
      </c>
      <c r="BU318" s="1">
        <f t="shared" si="21"/>
        <v>0.98906240000000001</v>
      </c>
      <c r="BV318" s="1">
        <f t="shared" si="22"/>
        <v>-14.4989375397499</v>
      </c>
      <c r="BX318" s="1">
        <v>316</v>
      </c>
      <c r="BY318" s="1">
        <v>-18.359924908991299</v>
      </c>
      <c r="CA318" t="s">
        <v>4</v>
      </c>
      <c r="CB318">
        <v>0</v>
      </c>
      <c r="CC318" t="s">
        <v>5</v>
      </c>
      <c r="CD318">
        <v>316</v>
      </c>
      <c r="CE318" t="s">
        <v>6</v>
      </c>
      <c r="CF318" s="1">
        <v>0.4945312</v>
      </c>
      <c r="CG318" t="s">
        <v>7</v>
      </c>
      <c r="CH318" s="1">
        <v>0.5</v>
      </c>
      <c r="CI318" t="s">
        <v>8</v>
      </c>
      <c r="CJ318" s="1">
        <v>0</v>
      </c>
      <c r="CK318" s="1">
        <v>6.6115032518295198</v>
      </c>
    </row>
    <row r="319" spans="43:89">
      <c r="AQ319" t="s">
        <v>7</v>
      </c>
      <c r="AR319" s="1">
        <v>0.5</v>
      </c>
      <c r="AS319" t="s">
        <v>8</v>
      </c>
      <c r="AT319" s="1">
        <v>0</v>
      </c>
      <c r="AU319" s="1">
        <v>1.9715720923113699E-2</v>
      </c>
      <c r="AW319" t="s">
        <v>4</v>
      </c>
      <c r="AX319">
        <v>0</v>
      </c>
      <c r="AY319" t="s">
        <v>5</v>
      </c>
      <c r="AZ319">
        <v>317</v>
      </c>
      <c r="BA319" t="s">
        <v>6</v>
      </c>
      <c r="BB319" s="1">
        <v>0.49609379999999997</v>
      </c>
      <c r="BC319" t="s">
        <v>7</v>
      </c>
      <c r="BD319" s="1">
        <v>0.5</v>
      </c>
      <c r="BE319" t="s">
        <v>8</v>
      </c>
      <c r="BF319" s="1">
        <v>0</v>
      </c>
      <c r="BG319" s="1">
        <f t="shared" si="20"/>
        <v>0.99218759999999995</v>
      </c>
      <c r="BH319" s="1">
        <v>-22.850765490286001</v>
      </c>
      <c r="BJ319" t="s">
        <v>4</v>
      </c>
      <c r="BK319">
        <v>0</v>
      </c>
      <c r="BL319" t="s">
        <v>5</v>
      </c>
      <c r="BM319">
        <v>317</v>
      </c>
      <c r="BN319" t="s">
        <v>6</v>
      </c>
      <c r="BO319" s="1">
        <v>0.49609379999999997</v>
      </c>
      <c r="BP319" t="s">
        <v>7</v>
      </c>
      <c r="BQ319" s="1">
        <v>0.5</v>
      </c>
      <c r="BR319" t="s">
        <v>8</v>
      </c>
      <c r="BS319" s="1">
        <v>0</v>
      </c>
      <c r="BT319" s="1">
        <v>-23.3176703075648</v>
      </c>
      <c r="BU319" s="1">
        <f t="shared" si="21"/>
        <v>0.99218759999999995</v>
      </c>
      <c r="BV319" s="1">
        <f t="shared" si="22"/>
        <v>-23.3176703075648</v>
      </c>
      <c r="BX319" s="1">
        <v>317</v>
      </c>
      <c r="BY319" s="1">
        <v>-18.7066191002673</v>
      </c>
      <c r="CA319" t="s">
        <v>4</v>
      </c>
      <c r="CB319">
        <v>0</v>
      </c>
      <c r="CC319" t="s">
        <v>5</v>
      </c>
      <c r="CD319">
        <v>317</v>
      </c>
      <c r="CE319" t="s">
        <v>6</v>
      </c>
      <c r="CF319" s="1">
        <v>0.49609379999999997</v>
      </c>
      <c r="CG319" t="s">
        <v>7</v>
      </c>
      <c r="CH319" s="1">
        <v>0.5</v>
      </c>
      <c r="CI319" t="s">
        <v>8</v>
      </c>
      <c r="CJ319" s="1">
        <v>0</v>
      </c>
      <c r="CK319" s="1">
        <v>6.5344891033555399</v>
      </c>
    </row>
    <row r="320" spans="43:89">
      <c r="AQ320" t="s">
        <v>7</v>
      </c>
      <c r="AR320" s="1">
        <v>0.5</v>
      </c>
      <c r="AS320" t="s">
        <v>8</v>
      </c>
      <c r="AT320" s="1">
        <v>0</v>
      </c>
      <c r="AU320" s="1">
        <v>1.83706620215991E-2</v>
      </c>
      <c r="AW320" t="s">
        <v>4</v>
      </c>
      <c r="AX320">
        <v>0</v>
      </c>
      <c r="AY320" t="s">
        <v>5</v>
      </c>
      <c r="AZ320">
        <v>318</v>
      </c>
      <c r="BA320" t="s">
        <v>6</v>
      </c>
      <c r="BB320" s="1">
        <v>0.4976563</v>
      </c>
      <c r="BC320" t="s">
        <v>7</v>
      </c>
      <c r="BD320" s="1">
        <v>0.5</v>
      </c>
      <c r="BE320" t="s">
        <v>8</v>
      </c>
      <c r="BF320" s="1">
        <v>0</v>
      </c>
      <c r="BG320" s="1">
        <f t="shared" si="20"/>
        <v>0.99531259999999999</v>
      </c>
      <c r="BH320" s="1">
        <v>-32.2977723302782</v>
      </c>
      <c r="BJ320" t="s">
        <v>4</v>
      </c>
      <c r="BK320">
        <v>0</v>
      </c>
      <c r="BL320" t="s">
        <v>5</v>
      </c>
      <c r="BM320">
        <v>318</v>
      </c>
      <c r="BN320" t="s">
        <v>6</v>
      </c>
      <c r="BO320" s="1">
        <v>0.4976563</v>
      </c>
      <c r="BP320" t="s">
        <v>7</v>
      </c>
      <c r="BQ320" s="1">
        <v>0.5</v>
      </c>
      <c r="BR320" t="s">
        <v>8</v>
      </c>
      <c r="BS320" s="1">
        <v>0</v>
      </c>
      <c r="BT320" s="1">
        <v>-33.4108871989907</v>
      </c>
      <c r="BU320" s="1">
        <f t="shared" si="21"/>
        <v>0.99531259999999999</v>
      </c>
      <c r="BV320" s="1">
        <f t="shared" si="22"/>
        <v>-33.4108871989907</v>
      </c>
      <c r="BX320" s="1">
        <v>318</v>
      </c>
      <c r="BY320" s="1">
        <v>-18.405454736595299</v>
      </c>
      <c r="CA320" t="s">
        <v>4</v>
      </c>
      <c r="CB320">
        <v>0</v>
      </c>
      <c r="CC320" t="s">
        <v>5</v>
      </c>
      <c r="CD320">
        <v>318</v>
      </c>
      <c r="CE320" t="s">
        <v>6</v>
      </c>
      <c r="CF320" s="1">
        <v>0.4976563</v>
      </c>
      <c r="CG320" t="s">
        <v>7</v>
      </c>
      <c r="CH320" s="1">
        <v>0.5</v>
      </c>
      <c r="CI320" t="s">
        <v>8</v>
      </c>
      <c r="CJ320" s="1">
        <v>0</v>
      </c>
      <c r="CK320" s="1">
        <v>6.3833740142380897</v>
      </c>
    </row>
    <row r="321" spans="43:89">
      <c r="AQ321" t="s">
        <v>7</v>
      </c>
      <c r="AR321" s="1">
        <v>0.5</v>
      </c>
      <c r="AS321" t="s">
        <v>8</v>
      </c>
      <c r="AT321" s="1">
        <v>0</v>
      </c>
      <c r="AU321" s="1">
        <v>1.73076630532191E-2</v>
      </c>
      <c r="AW321" t="s">
        <v>4</v>
      </c>
      <c r="AX321">
        <v>0</v>
      </c>
      <c r="AY321" t="s">
        <v>5</v>
      </c>
      <c r="AZ321">
        <v>319</v>
      </c>
      <c r="BA321" t="s">
        <v>6</v>
      </c>
      <c r="BB321" s="1">
        <v>0.49921880000000002</v>
      </c>
      <c r="BC321" t="s">
        <v>7</v>
      </c>
      <c r="BD321" s="1">
        <v>0.5</v>
      </c>
      <c r="BE321" t="s">
        <v>8</v>
      </c>
      <c r="BF321" s="1">
        <v>0</v>
      </c>
      <c r="BG321" s="1">
        <f t="shared" si="20"/>
        <v>0.99843760000000004</v>
      </c>
      <c r="BH321" s="1">
        <v>-43.338106780593399</v>
      </c>
      <c r="BJ321" t="s">
        <v>4</v>
      </c>
      <c r="BK321">
        <v>0</v>
      </c>
      <c r="BL321" t="s">
        <v>5</v>
      </c>
      <c r="BM321">
        <v>319</v>
      </c>
      <c r="BN321" t="s">
        <v>6</v>
      </c>
      <c r="BO321" s="1">
        <v>0.49921880000000002</v>
      </c>
      <c r="BP321" t="s">
        <v>7</v>
      </c>
      <c r="BQ321" s="1">
        <v>0.5</v>
      </c>
      <c r="BR321" t="s">
        <v>8</v>
      </c>
      <c r="BS321" s="1">
        <v>0</v>
      </c>
      <c r="BT321" s="1">
        <v>-44.685835921586197</v>
      </c>
      <c r="BU321" s="1">
        <f t="shared" si="21"/>
        <v>0.99843760000000004</v>
      </c>
      <c r="BV321" s="1">
        <f t="shared" si="22"/>
        <v>-44.685835921586197</v>
      </c>
      <c r="BX321" s="1">
        <v>319</v>
      </c>
      <c r="BY321" s="1">
        <v>-16.8735722741629</v>
      </c>
      <c r="CA321" t="s">
        <v>4</v>
      </c>
      <c r="CB321">
        <v>0</v>
      </c>
      <c r="CC321" t="s">
        <v>5</v>
      </c>
      <c r="CD321">
        <v>319</v>
      </c>
      <c r="CE321" t="s">
        <v>6</v>
      </c>
      <c r="CF321" s="1">
        <v>0.49921880000000002</v>
      </c>
      <c r="CG321" t="s">
        <v>7</v>
      </c>
      <c r="CH321" s="1">
        <v>0.5</v>
      </c>
      <c r="CI321" t="s">
        <v>8</v>
      </c>
      <c r="CJ321" s="1">
        <v>0</v>
      </c>
      <c r="CK321" s="1">
        <v>6.3029682094719499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補間なし線形IGA</vt:lpstr>
      <vt:lpstr>補間あり線形IGA</vt:lpstr>
      <vt:lpstr>Sheet1</vt:lpstr>
      <vt:lpstr>nonlinear, t16, 1p</vt:lpstr>
      <vt:lpstr>nonlinear, t16, 2p</vt:lpstr>
      <vt:lpstr>100step</vt:lpstr>
      <vt:lpstr>final</vt:lpstr>
      <vt:lpstr>final2</vt:lpstr>
      <vt:lpstr>final3</vt:lpstr>
      <vt:lpstr>新・線形全比較</vt:lpstr>
      <vt:lpstr>final4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土山　雄飛</dc:creator>
  <cp:lastModifiedBy>土山　雄飛</cp:lastModifiedBy>
  <dcterms:created xsi:type="dcterms:W3CDTF">2025-09-16T17:28:49Z</dcterms:created>
  <dcterms:modified xsi:type="dcterms:W3CDTF">2025-11-05T08:37:02Z</dcterms:modified>
</cp:coreProperties>
</file>