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RA\Documents\SSIGA_fracture\SSIGA_v2_1\analysis\output_SCCHP_v3_coarse\"/>
    </mc:Choice>
  </mc:AlternateContent>
  <xr:revisionPtr revIDLastSave="0" documentId="13_ncr:1_{2DD85DB3-050B-4CB3-B18E-E7EDCA27C8C5}" xr6:coauthVersionLast="47" xr6:coauthVersionMax="47" xr10:uidLastSave="{00000000-0000-0000-0000-000000000000}"/>
  <bookViews>
    <workbookView xWindow="19090" yWindow="-10840" windowWidth="38620" windowHeight="21100" xr2:uid="{00000000-000D-0000-FFFF-FFFF00000000}"/>
  </bookViews>
  <sheets>
    <sheet name="SSIGA_fs" sheetId="5" r:id="rId1"/>
    <sheet name="SSIGA" sheetId="1" r:id="rId2"/>
    <sheet name="FEM_ref" sheetId="4" r:id="rId3"/>
    <sheet name="CRACK_SHAPE" sheetId="2" r:id="rId4"/>
  </sheets>
  <calcPr calcId="191029" iterateCount="100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1" i="5" l="1"/>
  <c r="Q201" i="5"/>
  <c r="R201" i="5" s="1"/>
  <c r="S200" i="5"/>
  <c r="Q200" i="5"/>
  <c r="R200" i="5" s="1"/>
  <c r="S199" i="5"/>
  <c r="Q199" i="5"/>
  <c r="R199" i="5" s="1"/>
  <c r="S198" i="5"/>
  <c r="Q198" i="5"/>
  <c r="R198" i="5" s="1"/>
  <c r="S197" i="5"/>
  <c r="Q197" i="5"/>
  <c r="R197" i="5" s="1"/>
  <c r="S196" i="5"/>
  <c r="Q196" i="5"/>
  <c r="R196" i="5" s="1"/>
  <c r="S195" i="5"/>
  <c r="Q195" i="5"/>
  <c r="R195" i="5" s="1"/>
  <c r="S194" i="5"/>
  <c r="Q194" i="5"/>
  <c r="R194" i="5" s="1"/>
  <c r="S193" i="5"/>
  <c r="Q193" i="5"/>
  <c r="R193" i="5" s="1"/>
  <c r="S192" i="5"/>
  <c r="Q192" i="5"/>
  <c r="R192" i="5" s="1"/>
  <c r="S191" i="5"/>
  <c r="Q191" i="5"/>
  <c r="R191" i="5" s="1"/>
  <c r="S190" i="5"/>
  <c r="Q190" i="5"/>
  <c r="R190" i="5" s="1"/>
  <c r="S189" i="5"/>
  <c r="Q189" i="5"/>
  <c r="R189" i="5" s="1"/>
  <c r="S188" i="5"/>
  <c r="Q188" i="5"/>
  <c r="R188" i="5" s="1"/>
  <c r="S187" i="5"/>
  <c r="Q187" i="5"/>
  <c r="R187" i="5" s="1"/>
  <c r="S186" i="5"/>
  <c r="Q186" i="5"/>
  <c r="R186" i="5" s="1"/>
  <c r="S185" i="5"/>
  <c r="R185" i="5"/>
  <c r="Q185" i="5"/>
  <c r="S184" i="5"/>
  <c r="Q184" i="5"/>
  <c r="R184" i="5" s="1"/>
  <c r="S183" i="5"/>
  <c r="R183" i="5"/>
  <c r="Q183" i="5"/>
  <c r="S182" i="5"/>
  <c r="Q182" i="5"/>
  <c r="R182" i="5" s="1"/>
  <c r="S181" i="5"/>
  <c r="Q181" i="5"/>
  <c r="R181" i="5" s="1"/>
  <c r="S180" i="5"/>
  <c r="Q180" i="5"/>
  <c r="R180" i="5" s="1"/>
  <c r="S179" i="5"/>
  <c r="Q179" i="5"/>
  <c r="R179" i="5" s="1"/>
  <c r="S178" i="5"/>
  <c r="Q178" i="5"/>
  <c r="R178" i="5" s="1"/>
  <c r="S177" i="5"/>
  <c r="R177" i="5"/>
  <c r="Q177" i="5"/>
  <c r="S176" i="5"/>
  <c r="Q176" i="5"/>
  <c r="R176" i="5" s="1"/>
  <c r="S175" i="5"/>
  <c r="Q175" i="5"/>
  <c r="R175" i="5" s="1"/>
  <c r="S174" i="5"/>
  <c r="Q174" i="5"/>
  <c r="R174" i="5" s="1"/>
  <c r="S173" i="5"/>
  <c r="Q173" i="5"/>
  <c r="R173" i="5" s="1"/>
  <c r="S172" i="5"/>
  <c r="Q172" i="5"/>
  <c r="R172" i="5" s="1"/>
  <c r="S171" i="5"/>
  <c r="Q171" i="5"/>
  <c r="R171" i="5" s="1"/>
  <c r="S170" i="5"/>
  <c r="Q170" i="5"/>
  <c r="R170" i="5" s="1"/>
  <c r="S169" i="5"/>
  <c r="Q169" i="5"/>
  <c r="R169" i="5" s="1"/>
  <c r="S168" i="5"/>
  <c r="Q168" i="5"/>
  <c r="R168" i="5" s="1"/>
  <c r="S167" i="5"/>
  <c r="Q167" i="5"/>
  <c r="R167" i="5" s="1"/>
  <c r="S166" i="5"/>
  <c r="Q166" i="5"/>
  <c r="R166" i="5" s="1"/>
  <c r="S165" i="5"/>
  <c r="R165" i="5"/>
  <c r="Q165" i="5"/>
  <c r="S164" i="5"/>
  <c r="Q164" i="5"/>
  <c r="R164" i="5" s="1"/>
  <c r="S163" i="5"/>
  <c r="Q163" i="5"/>
  <c r="R163" i="5" s="1"/>
  <c r="S162" i="5"/>
  <c r="Q162" i="5"/>
  <c r="R162" i="5" s="1"/>
  <c r="S161" i="5"/>
  <c r="Q161" i="5"/>
  <c r="R161" i="5" s="1"/>
  <c r="S160" i="5"/>
  <c r="Q160" i="5"/>
  <c r="R160" i="5" s="1"/>
  <c r="S159" i="5"/>
  <c r="Q159" i="5"/>
  <c r="R159" i="5" s="1"/>
  <c r="S158" i="5"/>
  <c r="Q158" i="5"/>
  <c r="R158" i="5" s="1"/>
  <c r="S157" i="5"/>
  <c r="Q157" i="5"/>
  <c r="R157" i="5" s="1"/>
  <c r="S156" i="5"/>
  <c r="Q156" i="5"/>
  <c r="R156" i="5" s="1"/>
  <c r="S155" i="5"/>
  <c r="Q155" i="5"/>
  <c r="R155" i="5" s="1"/>
  <c r="S154" i="5"/>
  <c r="Q154" i="5"/>
  <c r="R154" i="5" s="1"/>
  <c r="S153" i="5"/>
  <c r="R153" i="5"/>
  <c r="Q153" i="5"/>
  <c r="S152" i="5"/>
  <c r="Q152" i="5"/>
  <c r="R152" i="5" s="1"/>
  <c r="S151" i="5"/>
  <c r="Q151" i="5"/>
  <c r="R151" i="5" s="1"/>
  <c r="S150" i="5"/>
  <c r="Q150" i="5"/>
  <c r="R150" i="5" s="1"/>
  <c r="S149" i="5"/>
  <c r="Q149" i="5"/>
  <c r="R149" i="5" s="1"/>
  <c r="S148" i="5"/>
  <c r="Q148" i="5"/>
  <c r="R148" i="5" s="1"/>
  <c r="S147" i="5"/>
  <c r="Q147" i="5"/>
  <c r="R147" i="5" s="1"/>
  <c r="S146" i="5"/>
  <c r="Q146" i="5"/>
  <c r="R146" i="5" s="1"/>
  <c r="S145" i="5"/>
  <c r="Q145" i="5"/>
  <c r="R145" i="5" s="1"/>
  <c r="S144" i="5"/>
  <c r="Q144" i="5"/>
  <c r="R144" i="5" s="1"/>
  <c r="S143" i="5"/>
  <c r="R143" i="5"/>
  <c r="Q143" i="5"/>
  <c r="S142" i="5"/>
  <c r="Q142" i="5"/>
  <c r="R142" i="5" s="1"/>
  <c r="S141" i="5"/>
  <c r="Q141" i="5"/>
  <c r="R141" i="5" s="1"/>
  <c r="S140" i="5"/>
  <c r="Q140" i="5"/>
  <c r="R140" i="5" s="1"/>
  <c r="S139" i="5"/>
  <c r="Q139" i="5"/>
  <c r="R139" i="5" s="1"/>
  <c r="S138" i="5"/>
  <c r="Q138" i="5"/>
  <c r="R138" i="5" s="1"/>
  <c r="S137" i="5"/>
  <c r="Q137" i="5"/>
  <c r="R137" i="5" s="1"/>
  <c r="S136" i="5"/>
  <c r="Q136" i="5"/>
  <c r="R136" i="5" s="1"/>
  <c r="S135" i="5"/>
  <c r="Q135" i="5"/>
  <c r="R135" i="5" s="1"/>
  <c r="S134" i="5"/>
  <c r="Q134" i="5"/>
  <c r="R134" i="5" s="1"/>
  <c r="S133" i="5"/>
  <c r="Q133" i="5"/>
  <c r="R133" i="5" s="1"/>
  <c r="S132" i="5"/>
  <c r="Q132" i="5"/>
  <c r="R132" i="5" s="1"/>
  <c r="S131" i="5"/>
  <c r="Q131" i="5"/>
  <c r="R131" i="5" s="1"/>
  <c r="S130" i="5"/>
  <c r="Q130" i="5"/>
  <c r="R130" i="5" s="1"/>
  <c r="S129" i="5"/>
  <c r="Q129" i="5"/>
  <c r="R129" i="5" s="1"/>
  <c r="S128" i="5"/>
  <c r="Q128" i="5"/>
  <c r="R128" i="5" s="1"/>
  <c r="S127" i="5"/>
  <c r="Q127" i="5"/>
  <c r="R127" i="5" s="1"/>
  <c r="S126" i="5"/>
  <c r="Q126" i="5"/>
  <c r="R126" i="5" s="1"/>
  <c r="S125" i="5"/>
  <c r="Q125" i="5"/>
  <c r="R125" i="5" s="1"/>
  <c r="S124" i="5"/>
  <c r="Q124" i="5"/>
  <c r="R124" i="5" s="1"/>
  <c r="S123" i="5"/>
  <c r="Q123" i="5"/>
  <c r="R123" i="5" s="1"/>
  <c r="S122" i="5"/>
  <c r="Q122" i="5"/>
  <c r="R122" i="5" s="1"/>
  <c r="S121" i="5"/>
  <c r="Q121" i="5"/>
  <c r="R121" i="5" s="1"/>
  <c r="S120" i="5"/>
  <c r="Q120" i="5"/>
  <c r="R120" i="5" s="1"/>
  <c r="S119" i="5"/>
  <c r="Q119" i="5"/>
  <c r="R119" i="5" s="1"/>
  <c r="S118" i="5"/>
  <c r="Q118" i="5"/>
  <c r="R118" i="5" s="1"/>
  <c r="S117" i="5"/>
  <c r="Q117" i="5"/>
  <c r="R117" i="5" s="1"/>
  <c r="S116" i="5"/>
  <c r="Q116" i="5"/>
  <c r="R116" i="5" s="1"/>
  <c r="S115" i="5"/>
  <c r="Q115" i="5"/>
  <c r="R115" i="5" s="1"/>
  <c r="S114" i="5"/>
  <c r="Q114" i="5"/>
  <c r="R114" i="5" s="1"/>
  <c r="S113" i="5"/>
  <c r="Q113" i="5"/>
  <c r="R113" i="5" s="1"/>
  <c r="S112" i="5"/>
  <c r="Q112" i="5"/>
  <c r="R112" i="5" s="1"/>
  <c r="S111" i="5"/>
  <c r="Q111" i="5"/>
  <c r="R111" i="5" s="1"/>
  <c r="S110" i="5"/>
  <c r="Q110" i="5"/>
  <c r="R110" i="5" s="1"/>
  <c r="S109" i="5"/>
  <c r="Q109" i="5"/>
  <c r="R109" i="5" s="1"/>
  <c r="S108" i="5"/>
  <c r="Q108" i="5"/>
  <c r="R108" i="5" s="1"/>
  <c r="S107" i="5"/>
  <c r="Q107" i="5"/>
  <c r="R107" i="5" s="1"/>
  <c r="S106" i="5"/>
  <c r="Q106" i="5"/>
  <c r="R106" i="5" s="1"/>
  <c r="S105" i="5"/>
  <c r="R105" i="5"/>
  <c r="Q105" i="5"/>
  <c r="S104" i="5"/>
  <c r="Q104" i="5"/>
  <c r="R104" i="5" s="1"/>
  <c r="S103" i="5"/>
  <c r="Q103" i="5"/>
  <c r="R103" i="5" s="1"/>
  <c r="S102" i="5"/>
  <c r="Q102" i="5"/>
  <c r="R102" i="5" s="1"/>
  <c r="S101" i="5"/>
  <c r="R101" i="5"/>
  <c r="Q101" i="5"/>
  <c r="S100" i="5"/>
  <c r="Q100" i="5"/>
  <c r="R100" i="5" s="1"/>
  <c r="S99" i="5"/>
  <c r="Q99" i="5"/>
  <c r="R99" i="5" s="1"/>
  <c r="S98" i="5"/>
  <c r="Q98" i="5"/>
  <c r="R98" i="5" s="1"/>
  <c r="S97" i="5"/>
  <c r="Q97" i="5"/>
  <c r="R97" i="5" s="1"/>
  <c r="S96" i="5"/>
  <c r="Q96" i="5"/>
  <c r="R96" i="5" s="1"/>
  <c r="S95" i="5"/>
  <c r="Q95" i="5"/>
  <c r="R95" i="5" s="1"/>
  <c r="S94" i="5"/>
  <c r="Q94" i="5"/>
  <c r="R94" i="5" s="1"/>
  <c r="S93" i="5"/>
  <c r="R93" i="5"/>
  <c r="Q93" i="5"/>
  <c r="S92" i="5"/>
  <c r="Q92" i="5"/>
  <c r="R92" i="5" s="1"/>
  <c r="S91" i="5"/>
  <c r="Q91" i="5"/>
  <c r="R91" i="5" s="1"/>
  <c r="S90" i="5"/>
  <c r="Q90" i="5"/>
  <c r="R90" i="5" s="1"/>
  <c r="S89" i="5"/>
  <c r="Q89" i="5"/>
  <c r="R89" i="5" s="1"/>
  <c r="S88" i="5"/>
  <c r="Q88" i="5"/>
  <c r="R88" i="5" s="1"/>
  <c r="S87" i="5"/>
  <c r="Q87" i="5"/>
  <c r="R87" i="5" s="1"/>
  <c r="S86" i="5"/>
  <c r="Q86" i="5"/>
  <c r="R86" i="5" s="1"/>
  <c r="S85" i="5"/>
  <c r="Q85" i="5"/>
  <c r="R85" i="5" s="1"/>
  <c r="S84" i="5"/>
  <c r="Q84" i="5"/>
  <c r="R84" i="5" s="1"/>
  <c r="S83" i="5"/>
  <c r="Q83" i="5"/>
  <c r="R83" i="5" s="1"/>
  <c r="S82" i="5"/>
  <c r="Q82" i="5"/>
  <c r="R82" i="5" s="1"/>
  <c r="S81" i="5"/>
  <c r="Q81" i="5"/>
  <c r="R81" i="5" s="1"/>
  <c r="S80" i="5"/>
  <c r="Q80" i="5"/>
  <c r="R80" i="5" s="1"/>
  <c r="S79" i="5"/>
  <c r="Q79" i="5"/>
  <c r="R79" i="5" s="1"/>
  <c r="S78" i="5"/>
  <c r="Q78" i="5"/>
  <c r="R78" i="5" s="1"/>
  <c r="S77" i="5"/>
  <c r="Q77" i="5"/>
  <c r="R77" i="5" s="1"/>
  <c r="S76" i="5"/>
  <c r="Q76" i="5"/>
  <c r="R76" i="5" s="1"/>
  <c r="S75" i="5"/>
  <c r="Q75" i="5"/>
  <c r="R75" i="5" s="1"/>
  <c r="S74" i="5"/>
  <c r="Q74" i="5"/>
  <c r="R74" i="5" s="1"/>
  <c r="S73" i="5"/>
  <c r="Q73" i="5"/>
  <c r="R73" i="5" s="1"/>
  <c r="S72" i="5"/>
  <c r="Q72" i="5"/>
  <c r="R72" i="5" s="1"/>
  <c r="S71" i="5"/>
  <c r="Q71" i="5"/>
  <c r="R71" i="5" s="1"/>
  <c r="S70" i="5"/>
  <c r="Q70" i="5"/>
  <c r="R70" i="5" s="1"/>
  <c r="S69" i="5"/>
  <c r="Q69" i="5"/>
  <c r="R69" i="5" s="1"/>
  <c r="S68" i="5"/>
  <c r="Q68" i="5"/>
  <c r="R68" i="5" s="1"/>
  <c r="S67" i="5"/>
  <c r="Q67" i="5"/>
  <c r="R67" i="5" s="1"/>
  <c r="S66" i="5"/>
  <c r="Q66" i="5"/>
  <c r="R66" i="5" s="1"/>
  <c r="S65" i="5"/>
  <c r="Q65" i="5"/>
  <c r="R65" i="5" s="1"/>
  <c r="S64" i="5"/>
  <c r="Q64" i="5"/>
  <c r="R64" i="5" s="1"/>
  <c r="S63" i="5"/>
  <c r="Q63" i="5"/>
  <c r="R63" i="5" s="1"/>
  <c r="S62" i="5"/>
  <c r="Q62" i="5"/>
  <c r="R62" i="5" s="1"/>
  <c r="S61" i="5"/>
  <c r="Q61" i="5"/>
  <c r="R61" i="5" s="1"/>
  <c r="S60" i="5"/>
  <c r="Q60" i="5"/>
  <c r="R60" i="5" s="1"/>
  <c r="S59" i="5"/>
  <c r="Q59" i="5"/>
  <c r="R59" i="5" s="1"/>
  <c r="S58" i="5"/>
  <c r="Q58" i="5"/>
  <c r="R58" i="5" s="1"/>
  <c r="S57" i="5"/>
  <c r="Q57" i="5"/>
  <c r="R57" i="5" s="1"/>
  <c r="S56" i="5"/>
  <c r="Q56" i="5"/>
  <c r="R56" i="5" s="1"/>
  <c r="S55" i="5"/>
  <c r="Q55" i="5"/>
  <c r="R55" i="5" s="1"/>
  <c r="S54" i="5"/>
  <c r="Q54" i="5"/>
  <c r="R54" i="5" s="1"/>
  <c r="S53" i="5"/>
  <c r="Q53" i="5"/>
  <c r="R53" i="5" s="1"/>
  <c r="S52" i="5"/>
  <c r="Q52" i="5"/>
  <c r="R52" i="5" s="1"/>
  <c r="S51" i="5"/>
  <c r="Q51" i="5"/>
  <c r="R51" i="5" s="1"/>
  <c r="S50" i="5"/>
  <c r="Q50" i="5"/>
  <c r="R50" i="5" s="1"/>
  <c r="S49" i="5"/>
  <c r="Q49" i="5"/>
  <c r="R49" i="5" s="1"/>
  <c r="S48" i="5"/>
  <c r="Q48" i="5"/>
  <c r="R48" i="5" s="1"/>
  <c r="S47" i="5"/>
  <c r="Q47" i="5"/>
  <c r="R47" i="5" s="1"/>
  <c r="S46" i="5"/>
  <c r="Q46" i="5"/>
  <c r="R46" i="5" s="1"/>
  <c r="S45" i="5"/>
  <c r="Q45" i="5"/>
  <c r="R45" i="5" s="1"/>
  <c r="S44" i="5"/>
  <c r="Q44" i="5"/>
  <c r="R44" i="5" s="1"/>
  <c r="S43" i="5"/>
  <c r="Q43" i="5"/>
  <c r="R43" i="5" s="1"/>
  <c r="S42" i="5"/>
  <c r="Q42" i="5"/>
  <c r="R42" i="5" s="1"/>
  <c r="S41" i="5"/>
  <c r="Q41" i="5"/>
  <c r="R41" i="5" s="1"/>
  <c r="S40" i="5"/>
  <c r="Q40" i="5"/>
  <c r="R40" i="5" s="1"/>
  <c r="S39" i="5"/>
  <c r="R39" i="5"/>
  <c r="Q39" i="5"/>
  <c r="S38" i="5"/>
  <c r="Q38" i="5"/>
  <c r="R38" i="5" s="1"/>
  <c r="S37" i="5"/>
  <c r="Q37" i="5"/>
  <c r="R37" i="5" s="1"/>
  <c r="S36" i="5"/>
  <c r="Q36" i="5"/>
  <c r="R36" i="5" s="1"/>
  <c r="S35" i="5"/>
  <c r="Q35" i="5"/>
  <c r="R35" i="5" s="1"/>
  <c r="S34" i="5"/>
  <c r="Q34" i="5"/>
  <c r="R34" i="5" s="1"/>
  <c r="S33" i="5"/>
  <c r="Q33" i="5"/>
  <c r="R33" i="5" s="1"/>
  <c r="S32" i="5"/>
  <c r="Q32" i="5"/>
  <c r="R32" i="5" s="1"/>
  <c r="S31" i="5"/>
  <c r="Q31" i="5"/>
  <c r="R31" i="5" s="1"/>
  <c r="S30" i="5"/>
  <c r="Q30" i="5"/>
  <c r="R30" i="5" s="1"/>
  <c r="S29" i="5"/>
  <c r="Q29" i="5"/>
  <c r="R29" i="5" s="1"/>
  <c r="S28" i="5"/>
  <c r="Q28" i="5"/>
  <c r="R28" i="5" s="1"/>
  <c r="S27" i="5"/>
  <c r="Q27" i="5"/>
  <c r="R27" i="5" s="1"/>
  <c r="S26" i="5"/>
  <c r="Q26" i="5"/>
  <c r="R26" i="5" s="1"/>
  <c r="S25" i="5"/>
  <c r="Q25" i="5"/>
  <c r="R25" i="5" s="1"/>
  <c r="S24" i="5"/>
  <c r="Q24" i="5"/>
  <c r="R24" i="5" s="1"/>
  <c r="S23" i="5"/>
  <c r="Q23" i="5"/>
  <c r="R23" i="5" s="1"/>
  <c r="S22" i="5"/>
  <c r="Q22" i="5"/>
  <c r="R22" i="5" s="1"/>
  <c r="S21" i="5"/>
  <c r="Q21" i="5"/>
  <c r="R21" i="5" s="1"/>
  <c r="S20" i="5"/>
  <c r="Q20" i="5"/>
  <c r="R20" i="5" s="1"/>
  <c r="S19" i="5"/>
  <c r="Q19" i="5"/>
  <c r="R19" i="5" s="1"/>
  <c r="S18" i="5"/>
  <c r="Q18" i="5"/>
  <c r="R18" i="5" s="1"/>
  <c r="S17" i="5"/>
  <c r="Q17" i="5"/>
  <c r="R17" i="5" s="1"/>
  <c r="S16" i="5"/>
  <c r="Q16" i="5"/>
  <c r="R16" i="5" s="1"/>
  <c r="S15" i="5"/>
  <c r="Q15" i="5"/>
  <c r="R15" i="5" s="1"/>
  <c r="S14" i="5"/>
  <c r="Q14" i="5"/>
  <c r="R14" i="5" s="1"/>
  <c r="S13" i="5"/>
  <c r="Q13" i="5"/>
  <c r="R13" i="5" s="1"/>
  <c r="S12" i="5"/>
  <c r="Q12" i="5"/>
  <c r="R12" i="5" s="1"/>
  <c r="S11" i="5"/>
  <c r="Q11" i="5"/>
  <c r="R11" i="5" s="1"/>
  <c r="S10" i="5"/>
  <c r="Q10" i="5"/>
  <c r="R10" i="5" s="1"/>
  <c r="S9" i="5"/>
  <c r="Q9" i="5"/>
  <c r="R9" i="5" s="1"/>
  <c r="S8" i="5"/>
  <c r="Q8" i="5"/>
  <c r="R8" i="5" s="1"/>
  <c r="S7" i="5"/>
  <c r="Q7" i="5"/>
  <c r="R7" i="5" s="1"/>
  <c r="S6" i="5"/>
  <c r="Q6" i="5"/>
  <c r="R6" i="5" s="1"/>
  <c r="S5" i="5"/>
  <c r="Q5" i="5"/>
  <c r="R5" i="5" s="1"/>
  <c r="S4" i="5"/>
  <c r="Q4" i="5"/>
  <c r="R4" i="5" s="1"/>
  <c r="S3" i="5"/>
  <c r="R3" i="5"/>
  <c r="Q3" i="5"/>
  <c r="S2" i="5"/>
  <c r="Q2" i="5"/>
  <c r="R2" i="5" s="1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7" i="4"/>
  <c r="AB13" i="4"/>
  <c r="AC13" i="4" s="1"/>
  <c r="AB45" i="4"/>
  <c r="AC45" i="4" s="1"/>
  <c r="AB77" i="4"/>
  <c r="AC77" i="4" s="1"/>
  <c r="L7" i="4"/>
  <c r="O7" i="4" a="1"/>
  <c r="O7" i="4" s="1"/>
  <c r="AB7" i="4" s="1"/>
  <c r="AC7" i="4" s="1"/>
  <c r="Q8" i="4" a="1"/>
  <c r="Q8" i="4" s="1"/>
  <c r="Q9" i="4" a="1"/>
  <c r="Q9" i="4" s="1"/>
  <c r="Q10" i="4" a="1"/>
  <c r="Q10" i="4"/>
  <c r="Q11" i="4" a="1"/>
  <c r="Q11" i="4" s="1"/>
  <c r="Q12" i="4" a="1"/>
  <c r="Q12" i="4" s="1"/>
  <c r="Q13" i="4" a="1"/>
  <c r="Q13" i="4" s="1"/>
  <c r="Q14" i="4" a="1"/>
  <c r="Q14" i="4"/>
  <c r="Q15" i="4" a="1"/>
  <c r="Q15" i="4" s="1"/>
  <c r="Q16" i="4" a="1"/>
  <c r="Q16" i="4" s="1"/>
  <c r="Q17" i="4" a="1"/>
  <c r="Q17" i="4" s="1"/>
  <c r="Q18" i="4" a="1"/>
  <c r="Q18" i="4" s="1"/>
  <c r="Q19" i="4" a="1"/>
  <c r="Q19" i="4" s="1"/>
  <c r="Q20" i="4" a="1"/>
  <c r="Q20" i="4"/>
  <c r="Q21" i="4" a="1"/>
  <c r="Q21" i="4" s="1"/>
  <c r="Q22" i="4" a="1"/>
  <c r="Q22" i="4" s="1"/>
  <c r="Q23" i="4" a="1"/>
  <c r="Q23" i="4" s="1"/>
  <c r="Q24" i="4" a="1"/>
  <c r="Q24" i="4" s="1"/>
  <c r="Q25" i="4" a="1"/>
  <c r="Q25" i="4" s="1"/>
  <c r="Q26" i="4" a="1"/>
  <c r="Q26" i="4"/>
  <c r="Q27" i="4" a="1"/>
  <c r="Q27" i="4" s="1"/>
  <c r="Q28" i="4" a="1"/>
  <c r="Q28" i="4" s="1"/>
  <c r="Q29" i="4" a="1"/>
  <c r="Q29" i="4" s="1"/>
  <c r="Q30" i="4" a="1"/>
  <c r="Q30" i="4" s="1"/>
  <c r="Q31" i="4" a="1"/>
  <c r="Q31" i="4" s="1"/>
  <c r="Q32" i="4" a="1"/>
  <c r="Q32" i="4" s="1"/>
  <c r="Q33" i="4" a="1"/>
  <c r="Q33" i="4" s="1"/>
  <c r="Q34" i="4" a="1"/>
  <c r="Q34" i="4" s="1"/>
  <c r="Q35" i="4" a="1"/>
  <c r="Q35" i="4" s="1"/>
  <c r="Q36" i="4" a="1"/>
  <c r="Q36" i="4" s="1"/>
  <c r="Q37" i="4" a="1"/>
  <c r="Q37" i="4" s="1"/>
  <c r="Q38" i="4" a="1"/>
  <c r="Q38" i="4"/>
  <c r="Q39" i="4" a="1"/>
  <c r="Q39" i="4" s="1"/>
  <c r="Q40" i="4" a="1"/>
  <c r="Q40" i="4" s="1"/>
  <c r="Q41" i="4" a="1"/>
  <c r="Q41" i="4" s="1"/>
  <c r="Q42" i="4" a="1"/>
  <c r="Q42" i="4" s="1"/>
  <c r="Q43" i="4" a="1"/>
  <c r="Q43" i="4" s="1"/>
  <c r="Q44" i="4" a="1"/>
  <c r="Q44" i="4" s="1"/>
  <c r="Q45" i="4" a="1"/>
  <c r="Q45" i="4" s="1"/>
  <c r="Q46" i="4" a="1"/>
  <c r="Q46" i="4"/>
  <c r="Q47" i="4" a="1"/>
  <c r="Q47" i="4" s="1"/>
  <c r="Q48" i="4" a="1"/>
  <c r="Q48" i="4" s="1"/>
  <c r="Q49" i="4" a="1"/>
  <c r="Q49" i="4" s="1"/>
  <c r="Q50" i="4" a="1"/>
  <c r="Q50" i="4" s="1"/>
  <c r="Q51" i="4" a="1"/>
  <c r="Q51" i="4" s="1"/>
  <c r="Q52" i="4" a="1"/>
  <c r="Q52" i="4" s="1"/>
  <c r="Q53" i="4" a="1"/>
  <c r="Q53" i="4" s="1"/>
  <c r="Q54" i="4" a="1"/>
  <c r="Q54" i="4" s="1"/>
  <c r="Q55" i="4" a="1"/>
  <c r="Q55" i="4" s="1"/>
  <c r="Q56" i="4" a="1"/>
  <c r="Q56" i="4" s="1"/>
  <c r="Q57" i="4" a="1"/>
  <c r="Q57" i="4" s="1"/>
  <c r="Q58" i="4" a="1"/>
  <c r="Q58" i="4"/>
  <c r="Q59" i="4" a="1"/>
  <c r="Q59" i="4" s="1"/>
  <c r="Q60" i="4" a="1"/>
  <c r="Q60" i="4" s="1"/>
  <c r="Q61" i="4" a="1"/>
  <c r="Q61" i="4" s="1"/>
  <c r="Q62" i="4" a="1"/>
  <c r="Q62" i="4" s="1"/>
  <c r="Q63" i="4" a="1"/>
  <c r="Q63" i="4" s="1"/>
  <c r="Q64" i="4" a="1"/>
  <c r="Q64" i="4" s="1"/>
  <c r="Q65" i="4" a="1"/>
  <c r="Q65" i="4" s="1"/>
  <c r="Q66" i="4" a="1"/>
  <c r="Q66" i="4" s="1"/>
  <c r="Q67" i="4" a="1"/>
  <c r="Q67" i="4" s="1"/>
  <c r="Q68" i="4" a="1"/>
  <c r="Q68" i="4" s="1"/>
  <c r="Q69" i="4" a="1"/>
  <c r="Q69" i="4" s="1"/>
  <c r="Q70" i="4" a="1"/>
  <c r="Q70" i="4"/>
  <c r="Q71" i="4" a="1"/>
  <c r="Q71" i="4" s="1"/>
  <c r="Q72" i="4" a="1"/>
  <c r="Q72" i="4" s="1"/>
  <c r="Q73" i="4" a="1"/>
  <c r="Q73" i="4" s="1"/>
  <c r="Q74" i="4" a="1"/>
  <c r="Q74" i="4" s="1"/>
  <c r="Q75" i="4" a="1"/>
  <c r="Q75" i="4" s="1"/>
  <c r="Q76" i="4" a="1"/>
  <c r="Q76" i="4" s="1"/>
  <c r="Q77" i="4" a="1"/>
  <c r="Q77" i="4" s="1"/>
  <c r="Q78" i="4" a="1"/>
  <c r="Q78" i="4"/>
  <c r="Q79" i="4" a="1"/>
  <c r="Q79" i="4" s="1"/>
  <c r="Q7" i="4" a="1"/>
  <c r="Q7" i="4" s="1"/>
  <c r="P8" i="4" a="1"/>
  <c r="P8" i="4"/>
  <c r="P9" i="4" a="1"/>
  <c r="P9" i="4" s="1"/>
  <c r="P10" i="4" a="1"/>
  <c r="P10" i="4" s="1"/>
  <c r="P11" i="4" a="1"/>
  <c r="P11" i="4" s="1"/>
  <c r="P12" i="4" a="1"/>
  <c r="P12" i="4"/>
  <c r="P13" i="4" a="1"/>
  <c r="P13" i="4" s="1"/>
  <c r="P14" i="4" a="1"/>
  <c r="P14" i="4" s="1"/>
  <c r="P15" i="4" a="1"/>
  <c r="P15" i="4" s="1"/>
  <c r="P16" i="4" a="1"/>
  <c r="P16" i="4" s="1"/>
  <c r="P17" i="4" a="1"/>
  <c r="P17" i="4" s="1"/>
  <c r="P18" i="4" a="1"/>
  <c r="P18" i="4"/>
  <c r="P19" i="4" a="1"/>
  <c r="P19" i="4" s="1"/>
  <c r="P20" i="4" a="1"/>
  <c r="P20" i="4" s="1"/>
  <c r="P21" i="4" a="1"/>
  <c r="P21" i="4" s="1"/>
  <c r="P22" i="4" a="1"/>
  <c r="P22" i="4" s="1"/>
  <c r="P23" i="4" a="1"/>
  <c r="P23" i="4" s="1"/>
  <c r="P24" i="4" a="1"/>
  <c r="P24" i="4"/>
  <c r="P25" i="4" a="1"/>
  <c r="P25" i="4" s="1"/>
  <c r="P26" i="4" a="1"/>
  <c r="P26" i="4" s="1"/>
  <c r="P27" i="4" a="1"/>
  <c r="P27" i="4" s="1"/>
  <c r="P28" i="4" a="1"/>
  <c r="P28" i="4"/>
  <c r="P29" i="4" a="1"/>
  <c r="P29" i="4" s="1"/>
  <c r="P30" i="4" a="1"/>
  <c r="P30" i="4" s="1"/>
  <c r="P31" i="4" a="1"/>
  <c r="P31" i="4" s="1"/>
  <c r="P32" i="4" a="1"/>
  <c r="P32" i="4" s="1"/>
  <c r="P33" i="4" a="1"/>
  <c r="P33" i="4" s="1"/>
  <c r="P34" i="4" a="1"/>
  <c r="P34" i="4"/>
  <c r="P35" i="4" a="1"/>
  <c r="P35" i="4" s="1"/>
  <c r="P36" i="4" a="1"/>
  <c r="P36" i="4" s="1"/>
  <c r="P37" i="4" a="1"/>
  <c r="P37" i="4" s="1"/>
  <c r="P38" i="4" a="1"/>
  <c r="P38" i="4" s="1"/>
  <c r="P39" i="4" a="1"/>
  <c r="P39" i="4" s="1"/>
  <c r="P40" i="4" a="1"/>
  <c r="P40" i="4"/>
  <c r="P41" i="4" a="1"/>
  <c r="P41" i="4" s="1"/>
  <c r="P42" i="4" a="1"/>
  <c r="P42" i="4" s="1"/>
  <c r="P43" i="4" a="1"/>
  <c r="P43" i="4" s="1"/>
  <c r="P44" i="4" a="1"/>
  <c r="P44" i="4"/>
  <c r="P45" i="4" a="1"/>
  <c r="P45" i="4" s="1"/>
  <c r="P46" i="4" a="1"/>
  <c r="P46" i="4" s="1"/>
  <c r="P47" i="4" a="1"/>
  <c r="P47" i="4" s="1"/>
  <c r="P48" i="4" a="1"/>
  <c r="P48" i="4" s="1"/>
  <c r="P49" i="4" a="1"/>
  <c r="P49" i="4" s="1"/>
  <c r="P50" i="4" a="1"/>
  <c r="P50" i="4"/>
  <c r="P51" i="4" a="1"/>
  <c r="P51" i="4" s="1"/>
  <c r="P52" i="4" a="1"/>
  <c r="P52" i="4" s="1"/>
  <c r="P53" i="4" a="1"/>
  <c r="P53" i="4" s="1"/>
  <c r="P54" i="4" a="1"/>
  <c r="P54" i="4" s="1"/>
  <c r="P55" i="4" a="1"/>
  <c r="P55" i="4" s="1"/>
  <c r="P56" i="4" a="1"/>
  <c r="P56" i="4"/>
  <c r="P57" i="4" a="1"/>
  <c r="P57" i="4" s="1"/>
  <c r="P58" i="4" a="1"/>
  <c r="P58" i="4" s="1"/>
  <c r="P59" i="4" a="1"/>
  <c r="P59" i="4" s="1"/>
  <c r="P60" i="4" a="1"/>
  <c r="P60" i="4"/>
  <c r="P61" i="4" a="1"/>
  <c r="P61" i="4" s="1"/>
  <c r="P62" i="4" a="1"/>
  <c r="P62" i="4" s="1"/>
  <c r="P63" i="4" a="1"/>
  <c r="P63" i="4" s="1"/>
  <c r="P64" i="4" a="1"/>
  <c r="P64" i="4" s="1"/>
  <c r="P65" i="4" a="1"/>
  <c r="P65" i="4" s="1"/>
  <c r="P66" i="4" a="1"/>
  <c r="P66" i="4"/>
  <c r="P67" i="4" a="1"/>
  <c r="P67" i="4" s="1"/>
  <c r="P68" i="4" a="1"/>
  <c r="P68" i="4" s="1"/>
  <c r="P69" i="4" a="1"/>
  <c r="P69" i="4" s="1"/>
  <c r="P70" i="4" a="1"/>
  <c r="P70" i="4" s="1"/>
  <c r="P71" i="4" a="1"/>
  <c r="P71" i="4" s="1"/>
  <c r="P72" i="4" a="1"/>
  <c r="P72" i="4"/>
  <c r="P73" i="4" a="1"/>
  <c r="P73" i="4" s="1"/>
  <c r="P74" i="4" a="1"/>
  <c r="P74" i="4" s="1"/>
  <c r="P75" i="4" a="1"/>
  <c r="P75" i="4" s="1"/>
  <c r="P76" i="4" a="1"/>
  <c r="P76" i="4"/>
  <c r="P77" i="4" a="1"/>
  <c r="P77" i="4" s="1"/>
  <c r="P78" i="4" a="1"/>
  <c r="P78" i="4" s="1"/>
  <c r="P79" i="4" a="1"/>
  <c r="P79" i="4" s="1"/>
  <c r="P7" i="4" a="1"/>
  <c r="P7" i="4" s="1"/>
  <c r="O8" i="4" a="1"/>
  <c r="O8" i="4" s="1"/>
  <c r="AB8" i="4" s="1"/>
  <c r="AC8" i="4" s="1"/>
  <c r="O9" i="4" a="1"/>
  <c r="O9" i="4" s="1"/>
  <c r="AB9" i="4" s="1"/>
  <c r="AC9" i="4" s="1"/>
  <c r="O10" i="4" a="1"/>
  <c r="O10" i="4"/>
  <c r="AB10" i="4" s="1"/>
  <c r="AC10" i="4" s="1"/>
  <c r="O11" i="4" a="1"/>
  <c r="O11" i="4"/>
  <c r="AB11" i="4" s="1"/>
  <c r="AC11" i="4" s="1"/>
  <c r="O12" i="4" a="1"/>
  <c r="O12" i="4"/>
  <c r="AB12" i="4" s="1"/>
  <c r="AC12" i="4" s="1"/>
  <c r="O13" i="4" a="1"/>
  <c r="O13" i="4" s="1"/>
  <c r="O14" i="4" a="1"/>
  <c r="O14" i="4" s="1"/>
  <c r="AB14" i="4" s="1"/>
  <c r="AC14" i="4" s="1"/>
  <c r="O15" i="4" a="1"/>
  <c r="O15" i="4" s="1"/>
  <c r="AB15" i="4" s="1"/>
  <c r="AC15" i="4" s="1"/>
  <c r="O16" i="4" a="1"/>
  <c r="O16" i="4"/>
  <c r="AB16" i="4" s="1"/>
  <c r="AC16" i="4" s="1"/>
  <c r="O17" i="4" a="1"/>
  <c r="O17" i="4" s="1"/>
  <c r="AB17" i="4" s="1"/>
  <c r="AC17" i="4" s="1"/>
  <c r="O18" i="4" a="1"/>
  <c r="O18" i="4" s="1"/>
  <c r="AB18" i="4" s="1"/>
  <c r="AC18" i="4" s="1"/>
  <c r="O19" i="4" a="1"/>
  <c r="O19" i="4" s="1"/>
  <c r="AB19" i="4" s="1"/>
  <c r="AC19" i="4" s="1"/>
  <c r="O20" i="4" a="1"/>
  <c r="O20" i="4" s="1"/>
  <c r="AB20" i="4" s="1"/>
  <c r="AC20" i="4" s="1"/>
  <c r="O21" i="4" a="1"/>
  <c r="O21" i="4" s="1"/>
  <c r="AB21" i="4" s="1"/>
  <c r="AC21" i="4" s="1"/>
  <c r="O22" i="4" a="1"/>
  <c r="O22" i="4" s="1"/>
  <c r="AB22" i="4" s="1"/>
  <c r="AC22" i="4" s="1"/>
  <c r="O23" i="4" a="1"/>
  <c r="O23" i="4" s="1"/>
  <c r="AB23" i="4" s="1"/>
  <c r="AC23" i="4" s="1"/>
  <c r="O24" i="4" a="1"/>
  <c r="O24" i="4" s="1"/>
  <c r="AB24" i="4" s="1"/>
  <c r="AC24" i="4" s="1"/>
  <c r="O25" i="4" a="1"/>
  <c r="O25" i="4" s="1"/>
  <c r="AB25" i="4" s="1"/>
  <c r="AC25" i="4" s="1"/>
  <c r="O26" i="4" a="1"/>
  <c r="O26" i="4" s="1"/>
  <c r="AB26" i="4" s="1"/>
  <c r="AC26" i="4" s="1"/>
  <c r="O27" i="4" a="1"/>
  <c r="O27" i="4" s="1"/>
  <c r="AB27" i="4" s="1"/>
  <c r="AC27" i="4" s="1"/>
  <c r="O28" i="4" a="1"/>
  <c r="O28" i="4" s="1"/>
  <c r="AB28" i="4" s="1"/>
  <c r="AC28" i="4" s="1"/>
  <c r="O29" i="4" a="1"/>
  <c r="O29" i="4" s="1"/>
  <c r="AB29" i="4" s="1"/>
  <c r="AC29" i="4" s="1"/>
  <c r="O30" i="4" a="1"/>
  <c r="O30" i="4"/>
  <c r="AB30" i="4" s="1"/>
  <c r="AC30" i="4" s="1"/>
  <c r="O31" i="4" a="1"/>
  <c r="O31" i="4" s="1"/>
  <c r="AB31" i="4" s="1"/>
  <c r="AC31" i="4" s="1"/>
  <c r="O32" i="4" a="1"/>
  <c r="O32" i="4" s="1"/>
  <c r="AB32" i="4" s="1"/>
  <c r="AC32" i="4" s="1"/>
  <c r="O33" i="4" a="1"/>
  <c r="O33" i="4" s="1"/>
  <c r="AB33" i="4" s="1"/>
  <c r="AC33" i="4" s="1"/>
  <c r="O34" i="4" a="1"/>
  <c r="O34" i="4"/>
  <c r="AB34" i="4" s="1"/>
  <c r="AC34" i="4" s="1"/>
  <c r="O35" i="4" a="1"/>
  <c r="O35" i="4"/>
  <c r="AB35" i="4" s="1"/>
  <c r="AC35" i="4" s="1"/>
  <c r="O36" i="4" a="1"/>
  <c r="O36" i="4"/>
  <c r="AB36" i="4" s="1"/>
  <c r="AC36" i="4" s="1"/>
  <c r="O37" i="4" a="1"/>
  <c r="O37" i="4" s="1"/>
  <c r="AB37" i="4" s="1"/>
  <c r="AC37" i="4" s="1"/>
  <c r="O38" i="4" a="1"/>
  <c r="O38" i="4" s="1"/>
  <c r="AB38" i="4" s="1"/>
  <c r="AC38" i="4" s="1"/>
  <c r="O39" i="4" a="1"/>
  <c r="O39" i="4"/>
  <c r="AB39" i="4" s="1"/>
  <c r="AC39" i="4" s="1"/>
  <c r="O40" i="4" a="1"/>
  <c r="O40" i="4" s="1"/>
  <c r="AB40" i="4" s="1"/>
  <c r="AC40" i="4" s="1"/>
  <c r="O41" i="4" a="1"/>
  <c r="O41" i="4" s="1"/>
  <c r="AB41" i="4" s="1"/>
  <c r="AC41" i="4" s="1"/>
  <c r="O42" i="4" a="1"/>
  <c r="O42" i="4"/>
  <c r="AB42" i="4" s="1"/>
  <c r="AC42" i="4" s="1"/>
  <c r="O43" i="4" a="1"/>
  <c r="O43" i="4"/>
  <c r="AB43" i="4" s="1"/>
  <c r="AC43" i="4" s="1"/>
  <c r="O44" i="4" a="1"/>
  <c r="O44" i="4"/>
  <c r="AB44" i="4" s="1"/>
  <c r="AC44" i="4" s="1"/>
  <c r="O45" i="4" a="1"/>
  <c r="O45" i="4" s="1"/>
  <c r="O46" i="4" a="1"/>
  <c r="O46" i="4" s="1"/>
  <c r="AB46" i="4" s="1"/>
  <c r="AC46" i="4" s="1"/>
  <c r="O47" i="4" a="1"/>
  <c r="O47" i="4" s="1"/>
  <c r="AB47" i="4" s="1"/>
  <c r="AC47" i="4" s="1"/>
  <c r="O48" i="4" a="1"/>
  <c r="O48" i="4"/>
  <c r="AB48" i="4" s="1"/>
  <c r="AC48" i="4" s="1"/>
  <c r="O49" i="4" a="1"/>
  <c r="O49" i="4" s="1"/>
  <c r="AB49" i="4" s="1"/>
  <c r="AC49" i="4" s="1"/>
  <c r="O50" i="4" a="1"/>
  <c r="O50" i="4" s="1"/>
  <c r="AB50" i="4" s="1"/>
  <c r="AC50" i="4" s="1"/>
  <c r="O51" i="4" a="1"/>
  <c r="O51" i="4" s="1"/>
  <c r="AB51" i="4" s="1"/>
  <c r="AC51" i="4" s="1"/>
  <c r="O52" i="4" a="1"/>
  <c r="O52" i="4" s="1"/>
  <c r="AB52" i="4" s="1"/>
  <c r="AC52" i="4" s="1"/>
  <c r="O53" i="4" a="1"/>
  <c r="O53" i="4" s="1"/>
  <c r="AB53" i="4" s="1"/>
  <c r="AC53" i="4" s="1"/>
  <c r="O54" i="4" a="1"/>
  <c r="O54" i="4" s="1"/>
  <c r="AB54" i="4" s="1"/>
  <c r="AC54" i="4" s="1"/>
  <c r="O55" i="4" a="1"/>
  <c r="O55" i="4" s="1"/>
  <c r="AB55" i="4" s="1"/>
  <c r="AC55" i="4" s="1"/>
  <c r="O56" i="4" a="1"/>
  <c r="O56" i="4" s="1"/>
  <c r="AB56" i="4" s="1"/>
  <c r="AC56" i="4" s="1"/>
  <c r="O57" i="4" a="1"/>
  <c r="O57" i="4" s="1"/>
  <c r="AB57" i="4" s="1"/>
  <c r="AC57" i="4" s="1"/>
  <c r="O58" i="4" a="1"/>
  <c r="O58" i="4" s="1"/>
  <c r="AB58" i="4" s="1"/>
  <c r="AC58" i="4" s="1"/>
  <c r="O59" i="4" a="1"/>
  <c r="O59" i="4" s="1"/>
  <c r="AB59" i="4" s="1"/>
  <c r="AC59" i="4" s="1"/>
  <c r="O60" i="4" a="1"/>
  <c r="O60" i="4" s="1"/>
  <c r="AB60" i="4" s="1"/>
  <c r="AC60" i="4" s="1"/>
  <c r="O61" i="4" a="1"/>
  <c r="O61" i="4" s="1"/>
  <c r="AB61" i="4" s="1"/>
  <c r="AC61" i="4" s="1"/>
  <c r="O62" i="4" a="1"/>
  <c r="O62" i="4"/>
  <c r="AB62" i="4" s="1"/>
  <c r="AC62" i="4" s="1"/>
  <c r="O63" i="4" a="1"/>
  <c r="O63" i="4" s="1"/>
  <c r="AB63" i="4" s="1"/>
  <c r="AC63" i="4" s="1"/>
  <c r="O64" i="4" a="1"/>
  <c r="O64" i="4" s="1"/>
  <c r="AB64" i="4" s="1"/>
  <c r="AC64" i="4" s="1"/>
  <c r="O65" i="4" a="1"/>
  <c r="O65" i="4" s="1"/>
  <c r="AB65" i="4" s="1"/>
  <c r="AC65" i="4" s="1"/>
  <c r="O66" i="4" a="1"/>
  <c r="O66" i="4"/>
  <c r="AB66" i="4" s="1"/>
  <c r="AC66" i="4" s="1"/>
  <c r="O67" i="4" a="1"/>
  <c r="O67" i="4"/>
  <c r="AB67" i="4" s="1"/>
  <c r="AC67" i="4" s="1"/>
  <c r="O68" i="4" a="1"/>
  <c r="O68" i="4"/>
  <c r="AB68" i="4" s="1"/>
  <c r="AC68" i="4" s="1"/>
  <c r="O69" i="4" a="1"/>
  <c r="O69" i="4" s="1"/>
  <c r="AB69" i="4" s="1"/>
  <c r="AC69" i="4" s="1"/>
  <c r="O70" i="4" a="1"/>
  <c r="O70" i="4" s="1"/>
  <c r="AB70" i="4" s="1"/>
  <c r="AC70" i="4" s="1"/>
  <c r="O71" i="4" a="1"/>
  <c r="O71" i="4"/>
  <c r="AB71" i="4" s="1"/>
  <c r="AC71" i="4" s="1"/>
  <c r="O72" i="4" a="1"/>
  <c r="O72" i="4" s="1"/>
  <c r="AB72" i="4" s="1"/>
  <c r="AC72" i="4" s="1"/>
  <c r="O73" i="4" a="1"/>
  <c r="O73" i="4" s="1"/>
  <c r="AB73" i="4" s="1"/>
  <c r="AC73" i="4" s="1"/>
  <c r="O74" i="4" a="1"/>
  <c r="O74" i="4"/>
  <c r="AB74" i="4" s="1"/>
  <c r="AC74" i="4" s="1"/>
  <c r="O75" i="4" a="1"/>
  <c r="O75" i="4"/>
  <c r="AB75" i="4" s="1"/>
  <c r="AC75" i="4" s="1"/>
  <c r="O76" i="4" a="1"/>
  <c r="O76" i="4"/>
  <c r="AB76" i="4" s="1"/>
  <c r="AC76" i="4" s="1"/>
  <c r="O77" i="4" a="1"/>
  <c r="O77" i="4" s="1"/>
  <c r="O78" i="4" a="1"/>
  <c r="O78" i="4" s="1"/>
  <c r="AB78" i="4" s="1"/>
  <c r="AC78" i="4" s="1"/>
  <c r="O79" i="4" a="1"/>
  <c r="O79" i="4" s="1"/>
  <c r="AB79" i="4" s="1"/>
  <c r="AC79" i="4" s="1"/>
  <c r="N8" i="4" a="1"/>
  <c r="N8" i="4"/>
  <c r="N9" i="4" a="1"/>
  <c r="N9" i="4" s="1"/>
  <c r="N10" i="4" a="1"/>
  <c r="N10" i="4" s="1"/>
  <c r="N11" i="4" a="1"/>
  <c r="N11" i="4" s="1"/>
  <c r="N12" i="4" a="1"/>
  <c r="N12" i="4"/>
  <c r="N13" i="4" a="1"/>
  <c r="N13" i="4" s="1"/>
  <c r="N14" i="4" a="1"/>
  <c r="N14" i="4" s="1"/>
  <c r="N15" i="4" a="1"/>
  <c r="N15" i="4" s="1"/>
  <c r="N16" i="4" a="1"/>
  <c r="N16" i="4" s="1"/>
  <c r="N17" i="4" a="1"/>
  <c r="N17" i="4" s="1"/>
  <c r="N18" i="4" a="1"/>
  <c r="N18" i="4"/>
  <c r="N19" i="4" a="1"/>
  <c r="N19" i="4" s="1"/>
  <c r="N20" i="4" a="1"/>
  <c r="N20" i="4" s="1"/>
  <c r="N21" i="4" a="1"/>
  <c r="N21" i="4" s="1"/>
  <c r="N22" i="4" a="1"/>
  <c r="N22" i="4" s="1"/>
  <c r="N23" i="4" a="1"/>
  <c r="N23" i="4" s="1"/>
  <c r="N24" i="4" a="1"/>
  <c r="N24" i="4" s="1"/>
  <c r="N25" i="4" a="1"/>
  <c r="N25" i="4" s="1"/>
  <c r="N26" i="4" a="1"/>
  <c r="N26" i="4"/>
  <c r="N27" i="4" a="1"/>
  <c r="N27" i="4" s="1"/>
  <c r="N28" i="4" a="1"/>
  <c r="N28" i="4" s="1"/>
  <c r="N29" i="4" a="1"/>
  <c r="N29" i="4" s="1"/>
  <c r="N30" i="4" a="1"/>
  <c r="N30" i="4" s="1"/>
  <c r="N31" i="4" a="1"/>
  <c r="N31" i="4" s="1"/>
  <c r="N32" i="4" a="1"/>
  <c r="N32" i="4" s="1"/>
  <c r="N33" i="4" a="1"/>
  <c r="N33" i="4" s="1"/>
  <c r="N34" i="4" a="1"/>
  <c r="N34" i="4"/>
  <c r="N35" i="4" a="1"/>
  <c r="N35" i="4" s="1"/>
  <c r="N36" i="4" a="1"/>
  <c r="N36" i="4" s="1"/>
  <c r="N37" i="4" a="1"/>
  <c r="N37" i="4" s="1"/>
  <c r="N38" i="4" a="1"/>
  <c r="N38" i="4" s="1"/>
  <c r="N39" i="4" a="1"/>
  <c r="N39" i="4" s="1"/>
  <c r="N40" i="4" a="1"/>
  <c r="N40" i="4" s="1"/>
  <c r="N41" i="4" a="1"/>
  <c r="N41" i="4" s="1"/>
  <c r="N42" i="4" a="1"/>
  <c r="N42" i="4"/>
  <c r="N43" i="4" a="1"/>
  <c r="N43" i="4" s="1"/>
  <c r="N44" i="4" a="1"/>
  <c r="N44" i="4" s="1"/>
  <c r="N45" i="4" a="1"/>
  <c r="N45" i="4" s="1"/>
  <c r="N46" i="4" a="1"/>
  <c r="N46" i="4" s="1"/>
  <c r="N47" i="4" a="1"/>
  <c r="N47" i="4" s="1"/>
  <c r="N48" i="4" a="1"/>
  <c r="N48" i="4" s="1"/>
  <c r="N49" i="4" a="1"/>
  <c r="N49" i="4" s="1"/>
  <c r="N50" i="4" a="1"/>
  <c r="N50" i="4"/>
  <c r="N51" i="4" a="1"/>
  <c r="N51" i="4" s="1"/>
  <c r="N52" i="4" a="1"/>
  <c r="N52" i="4" s="1"/>
  <c r="N53" i="4" a="1"/>
  <c r="N53" i="4" s="1"/>
  <c r="N54" i="4" a="1"/>
  <c r="N54" i="4" s="1"/>
  <c r="N55" i="4" a="1"/>
  <c r="N55" i="4" s="1"/>
  <c r="N56" i="4" a="1"/>
  <c r="N56" i="4" s="1"/>
  <c r="N57" i="4" a="1"/>
  <c r="N57" i="4" s="1"/>
  <c r="N58" i="4" a="1"/>
  <c r="N58" i="4"/>
  <c r="N59" i="4" a="1"/>
  <c r="N59" i="4" s="1"/>
  <c r="N60" i="4" a="1"/>
  <c r="N60" i="4" s="1"/>
  <c r="N61" i="4" a="1"/>
  <c r="N61" i="4" s="1"/>
  <c r="N62" i="4" a="1"/>
  <c r="N62" i="4" s="1"/>
  <c r="N63" i="4" a="1"/>
  <c r="N63" i="4" s="1"/>
  <c r="N64" i="4" a="1"/>
  <c r="N64" i="4" s="1"/>
  <c r="N65" i="4" a="1"/>
  <c r="N65" i="4" s="1"/>
  <c r="N66" i="4" a="1"/>
  <c r="N66" i="4"/>
  <c r="N67" i="4" a="1"/>
  <c r="N67" i="4" s="1"/>
  <c r="N68" i="4" a="1"/>
  <c r="N68" i="4" s="1"/>
  <c r="N69" i="4" a="1"/>
  <c r="N69" i="4" s="1"/>
  <c r="N70" i="4" a="1"/>
  <c r="N70" i="4" s="1"/>
  <c r="N71" i="4" a="1"/>
  <c r="N71" i="4" s="1"/>
  <c r="N72" i="4" a="1"/>
  <c r="N72" i="4" s="1"/>
  <c r="N73" i="4" a="1"/>
  <c r="N73" i="4" s="1"/>
  <c r="N74" i="4" a="1"/>
  <c r="N74" i="4"/>
  <c r="N75" i="4" a="1"/>
  <c r="N75" i="4" s="1"/>
  <c r="N76" i="4" a="1"/>
  <c r="N76" i="4" s="1"/>
  <c r="N77" i="4" a="1"/>
  <c r="N77" i="4" s="1"/>
  <c r="N78" i="4" a="1"/>
  <c r="N78" i="4" s="1"/>
  <c r="N79" i="4" a="1"/>
  <c r="N79" i="4" s="1"/>
  <c r="N7" i="4" a="1"/>
  <c r="N7" i="4" s="1"/>
  <c r="M7" i="4" a="1"/>
  <c r="M7" i="4" s="1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 s="1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3" i="4" a="1"/>
  <c r="M73" i="4" s="1"/>
  <c r="M74" i="4" a="1"/>
  <c r="M74" i="4" s="1"/>
  <c r="M75" i="4" a="1"/>
  <c r="M75" i="4" s="1"/>
  <c r="M76" i="4" a="1"/>
  <c r="M76" i="4" s="1"/>
  <c r="M77" i="4" a="1"/>
  <c r="M77" i="4" s="1"/>
  <c r="M78" i="4" a="1"/>
  <c r="M78" i="4" s="1"/>
  <c r="M79" i="4" a="1"/>
  <c r="M79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49" i="4" a="1"/>
  <c r="M49" i="4" s="1"/>
  <c r="M50" i="4" a="1"/>
  <c r="M50" i="4" s="1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4" i="4" a="1"/>
  <c r="M24" i="4" s="1"/>
  <c r="M25" i="4" a="1"/>
  <c r="M25" i="4" s="1"/>
  <c r="M26" i="4" a="1"/>
  <c r="M26" i="4" s="1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F182" i="2"/>
  <c r="E18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2" i="2"/>
  <c r="S201" i="1"/>
  <c r="Q201" i="1"/>
  <c r="R201" i="1" s="1"/>
  <c r="S200" i="1"/>
  <c r="Q200" i="1"/>
  <c r="R200" i="1" s="1"/>
  <c r="S199" i="1"/>
  <c r="Q199" i="1"/>
  <c r="R199" i="1" s="1"/>
  <c r="S198" i="1"/>
  <c r="R198" i="1"/>
  <c r="Q198" i="1"/>
  <c r="S197" i="1"/>
  <c r="Q197" i="1"/>
  <c r="R197" i="1" s="1"/>
  <c r="S196" i="1"/>
  <c r="R196" i="1"/>
  <c r="Q196" i="1"/>
  <c r="S195" i="1"/>
  <c r="Q195" i="1"/>
  <c r="R195" i="1" s="1"/>
  <c r="S194" i="1"/>
  <c r="Q194" i="1"/>
  <c r="R194" i="1" s="1"/>
  <c r="S193" i="1"/>
  <c r="Q193" i="1"/>
  <c r="R193" i="1" s="1"/>
  <c r="S192" i="1"/>
  <c r="Q192" i="1"/>
  <c r="R192" i="1" s="1"/>
  <c r="S191" i="1"/>
  <c r="Q191" i="1"/>
  <c r="R191" i="1" s="1"/>
  <c r="S190" i="1"/>
  <c r="R190" i="1"/>
  <c r="Q190" i="1"/>
  <c r="S189" i="1"/>
  <c r="Q189" i="1"/>
  <c r="R189" i="1" s="1"/>
  <c r="S188" i="1"/>
  <c r="R188" i="1"/>
  <c r="Q188" i="1"/>
  <c r="S187" i="1"/>
  <c r="Q187" i="1"/>
  <c r="R187" i="1" s="1"/>
  <c r="S186" i="1"/>
  <c r="Q186" i="1"/>
  <c r="R186" i="1" s="1"/>
  <c r="S185" i="1"/>
  <c r="Q185" i="1"/>
  <c r="R185" i="1" s="1"/>
  <c r="S184" i="1"/>
  <c r="R184" i="1"/>
  <c r="Q184" i="1"/>
  <c r="S183" i="1"/>
  <c r="Q183" i="1"/>
  <c r="R183" i="1" s="1"/>
  <c r="S182" i="1"/>
  <c r="R182" i="1"/>
  <c r="Q182" i="1"/>
  <c r="S181" i="1"/>
  <c r="Q181" i="1"/>
  <c r="R181" i="1" s="1"/>
  <c r="S180" i="1"/>
  <c r="R180" i="1"/>
  <c r="Q180" i="1"/>
  <c r="S179" i="1"/>
  <c r="Q179" i="1"/>
  <c r="R179" i="1" s="1"/>
  <c r="S178" i="1"/>
  <c r="Q178" i="1"/>
  <c r="R178" i="1" s="1"/>
  <c r="S177" i="1"/>
  <c r="Q177" i="1"/>
  <c r="R177" i="1" s="1"/>
  <c r="S176" i="1"/>
  <c r="R176" i="1"/>
  <c r="Q176" i="1"/>
  <c r="S175" i="1"/>
  <c r="Q175" i="1"/>
  <c r="R175" i="1" s="1"/>
  <c r="S174" i="1"/>
  <c r="R174" i="1"/>
  <c r="Q174" i="1"/>
  <c r="S173" i="1"/>
  <c r="Q173" i="1"/>
  <c r="R173" i="1" s="1"/>
  <c r="S172" i="1"/>
  <c r="R172" i="1"/>
  <c r="Q172" i="1"/>
  <c r="S171" i="1"/>
  <c r="Q171" i="1"/>
  <c r="R171" i="1" s="1"/>
  <c r="S170" i="1"/>
  <c r="Q170" i="1"/>
  <c r="R170" i="1" s="1"/>
  <c r="S169" i="1"/>
  <c r="Q169" i="1"/>
  <c r="R169" i="1" s="1"/>
  <c r="S168" i="1"/>
  <c r="R168" i="1"/>
  <c r="Q168" i="1"/>
  <c r="S167" i="1"/>
  <c r="Q167" i="1"/>
  <c r="R167" i="1" s="1"/>
  <c r="S166" i="1"/>
  <c r="R166" i="1"/>
  <c r="Q166" i="1"/>
  <c r="S165" i="1"/>
  <c r="Q165" i="1"/>
  <c r="R165" i="1" s="1"/>
  <c r="S164" i="1"/>
  <c r="R164" i="1"/>
  <c r="Q164" i="1"/>
  <c r="S163" i="1"/>
  <c r="Q163" i="1"/>
  <c r="R163" i="1" s="1"/>
  <c r="S162" i="1"/>
  <c r="Q162" i="1"/>
  <c r="R162" i="1" s="1"/>
  <c r="S161" i="1"/>
  <c r="Q161" i="1"/>
  <c r="R161" i="1" s="1"/>
  <c r="S160" i="1"/>
  <c r="R160" i="1"/>
  <c r="Q160" i="1"/>
  <c r="S159" i="1"/>
  <c r="Q159" i="1"/>
  <c r="R159" i="1" s="1"/>
  <c r="S158" i="1"/>
  <c r="R158" i="1"/>
  <c r="Q158" i="1"/>
  <c r="S157" i="1"/>
  <c r="Q157" i="1"/>
  <c r="R157" i="1" s="1"/>
  <c r="S156" i="1"/>
  <c r="R156" i="1"/>
  <c r="Q156" i="1"/>
  <c r="S155" i="1"/>
  <c r="Q155" i="1"/>
  <c r="R155" i="1" s="1"/>
  <c r="S154" i="1"/>
  <c r="Q154" i="1"/>
  <c r="R154" i="1" s="1"/>
  <c r="S153" i="1"/>
  <c r="Q153" i="1"/>
  <c r="R153" i="1" s="1"/>
  <c r="S152" i="1"/>
  <c r="R152" i="1"/>
  <c r="Q152" i="1"/>
  <c r="S151" i="1"/>
  <c r="Q151" i="1"/>
  <c r="R151" i="1" s="1"/>
  <c r="S150" i="1"/>
  <c r="R150" i="1"/>
  <c r="Q150" i="1"/>
  <c r="S149" i="1"/>
  <c r="Q149" i="1"/>
  <c r="R149" i="1" s="1"/>
  <c r="S148" i="1"/>
  <c r="R148" i="1"/>
  <c r="Q148" i="1"/>
  <c r="S147" i="1"/>
  <c r="Q147" i="1"/>
  <c r="R147" i="1" s="1"/>
  <c r="S146" i="1"/>
  <c r="Q146" i="1"/>
  <c r="R146" i="1" s="1"/>
  <c r="S145" i="1"/>
  <c r="Q145" i="1"/>
  <c r="R145" i="1" s="1"/>
  <c r="S144" i="1"/>
  <c r="R144" i="1"/>
  <c r="Q144" i="1"/>
  <c r="S143" i="1"/>
  <c r="Q143" i="1"/>
  <c r="R143" i="1" s="1"/>
  <c r="S142" i="1"/>
  <c r="R142" i="1"/>
  <c r="Q142" i="1"/>
  <c r="S141" i="1"/>
  <c r="Q141" i="1"/>
  <c r="R141" i="1" s="1"/>
  <c r="S140" i="1"/>
  <c r="R140" i="1"/>
  <c r="Q140" i="1"/>
  <c r="S139" i="1"/>
  <c r="Q139" i="1"/>
  <c r="R139" i="1" s="1"/>
  <c r="S138" i="1"/>
  <c r="Q138" i="1"/>
  <c r="R138" i="1" s="1"/>
  <c r="S137" i="1"/>
  <c r="Q137" i="1"/>
  <c r="R137" i="1" s="1"/>
  <c r="S136" i="1"/>
  <c r="R136" i="1"/>
  <c r="Q136" i="1"/>
  <c r="S135" i="1"/>
  <c r="Q135" i="1"/>
  <c r="R135" i="1" s="1"/>
  <c r="S134" i="1"/>
  <c r="R134" i="1"/>
  <c r="Q134" i="1"/>
  <c r="S133" i="1"/>
  <c r="Q133" i="1"/>
  <c r="R133" i="1" s="1"/>
  <c r="S132" i="1"/>
  <c r="R132" i="1"/>
  <c r="Q132" i="1"/>
  <c r="S131" i="1"/>
  <c r="Q131" i="1"/>
  <c r="R131" i="1" s="1"/>
  <c r="S130" i="1"/>
  <c r="Q130" i="1"/>
  <c r="R130" i="1" s="1"/>
  <c r="S129" i="1"/>
  <c r="Q129" i="1"/>
  <c r="R129" i="1" s="1"/>
  <c r="S128" i="1"/>
  <c r="R128" i="1"/>
  <c r="Q128" i="1"/>
  <c r="S127" i="1"/>
  <c r="Q127" i="1"/>
  <c r="R127" i="1" s="1"/>
  <c r="S126" i="1"/>
  <c r="R126" i="1"/>
  <c r="Q126" i="1"/>
  <c r="S125" i="1"/>
  <c r="Q125" i="1"/>
  <c r="R125" i="1" s="1"/>
  <c r="S124" i="1"/>
  <c r="R124" i="1"/>
  <c r="Q124" i="1"/>
  <c r="S123" i="1"/>
  <c r="Q123" i="1"/>
  <c r="R123" i="1" s="1"/>
  <c r="S122" i="1"/>
  <c r="Q122" i="1"/>
  <c r="R122" i="1" s="1"/>
  <c r="S121" i="1"/>
  <c r="Q121" i="1"/>
  <c r="R121" i="1" s="1"/>
  <c r="S120" i="1"/>
  <c r="R120" i="1"/>
  <c r="Q120" i="1"/>
  <c r="S119" i="1"/>
  <c r="Q119" i="1"/>
  <c r="R119" i="1" s="1"/>
  <c r="S118" i="1"/>
  <c r="R118" i="1"/>
  <c r="Q118" i="1"/>
  <c r="S117" i="1"/>
  <c r="Q117" i="1"/>
  <c r="R117" i="1" s="1"/>
  <c r="S116" i="1"/>
  <c r="R116" i="1"/>
  <c r="Q116" i="1"/>
  <c r="S115" i="1"/>
  <c r="Q115" i="1"/>
  <c r="R115" i="1" s="1"/>
  <c r="S114" i="1"/>
  <c r="Q114" i="1"/>
  <c r="R114" i="1" s="1"/>
  <c r="S113" i="1"/>
  <c r="Q113" i="1"/>
  <c r="R113" i="1" s="1"/>
  <c r="S112" i="1"/>
  <c r="R112" i="1"/>
  <c r="Q112" i="1"/>
  <c r="S111" i="1"/>
  <c r="Q111" i="1"/>
  <c r="R111" i="1" s="1"/>
  <c r="S110" i="1"/>
  <c r="R110" i="1"/>
  <c r="Q110" i="1"/>
  <c r="S109" i="1"/>
  <c r="Q109" i="1"/>
  <c r="R109" i="1" s="1"/>
  <c r="S108" i="1"/>
  <c r="R108" i="1"/>
  <c r="Q108" i="1"/>
  <c r="S107" i="1"/>
  <c r="Q107" i="1"/>
  <c r="R107" i="1" s="1"/>
  <c r="S106" i="1"/>
  <c r="Q106" i="1"/>
  <c r="R106" i="1" s="1"/>
  <c r="S105" i="1"/>
  <c r="Q105" i="1"/>
  <c r="R105" i="1" s="1"/>
  <c r="S104" i="1"/>
  <c r="R104" i="1"/>
  <c r="Q104" i="1"/>
  <c r="S103" i="1"/>
  <c r="Q103" i="1"/>
  <c r="R103" i="1" s="1"/>
  <c r="S102" i="1"/>
  <c r="R102" i="1"/>
  <c r="Q102" i="1"/>
  <c r="S101" i="1"/>
  <c r="Q101" i="1"/>
  <c r="R101" i="1" s="1"/>
  <c r="S100" i="1"/>
  <c r="R100" i="1"/>
  <c r="Q100" i="1"/>
  <c r="S99" i="1"/>
  <c r="Q99" i="1"/>
  <c r="R99" i="1" s="1"/>
  <c r="S98" i="1"/>
  <c r="Q98" i="1"/>
  <c r="R98" i="1" s="1"/>
  <c r="S97" i="1"/>
  <c r="Q97" i="1"/>
  <c r="R97" i="1" s="1"/>
  <c r="S96" i="1"/>
  <c r="R96" i="1"/>
  <c r="Q96" i="1"/>
  <c r="S95" i="1"/>
  <c r="Q95" i="1"/>
  <c r="R95" i="1" s="1"/>
  <c r="S94" i="1"/>
  <c r="R94" i="1"/>
  <c r="Q94" i="1"/>
  <c r="S93" i="1"/>
  <c r="Q93" i="1"/>
  <c r="R93" i="1" s="1"/>
  <c r="S92" i="1"/>
  <c r="R92" i="1"/>
  <c r="Q92" i="1"/>
  <c r="S91" i="1"/>
  <c r="Q91" i="1"/>
  <c r="R91" i="1" s="1"/>
  <c r="S90" i="1"/>
  <c r="Q90" i="1"/>
  <c r="R90" i="1" s="1"/>
  <c r="S89" i="1"/>
  <c r="Q89" i="1"/>
  <c r="R89" i="1" s="1"/>
  <c r="S88" i="1"/>
  <c r="R88" i="1"/>
  <c r="Q88" i="1"/>
  <c r="S87" i="1"/>
  <c r="Q87" i="1"/>
  <c r="R87" i="1" s="1"/>
  <c r="S86" i="1"/>
  <c r="R86" i="1"/>
  <c r="Q86" i="1"/>
  <c r="S85" i="1"/>
  <c r="Q85" i="1"/>
  <c r="R85" i="1" s="1"/>
  <c r="S84" i="1"/>
  <c r="R84" i="1"/>
  <c r="Q84" i="1"/>
  <c r="S83" i="1"/>
  <c r="Q83" i="1"/>
  <c r="R83" i="1" s="1"/>
  <c r="S82" i="1"/>
  <c r="Q82" i="1"/>
  <c r="R82" i="1" s="1"/>
  <c r="S81" i="1"/>
  <c r="Q81" i="1"/>
  <c r="R81" i="1" s="1"/>
  <c r="S80" i="1"/>
  <c r="R80" i="1"/>
  <c r="Q80" i="1"/>
  <c r="S79" i="1"/>
  <c r="Q79" i="1"/>
  <c r="R79" i="1" s="1"/>
  <c r="S78" i="1"/>
  <c r="R78" i="1"/>
  <c r="Q78" i="1"/>
  <c r="S77" i="1"/>
  <c r="Q77" i="1"/>
  <c r="R77" i="1" s="1"/>
  <c r="S76" i="1"/>
  <c r="R76" i="1"/>
  <c r="Q76" i="1"/>
  <c r="S75" i="1"/>
  <c r="Q75" i="1"/>
  <c r="R75" i="1" s="1"/>
  <c r="S74" i="1"/>
  <c r="Q74" i="1"/>
  <c r="R74" i="1" s="1"/>
  <c r="S73" i="1"/>
  <c r="Q73" i="1"/>
  <c r="R73" i="1" s="1"/>
  <c r="S72" i="1"/>
  <c r="R72" i="1"/>
  <c r="Q72" i="1"/>
  <c r="S71" i="1"/>
  <c r="Q71" i="1"/>
  <c r="R71" i="1" s="1"/>
  <c r="S70" i="1"/>
  <c r="R70" i="1"/>
  <c r="Q70" i="1"/>
  <c r="S69" i="1"/>
  <c r="Q69" i="1"/>
  <c r="R69" i="1" s="1"/>
  <c r="S68" i="1"/>
  <c r="R68" i="1"/>
  <c r="Q68" i="1"/>
  <c r="S67" i="1"/>
  <c r="Q67" i="1"/>
  <c r="R67" i="1" s="1"/>
  <c r="S66" i="1"/>
  <c r="Q66" i="1"/>
  <c r="R66" i="1" s="1"/>
  <c r="S65" i="1"/>
  <c r="Q65" i="1"/>
  <c r="R65" i="1" s="1"/>
  <c r="S64" i="1"/>
  <c r="R64" i="1"/>
  <c r="Q64" i="1"/>
  <c r="S63" i="1"/>
  <c r="Q63" i="1"/>
  <c r="R63" i="1" s="1"/>
  <c r="S62" i="1"/>
  <c r="R62" i="1"/>
  <c r="Q62" i="1"/>
  <c r="S61" i="1"/>
  <c r="Q61" i="1"/>
  <c r="R61" i="1" s="1"/>
  <c r="S60" i="1"/>
  <c r="R60" i="1"/>
  <c r="Q60" i="1"/>
  <c r="S59" i="1"/>
  <c r="Q59" i="1"/>
  <c r="R59" i="1" s="1"/>
  <c r="S58" i="1"/>
  <c r="Q58" i="1"/>
  <c r="R58" i="1" s="1"/>
  <c r="S57" i="1"/>
  <c r="Q57" i="1"/>
  <c r="R57" i="1" s="1"/>
  <c r="S56" i="1"/>
  <c r="R56" i="1"/>
  <c r="Q56" i="1"/>
  <c r="S55" i="1"/>
  <c r="Q55" i="1"/>
  <c r="R55" i="1" s="1"/>
  <c r="S54" i="1"/>
  <c r="R54" i="1"/>
  <c r="Q54" i="1"/>
  <c r="S53" i="1"/>
  <c r="Q53" i="1"/>
  <c r="R53" i="1" s="1"/>
  <c r="S52" i="1"/>
  <c r="R52" i="1"/>
  <c r="Q52" i="1"/>
  <c r="S51" i="1"/>
  <c r="Q51" i="1"/>
  <c r="R51" i="1" s="1"/>
  <c r="S50" i="1"/>
  <c r="Q50" i="1"/>
  <c r="R50" i="1" s="1"/>
  <c r="S49" i="1"/>
  <c r="Q49" i="1"/>
  <c r="R49" i="1" s="1"/>
  <c r="S48" i="1"/>
  <c r="R48" i="1"/>
  <c r="Q48" i="1"/>
  <c r="S47" i="1"/>
  <c r="Q47" i="1"/>
  <c r="R47" i="1" s="1"/>
  <c r="S46" i="1"/>
  <c r="R46" i="1"/>
  <c r="Q46" i="1"/>
  <c r="S45" i="1"/>
  <c r="Q45" i="1"/>
  <c r="R45" i="1" s="1"/>
  <c r="S44" i="1"/>
  <c r="R44" i="1"/>
  <c r="Q44" i="1"/>
  <c r="S43" i="1"/>
  <c r="Q43" i="1"/>
  <c r="R43" i="1" s="1"/>
  <c r="S42" i="1"/>
  <c r="Q42" i="1"/>
  <c r="R42" i="1" s="1"/>
  <c r="S41" i="1"/>
  <c r="Q41" i="1"/>
  <c r="R41" i="1" s="1"/>
  <c r="S40" i="1"/>
  <c r="R40" i="1"/>
  <c r="Q40" i="1"/>
  <c r="S39" i="1"/>
  <c r="Q39" i="1"/>
  <c r="R39" i="1" s="1"/>
  <c r="S38" i="1"/>
  <c r="R38" i="1"/>
  <c r="Q38" i="1"/>
  <c r="S37" i="1"/>
  <c r="Q37" i="1"/>
  <c r="R37" i="1" s="1"/>
  <c r="S36" i="1"/>
  <c r="R36" i="1"/>
  <c r="Q36" i="1"/>
  <c r="S35" i="1"/>
  <c r="Q35" i="1"/>
  <c r="R35" i="1" s="1"/>
  <c r="S34" i="1"/>
  <c r="Q34" i="1"/>
  <c r="R34" i="1" s="1"/>
  <c r="S33" i="1"/>
  <c r="Q33" i="1"/>
  <c r="R33" i="1" s="1"/>
  <c r="S32" i="1"/>
  <c r="R32" i="1"/>
  <c r="Q32" i="1"/>
  <c r="S31" i="1"/>
  <c r="Q31" i="1"/>
  <c r="R31" i="1" s="1"/>
  <c r="S30" i="1"/>
  <c r="R30" i="1"/>
  <c r="Q30" i="1"/>
  <c r="S29" i="1"/>
  <c r="Q29" i="1"/>
  <c r="R29" i="1" s="1"/>
  <c r="S28" i="1"/>
  <c r="R28" i="1"/>
  <c r="Q28" i="1"/>
  <c r="S27" i="1"/>
  <c r="Q27" i="1"/>
  <c r="R27" i="1" s="1"/>
  <c r="S26" i="1"/>
  <c r="Q26" i="1"/>
  <c r="R26" i="1" s="1"/>
  <c r="S25" i="1"/>
  <c r="Q25" i="1"/>
  <c r="R25" i="1" s="1"/>
  <c r="S24" i="1"/>
  <c r="R24" i="1"/>
  <c r="Q24" i="1"/>
  <c r="S23" i="1"/>
  <c r="Q23" i="1"/>
  <c r="R23" i="1" s="1"/>
  <c r="S22" i="1"/>
  <c r="R22" i="1"/>
  <c r="Q22" i="1"/>
  <c r="S21" i="1"/>
  <c r="Q21" i="1"/>
  <c r="R21" i="1" s="1"/>
  <c r="S20" i="1"/>
  <c r="R20" i="1"/>
  <c r="Q20" i="1"/>
  <c r="S19" i="1"/>
  <c r="Q19" i="1"/>
  <c r="R19" i="1" s="1"/>
  <c r="S18" i="1"/>
  <c r="Q18" i="1"/>
  <c r="R18" i="1" s="1"/>
  <c r="S17" i="1"/>
  <c r="Q17" i="1"/>
  <c r="R17" i="1" s="1"/>
  <c r="S16" i="1"/>
  <c r="R16" i="1"/>
  <c r="Q16" i="1"/>
  <c r="S15" i="1"/>
  <c r="Q15" i="1"/>
  <c r="R15" i="1" s="1"/>
  <c r="S14" i="1"/>
  <c r="R14" i="1"/>
  <c r="Q14" i="1"/>
  <c r="S13" i="1"/>
  <c r="Q13" i="1"/>
  <c r="R13" i="1" s="1"/>
  <c r="S12" i="1"/>
  <c r="R12" i="1"/>
  <c r="Q12" i="1"/>
  <c r="S11" i="1"/>
  <c r="Q11" i="1"/>
  <c r="R11" i="1" s="1"/>
  <c r="S10" i="1"/>
  <c r="Q10" i="1"/>
  <c r="R10" i="1" s="1"/>
  <c r="S9" i="1"/>
  <c r="Q9" i="1"/>
  <c r="R9" i="1" s="1"/>
  <c r="S8" i="1"/>
  <c r="R8" i="1"/>
  <c r="Q8" i="1"/>
  <c r="S7" i="1"/>
  <c r="Q7" i="1"/>
  <c r="R7" i="1" s="1"/>
  <c r="S6" i="1"/>
  <c r="R6" i="1"/>
  <c r="Q6" i="1"/>
  <c r="S5" i="1"/>
  <c r="Q5" i="1"/>
  <c r="R5" i="1" s="1"/>
  <c r="S4" i="1"/>
  <c r="R4" i="1"/>
  <c r="Q4" i="1"/>
  <c r="S3" i="1"/>
  <c r="Q3" i="1"/>
  <c r="R3" i="1" s="1"/>
  <c r="S2" i="1"/>
  <c r="Q2" i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<sst xmlns="http://schemas.openxmlformats.org/spreadsheetml/2006/main" count="78" uniqueCount="46">
  <si>
    <t>J</t>
  </si>
  <si>
    <t>φ</t>
    <phoneticPr fontId="1"/>
  </si>
  <si>
    <t xml:space="preserve">R/t </t>
  </si>
  <si>
    <t>W</t>
  </si>
  <si>
    <t>b/a</t>
  </si>
  <si>
    <t>t</t>
  </si>
  <si>
    <t>b/t</t>
  </si>
  <si>
    <t>b</t>
  </si>
  <si>
    <t>h/W</t>
  </si>
  <si>
    <t>a</t>
  </si>
  <si>
    <t>(R+a)/W</t>
  </si>
  <si>
    <t>R</t>
  </si>
  <si>
    <t>h</t>
  </si>
  <si>
    <t>2φ/π</t>
    <phoneticPr fontId="1"/>
  </si>
  <si>
    <t>KI/σ√πb</t>
    <phoneticPr fontId="1"/>
  </si>
  <si>
    <t>reference</t>
    <phoneticPr fontId="1"/>
  </si>
  <si>
    <t>Proposed Method</t>
    <phoneticPr fontId="1"/>
  </si>
  <si>
    <t>σ</t>
    <phoneticPr fontId="1"/>
  </si>
  <si>
    <t>patches,</t>
  </si>
  <si>
    <t>points,</t>
  </si>
  <si>
    <t>x,</t>
  </si>
  <si>
    <t>y,</t>
  </si>
  <si>
    <t>theta_deg,</t>
  </si>
  <si>
    <t>K,</t>
  </si>
  <si>
    <t>x</t>
    <phoneticPr fontId="1"/>
  </si>
  <si>
    <t>y</t>
    <phoneticPr fontId="1"/>
  </si>
  <si>
    <t>θ</t>
    <phoneticPr fontId="1"/>
  </si>
  <si>
    <t>j-integral</t>
  </si>
  <si>
    <t>estimations:</t>
  </si>
  <si>
    <t>results</t>
  </si>
  <si>
    <t>for</t>
  </si>
  <si>
    <t>crack:</t>
  </si>
  <si>
    <t>crack1</t>
  </si>
  <si>
    <t>crack tip node</t>
    <phoneticPr fontId="1"/>
  </si>
  <si>
    <t>path radius</t>
    <phoneticPr fontId="1"/>
  </si>
  <si>
    <t>j-integral value</t>
    <phoneticPr fontId="1"/>
  </si>
  <si>
    <t>path crack</t>
    <phoneticPr fontId="1"/>
  </si>
  <si>
    <t>front node</t>
    <phoneticPr fontId="1"/>
  </si>
  <si>
    <t>shift vector</t>
    <phoneticPr fontId="1"/>
  </si>
  <si>
    <t>J</t>
    <phoneticPr fontId="1"/>
  </si>
  <si>
    <t>para_radius</t>
    <phoneticPr fontId="1"/>
  </si>
  <si>
    <t>point</t>
    <phoneticPr fontId="1"/>
  </si>
  <si>
    <t>K</t>
    <phoneticPr fontId="1"/>
  </si>
  <si>
    <t>path</t>
    <phoneticPr fontId="1"/>
  </si>
  <si>
    <t>K/σ√πb</t>
    <phoneticPr fontId="1"/>
  </si>
  <si>
    <t>φ2/π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</si>
</sst>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SSIGA_fs!$E$2:$E$63</c:f>
              <c:numCache>
                <c:formatCode>0.00E+00</c:formatCode>
                <c:ptCount val="62"/>
                <c:pt idx="0">
                  <c:v>-26.565051177078001</c:v>
                </c:pt>
                <c:pt idx="1">
                  <c:v>-25.6771196057475</c:v>
                </c:pt>
                <c:pt idx="2">
                  <c:v>-23.977230740737902</c:v>
                </c:pt>
                <c:pt idx="3">
                  <c:v>-22.3713048053826</c:v>
                </c:pt>
                <c:pt idx="4">
                  <c:v>-20.851334152273001</c:v>
                </c:pt>
                <c:pt idx="5">
                  <c:v>-19.410137905102498</c:v>
                </c:pt>
                <c:pt idx="6">
                  <c:v>-18.041275011069899</c:v>
                </c:pt>
                <c:pt idx="7">
                  <c:v>-16.738963934629499</c:v>
                </c:pt>
                <c:pt idx="8">
                  <c:v>-15.4980096389725</c:v>
                </c:pt>
                <c:pt idx="9">
                  <c:v>-14.313737914667501</c:v>
                </c:pt>
                <c:pt idx="10">
                  <c:v>-13.181936766787</c:v>
                </c:pt>
                <c:pt idx="11">
                  <c:v>-12.098804380848399</c:v>
                </c:pt>
                <c:pt idx="12">
                  <c:v>-11.060903098053</c:v>
                </c:pt>
                <c:pt idx="13">
                  <c:v>-10.065118803809</c:v>
                </c:pt>
                <c:pt idx="14">
                  <c:v>-9.1086251452274691</c:v>
                </c:pt>
                <c:pt idx="15">
                  <c:v>-8.1888520266714</c:v>
                </c:pt>
                <c:pt idx="16">
                  <c:v>-7.4706665146926197</c:v>
                </c:pt>
                <c:pt idx="17">
                  <c:v>-6.9310819793499903</c:v>
                </c:pt>
                <c:pt idx="18">
                  <c:v>-6.3955081821005502</c:v>
                </c:pt>
                <c:pt idx="19">
                  <c:v>-5.8638420681376502</c:v>
                </c:pt>
                <c:pt idx="20">
                  <c:v>-5.3359830301448596</c:v>
                </c:pt>
                <c:pt idx="21">
                  <c:v>-4.8118328758289097</c:v>
                </c:pt>
                <c:pt idx="22">
                  <c:v>-4.2912957940946397</c:v>
                </c:pt>
                <c:pt idx="23">
                  <c:v>-3.77427832007819</c:v>
                </c:pt>
                <c:pt idx="24">
                  <c:v>-3.2606892992351799</c:v>
                </c:pt>
                <c:pt idx="25">
                  <c:v>-2.75043985066285</c:v>
                </c:pt>
                <c:pt idx="26">
                  <c:v>-2.2434433298185401</c:v>
                </c:pt>
                <c:pt idx="27">
                  <c:v>-1.73961529078136</c:v>
                </c:pt>
                <c:pt idx="28">
                  <c:v>-1.23887344818985</c:v>
                </c:pt>
                <c:pt idx="29">
                  <c:v>-0.741137638975364</c:v>
                </c:pt>
                <c:pt idx="30">
                  <c:v>-0.24632978399851099</c:v>
                </c:pt>
                <c:pt idx="31">
                  <c:v>0.24632978399847899</c:v>
                </c:pt>
                <c:pt idx="32">
                  <c:v>0.74113763897532003</c:v>
                </c:pt>
                <c:pt idx="33">
                  <c:v>1.23887344818981</c:v>
                </c:pt>
                <c:pt idx="34">
                  <c:v>1.7396152907813101</c:v>
                </c:pt>
                <c:pt idx="35">
                  <c:v>2.2434433298184899</c:v>
                </c:pt>
                <c:pt idx="36">
                  <c:v>2.7504398506627901</c:v>
                </c:pt>
                <c:pt idx="37">
                  <c:v>3.26068929923512</c:v>
                </c:pt>
                <c:pt idx="38">
                  <c:v>3.77427832007813</c:v>
                </c:pt>
                <c:pt idx="39">
                  <c:v>4.2912957940945802</c:v>
                </c:pt>
                <c:pt idx="40">
                  <c:v>4.8118328758288502</c:v>
                </c:pt>
                <c:pt idx="41">
                  <c:v>5.3359830301448001</c:v>
                </c:pt>
                <c:pt idx="42">
                  <c:v>5.8638420681375996</c:v>
                </c:pt>
                <c:pt idx="43">
                  <c:v>6.3955081821005004</c:v>
                </c:pt>
                <c:pt idx="44">
                  <c:v>6.9310819793499503</c:v>
                </c:pt>
                <c:pt idx="45">
                  <c:v>7.4706665146926001</c:v>
                </c:pt>
                <c:pt idx="46">
                  <c:v>8.1888520266713805</c:v>
                </c:pt>
                <c:pt idx="47">
                  <c:v>9.1086251452274496</c:v>
                </c:pt>
                <c:pt idx="48">
                  <c:v>10.065118803809</c:v>
                </c:pt>
                <c:pt idx="49">
                  <c:v>11.060903098053</c:v>
                </c:pt>
                <c:pt idx="50">
                  <c:v>12.0988043808483</c:v>
                </c:pt>
                <c:pt idx="51">
                  <c:v>13.181936766787</c:v>
                </c:pt>
                <c:pt idx="52">
                  <c:v>14.313737914667501</c:v>
                </c:pt>
                <c:pt idx="53">
                  <c:v>15.4980096389725</c:v>
                </c:pt>
                <c:pt idx="54">
                  <c:v>16.738963934629499</c:v>
                </c:pt>
                <c:pt idx="55">
                  <c:v>18.0412750110698</c:v>
                </c:pt>
                <c:pt idx="56">
                  <c:v>19.410137905102399</c:v>
                </c:pt>
                <c:pt idx="57">
                  <c:v>20.851334152272901</c:v>
                </c:pt>
                <c:pt idx="58">
                  <c:v>22.371304805382401</c:v>
                </c:pt>
                <c:pt idx="59">
                  <c:v>23.977230740737699</c:v>
                </c:pt>
                <c:pt idx="60">
                  <c:v>25.677119605747201</c:v>
                </c:pt>
                <c:pt idx="61">
                  <c:v>26.565051177077802</c:v>
                </c:pt>
              </c:numCache>
            </c:numRef>
          </c:xVal>
          <c:yVal>
            <c:numRef>
              <c:f>SSIGA_fs!$F$2:$F$63</c:f>
              <c:numCache>
                <c:formatCode>0.00E+00</c:formatCode>
                <c:ptCount val="62"/>
                <c:pt idx="0">
                  <c:v>4.0292007706794903</c:v>
                </c:pt>
                <c:pt idx="1">
                  <c:v>3.1070238988056902</c:v>
                </c:pt>
                <c:pt idx="2">
                  <c:v>2.8507323544630698</c:v>
                </c:pt>
                <c:pt idx="3">
                  <c:v>2.6165982639337702</c:v>
                </c:pt>
                <c:pt idx="4">
                  <c:v>2.4143940958016601</c:v>
                </c:pt>
                <c:pt idx="5">
                  <c:v>2.2526599361590001</c:v>
                </c:pt>
                <c:pt idx="6">
                  <c:v>2.1187731497191402</c:v>
                </c:pt>
                <c:pt idx="7">
                  <c:v>2.0029725801563201</c:v>
                </c:pt>
                <c:pt idx="8">
                  <c:v>1.8988131083138799</c:v>
                </c:pt>
                <c:pt idx="9">
                  <c:v>1.8029128526823499</c:v>
                </c:pt>
                <c:pt idx="10">
                  <c:v>1.7169069355266799</c:v>
                </c:pt>
                <c:pt idx="11">
                  <c:v>1.6410596261372901</c:v>
                </c:pt>
                <c:pt idx="12">
                  <c:v>1.57015659319011</c:v>
                </c:pt>
                <c:pt idx="13">
                  <c:v>1.50277427564273</c:v>
                </c:pt>
                <c:pt idx="14">
                  <c:v>1.4390915853152499</c:v>
                </c:pt>
                <c:pt idx="15">
                  <c:v>1.3782697761932601</c:v>
                </c:pt>
                <c:pt idx="16">
                  <c:v>1.33308604676453</c:v>
                </c:pt>
                <c:pt idx="17">
                  <c:v>1.2993360902097</c:v>
                </c:pt>
                <c:pt idx="18">
                  <c:v>1.2660408310607001</c:v>
                </c:pt>
                <c:pt idx="19">
                  <c:v>1.2335350721921099</c:v>
                </c:pt>
                <c:pt idx="20">
                  <c:v>1.2021954308885101</c:v>
                </c:pt>
                <c:pt idx="21">
                  <c:v>1.17203848963613</c:v>
                </c:pt>
                <c:pt idx="22">
                  <c:v>1.14306360206748</c:v>
                </c:pt>
                <c:pt idx="23">
                  <c:v>1.1158448195920601</c:v>
                </c:pt>
                <c:pt idx="24">
                  <c:v>1.0910206229124499</c:v>
                </c:pt>
                <c:pt idx="25">
                  <c:v>1.06827368650057</c:v>
                </c:pt>
                <c:pt idx="26">
                  <c:v>1.0482595914420401</c:v>
                </c:pt>
                <c:pt idx="27">
                  <c:v>1.0320911424252499</c:v>
                </c:pt>
                <c:pt idx="28">
                  <c:v>1.01932837163653</c:v>
                </c:pt>
                <c:pt idx="29">
                  <c:v>1.0104453684845001</c:v>
                </c:pt>
                <c:pt idx="30">
                  <c:v>1.0064103118433101</c:v>
                </c:pt>
                <c:pt idx="31">
                  <c:v>1.00641031220285</c:v>
                </c:pt>
                <c:pt idx="32">
                  <c:v>1.0104453691020601</c:v>
                </c:pt>
                <c:pt idx="33">
                  <c:v>1.0193283724664199</c:v>
                </c:pt>
                <c:pt idx="34">
                  <c:v>1.03209114286353</c:v>
                </c:pt>
                <c:pt idx="35">
                  <c:v>1.0482595911508701</c:v>
                </c:pt>
                <c:pt idx="36">
                  <c:v>1.06827368572735</c:v>
                </c:pt>
                <c:pt idx="37">
                  <c:v>1.09102062253291</c:v>
                </c:pt>
                <c:pt idx="38">
                  <c:v>1.1158448201158599</c:v>
                </c:pt>
                <c:pt idx="39">
                  <c:v>1.14306360314485</c:v>
                </c:pt>
                <c:pt idx="40">
                  <c:v>1.1720384901016201</c:v>
                </c:pt>
                <c:pt idx="41">
                  <c:v>1.2021954302670399</c:v>
                </c:pt>
                <c:pt idx="42">
                  <c:v>1.2335350715225399</c:v>
                </c:pt>
                <c:pt idx="43">
                  <c:v>1.2660408317457099</c:v>
                </c:pt>
                <c:pt idx="44">
                  <c:v>1.29933609146284</c:v>
                </c:pt>
                <c:pt idx="45">
                  <c:v>1.3330860441471</c:v>
                </c:pt>
                <c:pt idx="46">
                  <c:v>1.3782697729811999</c:v>
                </c:pt>
                <c:pt idx="47">
                  <c:v>1.4390915873699399</c:v>
                </c:pt>
                <c:pt idx="48">
                  <c:v>1.5027742767502399</c:v>
                </c:pt>
                <c:pt idx="49">
                  <c:v>1.57015659254625</c:v>
                </c:pt>
                <c:pt idx="50">
                  <c:v>1.64105962533699</c:v>
                </c:pt>
                <c:pt idx="51">
                  <c:v>1.7169069347769601</c:v>
                </c:pt>
                <c:pt idx="52">
                  <c:v>1.8029128522640501</c:v>
                </c:pt>
                <c:pt idx="53">
                  <c:v>1.8988131082736099</c:v>
                </c:pt>
                <c:pt idx="54">
                  <c:v>2.0029725804135898</c:v>
                </c:pt>
                <c:pt idx="55">
                  <c:v>2.11877315012054</c:v>
                </c:pt>
                <c:pt idx="56">
                  <c:v>2.2526599366007498</c:v>
                </c:pt>
                <c:pt idx="57">
                  <c:v>2.4143940962848802</c:v>
                </c:pt>
                <c:pt idx="58">
                  <c:v>2.6165982643124202</c:v>
                </c:pt>
                <c:pt idx="59">
                  <c:v>2.8507323544938199</c:v>
                </c:pt>
                <c:pt idx="60">
                  <c:v>3.1070238987778498</c:v>
                </c:pt>
                <c:pt idx="61">
                  <c:v>4.0292007708032802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D-4A0C-A1E3-0171830B7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009855"/>
        <c:axId val="1430027135"/>
      </c:scatterChart>
      <c:valAx>
        <c:axId val="143000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0027135"/>
        <c:crosses val="autoZero"/>
        <c:crossBetween val="midCat"/>
      </c:valAx>
      <c:valAx>
        <c:axId val="143002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000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SSIGA_fs!$C$2:$C$201</c:f>
              <c:numCache>
                <c:formatCode>0.00E+00</c:formatCode>
                <c:ptCount val="200"/>
                <c:pt idx="0">
                  <c:v>1.19999999999999</c:v>
                </c:pt>
                <c:pt idx="1">
                  <c:v>1.24736082925779</c:v>
                </c:pt>
                <c:pt idx="2">
                  <c:v>1.3429265252286999</c:v>
                </c:pt>
                <c:pt idx="3">
                  <c:v>1.4391361997882599</c:v>
                </c:pt>
                <c:pt idx="4">
                  <c:v>1.5353792040749199</c:v>
                </c:pt>
                <c:pt idx="5">
                  <c:v>1.6310174122843299</c:v>
                </c:pt>
                <c:pt idx="6">
                  <c:v>1.7253980495195</c:v>
                </c:pt>
                <c:pt idx="7">
                  <c:v>1.81786769796408</c:v>
                </c:pt>
                <c:pt idx="8">
                  <c:v>1.90778688829803</c:v>
                </c:pt>
                <c:pt idx="9">
                  <c:v>1.99454461488821</c:v>
                </c:pt>
                <c:pt idx="10">
                  <c:v>2.0775720944796201</c:v>
                </c:pt>
                <c:pt idx="11">
                  <c:v>2.1563551229538902</c:v>
                </c:pt>
                <c:pt idx="12">
                  <c:v>2.23044447094557</c:v>
                </c:pt>
                <c:pt idx="13">
                  <c:v>2.2994638882736198</c:v>
                </c:pt>
                <c:pt idx="14">
                  <c:v>2.36311544583958</c:v>
                </c:pt>
                <c:pt idx="15">
                  <c:v>2.4211821154759399</c:v>
                </c:pt>
                <c:pt idx="16">
                  <c:v>2.4639377411382899</c:v>
                </c:pt>
                <c:pt idx="17">
                  <c:v>2.4943528048279102</c:v>
                </c:pt>
                <c:pt idx="18">
                  <c:v>2.5229420572920098</c:v>
                </c:pt>
                <c:pt idx="19">
                  <c:v>2.5496157155796801</c:v>
                </c:pt>
                <c:pt idx="20">
                  <c:v>2.5742915301465699</c:v>
                </c:pt>
                <c:pt idx="21">
                  <c:v>2.59689555694503</c:v>
                </c:pt>
                <c:pt idx="22">
                  <c:v>2.6173628468754102</c:v>
                </c:pt>
                <c:pt idx="23">
                  <c:v>2.6356380397335601</c:v>
                </c:pt>
                <c:pt idx="24">
                  <c:v>2.6516758516330201</c:v>
                </c:pt>
                <c:pt idx="25">
                  <c:v>2.6654414470646599</c:v>
                </c:pt>
                <c:pt idx="26">
                  <c:v>2.6769106892105801</c:v>
                </c:pt>
                <c:pt idx="27">
                  <c:v>2.68607026477012</c:v>
                </c:pt>
                <c:pt idx="28">
                  <c:v>2.6929176822916601</c:v>
                </c:pt>
                <c:pt idx="29">
                  <c:v>2.6974611457385902</c:v>
                </c:pt>
                <c:pt idx="30">
                  <c:v>2.6997193076588801</c:v>
                </c:pt>
                <c:pt idx="31">
                  <c:v>2.6997193076588801</c:v>
                </c:pt>
                <c:pt idx="32">
                  <c:v>2.6974611457386</c:v>
                </c:pt>
                <c:pt idx="33">
                  <c:v>2.6929176822916601</c:v>
                </c:pt>
                <c:pt idx="34">
                  <c:v>2.68607026477012</c:v>
                </c:pt>
                <c:pt idx="35">
                  <c:v>2.6769106892105801</c:v>
                </c:pt>
                <c:pt idx="36">
                  <c:v>2.6654414470646701</c:v>
                </c:pt>
                <c:pt idx="37">
                  <c:v>2.6516758516330201</c:v>
                </c:pt>
                <c:pt idx="38">
                  <c:v>2.6356380397335601</c:v>
                </c:pt>
                <c:pt idx="39">
                  <c:v>2.61736284687542</c:v>
                </c:pt>
                <c:pt idx="40">
                  <c:v>2.5968955569450398</c:v>
                </c:pt>
                <c:pt idx="41">
                  <c:v>2.5742915301465801</c:v>
                </c:pt>
                <c:pt idx="42">
                  <c:v>2.5496157155796899</c:v>
                </c:pt>
                <c:pt idx="43">
                  <c:v>2.5229420572920098</c:v>
                </c:pt>
                <c:pt idx="44">
                  <c:v>2.4943528048279102</c:v>
                </c:pt>
                <c:pt idx="45">
                  <c:v>2.4639377411382899</c:v>
                </c:pt>
                <c:pt idx="46">
                  <c:v>2.4211821154759301</c:v>
                </c:pt>
                <c:pt idx="47">
                  <c:v>2.36311544583958</c:v>
                </c:pt>
                <c:pt idx="48">
                  <c:v>2.29946388827361</c:v>
                </c:pt>
                <c:pt idx="49">
                  <c:v>2.23044447094557</c:v>
                </c:pt>
                <c:pt idx="50">
                  <c:v>2.1563551229538902</c:v>
                </c:pt>
                <c:pt idx="51">
                  <c:v>2.0775720944796201</c:v>
                </c:pt>
                <c:pt idx="52">
                  <c:v>1.9945446148882</c:v>
                </c:pt>
                <c:pt idx="53">
                  <c:v>1.90778688829802</c:v>
                </c:pt>
                <c:pt idx="54">
                  <c:v>1.81786769796408</c:v>
                </c:pt>
                <c:pt idx="55">
                  <c:v>1.7253980495195</c:v>
                </c:pt>
                <c:pt idx="56">
                  <c:v>1.63101741228432</c:v>
                </c:pt>
                <c:pt idx="57">
                  <c:v>1.5353792040749199</c:v>
                </c:pt>
                <c:pt idx="58">
                  <c:v>1.4391361997882599</c:v>
                </c:pt>
                <c:pt idx="59">
                  <c:v>1.3429265252286999</c:v>
                </c:pt>
                <c:pt idx="60">
                  <c:v>1.2473608292578</c:v>
                </c:pt>
                <c:pt idx="61">
                  <c:v>1.19999999999999</c:v>
                </c:pt>
                <c:pt idx="62">
                  <c:v>2.5559750030650101</c:v>
                </c:pt>
                <c:pt idx="63">
                  <c:v>2.5634395756305501</c:v>
                </c:pt>
                <c:pt idx="64">
                  <c:v>2.5707205259453101</c:v>
                </c:pt>
                <c:pt idx="65">
                  <c:v>2.5778159026137102</c:v>
                </c:pt>
                <c:pt idx="66">
                  <c:v>2.58472382642397</c:v>
                </c:pt>
                <c:pt idx="67">
                  <c:v>2.5914424919166201</c:v>
                </c:pt>
                <c:pt idx="68">
                  <c:v>2.59797016888177</c:v>
                </c:pt>
                <c:pt idx="69">
                  <c:v>2.6043052037827401</c:v>
                </c:pt>
                <c:pt idx="70">
                  <c:v>2.6104460211033498</c:v>
                </c:pt>
                <c:pt idx="71">
                  <c:v>2.6163911246170399</c:v>
                </c:pt>
                <c:pt idx="72">
                  <c:v>2.6221390985753201</c:v>
                </c:pt>
                <c:pt idx="73">
                  <c:v>2.6276886088139202</c:v>
                </c:pt>
                <c:pt idx="74">
                  <c:v>2.63303840377462</c:v>
                </c:pt>
                <c:pt idx="75">
                  <c:v>2.63818731544132</c:v>
                </c:pt>
                <c:pt idx="76">
                  <c:v>2.6431342601886501</c:v>
                </c:pt>
                <c:pt idx="77">
                  <c:v>2.6478782395421501</c:v>
                </c:pt>
                <c:pt idx="78">
                  <c:v>2.6524183408485298</c:v>
                </c:pt>
                <c:pt idx="79">
                  <c:v>2.6567537378554098</c:v>
                </c:pt>
                <c:pt idx="80">
                  <c:v>2.6608836911995399</c:v>
                </c:pt>
                <c:pt idx="81">
                  <c:v>2.6648075488030001</c:v>
                </c:pt>
                <c:pt idx="82">
                  <c:v>2.6685247461769901</c:v>
                </c:pt>
                <c:pt idx="83">
                  <c:v>2.67203480663302</c:v>
                </c:pt>
                <c:pt idx="84">
                  <c:v>2.67533734140132</c:v>
                </c:pt>
                <c:pt idx="85">
                  <c:v>2.6784320496567999</c:v>
                </c:pt>
                <c:pt idx="86">
                  <c:v>2.6813187184527201</c:v>
                </c:pt>
                <c:pt idx="87">
                  <c:v>2.68399722256276</c:v>
                </c:pt>
                <c:pt idx="88">
                  <c:v>2.6864675242318898</c:v>
                </c:pt>
                <c:pt idx="89">
                  <c:v>2.6887296728372201</c:v>
                </c:pt>
                <c:pt idx="90">
                  <c:v>2.6907838044596</c:v>
                </c:pt>
                <c:pt idx="91">
                  <c:v>2.69263014136726</c:v>
                </c:pt>
                <c:pt idx="92">
                  <c:v>2.6942689914128901</c:v>
                </c:pt>
                <c:pt idx="93">
                  <c:v>2.6957007473455001</c:v>
                </c:pt>
                <c:pt idx="94">
                  <c:v>2.69692588603893</c:v>
                </c:pt>
                <c:pt idx="95">
                  <c:v>2.69794496763868</c:v>
                </c:pt>
                <c:pt idx="96">
                  <c:v>2.69875863462905</c:v>
                </c:pt>
                <c:pt idx="97">
                  <c:v>2.6993676108226299</c:v>
                </c:pt>
                <c:pt idx="98">
                  <c:v>2.6997727002744401</c:v>
                </c:pt>
                <c:pt idx="99">
                  <c:v>2.6999747861229699</c:v>
                </c:pt>
                <c:pt idx="100">
                  <c:v>2.6999747861229699</c:v>
                </c:pt>
                <c:pt idx="101">
                  <c:v>2.6997727002744401</c:v>
                </c:pt>
                <c:pt idx="102">
                  <c:v>2.6993676108226299</c:v>
                </c:pt>
                <c:pt idx="103">
                  <c:v>2.69875863462905</c:v>
                </c:pt>
                <c:pt idx="104">
                  <c:v>2.69794496763868</c:v>
                </c:pt>
                <c:pt idx="105">
                  <c:v>2.69692588603893</c:v>
                </c:pt>
                <c:pt idx="106">
                  <c:v>2.6957007473455001</c:v>
                </c:pt>
                <c:pt idx="107">
                  <c:v>2.6942689914128999</c:v>
                </c:pt>
                <c:pt idx="108">
                  <c:v>2.6926301413672702</c:v>
                </c:pt>
                <c:pt idx="109">
                  <c:v>2.6907838044596</c:v>
                </c:pt>
                <c:pt idx="110">
                  <c:v>2.6887296728372201</c:v>
                </c:pt>
                <c:pt idx="111">
                  <c:v>2.6864675242318898</c:v>
                </c:pt>
                <c:pt idx="112">
                  <c:v>2.68399722256276</c:v>
                </c:pt>
                <c:pt idx="113">
                  <c:v>2.6813187184527298</c:v>
                </c:pt>
                <c:pt idx="114">
                  <c:v>2.6784320496567999</c:v>
                </c:pt>
                <c:pt idx="115">
                  <c:v>2.6753373414013302</c:v>
                </c:pt>
                <c:pt idx="116">
                  <c:v>2.67203480663302</c:v>
                </c:pt>
                <c:pt idx="117">
                  <c:v>2.6685247461769901</c:v>
                </c:pt>
                <c:pt idx="118">
                  <c:v>2.6648075488030001</c:v>
                </c:pt>
                <c:pt idx="119">
                  <c:v>2.6608836911995501</c:v>
                </c:pt>
                <c:pt idx="120">
                  <c:v>2.65675373785542</c:v>
                </c:pt>
                <c:pt idx="121">
                  <c:v>2.65241834084854</c:v>
                </c:pt>
                <c:pt idx="122">
                  <c:v>2.6478782395421501</c:v>
                </c:pt>
                <c:pt idx="123">
                  <c:v>2.6431342601886598</c:v>
                </c:pt>
                <c:pt idx="124">
                  <c:v>2.63818731544132</c:v>
                </c:pt>
                <c:pt idx="125">
                  <c:v>2.6330384037746302</c:v>
                </c:pt>
                <c:pt idx="126">
                  <c:v>2.6276886088139202</c:v>
                </c:pt>
                <c:pt idx="127">
                  <c:v>2.6221390985753201</c:v>
                </c:pt>
                <c:pt idx="128">
                  <c:v>2.6163911246170399</c:v>
                </c:pt>
                <c:pt idx="129">
                  <c:v>2.61044602110336</c:v>
                </c:pt>
                <c:pt idx="130">
                  <c:v>2.6043052037827401</c:v>
                </c:pt>
                <c:pt idx="131">
                  <c:v>2.5979701688817798</c:v>
                </c:pt>
                <c:pt idx="132">
                  <c:v>2.5914424919166201</c:v>
                </c:pt>
                <c:pt idx="133">
                  <c:v>2.5847238264239798</c:v>
                </c:pt>
                <c:pt idx="134">
                  <c:v>2.57781590261372</c:v>
                </c:pt>
                <c:pt idx="135">
                  <c:v>2.5707205259453101</c:v>
                </c:pt>
                <c:pt idx="136">
                  <c:v>2.5634395756305599</c:v>
                </c:pt>
                <c:pt idx="137">
                  <c:v>2.5559750030650101</c:v>
                </c:pt>
                <c:pt idx="138">
                  <c:v>2.5483288301909002</c:v>
                </c:pt>
                <c:pt idx="139">
                  <c:v>2.54050314779413</c:v>
                </c:pt>
                <c:pt idx="140">
                  <c:v>2.53250011373841</c:v>
                </c:pt>
                <c:pt idx="141">
                  <c:v>2.52432195113929</c:v>
                </c:pt>
                <c:pt idx="142">
                  <c:v>2.5159709464814499</c:v>
                </c:pt>
                <c:pt idx="143">
                  <c:v>2.5074494476820202</c:v>
                </c:pt>
                <c:pt idx="144">
                  <c:v>2.4987598621035798</c:v>
                </c:pt>
                <c:pt idx="145">
                  <c:v>2.4899046545197798</c:v>
                </c:pt>
                <c:pt idx="146">
                  <c:v>2.4808863450372098</c:v>
                </c:pt>
                <c:pt idx="147">
                  <c:v>2.4717075069767098</c:v>
                </c:pt>
                <c:pt idx="148">
                  <c:v>2.4623707647178001</c:v>
                </c:pt>
                <c:pt idx="149">
                  <c:v>2.4528787915094501</c:v>
                </c:pt>
                <c:pt idx="150">
                  <c:v>2.44015841700628</c:v>
                </c:pt>
                <c:pt idx="151">
                  <c:v>2.4239360624467099</c:v>
                </c:pt>
                <c:pt idx="152">
                  <c:v>2.4071978464552402</c:v>
                </c:pt>
                <c:pt idx="153">
                  <c:v>2.3899465802487398</c:v>
                </c:pt>
                <c:pt idx="154">
                  <c:v>2.3721857181953898</c:v>
                </c:pt>
                <c:pt idx="155">
                  <c:v>2.3539193648311598</c:v>
                </c:pt>
                <c:pt idx="156">
                  <c:v>2.33515228015527</c:v>
                </c:pt>
                <c:pt idx="157">
                  <c:v>2.31588988313352</c:v>
                </c:pt>
                <c:pt idx="158">
                  <c:v>2.2961382533459198</c:v>
                </c:pt>
                <c:pt idx="159">
                  <c:v>2.2759041307232701</c:v>
                </c:pt>
                <c:pt idx="160">
                  <c:v>2.2551949133264699</c:v>
                </c:pt>
                <c:pt idx="161">
                  <c:v>2.23401865313159</c:v>
                </c:pt>
                <c:pt idx="162">
                  <c:v>2.2123840497941099</c:v>
                </c:pt>
                <c:pt idx="163">
                  <c:v>2.1903004423761301</c:v>
                </c:pt>
                <c:pt idx="164">
                  <c:v>2.16777779903143</c:v>
                </c:pt>
                <c:pt idx="165">
                  <c:v>2.1448267046545202</c:v>
                </c:pt>
                <c:pt idx="166">
                  <c:v>2.12145834651123</c:v>
                </c:pt>
                <c:pt idx="167">
                  <c:v>2.0976844978803202</c:v>
                </c:pt>
                <c:pt idx="168">
                  <c:v>2.0735174997468899</c:v>
                </c:pt>
                <c:pt idx="169">
                  <c:v>2.0489702406000498</c:v>
                </c:pt>
                <c:pt idx="170">
                  <c:v>2.0240561343989301</c:v>
                </c:pt>
                <c:pt idx="171">
                  <c:v>1.9987890967817901</c:v>
                </c:pt>
                <c:pt idx="172">
                  <c:v>1.97318351960397</c:v>
                </c:pt>
                <c:pt idx="173">
                  <c:v>1.9472542439004401</c:v>
                </c:pt>
                <c:pt idx="174">
                  <c:v>1.9210165313783201</c:v>
                </c:pt>
                <c:pt idx="175">
                  <c:v>1.89448603455369</c:v>
                </c:pt>
                <c:pt idx="176">
                  <c:v>1.8676787656549201</c:v>
                </c:pt>
                <c:pt idx="177">
                  <c:v>1.8406110644222</c:v>
                </c:pt>
                <c:pt idx="178">
                  <c:v>1.8132995649391701</c:v>
                </c:pt>
                <c:pt idx="179">
                  <c:v>1.78576116163781</c:v>
                </c:pt>
                <c:pt idx="180">
                  <c:v>1.7580129746222299</c:v>
                </c:pt>
                <c:pt idx="181">
                  <c:v>1.7300723144600401</c:v>
                </c:pt>
                <c:pt idx="182">
                  <c:v>1.7019566465923299</c:v>
                </c:pt>
                <c:pt idx="183">
                  <c:v>1.67368355551417</c:v>
                </c:pt>
                <c:pt idx="184">
                  <c:v>1.64527070887754</c:v>
                </c:pt>
                <c:pt idx="185">
                  <c:v>1.6167358216674901</c:v>
                </c:pt>
                <c:pt idx="186">
                  <c:v>1.58809662060023</c:v>
                </c:pt>
                <c:pt idx="187">
                  <c:v>1.5593708088882301</c:v>
                </c:pt>
                <c:pt idx="188">
                  <c:v>1.53057603151374</c:v>
                </c:pt>
                <c:pt idx="189">
                  <c:v>1.50172984114659</c:v>
                </c:pt>
                <c:pt idx="190">
                  <c:v>1.47284966483619</c:v>
                </c:pt>
                <c:pt idx="191">
                  <c:v>1.44395277160111</c:v>
                </c:pt>
                <c:pt idx="192">
                  <c:v>1.4150562410318199</c:v>
                </c:pt>
                <c:pt idx="193">
                  <c:v>1.38617693301412</c:v>
                </c:pt>
                <c:pt idx="194">
                  <c:v>1.35733145867226</c:v>
                </c:pt>
                <c:pt idx="195">
                  <c:v>1.3285361526214601</c:v>
                </c:pt>
                <c:pt idx="196">
                  <c:v>1.2998070466102301</c:v>
                </c:pt>
                <c:pt idx="197">
                  <c:v>1.27115984462291</c:v>
                </c:pt>
                <c:pt idx="198">
                  <c:v>1.2426098995034001</c:v>
                </c:pt>
                <c:pt idx="199">
                  <c:v>1.2141721911504999</c:v>
                </c:pt>
              </c:numCache>
            </c:numRef>
          </c:xVal>
          <c:yVal>
            <c:numRef>
              <c:f>SSIGA_fs!$D$2:$D$201</c:f>
              <c:numCache>
                <c:formatCode>0.00E+00</c:formatCode>
                <c:ptCount val="200"/>
                <c:pt idx="0">
                  <c:v>-0.6</c:v>
                </c:pt>
                <c:pt idx="1">
                  <c:v>-0.59970085233916604</c:v>
                </c:pt>
                <c:pt idx="2">
                  <c:v>-0.59727005729549798</c:v>
                </c:pt>
                <c:pt idx="3">
                  <c:v>-0.59232610990241796</c:v>
                </c:pt>
                <c:pt idx="4">
                  <c:v>-0.58481050462166895</c:v>
                </c:pt>
                <c:pt idx="5">
                  <c:v>-0.57469630105755398</c:v>
                </c:pt>
                <c:pt idx="6">
                  <c:v>-0.56199030448022402</c:v>
                </c:pt>
                <c:pt idx="7">
                  <c:v>-0.54673423274019395</c:v>
                </c:pt>
                <c:pt idx="8">
                  <c:v>-0.52900475926076596</c:v>
                </c:pt>
                <c:pt idx="9">
                  <c:v>-0.50891238616518297</c:v>
                </c:pt>
                <c:pt idx="10">
                  <c:v>-0.486599172870751</c:v>
                </c:pt>
                <c:pt idx="11">
                  <c:v>-0.46223541686890401</c:v>
                </c:pt>
                <c:pt idx="12">
                  <c:v>-0.43601544785434698</c:v>
                </c:pt>
                <c:pt idx="13">
                  <c:v>-0.40815274756046299</c:v>
                </c:pt>
                <c:pt idx="14">
                  <c:v>-0.378874640935358</c:v>
                </c:pt>
                <c:pt idx="15">
                  <c:v>-0.34841681723858697</c:v>
                </c:pt>
                <c:pt idx="16">
                  <c:v>-0.32310032783051901</c:v>
                </c:pt>
                <c:pt idx="17">
                  <c:v>-0.30322290589836798</c:v>
                </c:pt>
                <c:pt idx="18">
                  <c:v>-0.28279301633468701</c:v>
                </c:pt>
                <c:pt idx="19">
                  <c:v>-0.26185107836639598</c:v>
                </c:pt>
                <c:pt idx="20">
                  <c:v>-0.240440525757979</c:v>
                </c:pt>
                <c:pt idx="21">
                  <c:v>-0.21860752154934199</c:v>
                </c:pt>
                <c:pt idx="22">
                  <c:v>-0.196400635557896</c:v>
                </c:pt>
                <c:pt idx="23">
                  <c:v>-0.17387048921306</c:v>
                </c:pt>
                <c:pt idx="24">
                  <c:v>-0.15106937308957799</c:v>
                </c:pt>
                <c:pt idx="25">
                  <c:v>-0.12805084316783499</c:v>
                </c:pt>
                <c:pt idx="26">
                  <c:v>-0.104869302349525</c:v>
                </c:pt>
                <c:pt idx="27">
                  <c:v>-8.15795740768471E-2</c:v>
                </c:pt>
                <c:pt idx="28">
                  <c:v>-5.82364750318373E-2</c:v>
                </c:pt>
                <c:pt idx="29">
                  <c:v>-3.4894393826379801E-2</c:v>
                </c:pt>
                <c:pt idx="30">
                  <c:v>-1.1606882338320501E-2</c:v>
                </c:pt>
                <c:pt idx="31">
                  <c:v>1.1606882338319E-2</c:v>
                </c:pt>
                <c:pt idx="32">
                  <c:v>3.4894393826377802E-2</c:v>
                </c:pt>
                <c:pt idx="33">
                  <c:v>5.82364750318351E-2</c:v>
                </c:pt>
                <c:pt idx="34">
                  <c:v>8.1579574076845005E-2</c:v>
                </c:pt>
                <c:pt idx="35">
                  <c:v>0.10486930234952201</c:v>
                </c:pt>
                <c:pt idx="36">
                  <c:v>0.128050843167833</c:v>
                </c:pt>
                <c:pt idx="37">
                  <c:v>0.15106937308957599</c:v>
                </c:pt>
                <c:pt idx="38">
                  <c:v>0.17387048921305701</c:v>
                </c:pt>
                <c:pt idx="39">
                  <c:v>0.196400635557894</c:v>
                </c:pt>
                <c:pt idx="40">
                  <c:v>0.21860752154933999</c:v>
                </c:pt>
                <c:pt idx="41">
                  <c:v>0.240440525757977</c:v>
                </c:pt>
                <c:pt idx="42">
                  <c:v>0.26185107836639399</c:v>
                </c:pt>
                <c:pt idx="43">
                  <c:v>0.28279301633468501</c:v>
                </c:pt>
                <c:pt idx="44">
                  <c:v>0.30322290589836598</c:v>
                </c:pt>
                <c:pt idx="45">
                  <c:v>0.32310032783051801</c:v>
                </c:pt>
                <c:pt idx="46">
                  <c:v>0.34841681723858597</c:v>
                </c:pt>
                <c:pt idx="47">
                  <c:v>0.378874640935357</c:v>
                </c:pt>
                <c:pt idx="48">
                  <c:v>0.40815274756046199</c:v>
                </c:pt>
                <c:pt idx="49">
                  <c:v>0.43601544785434598</c:v>
                </c:pt>
                <c:pt idx="50">
                  <c:v>0.46223541686890302</c:v>
                </c:pt>
                <c:pt idx="51">
                  <c:v>0.48659917287075</c:v>
                </c:pt>
                <c:pt idx="52">
                  <c:v>0.50891238616518097</c:v>
                </c:pt>
                <c:pt idx="53">
                  <c:v>0.52900475926076396</c:v>
                </c:pt>
                <c:pt idx="54">
                  <c:v>0.54673423274019095</c:v>
                </c:pt>
                <c:pt idx="55">
                  <c:v>0.56199030448022103</c:v>
                </c:pt>
                <c:pt idx="56">
                  <c:v>0.57469630105755098</c:v>
                </c:pt>
                <c:pt idx="57">
                  <c:v>0.58481050462166595</c:v>
                </c:pt>
                <c:pt idx="58">
                  <c:v>0.59232610990241497</c:v>
                </c:pt>
                <c:pt idx="59">
                  <c:v>0.59727005729549398</c:v>
                </c:pt>
                <c:pt idx="60">
                  <c:v>0.59970085233916104</c:v>
                </c:pt>
                <c:pt idx="61">
                  <c:v>0.59999999999999498</c:v>
                </c:pt>
                <c:pt idx="62">
                  <c:v>-0.25654061388023303</c:v>
                </c:pt>
                <c:pt idx="63">
                  <c:v>-0.25013037355885298</c:v>
                </c:pt>
                <c:pt idx="64">
                  <c:v>-0.243680196898198</c:v>
                </c:pt>
                <c:pt idx="65">
                  <c:v>-0.23719134503761399</c:v>
                </c:pt>
                <c:pt idx="66">
                  <c:v>-0.23066509906223501</c:v>
                </c:pt>
                <c:pt idx="67">
                  <c:v>-0.22410275917581099</c:v>
                </c:pt>
                <c:pt idx="68">
                  <c:v>-0.217505643850124</c:v>
                </c:pt>
                <c:pt idx="69">
                  <c:v>-0.210875088952171</c:v>
                </c:pt>
                <c:pt idx="70">
                  <c:v>-0.20421244685029599</c:v>
                </c:pt>
                <c:pt idx="71">
                  <c:v>-0.197519085500522</c:v>
                </c:pt>
                <c:pt idx="72">
                  <c:v>-0.19079638751436201</c:v>
                </c:pt>
                <c:pt idx="73">
                  <c:v>-0.18404574920945099</c:v>
                </c:pt>
                <c:pt idx="74">
                  <c:v>-0.177268579644345</c:v>
                </c:pt>
                <c:pt idx="75">
                  <c:v>-0.170466299638908</c:v>
                </c:pt>
                <c:pt idx="76">
                  <c:v>-0.16364034078169701</c:v>
                </c:pt>
                <c:pt idx="77">
                  <c:v>-0.156792144425805</c:v>
                </c:pt>
                <c:pt idx="78">
                  <c:v>-0.149923160674655</c:v>
                </c:pt>
                <c:pt idx="79">
                  <c:v>-0.14303484735921701</c:v>
                </c:pt>
                <c:pt idx="80">
                  <c:v>-0.13612866900819301</c:v>
                </c:pt>
                <c:pt idx="81">
                  <c:v>-0.12920609581266401</c:v>
                </c:pt>
                <c:pt idx="82">
                  <c:v>-0.12226860258675799</c:v>
                </c:pt>
                <c:pt idx="83">
                  <c:v>-0.115317667725858</c:v>
                </c:pt>
                <c:pt idx="84">
                  <c:v>-0.10835477216389899</c:v>
                </c:pt>
                <c:pt idx="85">
                  <c:v>-0.101381398331283</c:v>
                </c:pt>
                <c:pt idx="86">
                  <c:v>-9.43990291149336E-2</c:v>
                </c:pt>
                <c:pt idx="87">
                  <c:v>-8.7409146822014505E-2</c:v>
                </c:pt>
                <c:pt idx="88">
                  <c:v>-8.0413232148802194E-2</c:v>
                </c:pt>
                <c:pt idx="89">
                  <c:v>-7.3412763156195701E-2</c:v>
                </c:pt>
                <c:pt idx="90">
                  <c:v>-6.6409214253325799E-2</c:v>
                </c:pt>
                <c:pt idx="91">
                  <c:v>-5.9404055190688497E-2</c:v>
                </c:pt>
                <c:pt idx="92">
                  <c:v>-5.2398750064210999E-2</c:v>
                </c:pt>
                <c:pt idx="93">
                  <c:v>-4.53947563316194E-2</c:v>
                </c:pt>
                <c:pt idx="94">
                  <c:v>-3.8393523842440998E-2</c:v>
                </c:pt>
                <c:pt idx="95">
                  <c:v>-3.1396493882938997E-2</c:v>
                </c:pt>
                <c:pt idx="96">
                  <c:v>-2.4405098237235499E-2</c:v>
                </c:pt>
                <c:pt idx="97">
                  <c:v>-1.7420758265829402E-2</c:v>
                </c:pt>
                <c:pt idx="98">
                  <c:v>-1.0444884002678E-2</c:v>
                </c:pt>
                <c:pt idx="99">
                  <c:v>-3.4788732719563602E-3</c:v>
                </c:pt>
                <c:pt idx="100">
                  <c:v>3.47887327195487E-3</c:v>
                </c:pt>
                <c:pt idx="101">
                  <c:v>1.04448840026766E-2</c:v>
                </c:pt>
                <c:pt idx="102">
                  <c:v>1.74207582658275E-2</c:v>
                </c:pt>
                <c:pt idx="103">
                  <c:v>2.4405098237233601E-2</c:v>
                </c:pt>
                <c:pt idx="104">
                  <c:v>3.1396493882937103E-2</c:v>
                </c:pt>
                <c:pt idx="105">
                  <c:v>3.8393523842438798E-2</c:v>
                </c:pt>
                <c:pt idx="106">
                  <c:v>4.5394756331617603E-2</c:v>
                </c:pt>
                <c:pt idx="107">
                  <c:v>5.2398750064209201E-2</c:v>
                </c:pt>
                <c:pt idx="108">
                  <c:v>5.9404055190686499E-2</c:v>
                </c:pt>
                <c:pt idx="109">
                  <c:v>6.6409214253323898E-2</c:v>
                </c:pt>
                <c:pt idx="110">
                  <c:v>7.3412763156193606E-2</c:v>
                </c:pt>
                <c:pt idx="111">
                  <c:v>8.0413232148800001E-2</c:v>
                </c:pt>
                <c:pt idx="112">
                  <c:v>8.7409146822012507E-2</c:v>
                </c:pt>
                <c:pt idx="113">
                  <c:v>9.4399029114931601E-2</c:v>
                </c:pt>
                <c:pt idx="114">
                  <c:v>0.10138139833128</c:v>
                </c:pt>
                <c:pt idx="115">
                  <c:v>0.108354772163897</c:v>
                </c:pt>
                <c:pt idx="116">
                  <c:v>0.115317667725855</c:v>
                </c:pt>
                <c:pt idx="117">
                  <c:v>0.122268602586756</c:v>
                </c:pt>
                <c:pt idx="118">
                  <c:v>0.12920609581266099</c:v>
                </c:pt>
                <c:pt idx="119">
                  <c:v>0.13612866900819001</c:v>
                </c:pt>
                <c:pt idx="120">
                  <c:v>0.14303484735921501</c:v>
                </c:pt>
                <c:pt idx="121">
                  <c:v>0.149923160674652</c:v>
                </c:pt>
                <c:pt idx="122">
                  <c:v>0.156792144425803</c:v>
                </c:pt>
                <c:pt idx="123">
                  <c:v>0.16364034078169501</c:v>
                </c:pt>
                <c:pt idx="124">
                  <c:v>0.170466299638906</c:v>
                </c:pt>
                <c:pt idx="125">
                  <c:v>0.17726857964434201</c:v>
                </c:pt>
                <c:pt idx="126">
                  <c:v>0.184045749209448</c:v>
                </c:pt>
                <c:pt idx="127">
                  <c:v>0.19079638751436001</c:v>
                </c:pt>
                <c:pt idx="128">
                  <c:v>0.19751908550052</c:v>
                </c:pt>
                <c:pt idx="129">
                  <c:v>0.20421244685029399</c:v>
                </c:pt>
                <c:pt idx="130">
                  <c:v>0.210875088952168</c:v>
                </c:pt>
                <c:pt idx="131">
                  <c:v>0.217505643850122</c:v>
                </c:pt>
                <c:pt idx="132">
                  <c:v>0.22410275917580899</c:v>
                </c:pt>
                <c:pt idx="133">
                  <c:v>0.23066509906223301</c:v>
                </c:pt>
                <c:pt idx="134">
                  <c:v>0.237191345037611</c:v>
                </c:pt>
                <c:pt idx="135">
                  <c:v>0.24368019689819601</c:v>
                </c:pt>
                <c:pt idx="136">
                  <c:v>0.25013037355885098</c:v>
                </c:pt>
                <c:pt idx="137">
                  <c:v>0.25654061388023103</c:v>
                </c:pt>
                <c:pt idx="138">
                  <c:v>0.26290967747147997</c:v>
                </c:pt>
                <c:pt idx="139">
                  <c:v>0.26923634546738801</c:v>
                </c:pt>
                <c:pt idx="140">
                  <c:v>0.27551942127903301</c:v>
                </c:pt>
                <c:pt idx="141">
                  <c:v>0.28175773131697701</c:v>
                </c:pt>
                <c:pt idx="142">
                  <c:v>0.28795012568614597</c:v>
                </c:pt>
                <c:pt idx="143">
                  <c:v>0.29409547885159498</c:v>
                </c:pt>
                <c:pt idx="144">
                  <c:v>0.30019269027440199</c:v>
                </c:pt>
                <c:pt idx="145">
                  <c:v>0.306240685017037</c:v>
                </c:pt>
                <c:pt idx="146">
                  <c:v>0.31223841431756399</c:v>
                </c:pt>
                <c:pt idx="147">
                  <c:v>0.31818485613215802</c:v>
                </c:pt>
                <c:pt idx="148">
                  <c:v>0.324079015645442</c:v>
                </c:pt>
                <c:pt idx="149">
                  <c:v>0.32991992574823298</c:v>
                </c:pt>
                <c:pt idx="150">
                  <c:v>0.337522052785516</c:v>
                </c:pt>
                <c:pt idx="151">
                  <c:v>0.34686724031937599</c:v>
                </c:pt>
                <c:pt idx="152">
                  <c:v>0.35612882152699299</c:v>
                </c:pt>
                <c:pt idx="153">
                  <c:v>0.36530034462710798</c:v>
                </c:pt>
                <c:pt idx="154">
                  <c:v>0.37437535005578398</c:v>
                </c:pt>
                <c:pt idx="155">
                  <c:v>0.38334738281983199</c:v>
                </c:pt>
                <c:pt idx="156">
                  <c:v>0.39221000514688298</c:v>
                </c:pt>
                <c:pt idx="157">
                  <c:v>0.40095680938878198</c:v>
                </c:pt>
                <c:pt idx="158">
                  <c:v>0.409581431132166</c:v>
                </c:pt>
                <c:pt idx="159">
                  <c:v>0.41807756246754901</c:v>
                </c:pt>
                <c:pt idx="160">
                  <c:v>0.42643896536595</c:v>
                </c:pt>
                <c:pt idx="161">
                  <c:v>0.43465948511005797</c:v>
                </c:pt>
                <c:pt idx="162">
                  <c:v>0.44273306372529803</c:v>
                </c:pt>
                <c:pt idx="163">
                  <c:v>0.45065375335476299</c:v>
                </c:pt>
                <c:pt idx="164">
                  <c:v>0.458415729521024</c:v>
                </c:pt>
                <c:pt idx="165">
                  <c:v>0.46601330421723303</c:v>
                </c:pt>
                <c:pt idx="166">
                  <c:v>0.47344093876972798</c:v>
                </c:pt>
                <c:pt idx="167">
                  <c:v>0.480693256414576</c:v>
                </c:pt>
                <c:pt idx="168">
                  <c:v>0.48776505453111701</c:v>
                </c:pt>
                <c:pt idx="169">
                  <c:v>0.49465131647664001</c:v>
                </c:pt>
                <c:pt idx="170">
                  <c:v>0.501347222967788</c:v>
                </c:pt>
                <c:pt idx="171">
                  <c:v>0.50784816295621105</c:v>
                </c:pt>
                <c:pt idx="172">
                  <c:v>0.51414974394824398</c:v>
                </c:pt>
                <c:pt idx="173">
                  <c:v>0.52024780172110197</c:v>
                </c:pt>
                <c:pt idx="174">
                  <c:v>0.52613840939116197</c:v>
                </c:pt>
                <c:pt idx="175">
                  <c:v>0.53181788579322498</c:v>
                </c:pt>
                <c:pt idx="176">
                  <c:v>0.53728280313346899</c:v>
                </c:pt>
                <c:pt idx="177">
                  <c:v>0.54252999388270695</c:v>
                </c:pt>
                <c:pt idx="178">
                  <c:v>0.547556556880895</c:v>
                </c:pt>
                <c:pt idx="179">
                  <c:v>0.55235986262822301</c:v>
                </c:pt>
                <c:pt idx="180">
                  <c:v>0.55693755774280096</c:v>
                </c:pt>
                <c:pt idx="181">
                  <c:v>0.56128756856968798</c:v>
                </c:pt>
                <c:pt idx="182">
                  <c:v>0.56540810393085095</c:v>
                </c:pt>
                <c:pt idx="183">
                  <c:v>0.56929765701051904</c:v>
                </c:pt>
                <c:pt idx="184">
                  <c:v>0.57295500637528796</c:v>
                </c:pt>
                <c:pt idx="185">
                  <c:v>0.57637921613314103</c:v>
                </c:pt>
                <c:pt idx="186">
                  <c:v>0.57956963524030902</c:v>
                </c:pt>
                <c:pt idx="187">
                  <c:v>0.58252589596947402</c:v>
                </c:pt>
                <c:pt idx="188">
                  <c:v>0.58524791155729405</c:v>
                </c:pt>
                <c:pt idx="189">
                  <c:v>0.58773587305341501</c:v>
                </c:pt>
                <c:pt idx="190">
                  <c:v>0.58999024539715905</c:v>
                </c:pt>
                <c:pt idx="191">
                  <c:v>0.59201176275180201</c:v>
                </c:pt>
                <c:pt idx="192">
                  <c:v>0.59380142312975004</c:v>
                </c:pt>
                <c:pt idx="193">
                  <c:v>0.595360482345064</c:v>
                </c:pt>
                <c:pt idx="194">
                  <c:v>0.59669044733255405</c:v>
                </c:pt>
                <c:pt idx="195">
                  <c:v>0.597793068875073</c:v>
                </c:pt>
                <c:pt idx="196">
                  <c:v>0.59867033378271295</c:v>
                </c:pt>
                <c:pt idx="197">
                  <c:v>0.59932445656932198</c:v>
                </c:pt>
                <c:pt idx="198">
                  <c:v>0.59975787067306097</c:v>
                </c:pt>
                <c:pt idx="199">
                  <c:v>0.59997321926872105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AB-4FEE-B2D3-2B99CA1C7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639696"/>
        <c:axId val="1721634896"/>
      </c:scatterChart>
      <c:valAx>
        <c:axId val="172163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1634896"/>
        <c:crosses val="autoZero"/>
        <c:crossBetween val="midCat"/>
      </c:valAx>
      <c:valAx>
        <c:axId val="172163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163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3449256342957"/>
          <c:y val="5.0925925925925923E-2"/>
          <c:w val="0.81745363079615052"/>
          <c:h val="0.781489501312335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SSIGA_fs!$R$2:$R$201</c:f>
              <c:numCache>
                <c:formatCode>0.00E+00</c:formatCode>
                <c:ptCount val="200"/>
                <c:pt idx="0">
                  <c:v>0.99999999999999578</c:v>
                </c:pt>
                <c:pt idx="1">
                  <c:v>-0.97989609853083293</c:v>
                </c:pt>
                <c:pt idx="2">
                  <c:v>-0.93924793201461609</c:v>
                </c:pt>
                <c:pt idx="3">
                  <c:v>-0.89807252840434093</c:v>
                </c:pt>
                <c:pt idx="4">
                  <c:v>-0.85644720219531767</c:v>
                </c:pt>
                <c:pt idx="5">
                  <c:v>-0.81445479860373282</c:v>
                </c:pt>
                <c:pt idx="6">
                  <c:v>-0.77218281155063351</c:v>
                </c:pt>
                <c:pt idx="7">
                  <c:v>-0.72972235879029557</c:v>
                </c:pt>
                <c:pt idx="8">
                  <c:v>-0.68716704181100119</c:v>
                </c:pt>
                <c:pt idx="9">
                  <c:v>-0.64461172483171103</c:v>
                </c:pt>
                <c:pt idx="10">
                  <c:v>-0.60215127207137376</c:v>
                </c:pt>
                <c:pt idx="11">
                  <c:v>-0.55987928501827222</c:v>
                </c:pt>
                <c:pt idx="12">
                  <c:v>-0.51788688142668582</c:v>
                </c:pt>
                <c:pt idx="13">
                  <c:v>-0.47626155521766467</c:v>
                </c:pt>
                <c:pt idx="14">
                  <c:v>-0.43508615160738812</c:v>
                </c:pt>
                <c:pt idx="15">
                  <c:v>-0.39443798509117284</c:v>
                </c:pt>
                <c:pt idx="16">
                  <c:v>-0.36201803073183814</c:v>
                </c:pt>
                <c:pt idx="17">
                  <c:v>-0.33728907908990835</c:v>
                </c:pt>
                <c:pt idx="18">
                  <c:v>-0.31244583107163676</c:v>
                </c:pt>
                <c:pt idx="19">
                  <c:v>-0.28750652597083914</c:v>
                </c:pt>
                <c:pt idx="20">
                  <c:v>-0.26248983878710508</c:v>
                </c:pt>
                <c:pt idx="21">
                  <c:v>-0.23741479921255756</c:v>
                </c:pt>
                <c:pt idx="22">
                  <c:v>-0.21230070659578681</c:v>
                </c:pt>
                <c:pt idx="23">
                  <c:v>-0.18716704181100319</c:v>
                </c:pt>
                <c:pt idx="24">
                  <c:v>-0.16203337702622031</c:v>
                </c:pt>
                <c:pt idx="25">
                  <c:v>-0.13691928440944889</c:v>
                </c:pt>
                <c:pt idx="26">
                  <c:v>-0.1118442448349012</c:v>
                </c:pt>
                <c:pt idx="27">
                  <c:v>-8.6827557651167064E-2</c:v>
                </c:pt>
                <c:pt idx="28">
                  <c:v>-6.1888252550367277E-2</c:v>
                </c:pt>
                <c:pt idx="29">
                  <c:v>-3.7045004532096144E-2</c:v>
                </c:pt>
                <c:pt idx="30">
                  <c:v>-1.231605289016454E-2</c:v>
                </c:pt>
                <c:pt idx="31">
                  <c:v>1.2316052890162953E-2</c:v>
                </c:pt>
                <c:pt idx="32">
                  <c:v>3.7045004532093785E-2</c:v>
                </c:pt>
                <c:pt idx="33">
                  <c:v>6.1888252550364967E-2</c:v>
                </c:pt>
                <c:pt idx="34">
                  <c:v>8.6827557651164858E-2</c:v>
                </c:pt>
                <c:pt idx="35">
                  <c:v>0.11184424483489806</c:v>
                </c:pt>
                <c:pt idx="36">
                  <c:v>0.13691928440944587</c:v>
                </c:pt>
                <c:pt idx="37">
                  <c:v>0.16203337702621826</c:v>
                </c:pt>
                <c:pt idx="38">
                  <c:v>0.18716704181100016</c:v>
                </c:pt>
                <c:pt idx="39">
                  <c:v>0.21230070659578348</c:v>
                </c:pt>
                <c:pt idx="40">
                  <c:v>0.23741479921255412</c:v>
                </c:pt>
                <c:pt idx="41">
                  <c:v>0.26248983878710141</c:v>
                </c:pt>
                <c:pt idx="42">
                  <c:v>0.28750652597083542</c:v>
                </c:pt>
                <c:pt idx="43">
                  <c:v>0.31244583107163493</c:v>
                </c:pt>
                <c:pt idx="44">
                  <c:v>0.33728907908990646</c:v>
                </c:pt>
                <c:pt idx="45">
                  <c:v>0.3620180307318373</c:v>
                </c:pt>
                <c:pt idx="46">
                  <c:v>0.39443798509117439</c:v>
                </c:pt>
                <c:pt idx="47">
                  <c:v>0.43508615160738723</c:v>
                </c:pt>
                <c:pt idx="48">
                  <c:v>0.47626155521766667</c:v>
                </c:pt>
                <c:pt idx="49">
                  <c:v>0.51788688142668515</c:v>
                </c:pt>
                <c:pt idx="50">
                  <c:v>0.55987928501827144</c:v>
                </c:pt>
                <c:pt idx="51">
                  <c:v>0.6021512720713732</c:v>
                </c:pt>
                <c:pt idx="52">
                  <c:v>0.64461172483171347</c:v>
                </c:pt>
                <c:pt idx="53">
                  <c:v>0.68716704181100396</c:v>
                </c:pt>
                <c:pt idx="54">
                  <c:v>0.72972235879029412</c:v>
                </c:pt>
                <c:pt idx="55">
                  <c:v>0.7721828115506324</c:v>
                </c:pt>
                <c:pt idx="56">
                  <c:v>0.81445479860373615</c:v>
                </c:pt>
                <c:pt idx="57">
                  <c:v>0.85644720219531678</c:v>
                </c:pt>
                <c:pt idx="58">
                  <c:v>0.89807252840434049</c:v>
                </c:pt>
                <c:pt idx="59">
                  <c:v>0.93924793201461587</c:v>
                </c:pt>
                <c:pt idx="60">
                  <c:v>0.97989609853082837</c:v>
                </c:pt>
                <c:pt idx="61">
                  <c:v>-0.99999999999999578</c:v>
                </c:pt>
                <c:pt idx="62">
                  <c:v>-0.28125887081822637</c:v>
                </c:pt>
                <c:pt idx="63">
                  <c:v>-0.2737557145745001</c:v>
                </c:pt>
                <c:pt idx="64">
                  <c:v>-0.26624653033685181</c:v>
                </c:pt>
                <c:pt idx="65">
                  <c:v>-0.2587318338135805</c:v>
                </c:pt>
                <c:pt idx="66">
                  <c:v>-0.25121214300629452</c:v>
                </c:pt>
                <c:pt idx="67">
                  <c:v>-0.24368797799878877</c:v>
                </c:pt>
                <c:pt idx="68">
                  <c:v>-0.23615986074374537</c:v>
                </c:pt>
                <c:pt idx="69">
                  <c:v>-0.22862831484748056</c:v>
                </c:pt>
                <c:pt idx="70">
                  <c:v>-0.22109386535299583</c:v>
                </c:pt>
                <c:pt idx="71">
                  <c:v>-0.21355703852149538</c:v>
                </c:pt>
                <c:pt idx="72">
                  <c:v>-0.20601836161265111</c:v>
                </c:pt>
                <c:pt idx="73">
                  <c:v>-0.19847836266380753</c:v>
                </c:pt>
                <c:pt idx="74">
                  <c:v>-0.19093757026837424</c:v>
                </c:pt>
                <c:pt idx="75">
                  <c:v>-0.18339651335363205</c:v>
                </c:pt>
                <c:pt idx="76">
                  <c:v>-0.17585572095819918</c:v>
                </c:pt>
                <c:pt idx="77">
                  <c:v>-0.16831572200935424</c:v>
                </c:pt>
                <c:pt idx="78">
                  <c:v>-0.16077704510051122</c:v>
                </c:pt>
                <c:pt idx="79">
                  <c:v>-0.1532402182690111</c:v>
                </c:pt>
                <c:pt idx="80">
                  <c:v>-0.14570576877452557</c:v>
                </c:pt>
                <c:pt idx="81">
                  <c:v>-0.13817422287826053</c:v>
                </c:pt>
                <c:pt idx="82">
                  <c:v>-0.13064610562321607</c:v>
                </c:pt>
                <c:pt idx="83">
                  <c:v>-0.1231219406157118</c:v>
                </c:pt>
                <c:pt idx="84">
                  <c:v>-0.11560224980842621</c:v>
                </c:pt>
                <c:pt idx="85">
                  <c:v>-0.10808755328515356</c:v>
                </c:pt>
                <c:pt idx="86">
                  <c:v>-0.10057836904750678</c:v>
                </c:pt>
                <c:pt idx="87">
                  <c:v>-9.3075212803778756E-2</c:v>
                </c:pt>
                <c:pt idx="88">
                  <c:v>-8.5578597760184311E-2</c:v>
                </c:pt>
                <c:pt idx="89">
                  <c:v>-7.8089034414669911E-2</c:v>
                </c:pt>
                <c:pt idx="90">
                  <c:v>-7.0607030353515537E-2</c:v>
                </c:pt>
                <c:pt idx="91">
                  <c:v>-6.313309005091082E-2</c:v>
                </c:pt>
                <c:pt idx="92">
                  <c:v>-5.5667714671700862E-2</c:v>
                </c:pt>
                <c:pt idx="93">
                  <c:v>-4.821140187749353E-2</c:v>
                </c:pt>
                <c:pt idx="94">
                  <c:v>-4.0764645636296011E-2</c:v>
                </c:pt>
                <c:pt idx="95">
                  <c:v>-3.3327936035861296E-2</c:v>
                </c:pt>
                <c:pt idx="96">
                  <c:v>-2.5901759100909787E-2</c:v>
                </c:pt>
                <c:pt idx="97">
                  <c:v>-1.8486596614380672E-2</c:v>
                </c:pt>
                <c:pt idx="98">
                  <c:v>-1.1082925942867916E-2</c:v>
                </c:pt>
                <c:pt idx="99">
                  <c:v>-3.6912198663849381E-3</c:v>
                </c:pt>
                <c:pt idx="100">
                  <c:v>3.6912198663833573E-3</c:v>
                </c:pt>
                <c:pt idx="101">
                  <c:v>1.1082925942866435E-2</c:v>
                </c:pt>
                <c:pt idx="102">
                  <c:v>1.848659661437866E-2</c:v>
                </c:pt>
                <c:pt idx="103">
                  <c:v>2.5901759100907775E-2</c:v>
                </c:pt>
                <c:pt idx="104">
                  <c:v>3.3327936035859297E-2</c:v>
                </c:pt>
                <c:pt idx="105">
                  <c:v>4.0764645636293673E-2</c:v>
                </c:pt>
                <c:pt idx="106">
                  <c:v>4.8211401877491622E-2</c:v>
                </c:pt>
                <c:pt idx="107">
                  <c:v>5.5667714671698586E-2</c:v>
                </c:pt>
                <c:pt idx="108">
                  <c:v>6.3133090050908267E-2</c:v>
                </c:pt>
                <c:pt idx="109">
                  <c:v>7.0607030353513553E-2</c:v>
                </c:pt>
                <c:pt idx="110">
                  <c:v>7.8089034414667705E-2</c:v>
                </c:pt>
                <c:pt idx="111">
                  <c:v>8.5578597760182021E-2</c:v>
                </c:pt>
                <c:pt idx="112">
                  <c:v>9.3075212803776675E-2</c:v>
                </c:pt>
                <c:pt idx="113">
                  <c:v>0.10057836904750403</c:v>
                </c:pt>
                <c:pt idx="114">
                  <c:v>0.10808755328515041</c:v>
                </c:pt>
                <c:pt idx="115">
                  <c:v>0.11560224980842332</c:v>
                </c:pt>
                <c:pt idx="116">
                  <c:v>0.12312194061570868</c:v>
                </c:pt>
                <c:pt idx="117">
                  <c:v>0.13064610562321402</c:v>
                </c:pt>
                <c:pt idx="118">
                  <c:v>0.1381742228782574</c:v>
                </c:pt>
                <c:pt idx="119">
                  <c:v>0.14570576877452152</c:v>
                </c:pt>
                <c:pt idx="120">
                  <c:v>0.15324021826900799</c:v>
                </c:pt>
                <c:pt idx="121">
                  <c:v>0.16077704510050703</c:v>
                </c:pt>
                <c:pt idx="122">
                  <c:v>0.16831572200935219</c:v>
                </c:pt>
                <c:pt idx="123">
                  <c:v>0.17585572095819599</c:v>
                </c:pt>
                <c:pt idx="124">
                  <c:v>0.18339651335363003</c:v>
                </c:pt>
                <c:pt idx="125">
                  <c:v>0.19093757026836994</c:v>
                </c:pt>
                <c:pt idx="126">
                  <c:v>0.1984783626638045</c:v>
                </c:pt>
                <c:pt idx="127">
                  <c:v>0.20601836161264911</c:v>
                </c:pt>
                <c:pt idx="128">
                  <c:v>0.21355703852149341</c:v>
                </c:pt>
                <c:pt idx="129">
                  <c:v>0.22109386535299236</c:v>
                </c:pt>
                <c:pt idx="130">
                  <c:v>0.22862831484747759</c:v>
                </c:pt>
                <c:pt idx="131">
                  <c:v>0.23615986074374187</c:v>
                </c:pt>
                <c:pt idx="132">
                  <c:v>0.24368797799878683</c:v>
                </c:pt>
                <c:pt idx="133">
                  <c:v>0.25121214300629091</c:v>
                </c:pt>
                <c:pt idx="134">
                  <c:v>0.25873183381357595</c:v>
                </c:pt>
                <c:pt idx="135">
                  <c:v>0.26624653033684986</c:v>
                </c:pt>
                <c:pt idx="136">
                  <c:v>0.27375571457449649</c:v>
                </c:pt>
                <c:pt idx="137">
                  <c:v>0.28125887081822443</c:v>
                </c:pt>
                <c:pt idx="138">
                  <c:v>0.28875548586181804</c:v>
                </c:pt>
                <c:pt idx="139">
                  <c:v>0.29624504920733286</c:v>
                </c:pt>
                <c:pt idx="140">
                  <c:v>0.30372705326848576</c:v>
                </c:pt>
                <c:pt idx="141">
                  <c:v>0.31120099357109288</c:v>
                </c:pt>
                <c:pt idx="142">
                  <c:v>0.31866636895030104</c:v>
                </c:pt>
                <c:pt idx="143">
                  <c:v>0.32612268174450909</c:v>
                </c:pt>
                <c:pt idx="144">
                  <c:v>0.33356943798570543</c:v>
                </c:pt>
                <c:pt idx="145">
                  <c:v>0.3410061475861409</c:v>
                </c:pt>
                <c:pt idx="146">
                  <c:v>0.34843232452109163</c:v>
                </c:pt>
                <c:pt idx="147">
                  <c:v>0.35584748700762203</c:v>
                </c:pt>
                <c:pt idx="148">
                  <c:v>0.3632511576791343</c:v>
                </c:pt>
                <c:pt idx="149">
                  <c:v>0.37064286375561833</c:v>
                </c:pt>
                <c:pt idx="150">
                  <c:v>0.38034903784998142</c:v>
                </c:pt>
                <c:pt idx="151">
                  <c:v>0.39242071964966119</c:v>
                </c:pt>
                <c:pt idx="152">
                  <c:v>0.40454659934509052</c:v>
                </c:pt>
                <c:pt idx="153">
                  <c:v>0.41672482863637539</c:v>
                </c:pt>
                <c:pt idx="154">
                  <c:v>0.42895350492909506</c:v>
                </c:pt>
                <c:pt idx="155">
                  <c:v>0.44123067261826621</c:v>
                </c:pt>
                <c:pt idx="156">
                  <c:v>0.4535543245020055</c:v>
                </c:pt>
                <c:pt idx="157">
                  <c:v>0.4659224033239695</c:v>
                </c:pt>
                <c:pt idx="158">
                  <c:v>0.47833280344305718</c:v>
                </c:pt>
                <c:pt idx="159">
                  <c:v>0.49078337262833488</c:v>
                </c:pt>
                <c:pt idx="160">
                  <c:v>0.50327191397651172</c:v>
                </c:pt>
                <c:pt idx="161">
                  <c:v>0.51579618794878235</c:v>
                </c:pt>
                <c:pt idx="162">
                  <c:v>0.52835391452325031</c:v>
                </c:pt>
                <c:pt idx="163">
                  <c:v>0.54094277545859204</c:v>
                </c:pt>
                <c:pt idx="164">
                  <c:v>0.55356041666406552</c:v>
                </c:pt>
                <c:pt idx="165">
                  <c:v>0.56620445067043434</c:v>
                </c:pt>
                <c:pt idx="166">
                  <c:v>0.57887245919588959</c:v>
                </c:pt>
                <c:pt idx="167">
                  <c:v>0.59156199580046565</c:v>
                </c:pt>
                <c:pt idx="168">
                  <c:v>0.60427058862209015</c:v>
                </c:pt>
                <c:pt idx="169">
                  <c:v>0.61699574318693817</c:v>
                </c:pt>
                <c:pt idx="170">
                  <c:v>0.6297349452862796</c:v>
                </c:pt>
                <c:pt idx="171">
                  <c:v>0.64248566391177997</c:v>
                </c:pt>
                <c:pt idx="172">
                  <c:v>0.65524535424078478</c:v>
                </c:pt>
                <c:pt idx="173">
                  <c:v>0.66801146066289641</c:v>
                </c:pt>
                <c:pt idx="174">
                  <c:v>0.68078141983893048</c:v>
                </c:pt>
                <c:pt idx="175">
                  <c:v>0.69355266378307878</c:v>
                </c:pt>
                <c:pt idx="176">
                  <c:v>0.70632262295911019</c:v>
                </c:pt>
                <c:pt idx="177">
                  <c:v>0.71908872938122337</c:v>
                </c:pt>
                <c:pt idx="178">
                  <c:v>0.73184841971022652</c:v>
                </c:pt>
                <c:pt idx="179">
                  <c:v>0.74459913833572777</c:v>
                </c:pt>
                <c:pt idx="180">
                  <c:v>0.75733834043506842</c:v>
                </c:pt>
                <c:pt idx="181">
                  <c:v>0.77006349499991544</c:v>
                </c:pt>
                <c:pt idx="182">
                  <c:v>0.78277208782154273</c:v>
                </c:pt>
                <c:pt idx="183">
                  <c:v>0.79546162442611645</c:v>
                </c:pt>
                <c:pt idx="184">
                  <c:v>0.80812963295156859</c:v>
                </c:pt>
                <c:pt idx="185">
                  <c:v>0.82077366695794141</c:v>
                </c:pt>
                <c:pt idx="186">
                  <c:v>0.83339130816341134</c:v>
                </c:pt>
                <c:pt idx="187">
                  <c:v>0.84598016909875207</c:v>
                </c:pt>
                <c:pt idx="188">
                  <c:v>0.85853789567322392</c:v>
                </c:pt>
                <c:pt idx="189">
                  <c:v>0.87106216964549288</c:v>
                </c:pt>
                <c:pt idx="190">
                  <c:v>0.88355071099366733</c:v>
                </c:pt>
                <c:pt idx="191">
                  <c:v>0.89600128017894654</c:v>
                </c:pt>
                <c:pt idx="192">
                  <c:v>0.90841168029803554</c:v>
                </c:pt>
                <c:pt idx="193">
                  <c:v>0.92077975911999832</c:v>
                </c:pt>
                <c:pt idx="194">
                  <c:v>0.93310341100373717</c:v>
                </c:pt>
                <c:pt idx="195">
                  <c:v>0.94538057869291037</c:v>
                </c:pt>
                <c:pt idx="196">
                  <c:v>0.9576092549856251</c:v>
                </c:pt>
                <c:pt idx="197">
                  <c:v>0.9697874842769092</c:v>
                </c:pt>
                <c:pt idx="198">
                  <c:v>0.98191336397233964</c:v>
                </c:pt>
                <c:pt idx="199">
                  <c:v>0.99398504577201696</c:v>
                </c:pt>
              </c:numCache>
            </c:numRef>
          </c:xVal>
          <c:yVal>
            <c:numRef>
              <c:f>SSIGA_fs!$S$2:$S$201</c:f>
              <c:numCache>
                <c:formatCode>0.00E+00</c:formatCode>
                <c:ptCount val="200"/>
                <c:pt idx="0">
                  <c:v>2.9347313190308482</c:v>
                </c:pt>
                <c:pt idx="1">
                  <c:v>2.2630493896348263</c:v>
                </c:pt>
                <c:pt idx="2">
                  <c:v>2.0763754399377929</c:v>
                </c:pt>
                <c:pt idx="3">
                  <c:v>1.905840217833866</c:v>
                </c:pt>
                <c:pt idx="4">
                  <c:v>1.7585616534659236</c:v>
                </c:pt>
                <c:pt idx="5">
                  <c:v>1.6407600519387791</c:v>
                </c:pt>
                <c:pt idx="6">
                  <c:v>1.5432415196708551</c:v>
                </c:pt>
                <c:pt idx="7">
                  <c:v>1.4588963659791698</c:v>
                </c:pt>
                <c:pt idx="8">
                  <c:v>1.3830301876506645</c:v>
                </c:pt>
                <c:pt idx="9">
                  <c:v>1.3131797384615931</c:v>
                </c:pt>
                <c:pt idx="10">
                  <c:v>1.2505359852548867</c:v>
                </c:pt>
                <c:pt idx="11">
                  <c:v>1.1952914126962135</c:v>
                </c:pt>
                <c:pt idx="12">
                  <c:v>1.1436480811157734</c:v>
                </c:pt>
                <c:pt idx="13">
                  <c:v>1.094569117591742</c:v>
                </c:pt>
                <c:pt idx="14">
                  <c:v>1.0481848353429621</c:v>
                </c:pt>
                <c:pt idx="15">
                  <c:v>1.0038843206082948</c:v>
                </c:pt>
                <c:pt idx="16">
                  <c:v>0.97097404549119082</c:v>
                </c:pt>
                <c:pt idx="17">
                  <c:v>0.94639173744683713</c:v>
                </c:pt>
                <c:pt idx="18">
                  <c:v>0.9221406153605729</c:v>
                </c:pt>
                <c:pt idx="19">
                  <c:v>0.89846453813585103</c:v>
                </c:pt>
                <c:pt idx="20">
                  <c:v>0.87563782085480668</c:v>
                </c:pt>
                <c:pt idx="21">
                  <c:v>0.8536725416303097</c:v>
                </c:pt>
                <c:pt idx="22">
                  <c:v>0.8325682296705027</c:v>
                </c:pt>
                <c:pt idx="23">
                  <c:v>0.81274300428640456</c:v>
                </c:pt>
                <c:pt idx="24">
                  <c:v>0.79466191287105981</c:v>
                </c:pt>
                <c:pt idx="25">
                  <c:v>0.77809382641934155</c:v>
                </c:pt>
                <c:pt idx="26">
                  <c:v>0.76351624765539661</c:v>
                </c:pt>
                <c:pt idx="27">
                  <c:v>0.75173970525646183</c:v>
                </c:pt>
                <c:pt idx="28">
                  <c:v>0.74244374179298023</c:v>
                </c:pt>
                <c:pt idx="29">
                  <c:v>0.73597366769118366</c:v>
                </c:pt>
                <c:pt idx="30">
                  <c:v>0.73303467115739551</c:v>
                </c:pt>
                <c:pt idx="31">
                  <c:v>0.73303467141927203</c:v>
                </c:pt>
                <c:pt idx="32">
                  <c:v>0.73597366814099319</c:v>
                </c:pt>
                <c:pt idx="33">
                  <c:v>0.74244374239744348</c:v>
                </c:pt>
                <c:pt idx="34">
                  <c:v>0.75173970557568992</c:v>
                </c:pt>
                <c:pt idx="35">
                  <c:v>0.76351624744331836</c:v>
                </c:pt>
                <c:pt idx="36">
                  <c:v>0.77809382585615483</c:v>
                </c:pt>
                <c:pt idx="37">
                  <c:v>0.79466191259461594</c:v>
                </c:pt>
                <c:pt idx="38">
                  <c:v>0.81274300466792238</c:v>
                </c:pt>
                <c:pt idx="39">
                  <c:v>0.83256823045522199</c:v>
                </c:pt>
                <c:pt idx="40">
                  <c:v>0.85367254196935671</c:v>
                </c:pt>
                <c:pt idx="41">
                  <c:v>0.8756378204021491</c:v>
                </c:pt>
                <c:pt idx="42">
                  <c:v>0.89846453764815937</c:v>
                </c:pt>
                <c:pt idx="43">
                  <c:v>0.92214061585951057</c:v>
                </c:pt>
                <c:pt idx="44">
                  <c:v>0.94639173835958135</c:v>
                </c:pt>
                <c:pt idx="45">
                  <c:v>0.97097404358474471</c:v>
                </c:pt>
                <c:pt idx="46">
                  <c:v>1.0038843182687407</c:v>
                </c:pt>
                <c:pt idx="47">
                  <c:v>1.0481848368395277</c:v>
                </c:pt>
                <c:pt idx="48">
                  <c:v>1.0945691183984141</c:v>
                </c:pt>
                <c:pt idx="49">
                  <c:v>1.1436480806468079</c:v>
                </c:pt>
                <c:pt idx="50">
                  <c:v>1.1952914121133025</c:v>
                </c:pt>
                <c:pt idx="51">
                  <c:v>1.2505359847088164</c:v>
                </c:pt>
                <c:pt idx="52">
                  <c:v>1.3131797381569179</c:v>
                </c:pt>
                <c:pt idx="53">
                  <c:v>1.3830301876213333</c:v>
                </c:pt>
                <c:pt idx="54">
                  <c:v>1.4588963661665564</c:v>
                </c:pt>
                <c:pt idx="55">
                  <c:v>1.543241519963221</c:v>
                </c:pt>
                <c:pt idx="56">
                  <c:v>1.6407600522605343</c:v>
                </c:pt>
                <c:pt idx="57">
                  <c:v>1.7585616538178845</c:v>
                </c:pt>
                <c:pt idx="58">
                  <c:v>1.9058402181096619</c:v>
                </c:pt>
                <c:pt idx="59">
                  <c:v>2.0763754399601901</c:v>
                </c:pt>
                <c:pt idx="60">
                  <c:v>2.2630493896145483</c:v>
                </c:pt>
                <c:pt idx="61">
                  <c:v>2.9347313191210125</c:v>
                </c:pt>
                <c:pt idx="62">
                  <c:v>0.89260278348458755</c:v>
                </c:pt>
                <c:pt idx="63">
                  <c:v>0.88572958591868256</c:v>
                </c:pt>
                <c:pt idx="64">
                  <c:v>0.87892854938237708</c:v>
                </c:pt>
                <c:pt idx="65">
                  <c:v>0.87220291650229442</c:v>
                </c:pt>
                <c:pt idx="66">
                  <c:v>0.86555632797882265</c:v>
                </c:pt>
                <c:pt idx="67">
                  <c:v>0.85899283451990427</c:v>
                </c:pt>
                <c:pt idx="68">
                  <c:v>0.85251690404127278</c:v>
                </c:pt>
                <c:pt idx="69">
                  <c:v>0.84613342350788456</c:v>
                </c:pt>
                <c:pt idx="70">
                  <c:v>0.83978983869769619</c:v>
                </c:pt>
                <c:pt idx="71">
                  <c:v>0.83351218716556508</c:v>
                </c:pt>
                <c:pt idx="72">
                  <c:v>0.82737172367942224</c:v>
                </c:pt>
                <c:pt idx="73">
                  <c:v>0.82137349187786135</c:v>
                </c:pt>
                <c:pt idx="74">
                  <c:v>0.81552293921880725</c:v>
                </c:pt>
                <c:pt idx="75">
                  <c:v>0.80982592228312478</c:v>
                </c:pt>
                <c:pt idx="76">
                  <c:v>0.80428870595625568</c:v>
                </c:pt>
                <c:pt idx="77">
                  <c:v>0.79891795589938097</c:v>
                </c:pt>
                <c:pt idx="78">
                  <c:v>0.79372072375212632</c:v>
                </c:pt>
                <c:pt idx="79">
                  <c:v>0.78870442455884349</c:v>
                </c:pt>
                <c:pt idx="80">
                  <c:v>0.78372156556070405</c:v>
                </c:pt>
                <c:pt idx="81">
                  <c:v>0.77879962511471279</c:v>
                </c:pt>
                <c:pt idx="82">
                  <c:v>0.77410823810065288</c:v>
                </c:pt>
                <c:pt idx="83">
                  <c:v>0.76965322785431289</c:v>
                </c:pt>
                <c:pt idx="84">
                  <c:v>0.7654406322105678</c:v>
                </c:pt>
                <c:pt idx="85">
                  <c:v>0.76147669552840214</c:v>
                </c:pt>
                <c:pt idx="86">
                  <c:v>0.75776785486929066</c:v>
                </c:pt>
                <c:pt idx="87">
                  <c:v>0.75432072020079666</c:v>
                </c:pt>
                <c:pt idx="88">
                  <c:v>0.75114204857447331</c:v>
                </c:pt>
                <c:pt idx="89">
                  <c:v>0.74823871231561701</c:v>
                </c:pt>
                <c:pt idx="90">
                  <c:v>0.74544116236123958</c:v>
                </c:pt>
                <c:pt idx="91">
                  <c:v>0.74277022213674837</c:v>
                </c:pt>
                <c:pt idx="92">
                  <c:v>0.74041103702608457</c:v>
                </c:pt>
                <c:pt idx="93">
                  <c:v>0.73836543781966746</c:v>
                </c:pt>
                <c:pt idx="94">
                  <c:v>0.73663513959807125</c:v>
                </c:pt>
                <c:pt idx="95">
                  <c:v>0.73522175053640726</c:v>
                </c:pt>
                <c:pt idx="96">
                  <c:v>0.7341267751438455</c:v>
                </c:pt>
                <c:pt idx="97">
                  <c:v>0.73335161164955509</c:v>
                </c:pt>
                <c:pt idx="98">
                  <c:v>0.73289754338656854</c:v>
                </c:pt>
                <c:pt idx="99">
                  <c:v>0.73276572417824681</c:v>
                </c:pt>
                <c:pt idx="100">
                  <c:v>0.73276572439550358</c:v>
                </c:pt>
                <c:pt idx="101">
                  <c:v>0.73289754363986503</c:v>
                </c:pt>
                <c:pt idx="102">
                  <c:v>0.73335161195219112</c:v>
                </c:pt>
                <c:pt idx="103">
                  <c:v>0.73412677550388405</c:v>
                </c:pt>
                <c:pt idx="104">
                  <c:v>0.73522175095690001</c:v>
                </c:pt>
                <c:pt idx="105">
                  <c:v>0.73663514007765651</c:v>
                </c:pt>
                <c:pt idx="106">
                  <c:v>0.73836543835314428</c:v>
                </c:pt>
                <c:pt idx="107">
                  <c:v>0.74041103760450155</c:v>
                </c:pt>
                <c:pt idx="108">
                  <c:v>0.74277022274794913</c:v>
                </c:pt>
                <c:pt idx="109">
                  <c:v>0.74544116299014695</c:v>
                </c:pt>
                <c:pt idx="110">
                  <c:v>0.74823871285001153</c:v>
                </c:pt>
                <c:pt idx="111">
                  <c:v>0.75114204892276315</c:v>
                </c:pt>
                <c:pt idx="112">
                  <c:v>0.75432072037383446</c:v>
                </c:pt>
                <c:pt idx="113">
                  <c:v>0.75776785487814768</c:v>
                </c:pt>
                <c:pt idx="114">
                  <c:v>0.76147669538504514</c:v>
                </c:pt>
                <c:pt idx="115">
                  <c:v>0.7654406319289816</c:v>
                </c:pt>
                <c:pt idx="116">
                  <c:v>0.76965322745130815</c:v>
                </c:pt>
                <c:pt idx="117">
                  <c:v>0.7741082375968571</c:v>
                </c:pt>
                <c:pt idx="118">
                  <c:v>0.77879962453510143</c:v>
                </c:pt>
                <c:pt idx="119">
                  <c:v>0.78372156493537304</c:v>
                </c:pt>
                <c:pt idx="120">
                  <c:v>0.78870442403132468</c:v>
                </c:pt>
                <c:pt idx="121">
                  <c:v>0.79372072343890721</c:v>
                </c:pt>
                <c:pt idx="122">
                  <c:v>0.79891795579684166</c:v>
                </c:pt>
                <c:pt idx="123">
                  <c:v>0.80428870605765146</c:v>
                </c:pt>
                <c:pt idx="124">
                  <c:v>0.80982592257739172</c:v>
                </c:pt>
                <c:pt idx="125">
                  <c:v>0.81552293968839185</c:v>
                </c:pt>
                <c:pt idx="126">
                  <c:v>0.82137349249741642</c:v>
                </c:pt>
                <c:pt idx="127">
                  <c:v>0.82737172441439411</c:v>
                </c:pt>
                <c:pt idx="128">
                  <c:v>0.83351218797036553</c:v>
                </c:pt>
                <c:pt idx="129">
                  <c:v>0.83978983951454367</c:v>
                </c:pt>
                <c:pt idx="130">
                  <c:v>0.84613342417223425</c:v>
                </c:pt>
                <c:pt idx="131">
                  <c:v>0.85251690442856665</c:v>
                </c:pt>
                <c:pt idx="132">
                  <c:v>0.85899283463047749</c:v>
                </c:pt>
                <c:pt idx="133">
                  <c:v>0.86555632782951497</c:v>
                </c:pt>
                <c:pt idx="134">
                  <c:v>0.87220291612897793</c:v>
                </c:pt>
                <c:pt idx="135">
                  <c:v>0.87892854884086646</c:v>
                </c:pt>
                <c:pt idx="136">
                  <c:v>0.88572958528644674</c:v>
                </c:pt>
                <c:pt idx="137">
                  <c:v>0.89260278286235939</c:v>
                </c:pt>
                <c:pt idx="138">
                  <c:v>0.89954528097151842</c:v>
                </c:pt>
                <c:pt idx="139">
                  <c:v>0.90655458137641842</c:v>
                </c:pt>
                <c:pt idx="140">
                  <c:v>0.91366650974570884</c:v>
                </c:pt>
                <c:pt idx="141">
                  <c:v>0.92086197471335685</c:v>
                </c:pt>
                <c:pt idx="142">
                  <c:v>0.9280937184576985</c:v>
                </c:pt>
                <c:pt idx="143">
                  <c:v>0.93535946173042639</c:v>
                </c:pt>
                <c:pt idx="144">
                  <c:v>0.94265730334163389</c:v>
                </c:pt>
                <c:pt idx="145">
                  <c:v>0.94998548122396087</c:v>
                </c:pt>
                <c:pt idx="146">
                  <c:v>0.95734203682961139</c:v>
                </c:pt>
                <c:pt idx="147">
                  <c:v>0.96472680658905174</c:v>
                </c:pt>
                <c:pt idx="148">
                  <c:v>0.97213831244464899</c:v>
                </c:pt>
                <c:pt idx="149">
                  <c:v>0.97957855916099335</c:v>
                </c:pt>
                <c:pt idx="150">
                  <c:v>0.98847571114816335</c:v>
                </c:pt>
                <c:pt idx="151">
                  <c:v>1.0014977809854995</c:v>
                </c:pt>
                <c:pt idx="152">
                  <c:v>1.0146116616153089</c:v>
                </c:pt>
                <c:pt idx="153">
                  <c:v>1.0278399495715955</c:v>
                </c:pt>
                <c:pt idx="154">
                  <c:v>1.041209698735752</c:v>
                </c:pt>
                <c:pt idx="155">
                  <c:v>1.0547508684219671</c:v>
                </c:pt>
                <c:pt idx="156">
                  <c:v>1.0684932942192784</c:v>
                </c:pt>
                <c:pt idx="157">
                  <c:v>1.0824657022896944</c:v>
                </c:pt>
                <c:pt idx="158">
                  <c:v>1.0967044918923765</c:v>
                </c:pt>
                <c:pt idx="159">
                  <c:v>1.1112476860146361</c:v>
                </c:pt>
                <c:pt idx="160">
                  <c:v>1.1260030119983933</c:v>
                </c:pt>
                <c:pt idx="161">
                  <c:v>1.1408928989052947</c:v>
                </c:pt>
                <c:pt idx="162">
                  <c:v>1.1560152115895901</c:v>
                </c:pt>
                <c:pt idx="163">
                  <c:v>1.1713984693426798</c:v>
                </c:pt>
                <c:pt idx="164">
                  <c:v>1.187066525623816</c:v>
                </c:pt>
                <c:pt idx="165">
                  <c:v>1.2030458316795716</c:v>
                </c:pt>
                <c:pt idx="166">
                  <c:v>1.2193638804683875</c:v>
                </c:pt>
                <c:pt idx="167">
                  <c:v>1.2360443450383487</c:v>
                </c:pt>
                <c:pt idx="168">
                  <c:v>1.253107663594609</c:v>
                </c:pt>
                <c:pt idx="169">
                  <c:v>1.2705849142575072</c:v>
                </c:pt>
                <c:pt idx="170">
                  <c:v>1.2894189227446753</c:v>
                </c:pt>
                <c:pt idx="171">
                  <c:v>1.3094997164666107</c:v>
                </c:pt>
                <c:pt idx="172">
                  <c:v>1.3298968587748141</c:v>
                </c:pt>
                <c:pt idx="173">
                  <c:v>1.3506719202922706</c:v>
                </c:pt>
                <c:pt idx="174">
                  <c:v>1.3718860981213472</c:v>
                </c:pt>
                <c:pt idx="175">
                  <c:v>1.3936056698867405</c:v>
                </c:pt>
                <c:pt idx="176">
                  <c:v>1.4159008901354531</c:v>
                </c:pt>
                <c:pt idx="177">
                  <c:v>1.4388373776619952</c:v>
                </c:pt>
                <c:pt idx="178">
                  <c:v>1.4624830795523152</c:v>
                </c:pt>
                <c:pt idx="179">
                  <c:v>1.4869083516666399</c:v>
                </c:pt>
                <c:pt idx="180">
                  <c:v>1.5121270297669345</c:v>
                </c:pt>
                <c:pt idx="181">
                  <c:v>1.5382705878081322</c:v>
                </c:pt>
                <c:pt idx="182">
                  <c:v>1.5655728347652886</c:v>
                </c:pt>
                <c:pt idx="183">
                  <c:v>1.5942145861801287</c:v>
                </c:pt>
                <c:pt idx="184">
                  <c:v>1.6243830573492937</c:v>
                </c:pt>
                <c:pt idx="185">
                  <c:v>1.6562710545475041</c:v>
                </c:pt>
                <c:pt idx="186">
                  <c:v>1.6900760791836196</c:v>
                </c:pt>
                <c:pt idx="187">
                  <c:v>1.7260025566251891</c:v>
                </c:pt>
                <c:pt idx="188">
                  <c:v>1.7642659569951702</c:v>
                </c:pt>
                <c:pt idx="189">
                  <c:v>1.8050984002490169</c:v>
                </c:pt>
                <c:pt idx="190">
                  <c:v>1.8496712837389566</c:v>
                </c:pt>
                <c:pt idx="191">
                  <c:v>1.8970900813930871</c:v>
                </c:pt>
                <c:pt idx="192">
                  <c:v>1.946079622182429</c:v>
                </c:pt>
                <c:pt idx="193">
                  <c:v>1.9967032397856617</c:v>
                </c:pt>
                <c:pt idx="194">
                  <c:v>2.0489660942275836</c:v>
                </c:pt>
                <c:pt idx="195">
                  <c:v>2.1027979163472725</c:v>
                </c:pt>
                <c:pt idx="196">
                  <c:v>2.15806455386365</c:v>
                </c:pt>
                <c:pt idx="197">
                  <c:v>2.2145965459141861</c:v>
                </c:pt>
                <c:pt idx="198">
                  <c:v>2.2722233017133546</c:v>
                </c:pt>
                <c:pt idx="199">
                  <c:v>2.3308019510166709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67-4F50-A0DB-AF52B6F67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705487"/>
        <c:axId val="1330691567"/>
      </c:scatterChart>
      <c:valAx>
        <c:axId val="133070548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2φ/π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691567"/>
        <c:crosses val="autoZero"/>
        <c:crossBetween val="midCat"/>
        <c:majorUnit val="0.1"/>
      </c:valAx>
      <c:valAx>
        <c:axId val="13306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KI/σ</a:t>
                </a:r>
                <a:r>
                  <a:rPr lang="ja-JP"/>
                  <a:t>√</a:t>
                </a:r>
                <a:r>
                  <a:rPr lang="en-US"/>
                  <a:t>πb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705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SSIGA_fs!$AD$2:$AD$18</c:f>
              <c:numCache>
                <c:formatCode>General</c:formatCode>
                <c:ptCount val="17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0.83299999999999996</c:v>
                </c:pt>
                <c:pt idx="8">
                  <c:v>0.91700000000000004</c:v>
                </c:pt>
                <c:pt idx="9">
                  <c:v>0.95799999999999996</c:v>
                </c:pt>
                <c:pt idx="10">
                  <c:v>1</c:v>
                </c:pt>
              </c:numCache>
            </c:numRef>
          </c:xVal>
          <c:yVal>
            <c:numRef>
              <c:f>SSIGA_fs!$AE$2:$AE$18</c:f>
              <c:numCache>
                <c:formatCode>General</c:formatCode>
                <c:ptCount val="17"/>
                <c:pt idx="0">
                  <c:v>0.75800000000000001</c:v>
                </c:pt>
                <c:pt idx="1">
                  <c:v>0.79300000000000004</c:v>
                </c:pt>
                <c:pt idx="2">
                  <c:v>0.875</c:v>
                </c:pt>
                <c:pt idx="3">
                  <c:v>0.98299999999999998</c:v>
                </c:pt>
                <c:pt idx="4">
                  <c:v>1.1080000000000001</c:v>
                </c:pt>
                <c:pt idx="5">
                  <c:v>1.262</c:v>
                </c:pt>
                <c:pt idx="6">
                  <c:v>1.4490000000000001</c:v>
                </c:pt>
                <c:pt idx="7">
                  <c:v>1.643</c:v>
                </c:pt>
                <c:pt idx="8">
                  <c:v>1.861</c:v>
                </c:pt>
                <c:pt idx="9">
                  <c:v>1.96</c:v>
                </c:pt>
                <c:pt idx="10">
                  <c:v>1.671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A-4A0D-8575-A0E07CAD7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74959"/>
        <c:axId val="81775919"/>
      </c:scatterChart>
      <c:valAx>
        <c:axId val="817749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775919"/>
        <c:crosses val="autoZero"/>
        <c:crossBetween val="midCat"/>
      </c:valAx>
      <c:valAx>
        <c:axId val="8177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77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3449256342957"/>
          <c:y val="5.0925925925925923E-2"/>
          <c:w val="0.81745363079615052"/>
          <c:h val="0.781489501312335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SSIGA_fs!$R$2:$R$201</c:f>
              <c:numCache>
                <c:formatCode>0.00E+00</c:formatCode>
                <c:ptCount val="200"/>
                <c:pt idx="0">
                  <c:v>0.99999999999999578</c:v>
                </c:pt>
                <c:pt idx="1">
                  <c:v>-0.97989609853083293</c:v>
                </c:pt>
                <c:pt idx="2">
                  <c:v>-0.93924793201461609</c:v>
                </c:pt>
                <c:pt idx="3">
                  <c:v>-0.89807252840434093</c:v>
                </c:pt>
                <c:pt idx="4">
                  <c:v>-0.85644720219531767</c:v>
                </c:pt>
                <c:pt idx="5">
                  <c:v>-0.81445479860373282</c:v>
                </c:pt>
                <c:pt idx="6">
                  <c:v>-0.77218281155063351</c:v>
                </c:pt>
                <c:pt idx="7">
                  <c:v>-0.72972235879029557</c:v>
                </c:pt>
                <c:pt idx="8">
                  <c:v>-0.68716704181100119</c:v>
                </c:pt>
                <c:pt idx="9">
                  <c:v>-0.64461172483171103</c:v>
                </c:pt>
                <c:pt idx="10">
                  <c:v>-0.60215127207137376</c:v>
                </c:pt>
                <c:pt idx="11">
                  <c:v>-0.55987928501827222</c:v>
                </c:pt>
                <c:pt idx="12">
                  <c:v>-0.51788688142668582</c:v>
                </c:pt>
                <c:pt idx="13">
                  <c:v>-0.47626155521766467</c:v>
                </c:pt>
                <c:pt idx="14">
                  <c:v>-0.43508615160738812</c:v>
                </c:pt>
                <c:pt idx="15">
                  <c:v>-0.39443798509117284</c:v>
                </c:pt>
                <c:pt idx="16">
                  <c:v>-0.36201803073183814</c:v>
                </c:pt>
                <c:pt idx="17">
                  <c:v>-0.33728907908990835</c:v>
                </c:pt>
                <c:pt idx="18">
                  <c:v>-0.31244583107163676</c:v>
                </c:pt>
                <c:pt idx="19">
                  <c:v>-0.28750652597083914</c:v>
                </c:pt>
                <c:pt idx="20">
                  <c:v>-0.26248983878710508</c:v>
                </c:pt>
                <c:pt idx="21">
                  <c:v>-0.23741479921255756</c:v>
                </c:pt>
                <c:pt idx="22">
                  <c:v>-0.21230070659578681</c:v>
                </c:pt>
                <c:pt idx="23">
                  <c:v>-0.18716704181100319</c:v>
                </c:pt>
                <c:pt idx="24">
                  <c:v>-0.16203337702622031</c:v>
                </c:pt>
                <c:pt idx="25">
                  <c:v>-0.13691928440944889</c:v>
                </c:pt>
                <c:pt idx="26">
                  <c:v>-0.1118442448349012</c:v>
                </c:pt>
                <c:pt idx="27">
                  <c:v>-8.6827557651167064E-2</c:v>
                </c:pt>
                <c:pt idx="28">
                  <c:v>-6.1888252550367277E-2</c:v>
                </c:pt>
                <c:pt idx="29">
                  <c:v>-3.7045004532096144E-2</c:v>
                </c:pt>
                <c:pt idx="30">
                  <c:v>-1.231605289016454E-2</c:v>
                </c:pt>
                <c:pt idx="31">
                  <c:v>1.2316052890162953E-2</c:v>
                </c:pt>
                <c:pt idx="32">
                  <c:v>3.7045004532093785E-2</c:v>
                </c:pt>
                <c:pt idx="33">
                  <c:v>6.1888252550364967E-2</c:v>
                </c:pt>
                <c:pt idx="34">
                  <c:v>8.6827557651164858E-2</c:v>
                </c:pt>
                <c:pt idx="35">
                  <c:v>0.11184424483489806</c:v>
                </c:pt>
                <c:pt idx="36">
                  <c:v>0.13691928440944587</c:v>
                </c:pt>
                <c:pt idx="37">
                  <c:v>0.16203337702621826</c:v>
                </c:pt>
                <c:pt idx="38">
                  <c:v>0.18716704181100016</c:v>
                </c:pt>
                <c:pt idx="39">
                  <c:v>0.21230070659578348</c:v>
                </c:pt>
                <c:pt idx="40">
                  <c:v>0.23741479921255412</c:v>
                </c:pt>
                <c:pt idx="41">
                  <c:v>0.26248983878710141</c:v>
                </c:pt>
                <c:pt idx="42">
                  <c:v>0.28750652597083542</c:v>
                </c:pt>
                <c:pt idx="43">
                  <c:v>0.31244583107163493</c:v>
                </c:pt>
                <c:pt idx="44">
                  <c:v>0.33728907908990646</c:v>
                </c:pt>
                <c:pt idx="45">
                  <c:v>0.3620180307318373</c:v>
                </c:pt>
                <c:pt idx="46">
                  <c:v>0.39443798509117439</c:v>
                </c:pt>
                <c:pt idx="47">
                  <c:v>0.43508615160738723</c:v>
                </c:pt>
                <c:pt idx="48">
                  <c:v>0.47626155521766667</c:v>
                </c:pt>
                <c:pt idx="49">
                  <c:v>0.51788688142668515</c:v>
                </c:pt>
                <c:pt idx="50">
                  <c:v>0.55987928501827144</c:v>
                </c:pt>
                <c:pt idx="51">
                  <c:v>0.6021512720713732</c:v>
                </c:pt>
                <c:pt idx="52">
                  <c:v>0.64461172483171347</c:v>
                </c:pt>
                <c:pt idx="53">
                  <c:v>0.68716704181100396</c:v>
                </c:pt>
                <c:pt idx="54">
                  <c:v>0.72972235879029412</c:v>
                </c:pt>
                <c:pt idx="55">
                  <c:v>0.7721828115506324</c:v>
                </c:pt>
                <c:pt idx="56">
                  <c:v>0.81445479860373615</c:v>
                </c:pt>
                <c:pt idx="57">
                  <c:v>0.85644720219531678</c:v>
                </c:pt>
                <c:pt idx="58">
                  <c:v>0.89807252840434049</c:v>
                </c:pt>
                <c:pt idx="59">
                  <c:v>0.93924793201461587</c:v>
                </c:pt>
                <c:pt idx="60">
                  <c:v>0.97989609853082837</c:v>
                </c:pt>
                <c:pt idx="61">
                  <c:v>-0.99999999999999578</c:v>
                </c:pt>
                <c:pt idx="62">
                  <c:v>-0.28125887081822637</c:v>
                </c:pt>
                <c:pt idx="63">
                  <c:v>-0.2737557145745001</c:v>
                </c:pt>
                <c:pt idx="64">
                  <c:v>-0.26624653033685181</c:v>
                </c:pt>
                <c:pt idx="65">
                  <c:v>-0.2587318338135805</c:v>
                </c:pt>
                <c:pt idx="66">
                  <c:v>-0.25121214300629452</c:v>
                </c:pt>
                <c:pt idx="67">
                  <c:v>-0.24368797799878877</c:v>
                </c:pt>
                <c:pt idx="68">
                  <c:v>-0.23615986074374537</c:v>
                </c:pt>
                <c:pt idx="69">
                  <c:v>-0.22862831484748056</c:v>
                </c:pt>
                <c:pt idx="70">
                  <c:v>-0.22109386535299583</c:v>
                </c:pt>
                <c:pt idx="71">
                  <c:v>-0.21355703852149538</c:v>
                </c:pt>
                <c:pt idx="72">
                  <c:v>-0.20601836161265111</c:v>
                </c:pt>
                <c:pt idx="73">
                  <c:v>-0.19847836266380753</c:v>
                </c:pt>
                <c:pt idx="74">
                  <c:v>-0.19093757026837424</c:v>
                </c:pt>
                <c:pt idx="75">
                  <c:v>-0.18339651335363205</c:v>
                </c:pt>
                <c:pt idx="76">
                  <c:v>-0.17585572095819918</c:v>
                </c:pt>
                <c:pt idx="77">
                  <c:v>-0.16831572200935424</c:v>
                </c:pt>
                <c:pt idx="78">
                  <c:v>-0.16077704510051122</c:v>
                </c:pt>
                <c:pt idx="79">
                  <c:v>-0.1532402182690111</c:v>
                </c:pt>
                <c:pt idx="80">
                  <c:v>-0.14570576877452557</c:v>
                </c:pt>
                <c:pt idx="81">
                  <c:v>-0.13817422287826053</c:v>
                </c:pt>
                <c:pt idx="82">
                  <c:v>-0.13064610562321607</c:v>
                </c:pt>
                <c:pt idx="83">
                  <c:v>-0.1231219406157118</c:v>
                </c:pt>
                <c:pt idx="84">
                  <c:v>-0.11560224980842621</c:v>
                </c:pt>
                <c:pt idx="85">
                  <c:v>-0.10808755328515356</c:v>
                </c:pt>
                <c:pt idx="86">
                  <c:v>-0.10057836904750678</c:v>
                </c:pt>
                <c:pt idx="87">
                  <c:v>-9.3075212803778756E-2</c:v>
                </c:pt>
                <c:pt idx="88">
                  <c:v>-8.5578597760184311E-2</c:v>
                </c:pt>
                <c:pt idx="89">
                  <c:v>-7.8089034414669911E-2</c:v>
                </c:pt>
                <c:pt idx="90">
                  <c:v>-7.0607030353515537E-2</c:v>
                </c:pt>
                <c:pt idx="91">
                  <c:v>-6.313309005091082E-2</c:v>
                </c:pt>
                <c:pt idx="92">
                  <c:v>-5.5667714671700862E-2</c:v>
                </c:pt>
                <c:pt idx="93">
                  <c:v>-4.821140187749353E-2</c:v>
                </c:pt>
                <c:pt idx="94">
                  <c:v>-4.0764645636296011E-2</c:v>
                </c:pt>
                <c:pt idx="95">
                  <c:v>-3.3327936035861296E-2</c:v>
                </c:pt>
                <c:pt idx="96">
                  <c:v>-2.5901759100909787E-2</c:v>
                </c:pt>
                <c:pt idx="97">
                  <c:v>-1.8486596614380672E-2</c:v>
                </c:pt>
                <c:pt idx="98">
                  <c:v>-1.1082925942867916E-2</c:v>
                </c:pt>
                <c:pt idx="99">
                  <c:v>-3.6912198663849381E-3</c:v>
                </c:pt>
                <c:pt idx="100">
                  <c:v>3.6912198663833573E-3</c:v>
                </c:pt>
                <c:pt idx="101">
                  <c:v>1.1082925942866435E-2</c:v>
                </c:pt>
                <c:pt idx="102">
                  <c:v>1.848659661437866E-2</c:v>
                </c:pt>
                <c:pt idx="103">
                  <c:v>2.5901759100907775E-2</c:v>
                </c:pt>
                <c:pt idx="104">
                  <c:v>3.3327936035859297E-2</c:v>
                </c:pt>
                <c:pt idx="105">
                  <c:v>4.0764645636293673E-2</c:v>
                </c:pt>
                <c:pt idx="106">
                  <c:v>4.8211401877491622E-2</c:v>
                </c:pt>
                <c:pt idx="107">
                  <c:v>5.5667714671698586E-2</c:v>
                </c:pt>
                <c:pt idx="108">
                  <c:v>6.3133090050908267E-2</c:v>
                </c:pt>
                <c:pt idx="109">
                  <c:v>7.0607030353513553E-2</c:v>
                </c:pt>
                <c:pt idx="110">
                  <c:v>7.8089034414667705E-2</c:v>
                </c:pt>
                <c:pt idx="111">
                  <c:v>8.5578597760182021E-2</c:v>
                </c:pt>
                <c:pt idx="112">
                  <c:v>9.3075212803776675E-2</c:v>
                </c:pt>
                <c:pt idx="113">
                  <c:v>0.10057836904750403</c:v>
                </c:pt>
                <c:pt idx="114">
                  <c:v>0.10808755328515041</c:v>
                </c:pt>
                <c:pt idx="115">
                  <c:v>0.11560224980842332</c:v>
                </c:pt>
                <c:pt idx="116">
                  <c:v>0.12312194061570868</c:v>
                </c:pt>
                <c:pt idx="117">
                  <c:v>0.13064610562321402</c:v>
                </c:pt>
                <c:pt idx="118">
                  <c:v>0.1381742228782574</c:v>
                </c:pt>
                <c:pt idx="119">
                  <c:v>0.14570576877452152</c:v>
                </c:pt>
                <c:pt idx="120">
                  <c:v>0.15324021826900799</c:v>
                </c:pt>
                <c:pt idx="121">
                  <c:v>0.16077704510050703</c:v>
                </c:pt>
                <c:pt idx="122">
                  <c:v>0.16831572200935219</c:v>
                </c:pt>
                <c:pt idx="123">
                  <c:v>0.17585572095819599</c:v>
                </c:pt>
                <c:pt idx="124">
                  <c:v>0.18339651335363003</c:v>
                </c:pt>
                <c:pt idx="125">
                  <c:v>0.19093757026836994</c:v>
                </c:pt>
                <c:pt idx="126">
                  <c:v>0.1984783626638045</c:v>
                </c:pt>
                <c:pt idx="127">
                  <c:v>0.20601836161264911</c:v>
                </c:pt>
                <c:pt idx="128">
                  <c:v>0.21355703852149341</c:v>
                </c:pt>
                <c:pt idx="129">
                  <c:v>0.22109386535299236</c:v>
                </c:pt>
                <c:pt idx="130">
                  <c:v>0.22862831484747759</c:v>
                </c:pt>
                <c:pt idx="131">
                  <c:v>0.23615986074374187</c:v>
                </c:pt>
                <c:pt idx="132">
                  <c:v>0.24368797799878683</c:v>
                </c:pt>
                <c:pt idx="133">
                  <c:v>0.25121214300629091</c:v>
                </c:pt>
                <c:pt idx="134">
                  <c:v>0.25873183381357595</c:v>
                </c:pt>
                <c:pt idx="135">
                  <c:v>0.26624653033684986</c:v>
                </c:pt>
                <c:pt idx="136">
                  <c:v>0.27375571457449649</c:v>
                </c:pt>
                <c:pt idx="137">
                  <c:v>0.28125887081822443</c:v>
                </c:pt>
                <c:pt idx="138">
                  <c:v>0.28875548586181804</c:v>
                </c:pt>
                <c:pt idx="139">
                  <c:v>0.29624504920733286</c:v>
                </c:pt>
                <c:pt idx="140">
                  <c:v>0.30372705326848576</c:v>
                </c:pt>
                <c:pt idx="141">
                  <c:v>0.31120099357109288</c:v>
                </c:pt>
                <c:pt idx="142">
                  <c:v>0.31866636895030104</c:v>
                </c:pt>
                <c:pt idx="143">
                  <c:v>0.32612268174450909</c:v>
                </c:pt>
                <c:pt idx="144">
                  <c:v>0.33356943798570543</c:v>
                </c:pt>
                <c:pt idx="145">
                  <c:v>0.3410061475861409</c:v>
                </c:pt>
                <c:pt idx="146">
                  <c:v>0.34843232452109163</c:v>
                </c:pt>
                <c:pt idx="147">
                  <c:v>0.35584748700762203</c:v>
                </c:pt>
                <c:pt idx="148">
                  <c:v>0.3632511576791343</c:v>
                </c:pt>
                <c:pt idx="149">
                  <c:v>0.37064286375561833</c:v>
                </c:pt>
                <c:pt idx="150">
                  <c:v>0.38034903784998142</c:v>
                </c:pt>
                <c:pt idx="151">
                  <c:v>0.39242071964966119</c:v>
                </c:pt>
                <c:pt idx="152">
                  <c:v>0.40454659934509052</c:v>
                </c:pt>
                <c:pt idx="153">
                  <c:v>0.41672482863637539</c:v>
                </c:pt>
                <c:pt idx="154">
                  <c:v>0.42895350492909506</c:v>
                </c:pt>
                <c:pt idx="155">
                  <c:v>0.44123067261826621</c:v>
                </c:pt>
                <c:pt idx="156">
                  <c:v>0.4535543245020055</c:v>
                </c:pt>
                <c:pt idx="157">
                  <c:v>0.4659224033239695</c:v>
                </c:pt>
                <c:pt idx="158">
                  <c:v>0.47833280344305718</c:v>
                </c:pt>
                <c:pt idx="159">
                  <c:v>0.49078337262833488</c:v>
                </c:pt>
                <c:pt idx="160">
                  <c:v>0.50327191397651172</c:v>
                </c:pt>
                <c:pt idx="161">
                  <c:v>0.51579618794878235</c:v>
                </c:pt>
                <c:pt idx="162">
                  <c:v>0.52835391452325031</c:v>
                </c:pt>
                <c:pt idx="163">
                  <c:v>0.54094277545859204</c:v>
                </c:pt>
                <c:pt idx="164">
                  <c:v>0.55356041666406552</c:v>
                </c:pt>
                <c:pt idx="165">
                  <c:v>0.56620445067043434</c:v>
                </c:pt>
                <c:pt idx="166">
                  <c:v>0.57887245919588959</c:v>
                </c:pt>
                <c:pt idx="167">
                  <c:v>0.59156199580046565</c:v>
                </c:pt>
                <c:pt idx="168">
                  <c:v>0.60427058862209015</c:v>
                </c:pt>
                <c:pt idx="169">
                  <c:v>0.61699574318693817</c:v>
                </c:pt>
                <c:pt idx="170">
                  <c:v>0.6297349452862796</c:v>
                </c:pt>
                <c:pt idx="171">
                  <c:v>0.64248566391177997</c:v>
                </c:pt>
                <c:pt idx="172">
                  <c:v>0.65524535424078478</c:v>
                </c:pt>
                <c:pt idx="173">
                  <c:v>0.66801146066289641</c:v>
                </c:pt>
                <c:pt idx="174">
                  <c:v>0.68078141983893048</c:v>
                </c:pt>
                <c:pt idx="175">
                  <c:v>0.69355266378307878</c:v>
                </c:pt>
                <c:pt idx="176">
                  <c:v>0.70632262295911019</c:v>
                </c:pt>
                <c:pt idx="177">
                  <c:v>0.71908872938122337</c:v>
                </c:pt>
                <c:pt idx="178">
                  <c:v>0.73184841971022652</c:v>
                </c:pt>
                <c:pt idx="179">
                  <c:v>0.74459913833572777</c:v>
                </c:pt>
                <c:pt idx="180">
                  <c:v>0.75733834043506842</c:v>
                </c:pt>
                <c:pt idx="181">
                  <c:v>0.77006349499991544</c:v>
                </c:pt>
                <c:pt idx="182">
                  <c:v>0.78277208782154273</c:v>
                </c:pt>
                <c:pt idx="183">
                  <c:v>0.79546162442611645</c:v>
                </c:pt>
                <c:pt idx="184">
                  <c:v>0.80812963295156859</c:v>
                </c:pt>
                <c:pt idx="185">
                  <c:v>0.82077366695794141</c:v>
                </c:pt>
                <c:pt idx="186">
                  <c:v>0.83339130816341134</c:v>
                </c:pt>
                <c:pt idx="187">
                  <c:v>0.84598016909875207</c:v>
                </c:pt>
                <c:pt idx="188">
                  <c:v>0.85853789567322392</c:v>
                </c:pt>
                <c:pt idx="189">
                  <c:v>0.87106216964549288</c:v>
                </c:pt>
                <c:pt idx="190">
                  <c:v>0.88355071099366733</c:v>
                </c:pt>
                <c:pt idx="191">
                  <c:v>0.89600128017894654</c:v>
                </c:pt>
                <c:pt idx="192">
                  <c:v>0.90841168029803554</c:v>
                </c:pt>
                <c:pt idx="193">
                  <c:v>0.92077975911999832</c:v>
                </c:pt>
                <c:pt idx="194">
                  <c:v>0.93310341100373717</c:v>
                </c:pt>
                <c:pt idx="195">
                  <c:v>0.94538057869291037</c:v>
                </c:pt>
                <c:pt idx="196">
                  <c:v>0.9576092549856251</c:v>
                </c:pt>
                <c:pt idx="197">
                  <c:v>0.9697874842769092</c:v>
                </c:pt>
                <c:pt idx="198">
                  <c:v>0.98191336397233964</c:v>
                </c:pt>
                <c:pt idx="199">
                  <c:v>0.99398504577201696</c:v>
                </c:pt>
              </c:numCache>
            </c:numRef>
          </c:xVal>
          <c:yVal>
            <c:numRef>
              <c:f>SSIGA_fs!$S$2:$S$201</c:f>
              <c:numCache>
                <c:formatCode>0.00E+00</c:formatCode>
                <c:ptCount val="200"/>
                <c:pt idx="0">
                  <c:v>2.9347313190308482</c:v>
                </c:pt>
                <c:pt idx="1">
                  <c:v>2.2630493896348263</c:v>
                </c:pt>
                <c:pt idx="2">
                  <c:v>2.0763754399377929</c:v>
                </c:pt>
                <c:pt idx="3">
                  <c:v>1.905840217833866</c:v>
                </c:pt>
                <c:pt idx="4">
                  <c:v>1.7585616534659236</c:v>
                </c:pt>
                <c:pt idx="5">
                  <c:v>1.6407600519387791</c:v>
                </c:pt>
                <c:pt idx="6">
                  <c:v>1.5432415196708551</c:v>
                </c:pt>
                <c:pt idx="7">
                  <c:v>1.4588963659791698</c:v>
                </c:pt>
                <c:pt idx="8">
                  <c:v>1.3830301876506645</c:v>
                </c:pt>
                <c:pt idx="9">
                  <c:v>1.3131797384615931</c:v>
                </c:pt>
                <c:pt idx="10">
                  <c:v>1.2505359852548867</c:v>
                </c:pt>
                <c:pt idx="11">
                  <c:v>1.1952914126962135</c:v>
                </c:pt>
                <c:pt idx="12">
                  <c:v>1.1436480811157734</c:v>
                </c:pt>
                <c:pt idx="13">
                  <c:v>1.094569117591742</c:v>
                </c:pt>
                <c:pt idx="14">
                  <c:v>1.0481848353429621</c:v>
                </c:pt>
                <c:pt idx="15">
                  <c:v>1.0038843206082948</c:v>
                </c:pt>
                <c:pt idx="16">
                  <c:v>0.97097404549119082</c:v>
                </c:pt>
                <c:pt idx="17">
                  <c:v>0.94639173744683713</c:v>
                </c:pt>
                <c:pt idx="18">
                  <c:v>0.9221406153605729</c:v>
                </c:pt>
                <c:pt idx="19">
                  <c:v>0.89846453813585103</c:v>
                </c:pt>
                <c:pt idx="20">
                  <c:v>0.87563782085480668</c:v>
                </c:pt>
                <c:pt idx="21">
                  <c:v>0.8536725416303097</c:v>
                </c:pt>
                <c:pt idx="22">
                  <c:v>0.8325682296705027</c:v>
                </c:pt>
                <c:pt idx="23">
                  <c:v>0.81274300428640456</c:v>
                </c:pt>
                <c:pt idx="24">
                  <c:v>0.79466191287105981</c:v>
                </c:pt>
                <c:pt idx="25">
                  <c:v>0.77809382641934155</c:v>
                </c:pt>
                <c:pt idx="26">
                  <c:v>0.76351624765539661</c:v>
                </c:pt>
                <c:pt idx="27">
                  <c:v>0.75173970525646183</c:v>
                </c:pt>
                <c:pt idx="28">
                  <c:v>0.74244374179298023</c:v>
                </c:pt>
                <c:pt idx="29">
                  <c:v>0.73597366769118366</c:v>
                </c:pt>
                <c:pt idx="30">
                  <c:v>0.73303467115739551</c:v>
                </c:pt>
                <c:pt idx="31">
                  <c:v>0.73303467141927203</c:v>
                </c:pt>
                <c:pt idx="32">
                  <c:v>0.73597366814099319</c:v>
                </c:pt>
                <c:pt idx="33">
                  <c:v>0.74244374239744348</c:v>
                </c:pt>
                <c:pt idx="34">
                  <c:v>0.75173970557568992</c:v>
                </c:pt>
                <c:pt idx="35">
                  <c:v>0.76351624744331836</c:v>
                </c:pt>
                <c:pt idx="36">
                  <c:v>0.77809382585615483</c:v>
                </c:pt>
                <c:pt idx="37">
                  <c:v>0.79466191259461594</c:v>
                </c:pt>
                <c:pt idx="38">
                  <c:v>0.81274300466792238</c:v>
                </c:pt>
                <c:pt idx="39">
                  <c:v>0.83256823045522199</c:v>
                </c:pt>
                <c:pt idx="40">
                  <c:v>0.85367254196935671</c:v>
                </c:pt>
                <c:pt idx="41">
                  <c:v>0.8756378204021491</c:v>
                </c:pt>
                <c:pt idx="42">
                  <c:v>0.89846453764815937</c:v>
                </c:pt>
                <c:pt idx="43">
                  <c:v>0.92214061585951057</c:v>
                </c:pt>
                <c:pt idx="44">
                  <c:v>0.94639173835958135</c:v>
                </c:pt>
                <c:pt idx="45">
                  <c:v>0.97097404358474471</c:v>
                </c:pt>
                <c:pt idx="46">
                  <c:v>1.0038843182687407</c:v>
                </c:pt>
                <c:pt idx="47">
                  <c:v>1.0481848368395277</c:v>
                </c:pt>
                <c:pt idx="48">
                  <c:v>1.0945691183984141</c:v>
                </c:pt>
                <c:pt idx="49">
                  <c:v>1.1436480806468079</c:v>
                </c:pt>
                <c:pt idx="50">
                  <c:v>1.1952914121133025</c:v>
                </c:pt>
                <c:pt idx="51">
                  <c:v>1.2505359847088164</c:v>
                </c:pt>
                <c:pt idx="52">
                  <c:v>1.3131797381569179</c:v>
                </c:pt>
                <c:pt idx="53">
                  <c:v>1.3830301876213333</c:v>
                </c:pt>
                <c:pt idx="54">
                  <c:v>1.4588963661665564</c:v>
                </c:pt>
                <c:pt idx="55">
                  <c:v>1.543241519963221</c:v>
                </c:pt>
                <c:pt idx="56">
                  <c:v>1.6407600522605343</c:v>
                </c:pt>
                <c:pt idx="57">
                  <c:v>1.7585616538178845</c:v>
                </c:pt>
                <c:pt idx="58">
                  <c:v>1.9058402181096619</c:v>
                </c:pt>
                <c:pt idx="59">
                  <c:v>2.0763754399601901</c:v>
                </c:pt>
                <c:pt idx="60">
                  <c:v>2.2630493896145483</c:v>
                </c:pt>
                <c:pt idx="61">
                  <c:v>2.9347313191210125</c:v>
                </c:pt>
                <c:pt idx="62">
                  <c:v>0.89260278348458755</c:v>
                </c:pt>
                <c:pt idx="63">
                  <c:v>0.88572958591868256</c:v>
                </c:pt>
                <c:pt idx="64">
                  <c:v>0.87892854938237708</c:v>
                </c:pt>
                <c:pt idx="65">
                  <c:v>0.87220291650229442</c:v>
                </c:pt>
                <c:pt idx="66">
                  <c:v>0.86555632797882265</c:v>
                </c:pt>
                <c:pt idx="67">
                  <c:v>0.85899283451990427</c:v>
                </c:pt>
                <c:pt idx="68">
                  <c:v>0.85251690404127278</c:v>
                </c:pt>
                <c:pt idx="69">
                  <c:v>0.84613342350788456</c:v>
                </c:pt>
                <c:pt idx="70">
                  <c:v>0.83978983869769619</c:v>
                </c:pt>
                <c:pt idx="71">
                  <c:v>0.83351218716556508</c:v>
                </c:pt>
                <c:pt idx="72">
                  <c:v>0.82737172367942224</c:v>
                </c:pt>
                <c:pt idx="73">
                  <c:v>0.82137349187786135</c:v>
                </c:pt>
                <c:pt idx="74">
                  <c:v>0.81552293921880725</c:v>
                </c:pt>
                <c:pt idx="75">
                  <c:v>0.80982592228312478</c:v>
                </c:pt>
                <c:pt idx="76">
                  <c:v>0.80428870595625568</c:v>
                </c:pt>
                <c:pt idx="77">
                  <c:v>0.79891795589938097</c:v>
                </c:pt>
                <c:pt idx="78">
                  <c:v>0.79372072375212632</c:v>
                </c:pt>
                <c:pt idx="79">
                  <c:v>0.78870442455884349</c:v>
                </c:pt>
                <c:pt idx="80">
                  <c:v>0.78372156556070405</c:v>
                </c:pt>
                <c:pt idx="81">
                  <c:v>0.77879962511471279</c:v>
                </c:pt>
                <c:pt idx="82">
                  <c:v>0.77410823810065288</c:v>
                </c:pt>
                <c:pt idx="83">
                  <c:v>0.76965322785431289</c:v>
                </c:pt>
                <c:pt idx="84">
                  <c:v>0.7654406322105678</c:v>
                </c:pt>
                <c:pt idx="85">
                  <c:v>0.76147669552840214</c:v>
                </c:pt>
                <c:pt idx="86">
                  <c:v>0.75776785486929066</c:v>
                </c:pt>
                <c:pt idx="87">
                  <c:v>0.75432072020079666</c:v>
                </c:pt>
                <c:pt idx="88">
                  <c:v>0.75114204857447331</c:v>
                </c:pt>
                <c:pt idx="89">
                  <c:v>0.74823871231561701</c:v>
                </c:pt>
                <c:pt idx="90">
                  <c:v>0.74544116236123958</c:v>
                </c:pt>
                <c:pt idx="91">
                  <c:v>0.74277022213674837</c:v>
                </c:pt>
                <c:pt idx="92">
                  <c:v>0.74041103702608457</c:v>
                </c:pt>
                <c:pt idx="93">
                  <c:v>0.73836543781966746</c:v>
                </c:pt>
                <c:pt idx="94">
                  <c:v>0.73663513959807125</c:v>
                </c:pt>
                <c:pt idx="95">
                  <c:v>0.73522175053640726</c:v>
                </c:pt>
                <c:pt idx="96">
                  <c:v>0.7341267751438455</c:v>
                </c:pt>
                <c:pt idx="97">
                  <c:v>0.73335161164955509</c:v>
                </c:pt>
                <c:pt idx="98">
                  <c:v>0.73289754338656854</c:v>
                </c:pt>
                <c:pt idx="99">
                  <c:v>0.73276572417824681</c:v>
                </c:pt>
                <c:pt idx="100">
                  <c:v>0.73276572439550358</c:v>
                </c:pt>
                <c:pt idx="101">
                  <c:v>0.73289754363986503</c:v>
                </c:pt>
                <c:pt idx="102">
                  <c:v>0.73335161195219112</c:v>
                </c:pt>
                <c:pt idx="103">
                  <c:v>0.73412677550388405</c:v>
                </c:pt>
                <c:pt idx="104">
                  <c:v>0.73522175095690001</c:v>
                </c:pt>
                <c:pt idx="105">
                  <c:v>0.73663514007765651</c:v>
                </c:pt>
                <c:pt idx="106">
                  <c:v>0.73836543835314428</c:v>
                </c:pt>
                <c:pt idx="107">
                  <c:v>0.74041103760450155</c:v>
                </c:pt>
                <c:pt idx="108">
                  <c:v>0.74277022274794913</c:v>
                </c:pt>
                <c:pt idx="109">
                  <c:v>0.74544116299014695</c:v>
                </c:pt>
                <c:pt idx="110">
                  <c:v>0.74823871285001153</c:v>
                </c:pt>
                <c:pt idx="111">
                  <c:v>0.75114204892276315</c:v>
                </c:pt>
                <c:pt idx="112">
                  <c:v>0.75432072037383446</c:v>
                </c:pt>
                <c:pt idx="113">
                  <c:v>0.75776785487814768</c:v>
                </c:pt>
                <c:pt idx="114">
                  <c:v>0.76147669538504514</c:v>
                </c:pt>
                <c:pt idx="115">
                  <c:v>0.7654406319289816</c:v>
                </c:pt>
                <c:pt idx="116">
                  <c:v>0.76965322745130815</c:v>
                </c:pt>
                <c:pt idx="117">
                  <c:v>0.7741082375968571</c:v>
                </c:pt>
                <c:pt idx="118">
                  <c:v>0.77879962453510143</c:v>
                </c:pt>
                <c:pt idx="119">
                  <c:v>0.78372156493537304</c:v>
                </c:pt>
                <c:pt idx="120">
                  <c:v>0.78870442403132468</c:v>
                </c:pt>
                <c:pt idx="121">
                  <c:v>0.79372072343890721</c:v>
                </c:pt>
                <c:pt idx="122">
                  <c:v>0.79891795579684166</c:v>
                </c:pt>
                <c:pt idx="123">
                  <c:v>0.80428870605765146</c:v>
                </c:pt>
                <c:pt idx="124">
                  <c:v>0.80982592257739172</c:v>
                </c:pt>
                <c:pt idx="125">
                  <c:v>0.81552293968839185</c:v>
                </c:pt>
                <c:pt idx="126">
                  <c:v>0.82137349249741642</c:v>
                </c:pt>
                <c:pt idx="127">
                  <c:v>0.82737172441439411</c:v>
                </c:pt>
                <c:pt idx="128">
                  <c:v>0.83351218797036553</c:v>
                </c:pt>
                <c:pt idx="129">
                  <c:v>0.83978983951454367</c:v>
                </c:pt>
                <c:pt idx="130">
                  <c:v>0.84613342417223425</c:v>
                </c:pt>
                <c:pt idx="131">
                  <c:v>0.85251690442856665</c:v>
                </c:pt>
                <c:pt idx="132">
                  <c:v>0.85899283463047749</c:v>
                </c:pt>
                <c:pt idx="133">
                  <c:v>0.86555632782951497</c:v>
                </c:pt>
                <c:pt idx="134">
                  <c:v>0.87220291612897793</c:v>
                </c:pt>
                <c:pt idx="135">
                  <c:v>0.87892854884086646</c:v>
                </c:pt>
                <c:pt idx="136">
                  <c:v>0.88572958528644674</c:v>
                </c:pt>
                <c:pt idx="137">
                  <c:v>0.89260278286235939</c:v>
                </c:pt>
                <c:pt idx="138">
                  <c:v>0.89954528097151842</c:v>
                </c:pt>
                <c:pt idx="139">
                  <c:v>0.90655458137641842</c:v>
                </c:pt>
                <c:pt idx="140">
                  <c:v>0.91366650974570884</c:v>
                </c:pt>
                <c:pt idx="141">
                  <c:v>0.92086197471335685</c:v>
                </c:pt>
                <c:pt idx="142">
                  <c:v>0.9280937184576985</c:v>
                </c:pt>
                <c:pt idx="143">
                  <c:v>0.93535946173042639</c:v>
                </c:pt>
                <c:pt idx="144">
                  <c:v>0.94265730334163389</c:v>
                </c:pt>
                <c:pt idx="145">
                  <c:v>0.94998548122396087</c:v>
                </c:pt>
                <c:pt idx="146">
                  <c:v>0.95734203682961139</c:v>
                </c:pt>
                <c:pt idx="147">
                  <c:v>0.96472680658905174</c:v>
                </c:pt>
                <c:pt idx="148">
                  <c:v>0.97213831244464899</c:v>
                </c:pt>
                <c:pt idx="149">
                  <c:v>0.97957855916099335</c:v>
                </c:pt>
                <c:pt idx="150">
                  <c:v>0.98847571114816335</c:v>
                </c:pt>
                <c:pt idx="151">
                  <c:v>1.0014977809854995</c:v>
                </c:pt>
                <c:pt idx="152">
                  <c:v>1.0146116616153089</c:v>
                </c:pt>
                <c:pt idx="153">
                  <c:v>1.0278399495715955</c:v>
                </c:pt>
                <c:pt idx="154">
                  <c:v>1.041209698735752</c:v>
                </c:pt>
                <c:pt idx="155">
                  <c:v>1.0547508684219671</c:v>
                </c:pt>
                <c:pt idx="156">
                  <c:v>1.0684932942192784</c:v>
                </c:pt>
                <c:pt idx="157">
                  <c:v>1.0824657022896944</c:v>
                </c:pt>
                <c:pt idx="158">
                  <c:v>1.0967044918923765</c:v>
                </c:pt>
                <c:pt idx="159">
                  <c:v>1.1112476860146361</c:v>
                </c:pt>
                <c:pt idx="160">
                  <c:v>1.1260030119983933</c:v>
                </c:pt>
                <c:pt idx="161">
                  <c:v>1.1408928989052947</c:v>
                </c:pt>
                <c:pt idx="162">
                  <c:v>1.1560152115895901</c:v>
                </c:pt>
                <c:pt idx="163">
                  <c:v>1.1713984693426798</c:v>
                </c:pt>
                <c:pt idx="164">
                  <c:v>1.187066525623816</c:v>
                </c:pt>
                <c:pt idx="165">
                  <c:v>1.2030458316795716</c:v>
                </c:pt>
                <c:pt idx="166">
                  <c:v>1.2193638804683875</c:v>
                </c:pt>
                <c:pt idx="167">
                  <c:v>1.2360443450383487</c:v>
                </c:pt>
                <c:pt idx="168">
                  <c:v>1.253107663594609</c:v>
                </c:pt>
                <c:pt idx="169">
                  <c:v>1.2705849142575072</c:v>
                </c:pt>
                <c:pt idx="170">
                  <c:v>1.2894189227446753</c:v>
                </c:pt>
                <c:pt idx="171">
                  <c:v>1.3094997164666107</c:v>
                </c:pt>
                <c:pt idx="172">
                  <c:v>1.3298968587748141</c:v>
                </c:pt>
                <c:pt idx="173">
                  <c:v>1.3506719202922706</c:v>
                </c:pt>
                <c:pt idx="174">
                  <c:v>1.3718860981213472</c:v>
                </c:pt>
                <c:pt idx="175">
                  <c:v>1.3936056698867405</c:v>
                </c:pt>
                <c:pt idx="176">
                  <c:v>1.4159008901354531</c:v>
                </c:pt>
                <c:pt idx="177">
                  <c:v>1.4388373776619952</c:v>
                </c:pt>
                <c:pt idx="178">
                  <c:v>1.4624830795523152</c:v>
                </c:pt>
                <c:pt idx="179">
                  <c:v>1.4869083516666399</c:v>
                </c:pt>
                <c:pt idx="180">
                  <c:v>1.5121270297669345</c:v>
                </c:pt>
                <c:pt idx="181">
                  <c:v>1.5382705878081322</c:v>
                </c:pt>
                <c:pt idx="182">
                  <c:v>1.5655728347652886</c:v>
                </c:pt>
                <c:pt idx="183">
                  <c:v>1.5942145861801287</c:v>
                </c:pt>
                <c:pt idx="184">
                  <c:v>1.6243830573492937</c:v>
                </c:pt>
                <c:pt idx="185">
                  <c:v>1.6562710545475041</c:v>
                </c:pt>
                <c:pt idx="186">
                  <c:v>1.6900760791836196</c:v>
                </c:pt>
                <c:pt idx="187">
                  <c:v>1.7260025566251891</c:v>
                </c:pt>
                <c:pt idx="188">
                  <c:v>1.7642659569951702</c:v>
                </c:pt>
                <c:pt idx="189">
                  <c:v>1.8050984002490169</c:v>
                </c:pt>
                <c:pt idx="190">
                  <c:v>1.8496712837389566</c:v>
                </c:pt>
                <c:pt idx="191">
                  <c:v>1.8970900813930871</c:v>
                </c:pt>
                <c:pt idx="192">
                  <c:v>1.946079622182429</c:v>
                </c:pt>
                <c:pt idx="193">
                  <c:v>1.9967032397856617</c:v>
                </c:pt>
                <c:pt idx="194">
                  <c:v>2.0489660942275836</c:v>
                </c:pt>
                <c:pt idx="195">
                  <c:v>2.1027979163472725</c:v>
                </c:pt>
                <c:pt idx="196">
                  <c:v>2.15806455386365</c:v>
                </c:pt>
                <c:pt idx="197">
                  <c:v>2.2145965459141861</c:v>
                </c:pt>
                <c:pt idx="198">
                  <c:v>2.2722233017133546</c:v>
                </c:pt>
                <c:pt idx="199">
                  <c:v>2.3308019510166709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4-4B11-BE87-DC71058247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SSIGA_fs!$AD$2:$AD$12</c:f>
              <c:numCache>
                <c:formatCode>General</c:formatCode>
                <c:ptCount val="11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0.83299999999999996</c:v>
                </c:pt>
                <c:pt idx="8">
                  <c:v>0.91700000000000004</c:v>
                </c:pt>
                <c:pt idx="9">
                  <c:v>0.95799999999999996</c:v>
                </c:pt>
                <c:pt idx="10">
                  <c:v>1</c:v>
                </c:pt>
              </c:numCache>
            </c:numRef>
          </c:xVal>
          <c:yVal>
            <c:numRef>
              <c:f>SSIGA_fs!$AE$2:$AE$12</c:f>
              <c:numCache>
                <c:formatCode>General</c:formatCode>
                <c:ptCount val="11"/>
                <c:pt idx="0">
                  <c:v>0.75800000000000001</c:v>
                </c:pt>
                <c:pt idx="1">
                  <c:v>0.79300000000000004</c:v>
                </c:pt>
                <c:pt idx="2">
                  <c:v>0.875</c:v>
                </c:pt>
                <c:pt idx="3">
                  <c:v>0.98299999999999998</c:v>
                </c:pt>
                <c:pt idx="4">
                  <c:v>1.1080000000000001</c:v>
                </c:pt>
                <c:pt idx="5">
                  <c:v>1.262</c:v>
                </c:pt>
                <c:pt idx="6">
                  <c:v>1.4490000000000001</c:v>
                </c:pt>
                <c:pt idx="7">
                  <c:v>1.643</c:v>
                </c:pt>
                <c:pt idx="8">
                  <c:v>1.861</c:v>
                </c:pt>
                <c:pt idx="9">
                  <c:v>1.96</c:v>
                </c:pt>
                <c:pt idx="10">
                  <c:v>1.671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4-4B11-BE87-DC7105824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705487"/>
        <c:axId val="1330691567"/>
      </c:scatterChart>
      <c:valAx>
        <c:axId val="133070548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2φ/π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691567"/>
        <c:crosses val="autoZero"/>
        <c:crossBetween val="midCat"/>
        <c:majorUnit val="0.1"/>
      </c:valAx>
      <c:valAx>
        <c:axId val="13306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KI/σ</a:t>
                </a:r>
                <a:r>
                  <a:rPr lang="ja-JP"/>
                  <a:t>√</a:t>
                </a:r>
                <a:r>
                  <a:rPr lang="en-US"/>
                  <a:t>πb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705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SSIGA!$E$2:$E$201</c:f>
              <c:numCache>
                <c:formatCode>0.00E+00</c:formatCode>
                <c:ptCount val="200"/>
                <c:pt idx="0">
                  <c:v>-26.295901868135999</c:v>
                </c:pt>
                <c:pt idx="1">
                  <c:v>-25.764736534751201</c:v>
                </c:pt>
                <c:pt idx="2">
                  <c:v>-25.242866787363798</c:v>
                </c:pt>
                <c:pt idx="3">
                  <c:v>-24.730041268336301</c:v>
                </c:pt>
                <c:pt idx="4">
                  <c:v>-24.2260166350224</c:v>
                </c:pt>
                <c:pt idx="5">
                  <c:v>-23.730557329006199</c:v>
                </c:pt>
                <c:pt idx="6">
                  <c:v>-23.243435345735001</c:v>
                </c:pt>
                <c:pt idx="7">
                  <c:v>-22.764430005529601</c:v>
                </c:pt>
                <c:pt idx="8">
                  <c:v>-22.293327726807799</c:v>
                </c:pt>
                <c:pt idx="9">
                  <c:v>-21.829921802225901</c:v>
                </c:pt>
                <c:pt idx="10">
                  <c:v>-21.3740121783256</c:v>
                </c:pt>
                <c:pt idx="11">
                  <c:v>-20.925405239173401</c:v>
                </c:pt>
                <c:pt idx="12">
                  <c:v>-20.483913594389598</c:v>
                </c:pt>
                <c:pt idx="13">
                  <c:v>-20.049355871885201</c:v>
                </c:pt>
                <c:pt idx="14">
                  <c:v>-19.6215565155549</c:v>
                </c:pt>
                <c:pt idx="15">
                  <c:v>-19.200345588117301</c:v>
                </c:pt>
                <c:pt idx="16">
                  <c:v>-18.7855585792373</c:v>
                </c:pt>
                <c:pt idx="17">
                  <c:v>-18.3770362190252</c:v>
                </c:pt>
                <c:pt idx="18">
                  <c:v>-17.974624296962499</c:v>
                </c:pt>
                <c:pt idx="19">
                  <c:v>-17.578173486275698</c:v>
                </c:pt>
                <c:pt idx="20">
                  <c:v>-17.187539173748</c:v>
                </c:pt>
                <c:pt idx="21">
                  <c:v>-16.802581294934299</c:v>
                </c:pt>
                <c:pt idx="22">
                  <c:v>-16.423164174726502</c:v>
                </c:pt>
                <c:pt idx="23">
                  <c:v>-16.049156373194901</c:v>
                </c:pt>
                <c:pt idx="24">
                  <c:v>-15.6804305366219</c:v>
                </c:pt>
                <c:pt idx="25">
                  <c:v>-15.316863253627901</c:v>
                </c:pt>
                <c:pt idx="26">
                  <c:v>-14.9583349162824</c:v>
                </c:pt>
                <c:pt idx="27">
                  <c:v>-14.6047295860846</c:v>
                </c:pt>
                <c:pt idx="28">
                  <c:v>-14.255934864692501</c:v>
                </c:pt>
                <c:pt idx="29">
                  <c:v>-13.911841769274799</c:v>
                </c:pt>
                <c:pt idx="30">
                  <c:v>-13.572344612355201</c:v>
                </c:pt>
                <c:pt idx="31">
                  <c:v>-13.23734088602</c:v>
                </c:pt>
                <c:pt idx="32">
                  <c:v>-12.9067311503558</c:v>
                </c:pt>
                <c:pt idx="33">
                  <c:v>-12.5804189259847</c:v>
                </c:pt>
                <c:pt idx="34">
                  <c:v>-12.2583105905652</c:v>
                </c:pt>
                <c:pt idx="35">
                  <c:v>-11.9403152791284</c:v>
                </c:pt>
                <c:pt idx="36">
                  <c:v>-11.6263447881182</c:v>
                </c:pt>
                <c:pt idx="37">
                  <c:v>-11.316313483009999</c:v>
                </c:pt>
                <c:pt idx="38">
                  <c:v>-11.010138209380999</c:v>
                </c:pt>
                <c:pt idx="39">
                  <c:v>-10.707738207309401</c:v>
                </c:pt>
                <c:pt idx="40">
                  <c:v>-10.4090350289828</c:v>
                </c:pt>
                <c:pt idx="41">
                  <c:v>-10.113952459398901</c:v>
                </c:pt>
                <c:pt idx="42">
                  <c:v>-9.8224164400427991</c:v>
                </c:pt>
                <c:pt idx="43">
                  <c:v>-9.5343549954316398</c:v>
                </c:pt>
                <c:pt idx="44">
                  <c:v>-9.24969816241817</c:v>
                </c:pt>
                <c:pt idx="45">
                  <c:v>-8.9683779221483704</c:v>
                </c:pt>
                <c:pt idx="46">
                  <c:v>-8.6903281345724697</c:v>
                </c:pt>
                <c:pt idx="47">
                  <c:v>-8.4154844754112705</c:v>
                </c:pt>
                <c:pt idx="48">
                  <c:v>-8.1437843754830901</c:v>
                </c:pt>
                <c:pt idx="49">
                  <c:v>-7.8751669623000602</c:v>
                </c:pt>
                <c:pt idx="50">
                  <c:v>-7.6604880940423303</c:v>
                </c:pt>
                <c:pt idx="51">
                  <c:v>-7.4977529057006098</c:v>
                </c:pt>
                <c:pt idx="52">
                  <c:v>-7.3353886454501804</c:v>
                </c:pt>
                <c:pt idx="53">
                  <c:v>-7.1733924369934803</c:v>
                </c:pt>
                <c:pt idx="54">
                  <c:v>-7.0117614242880197</c:v>
                </c:pt>
                <c:pt idx="55">
                  <c:v>-6.8504927714762403</c:v>
                </c:pt>
                <c:pt idx="56">
                  <c:v>-6.6895836628138898</c:v>
                </c:pt>
                <c:pt idx="57">
                  <c:v>-6.5290313025970903</c:v>
                </c:pt>
                <c:pt idx="58">
                  <c:v>-6.3688329150880101</c:v>
                </c:pt>
                <c:pt idx="59">
                  <c:v>-6.2089857444393504</c:v>
                </c:pt>
                <c:pt idx="60">
                  <c:v>-6.0494870546175203</c:v>
                </c:pt>
                <c:pt idx="61">
                  <c:v>-5.8903341293248204</c:v>
                </c:pt>
                <c:pt idx="62">
                  <c:v>-5.7315242719203603</c:v>
                </c:pt>
                <c:pt idx="63">
                  <c:v>-5.5730548053400701</c:v>
                </c:pt>
                <c:pt idx="64">
                  <c:v>-5.4149230720155703</c:v>
                </c:pt>
                <c:pt idx="65">
                  <c:v>-5.25712643379231</c:v>
                </c:pt>
                <c:pt idx="66">
                  <c:v>-5.0996622718465598</c:v>
                </c:pt>
                <c:pt idx="67">
                  <c:v>-4.94252798660174</c:v>
                </c:pt>
                <c:pt idx="68">
                  <c:v>-4.78572099764384</c:v>
                </c:pt>
                <c:pt idx="69">
                  <c:v>-4.6292387436361402</c:v>
                </c:pt>
                <c:pt idx="70">
                  <c:v>-4.4730786822331501</c:v>
                </c:pt>
                <c:pt idx="71">
                  <c:v>-4.3172382899939397</c:v>
                </c:pt>
                <c:pt idx="72">
                  <c:v>-4.1617150622947197</c:v>
                </c:pt>
                <c:pt idx="73">
                  <c:v>-4.0065065132409998</c:v>
                </c:pt>
                <c:pt idx="74">
                  <c:v>-3.8516101755789598</c:v>
                </c:pt>
                <c:pt idx="75">
                  <c:v>-3.6970236006065198</c:v>
                </c:pt>
                <c:pt idx="76">
                  <c:v>-3.5427443580837399</c:v>
                </c:pt>
                <c:pt idx="77">
                  <c:v>-3.3887700361428799</c:v>
                </c:pt>
                <c:pt idx="78">
                  <c:v>-3.2350982411980098</c:v>
                </c:pt>
                <c:pt idx="79">
                  <c:v>-3.0817265978541899</c:v>
                </c:pt>
                <c:pt idx="80">
                  <c:v>-2.9286527488163299</c:v>
                </c:pt>
                <c:pt idx="81">
                  <c:v>-2.77587435479774</c:v>
                </c:pt>
                <c:pt idx="82">
                  <c:v>-2.6233890944283802</c:v>
                </c:pt>
                <c:pt idx="83">
                  <c:v>-2.47119466416276</c:v>
                </c:pt>
                <c:pt idx="84">
                  <c:v>-2.31928877818775</c:v>
                </c:pt>
                <c:pt idx="85">
                  <c:v>-2.1676691683300402</c:v>
                </c:pt>
                <c:pt idx="86">
                  <c:v>-2.0163335839635201</c:v>
                </c:pt>
                <c:pt idx="87">
                  <c:v>-1.8652797919163899</c:v>
                </c:pt>
                <c:pt idx="88">
                  <c:v>-1.7145055763782799</c:v>
                </c:pt>
                <c:pt idx="89">
                  <c:v>-1.56400873880709</c:v>
                </c:pt>
                <c:pt idx="90">
                  <c:v>-1.4137870978359199</c:v>
                </c:pt>
                <c:pt idx="91">
                  <c:v>-1.26383848917979</c:v>
                </c:pt>
                <c:pt idx="92">
                  <c:v>-1.11416076554236</c:v>
                </c:pt>
                <c:pt idx="93">
                  <c:v>-0.96475179652270104</c:v>
                </c:pt>
                <c:pt idx="94">
                  <c:v>-0.81560946852194005</c:v>
                </c:pt>
                <c:pt idx="95">
                  <c:v>-0.66673168465001997</c:v>
                </c:pt>
                <c:pt idx="96">
                  <c:v>-0.51811636463246502</c:v>
                </c:pt>
                <c:pt idx="97">
                  <c:v>-0.36976144471717398</c:v>
                </c:pt>
                <c:pt idx="98">
                  <c:v>-0.221664877581327</c:v>
                </c:pt>
                <c:pt idx="99">
                  <c:v>-7.3824632238377097E-2</c:v>
                </c:pt>
                <c:pt idx="100">
                  <c:v>7.38246322383454E-2</c:v>
                </c:pt>
                <c:pt idx="101">
                  <c:v>0.22166487758129599</c:v>
                </c:pt>
                <c:pt idx="102">
                  <c:v>0.36976144471713401</c:v>
                </c:pt>
                <c:pt idx="103">
                  <c:v>0.51811636463242405</c:v>
                </c:pt>
                <c:pt idx="104">
                  <c:v>0.66673168464998001</c:v>
                </c:pt>
                <c:pt idx="105">
                  <c:v>0.81560946852189398</c:v>
                </c:pt>
                <c:pt idx="106">
                  <c:v>0.96475179652266196</c:v>
                </c:pt>
                <c:pt idx="107">
                  <c:v>1.11416076554232</c:v>
                </c:pt>
                <c:pt idx="108">
                  <c:v>1.2638384891797401</c:v>
                </c:pt>
                <c:pt idx="109">
                  <c:v>1.41378709783588</c:v>
                </c:pt>
                <c:pt idx="110">
                  <c:v>1.5640087388070401</c:v>
                </c:pt>
                <c:pt idx="111">
                  <c:v>1.71450557637823</c:v>
                </c:pt>
                <c:pt idx="112">
                  <c:v>1.86527979191634</c:v>
                </c:pt>
                <c:pt idx="113">
                  <c:v>2.01633358396347</c:v>
                </c:pt>
                <c:pt idx="114">
                  <c:v>2.16766916832999</c:v>
                </c:pt>
                <c:pt idx="115">
                  <c:v>2.3192887781876999</c:v>
                </c:pt>
                <c:pt idx="116">
                  <c:v>2.4711946641627001</c:v>
                </c:pt>
                <c:pt idx="117">
                  <c:v>2.6233890944283198</c:v>
                </c:pt>
                <c:pt idx="118">
                  <c:v>2.7758743547976801</c:v>
                </c:pt>
                <c:pt idx="119">
                  <c:v>2.9286527488162601</c:v>
                </c:pt>
                <c:pt idx="120">
                  <c:v>3.0817265978541299</c:v>
                </c:pt>
                <c:pt idx="121">
                  <c:v>3.2350982411979499</c:v>
                </c:pt>
                <c:pt idx="122">
                  <c:v>3.3887700361428301</c:v>
                </c:pt>
                <c:pt idx="123">
                  <c:v>3.5427443580836799</c:v>
                </c:pt>
                <c:pt idx="124">
                  <c:v>3.6970236006064598</c:v>
                </c:pt>
                <c:pt idx="125">
                  <c:v>3.8516101755788998</c:v>
                </c:pt>
                <c:pt idx="126">
                  <c:v>4.0065065132409403</c:v>
                </c:pt>
                <c:pt idx="127">
                  <c:v>4.1617150622946699</c:v>
                </c:pt>
                <c:pt idx="128">
                  <c:v>4.3172382899938802</c:v>
                </c:pt>
                <c:pt idx="129">
                  <c:v>4.4730786822330897</c:v>
                </c:pt>
                <c:pt idx="130">
                  <c:v>4.62923874363607</c:v>
                </c:pt>
                <c:pt idx="131">
                  <c:v>4.7857209976437796</c:v>
                </c:pt>
                <c:pt idx="132">
                  <c:v>4.9425279866016698</c:v>
                </c:pt>
                <c:pt idx="133">
                  <c:v>5.0996622718465003</c:v>
                </c:pt>
                <c:pt idx="134">
                  <c:v>5.2571264337922496</c:v>
                </c:pt>
                <c:pt idx="135">
                  <c:v>5.4149230720155099</c:v>
                </c:pt>
                <c:pt idx="136">
                  <c:v>5.5730548053400097</c:v>
                </c:pt>
                <c:pt idx="137">
                  <c:v>5.7315242719203097</c:v>
                </c:pt>
                <c:pt idx="138">
                  <c:v>5.89033412932476</c:v>
                </c:pt>
                <c:pt idx="139">
                  <c:v>6.0494870546174697</c:v>
                </c:pt>
                <c:pt idx="140">
                  <c:v>6.20898574443929</c:v>
                </c:pt>
                <c:pt idx="141">
                  <c:v>6.3688329150879603</c:v>
                </c:pt>
                <c:pt idx="142">
                  <c:v>6.5290313025970299</c:v>
                </c:pt>
                <c:pt idx="143">
                  <c:v>6.6895836628138499</c:v>
                </c:pt>
                <c:pt idx="144">
                  <c:v>6.8504927714762003</c:v>
                </c:pt>
                <c:pt idx="145">
                  <c:v>7.0117614242879904</c:v>
                </c:pt>
                <c:pt idx="146">
                  <c:v>7.1733924369934403</c:v>
                </c:pt>
                <c:pt idx="147">
                  <c:v>7.3353886454501396</c:v>
                </c:pt>
                <c:pt idx="148">
                  <c:v>7.4977529057005796</c:v>
                </c:pt>
                <c:pt idx="149">
                  <c:v>7.6604880940423099</c:v>
                </c:pt>
                <c:pt idx="150">
                  <c:v>7.8751669623000398</c:v>
                </c:pt>
                <c:pt idx="151">
                  <c:v>8.1437843754830705</c:v>
                </c:pt>
                <c:pt idx="152">
                  <c:v>8.4154844754112403</c:v>
                </c:pt>
                <c:pt idx="153">
                  <c:v>8.6903281345724501</c:v>
                </c:pt>
                <c:pt idx="154">
                  <c:v>8.9683779221483597</c:v>
                </c:pt>
                <c:pt idx="155">
                  <c:v>9.2496981624181593</c:v>
                </c:pt>
                <c:pt idx="156">
                  <c:v>9.5343549954316291</c:v>
                </c:pt>
                <c:pt idx="157">
                  <c:v>9.8224164400427902</c:v>
                </c:pt>
                <c:pt idx="158">
                  <c:v>10.113952459398901</c:v>
                </c:pt>
                <c:pt idx="159">
                  <c:v>10.4090350289828</c:v>
                </c:pt>
                <c:pt idx="160">
                  <c:v>10.707738207309401</c:v>
                </c:pt>
                <c:pt idx="161">
                  <c:v>11.010138209380999</c:v>
                </c:pt>
                <c:pt idx="162">
                  <c:v>11.316313483009999</c:v>
                </c:pt>
                <c:pt idx="163">
                  <c:v>11.6263447881182</c:v>
                </c:pt>
                <c:pt idx="164">
                  <c:v>11.9403152791284</c:v>
                </c:pt>
                <c:pt idx="165">
                  <c:v>12.2583105905652</c:v>
                </c:pt>
                <c:pt idx="166">
                  <c:v>12.5804189259847</c:v>
                </c:pt>
                <c:pt idx="167">
                  <c:v>12.9067311503558</c:v>
                </c:pt>
                <c:pt idx="168">
                  <c:v>13.23734088602</c:v>
                </c:pt>
                <c:pt idx="169">
                  <c:v>13.572344612355201</c:v>
                </c:pt>
                <c:pt idx="170">
                  <c:v>13.911841769274799</c:v>
                </c:pt>
                <c:pt idx="171">
                  <c:v>14.255934864692501</c:v>
                </c:pt>
                <c:pt idx="172">
                  <c:v>14.6047295860846</c:v>
                </c:pt>
                <c:pt idx="173">
                  <c:v>14.9583349162824</c:v>
                </c:pt>
                <c:pt idx="174">
                  <c:v>15.316863253627901</c:v>
                </c:pt>
                <c:pt idx="175">
                  <c:v>15.6804305366219</c:v>
                </c:pt>
                <c:pt idx="176">
                  <c:v>16.049156373194801</c:v>
                </c:pt>
                <c:pt idx="177">
                  <c:v>16.423164174726399</c:v>
                </c:pt>
                <c:pt idx="178">
                  <c:v>16.8025812949342</c:v>
                </c:pt>
                <c:pt idx="179">
                  <c:v>17.187539173747901</c:v>
                </c:pt>
                <c:pt idx="180">
                  <c:v>17.578173486275599</c:v>
                </c:pt>
                <c:pt idx="181">
                  <c:v>17.9746242969624</c:v>
                </c:pt>
                <c:pt idx="182">
                  <c:v>18.377036219025101</c:v>
                </c:pt>
                <c:pt idx="183">
                  <c:v>18.7855585792372</c:v>
                </c:pt>
                <c:pt idx="184">
                  <c:v>19.200345588117202</c:v>
                </c:pt>
                <c:pt idx="185">
                  <c:v>19.621556515554801</c:v>
                </c:pt>
                <c:pt idx="186">
                  <c:v>20.049355871885101</c:v>
                </c:pt>
                <c:pt idx="187">
                  <c:v>20.483913594389499</c:v>
                </c:pt>
                <c:pt idx="188">
                  <c:v>20.925405239173202</c:v>
                </c:pt>
                <c:pt idx="189">
                  <c:v>21.374012178325501</c:v>
                </c:pt>
                <c:pt idx="190">
                  <c:v>21.829921802225801</c:v>
                </c:pt>
                <c:pt idx="191">
                  <c:v>22.2933277268076</c:v>
                </c:pt>
                <c:pt idx="192">
                  <c:v>22.764430005529402</c:v>
                </c:pt>
                <c:pt idx="193">
                  <c:v>23.243435345734799</c:v>
                </c:pt>
                <c:pt idx="194">
                  <c:v>23.730557329006</c:v>
                </c:pt>
                <c:pt idx="195">
                  <c:v>24.226016635022098</c:v>
                </c:pt>
                <c:pt idx="196">
                  <c:v>24.730041268335999</c:v>
                </c:pt>
                <c:pt idx="197">
                  <c:v>25.2428667873635</c:v>
                </c:pt>
                <c:pt idx="198">
                  <c:v>25.764736534750799</c:v>
                </c:pt>
                <c:pt idx="199">
                  <c:v>26.295901868135601</c:v>
                </c:pt>
              </c:numCache>
            </c:numRef>
          </c:xVal>
          <c:yVal>
            <c:numRef>
              <c:f>SSIGA!$F$2:$F$201</c:f>
              <c:numCache>
                <c:formatCode>0.00E+00</c:formatCode>
                <c:ptCount val="200"/>
                <c:pt idx="0">
                  <c:v>3.2000438867497198</c:v>
                </c:pt>
                <c:pt idx="1">
                  <c:v>3.1196191007867</c:v>
                </c:pt>
                <c:pt idx="2">
                  <c:v>3.0405012043349</c:v>
                </c:pt>
                <c:pt idx="3">
                  <c:v>2.9628863492669102</c:v>
                </c:pt>
                <c:pt idx="4">
                  <c:v>2.8870087460015901</c:v>
                </c:pt>
                <c:pt idx="5">
                  <c:v>2.81310105363535</c:v>
                </c:pt>
                <c:pt idx="6">
                  <c:v>2.7413474548035999</c:v>
                </c:pt>
                <c:pt idx="7">
                  <c:v>2.6718444246446298</c:v>
                </c:pt>
                <c:pt idx="8">
                  <c:v>2.6045848787803498</c:v>
                </c:pt>
                <c:pt idx="9">
                  <c:v>2.53948186407619</c:v>
                </c:pt>
                <c:pt idx="10">
                  <c:v>2.47828610982888</c:v>
                </c:pt>
                <c:pt idx="11">
                  <c:v>2.4222257438312398</c:v>
                </c:pt>
                <c:pt idx="12">
                  <c:v>2.3696925114877398</c:v>
                </c:pt>
                <c:pt idx="13">
                  <c:v>2.32036772675509</c:v>
                </c:pt>
                <c:pt idx="14">
                  <c:v>2.2739555627587902</c:v>
                </c:pt>
                <c:pt idx="15">
                  <c:v>2.2301753563749198</c:v>
                </c:pt>
                <c:pt idx="16">
                  <c:v>2.18875595063763</c:v>
                </c:pt>
                <c:pt idx="17">
                  <c:v>2.1494326347032402</c:v>
                </c:pt>
                <c:pt idx="18">
                  <c:v>2.1119483737902098</c:v>
                </c:pt>
                <c:pt idx="19">
                  <c:v>2.0760549195757099</c:v>
                </c:pt>
                <c:pt idx="20">
                  <c:v>2.04143126716352</c:v>
                </c:pt>
                <c:pt idx="21">
                  <c:v>2.0078969111181699</c:v>
                </c:pt>
                <c:pt idx="22">
                  <c:v>1.9754328557541501</c:v>
                </c:pt>
                <c:pt idx="23">
                  <c:v>1.94394250692142</c:v>
                </c:pt>
                <c:pt idx="24">
                  <c:v>1.91333257756649</c:v>
                </c:pt>
                <c:pt idx="25">
                  <c:v>1.88351297723626</c:v>
                </c:pt>
                <c:pt idx="26">
                  <c:v>1.85438725087184</c:v>
                </c:pt>
                <c:pt idx="27">
                  <c:v>1.8258644034815099</c:v>
                </c:pt>
                <c:pt idx="28">
                  <c:v>1.79786041531797</c:v>
                </c:pt>
                <c:pt idx="29">
                  <c:v>1.7702907538080499</c:v>
                </c:pt>
                <c:pt idx="30">
                  <c:v>1.7444328496468899</c:v>
                </c:pt>
                <c:pt idx="31">
                  <c:v>1.72043768822562</c:v>
                </c:pt>
                <c:pt idx="32">
                  <c:v>1.6970108294525501</c:v>
                </c:pt>
                <c:pt idx="33">
                  <c:v>1.6741096050029201</c:v>
                </c:pt>
                <c:pt idx="34">
                  <c:v>1.6517059545141499</c:v>
                </c:pt>
                <c:pt idx="35">
                  <c:v>1.6297673763878699</c:v>
                </c:pt>
                <c:pt idx="36">
                  <c:v>1.60825612452336</c:v>
                </c:pt>
                <c:pt idx="37">
                  <c:v>1.5871358830328599</c:v>
                </c:pt>
                <c:pt idx="38">
                  <c:v>1.56637390263877</c:v>
                </c:pt>
                <c:pt idx="39">
                  <c:v>1.54593102815981</c:v>
                </c:pt>
                <c:pt idx="40">
                  <c:v>1.52567289683211</c:v>
                </c:pt>
                <c:pt idx="41">
                  <c:v>1.5057060086998799</c:v>
                </c:pt>
                <c:pt idx="42">
                  <c:v>1.4861570489368601</c:v>
                </c:pt>
                <c:pt idx="43">
                  <c:v>1.4669738145344</c:v>
                </c:pt>
                <c:pt idx="44">
                  <c:v>1.4481063317293701</c:v>
                </c:pt>
                <c:pt idx="45">
                  <c:v>1.4295151613958399</c:v>
                </c:pt>
                <c:pt idx="46">
                  <c:v>1.4111593412230701</c:v>
                </c:pt>
                <c:pt idx="47">
                  <c:v>1.39299773902352</c:v>
                </c:pt>
                <c:pt idx="48">
                  <c:v>1.3749932115635</c:v>
                </c:pt>
                <c:pt idx="49">
                  <c:v>1.3571147352507</c:v>
                </c:pt>
                <c:pt idx="50">
                  <c:v>1.3448995063665099</c:v>
                </c:pt>
                <c:pt idx="51">
                  <c:v>1.33468451458791</c:v>
                </c:pt>
                <c:pt idx="52">
                  <c:v>1.3245089830624699</c:v>
                </c:pt>
                <c:pt idx="53">
                  <c:v>1.31437015925731</c:v>
                </c:pt>
                <c:pt idx="54">
                  <c:v>1.30427007229585</c:v>
                </c:pt>
                <c:pt idx="55">
                  <c:v>1.2942089466125499</c:v>
                </c:pt>
                <c:pt idx="56">
                  <c:v>1.2841894710305199</c:v>
                </c:pt>
                <c:pt idx="57">
                  <c:v>1.27421406464772</c:v>
                </c:pt>
                <c:pt idx="58">
                  <c:v>1.2642853375807801</c:v>
                </c:pt>
                <c:pt idx="59">
                  <c:v>1.2544064190036699</c:v>
                </c:pt>
                <c:pt idx="60">
                  <c:v>1.2446421909487999</c:v>
                </c:pt>
                <c:pt idx="61">
                  <c:v>1.2350188645255999</c:v>
                </c:pt>
                <c:pt idx="62">
                  <c:v>1.22548725322986</c:v>
                </c:pt>
                <c:pt idx="63">
                  <c:v>1.2160507870191399</c:v>
                </c:pt>
                <c:pt idx="64">
                  <c:v>1.20671339334504</c:v>
                </c:pt>
                <c:pt idx="65">
                  <c:v>1.19747952412914</c:v>
                </c:pt>
                <c:pt idx="66">
                  <c:v>1.1883541778231601</c:v>
                </c:pt>
                <c:pt idx="67">
                  <c:v>1.1793429157933</c:v>
                </c:pt>
                <c:pt idx="68">
                  <c:v>1.17045187220571</c:v>
                </c:pt>
                <c:pt idx="69">
                  <c:v>1.1616877565546599</c:v>
                </c:pt>
                <c:pt idx="70">
                  <c:v>1.1529784152121201</c:v>
                </c:pt>
                <c:pt idx="71">
                  <c:v>1.14435959609662</c:v>
                </c:pt>
                <c:pt idx="72">
                  <c:v>1.1359291275047401</c:v>
                </c:pt>
                <c:pt idx="73">
                  <c:v>1.1276939340337599</c:v>
                </c:pt>
                <c:pt idx="74">
                  <c:v>1.1196614946993999</c:v>
                </c:pt>
                <c:pt idx="75">
                  <c:v>1.1118398502173401</c:v>
                </c:pt>
                <c:pt idx="76">
                  <c:v>1.10423760187966</c:v>
                </c:pt>
                <c:pt idx="77">
                  <c:v>1.09686390121822</c:v>
                </c:pt>
                <c:pt idx="78">
                  <c:v>1.08972842968891</c:v>
                </c:pt>
                <c:pt idx="79">
                  <c:v>1.08284136767936</c:v>
                </c:pt>
                <c:pt idx="80">
                  <c:v>1.0760002169459699</c:v>
                </c:pt>
                <c:pt idx="81">
                  <c:v>1.06924270353763</c:v>
                </c:pt>
                <c:pt idx="82">
                  <c:v>1.0628017254317199</c:v>
                </c:pt>
                <c:pt idx="83">
                  <c:v>1.05668527770053</c:v>
                </c:pt>
                <c:pt idx="84">
                  <c:v>1.0509016499100501</c:v>
                </c:pt>
                <c:pt idx="85">
                  <c:v>1.0454594151708301</c:v>
                </c:pt>
                <c:pt idx="86">
                  <c:v>1.04036741116177</c:v>
                </c:pt>
                <c:pt idx="87">
                  <c:v>1.03563471295091</c:v>
                </c:pt>
                <c:pt idx="88">
                  <c:v>1.0312705975433201</c:v>
                </c:pt>
                <c:pt idx="89">
                  <c:v>1.0272845002076401</c:v>
                </c:pt>
                <c:pt idx="90">
                  <c:v>1.02344364078753</c:v>
                </c:pt>
                <c:pt idx="91">
                  <c:v>1.01977660853106</c:v>
                </c:pt>
                <c:pt idx="92">
                  <c:v>1.0165375963583201</c:v>
                </c:pt>
                <c:pt idx="93">
                  <c:v>1.01372911782894</c:v>
                </c:pt>
                <c:pt idx="94">
                  <c:v>1.0113535276402399</c:v>
                </c:pt>
                <c:pt idx="95">
                  <c:v>1.0094130337150899</c:v>
                </c:pt>
                <c:pt idx="96">
                  <c:v>1.0079097016495699</c:v>
                </c:pt>
                <c:pt idx="97">
                  <c:v>1.0068454511240299</c:v>
                </c:pt>
                <c:pt idx="98">
                  <c:v>1.00622204407368</c:v>
                </c:pt>
                <c:pt idx="99">
                  <c:v>1.0060410646251301</c:v>
                </c:pt>
                <c:pt idx="100">
                  <c:v>1.0060410649234099</c:v>
                </c:pt>
                <c:pt idx="101">
                  <c:v>1.00622204442144</c:v>
                </c:pt>
                <c:pt idx="102">
                  <c:v>1.00684545153953</c:v>
                </c:pt>
                <c:pt idx="103">
                  <c:v>1.0079097021438801</c:v>
                </c:pt>
                <c:pt idx="104">
                  <c:v>1.0094130342923999</c:v>
                </c:pt>
                <c:pt idx="105">
                  <c:v>1.0113535282986801</c:v>
                </c:pt>
                <c:pt idx="106">
                  <c:v>1.0137291185613699</c:v>
                </c:pt>
                <c:pt idx="107">
                  <c:v>1.01653759715245</c:v>
                </c:pt>
                <c:pt idx="108">
                  <c:v>1.0197766093702001</c:v>
                </c:pt>
                <c:pt idx="109">
                  <c:v>1.02344364165098</c:v>
                </c:pt>
                <c:pt idx="110">
                  <c:v>1.0272845009413301</c:v>
                </c:pt>
                <c:pt idx="111">
                  <c:v>1.0312705980215</c:v>
                </c:pt>
                <c:pt idx="112">
                  <c:v>1.03563471318848</c:v>
                </c:pt>
                <c:pt idx="113">
                  <c:v>1.0403674111739301</c:v>
                </c:pt>
                <c:pt idx="114">
                  <c:v>1.04545941497401</c:v>
                </c:pt>
                <c:pt idx="115">
                  <c:v>1.05090164952345</c:v>
                </c:pt>
                <c:pt idx="116">
                  <c:v>1.0566852771472299</c:v>
                </c:pt>
                <c:pt idx="117">
                  <c:v>1.0628017247400401</c:v>
                </c:pt>
                <c:pt idx="118">
                  <c:v>1.0692427027418601</c:v>
                </c:pt>
                <c:pt idx="119">
                  <c:v>1.07600021608743</c:v>
                </c:pt>
                <c:pt idx="120">
                  <c:v>1.08284136695511</c:v>
                </c:pt>
                <c:pt idx="121">
                  <c:v>1.08972842925888</c:v>
                </c:pt>
                <c:pt idx="122">
                  <c:v>1.0968639010774399</c:v>
                </c:pt>
                <c:pt idx="123">
                  <c:v>1.10423760201887</c:v>
                </c:pt>
                <c:pt idx="124">
                  <c:v>1.11183985062135</c:v>
                </c:pt>
                <c:pt idx="125">
                  <c:v>1.11966149534411</c:v>
                </c:pt>
                <c:pt idx="126">
                  <c:v>1.12769393488437</c:v>
                </c:pt>
                <c:pt idx="127">
                  <c:v>1.13592912851381</c:v>
                </c:pt>
                <c:pt idx="128">
                  <c:v>1.1443595972015601</c:v>
                </c:pt>
                <c:pt idx="129">
                  <c:v>1.1529784163336001</c:v>
                </c:pt>
                <c:pt idx="130">
                  <c:v>1.1616877574667701</c:v>
                </c:pt>
                <c:pt idx="131">
                  <c:v>1.17045187273744</c:v>
                </c:pt>
                <c:pt idx="132">
                  <c:v>1.1793429159451101</c:v>
                </c:pt>
                <c:pt idx="133">
                  <c:v>1.1883541776181701</c:v>
                </c:pt>
                <c:pt idx="134">
                  <c:v>1.1974795236166</c:v>
                </c:pt>
                <c:pt idx="135">
                  <c:v>1.2067133926015801</c:v>
                </c:pt>
                <c:pt idx="136">
                  <c:v>1.2160507861511201</c:v>
                </c:pt>
                <c:pt idx="137">
                  <c:v>1.22548725237558</c:v>
                </c:pt>
                <c:pt idx="138">
                  <c:v>1.2350188638558099</c:v>
                </c:pt>
                <c:pt idx="139">
                  <c:v>1.24464219066948</c:v>
                </c:pt>
                <c:pt idx="140">
                  <c:v>1.2544064191972299</c:v>
                </c:pt>
                <c:pt idx="141">
                  <c:v>1.2642853381991299</c:v>
                </c:pt>
                <c:pt idx="142">
                  <c:v>1.2742140656704</c:v>
                </c:pt>
                <c:pt idx="143">
                  <c:v>1.2841894723470499</c:v>
                </c:pt>
                <c:pt idx="144">
                  <c:v>1.2942089480154</c:v>
                </c:pt>
                <c:pt idx="145">
                  <c:v>1.30427007346824</c:v>
                </c:pt>
                <c:pt idx="146">
                  <c:v>1.3143701597431301</c:v>
                </c:pt>
                <c:pt idx="147">
                  <c:v>1.32450898226943</c:v>
                </c:pt>
                <c:pt idx="148">
                  <c:v>1.33468451176735</c:v>
                </c:pt>
                <c:pt idx="149">
                  <c:v>1.3448995006520701</c:v>
                </c:pt>
                <c:pt idx="150">
                  <c:v>1.3571147284690399</c:v>
                </c:pt>
                <c:pt idx="151">
                  <c:v>1.37499320800282</c:v>
                </c:pt>
                <c:pt idx="152">
                  <c:v>1.39299773795675</c:v>
                </c:pt>
                <c:pt idx="153">
                  <c:v>1.4111593419450299</c:v>
                </c:pt>
                <c:pt idx="154">
                  <c:v>1.42951516323834</c:v>
                </c:pt>
                <c:pt idx="155">
                  <c:v>1.44810633408311</c:v>
                </c:pt>
                <c:pt idx="156">
                  <c:v>1.4669738168589499</c:v>
                </c:pt>
                <c:pt idx="157">
                  <c:v>1.4861570507722199</c:v>
                </c:pt>
                <c:pt idx="158">
                  <c:v>1.50570600970711</c:v>
                </c:pt>
                <c:pt idx="159">
                  <c:v>1.5256728968240201</c:v>
                </c:pt>
                <c:pt idx="160">
                  <c:v>1.5459310275904901</c:v>
                </c:pt>
                <c:pt idx="161">
                  <c:v>1.5663739020068199</c:v>
                </c:pt>
                <c:pt idx="162">
                  <c:v>1.58713588233766</c:v>
                </c:pt>
                <c:pt idx="163">
                  <c:v>1.60825612376909</c:v>
                </c:pt>
                <c:pt idx="164">
                  <c:v>1.6297673755943001</c:v>
                </c:pt>
                <c:pt idx="165">
                  <c:v>1.6517059537044201</c:v>
                </c:pt>
                <c:pt idx="166">
                  <c:v>1.6741096041951899</c:v>
                </c:pt>
                <c:pt idx="167">
                  <c:v>1.6970108286666601</c:v>
                </c:pt>
                <c:pt idx="168">
                  <c:v>1.7204376874838201</c:v>
                </c:pt>
                <c:pt idx="169">
                  <c:v>1.7444328489432901</c:v>
                </c:pt>
                <c:pt idx="170">
                  <c:v>1.7702907532152701</c:v>
                </c:pt>
                <c:pt idx="171">
                  <c:v>1.7978604148792201</c:v>
                </c:pt>
                <c:pt idx="172">
                  <c:v>1.82586440317448</c:v>
                </c:pt>
                <c:pt idx="173">
                  <c:v>1.85438725067818</c:v>
                </c:pt>
                <c:pt idx="174">
                  <c:v>1.8835129771472301</c:v>
                </c:pt>
                <c:pt idx="175">
                  <c:v>1.91333257757486</c:v>
                </c:pt>
                <c:pt idx="176">
                  <c:v>1.9439425070174801</c:v>
                </c:pt>
                <c:pt idx="177">
                  <c:v>1.9754328559360801</c:v>
                </c:pt>
                <c:pt idx="178">
                  <c:v>2.0078969113887601</c:v>
                </c:pt>
                <c:pt idx="179">
                  <c:v>2.0414312675285902</c:v>
                </c:pt>
                <c:pt idx="180">
                  <c:v>2.0760549199830098</c:v>
                </c:pt>
                <c:pt idx="181">
                  <c:v>2.11194837418947</c:v>
                </c:pt>
                <c:pt idx="182">
                  <c:v>2.1494326351055202</c:v>
                </c:pt>
                <c:pt idx="183">
                  <c:v>2.1887559510513199</c:v>
                </c:pt>
                <c:pt idx="184">
                  <c:v>2.23017535680638</c:v>
                </c:pt>
                <c:pt idx="185">
                  <c:v>2.2739555632100399</c:v>
                </c:pt>
                <c:pt idx="186">
                  <c:v>2.3203677272243102</c:v>
                </c:pt>
                <c:pt idx="187">
                  <c:v>2.3696925119692298</c:v>
                </c:pt>
                <c:pt idx="188">
                  <c:v>2.4222257443165298</c:v>
                </c:pt>
                <c:pt idx="189">
                  <c:v>2.4782861103065099</c:v>
                </c:pt>
                <c:pt idx="190">
                  <c:v>2.5394818645292099</c:v>
                </c:pt>
                <c:pt idx="191">
                  <c:v>2.6045848791778599</c:v>
                </c:pt>
                <c:pt idx="192">
                  <c:v>2.6718444249576199</c:v>
                </c:pt>
                <c:pt idx="193">
                  <c:v>2.7413474550097501</c:v>
                </c:pt>
                <c:pt idx="194">
                  <c:v>2.8131010537224399</c:v>
                </c:pt>
                <c:pt idx="195">
                  <c:v>2.8870087459752898</c:v>
                </c:pt>
                <c:pt idx="196">
                  <c:v>2.96288634915819</c:v>
                </c:pt>
                <c:pt idx="197">
                  <c:v>3.0405012042084598</c:v>
                </c:pt>
                <c:pt idx="198">
                  <c:v>3.1196191007505001</c:v>
                </c:pt>
                <c:pt idx="199">
                  <c:v>3.20004388696099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6-4D3E-BBFC-A87211747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009855"/>
        <c:axId val="1430027135"/>
      </c:scatterChart>
      <c:valAx>
        <c:axId val="143000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0027135"/>
        <c:crosses val="autoZero"/>
        <c:crossBetween val="midCat"/>
      </c:valAx>
      <c:valAx>
        <c:axId val="143002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000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SSIGA!$C$2:$C$201</c:f>
              <c:numCache>
                <c:formatCode>0.00E+00</c:formatCode>
                <c:ptCount val="200"/>
                <c:pt idx="0">
                  <c:v>1.2141721911504899</c:v>
                </c:pt>
                <c:pt idx="1">
                  <c:v>1.2426098995033901</c:v>
                </c:pt>
                <c:pt idx="2">
                  <c:v>1.2711598446229</c:v>
                </c:pt>
                <c:pt idx="3">
                  <c:v>1.2998070466102201</c:v>
                </c:pt>
                <c:pt idx="4">
                  <c:v>1.3285361526214601</c:v>
                </c:pt>
                <c:pt idx="5">
                  <c:v>1.35733145867225</c:v>
                </c:pt>
                <c:pt idx="6">
                  <c:v>1.38617693301412</c:v>
                </c:pt>
                <c:pt idx="7">
                  <c:v>1.4150562410318199</c:v>
                </c:pt>
                <c:pt idx="8">
                  <c:v>1.44395277160111</c:v>
                </c:pt>
                <c:pt idx="9">
                  <c:v>1.47284966483618</c:v>
                </c:pt>
                <c:pt idx="10">
                  <c:v>1.50172984114659</c:v>
                </c:pt>
                <c:pt idx="11">
                  <c:v>1.53057603151374</c:v>
                </c:pt>
                <c:pt idx="12">
                  <c:v>1.5593708088882301</c:v>
                </c:pt>
                <c:pt idx="13">
                  <c:v>1.58809662060023</c:v>
                </c:pt>
                <c:pt idx="14">
                  <c:v>1.6167358216674901</c:v>
                </c:pt>
                <c:pt idx="15">
                  <c:v>1.64527070887754</c:v>
                </c:pt>
                <c:pt idx="16">
                  <c:v>1.67368355551418</c:v>
                </c:pt>
                <c:pt idx="17">
                  <c:v>1.7019566465923299</c:v>
                </c:pt>
                <c:pt idx="18">
                  <c:v>1.7300723144600401</c:v>
                </c:pt>
                <c:pt idx="19">
                  <c:v>1.7580129746222299</c:v>
                </c:pt>
                <c:pt idx="20">
                  <c:v>1.7857611616378199</c:v>
                </c:pt>
                <c:pt idx="21">
                  <c:v>1.8132995649391801</c:v>
                </c:pt>
                <c:pt idx="22">
                  <c:v>1.84061106442221</c:v>
                </c:pt>
                <c:pt idx="23">
                  <c:v>1.8676787656549201</c:v>
                </c:pt>
                <c:pt idx="24">
                  <c:v>1.8944860345537</c:v>
                </c:pt>
                <c:pt idx="25">
                  <c:v>1.9210165313783301</c:v>
                </c:pt>
                <c:pt idx="26">
                  <c:v>1.9472542439004401</c:v>
                </c:pt>
                <c:pt idx="27">
                  <c:v>1.97318351960398</c:v>
                </c:pt>
                <c:pt idx="28">
                  <c:v>1.9987890967817901</c:v>
                </c:pt>
                <c:pt idx="29">
                  <c:v>2.0240561343989301</c:v>
                </c:pt>
                <c:pt idx="30">
                  <c:v>2.0489702406000601</c:v>
                </c:pt>
                <c:pt idx="31">
                  <c:v>2.0735174997469001</c:v>
                </c:pt>
                <c:pt idx="32">
                  <c:v>2.09768449788033</c:v>
                </c:pt>
                <c:pt idx="33">
                  <c:v>2.12145834651123</c:v>
                </c:pt>
                <c:pt idx="34">
                  <c:v>2.1448267046545202</c:v>
                </c:pt>
                <c:pt idx="35">
                  <c:v>2.1677777990314402</c:v>
                </c:pt>
                <c:pt idx="36">
                  <c:v>2.1903004423761301</c:v>
                </c:pt>
                <c:pt idx="37">
                  <c:v>2.2123840497941099</c:v>
                </c:pt>
                <c:pt idx="38">
                  <c:v>2.2340186531316002</c:v>
                </c:pt>
                <c:pt idx="39">
                  <c:v>2.2551949133264801</c:v>
                </c:pt>
                <c:pt idx="40">
                  <c:v>2.2759041307232701</c:v>
                </c:pt>
                <c:pt idx="41">
                  <c:v>2.2961382533459198</c:v>
                </c:pt>
                <c:pt idx="42">
                  <c:v>2.31588988313352</c:v>
                </c:pt>
                <c:pt idx="43">
                  <c:v>2.33515228015527</c:v>
                </c:pt>
                <c:pt idx="44">
                  <c:v>2.35391936483117</c:v>
                </c:pt>
                <c:pt idx="45">
                  <c:v>2.3721857181954</c:v>
                </c:pt>
                <c:pt idx="46">
                  <c:v>2.3899465802487398</c:v>
                </c:pt>
                <c:pt idx="47">
                  <c:v>2.4071978464552402</c:v>
                </c:pt>
                <c:pt idx="48">
                  <c:v>2.4239360624467201</c:v>
                </c:pt>
                <c:pt idx="49">
                  <c:v>2.44015841700628</c:v>
                </c:pt>
                <c:pt idx="50">
                  <c:v>2.4528787915094501</c:v>
                </c:pt>
                <c:pt idx="51">
                  <c:v>2.4623707647178001</c:v>
                </c:pt>
                <c:pt idx="52">
                  <c:v>2.4717075069767098</c:v>
                </c:pt>
                <c:pt idx="53">
                  <c:v>2.4808863450372001</c:v>
                </c:pt>
                <c:pt idx="54">
                  <c:v>2.4899046545197798</c:v>
                </c:pt>
                <c:pt idx="55">
                  <c:v>2.49875986210357</c:v>
                </c:pt>
                <c:pt idx="56">
                  <c:v>2.5074494476820202</c:v>
                </c:pt>
                <c:pt idx="57">
                  <c:v>2.5159709464814402</c:v>
                </c:pt>
                <c:pt idx="58">
                  <c:v>2.52432195113929</c:v>
                </c:pt>
                <c:pt idx="59">
                  <c:v>2.5325001137383998</c:v>
                </c:pt>
                <c:pt idx="60">
                  <c:v>2.54050314779413</c:v>
                </c:pt>
                <c:pt idx="61">
                  <c:v>2.54832883019089</c:v>
                </c:pt>
                <c:pt idx="62">
                  <c:v>2.5559750030650101</c:v>
                </c:pt>
                <c:pt idx="63">
                  <c:v>2.5634395756305501</c:v>
                </c:pt>
                <c:pt idx="64">
                  <c:v>2.5707205259453101</c:v>
                </c:pt>
                <c:pt idx="65">
                  <c:v>2.5778159026137102</c:v>
                </c:pt>
                <c:pt idx="66">
                  <c:v>2.58472382642397</c:v>
                </c:pt>
                <c:pt idx="67">
                  <c:v>2.5914424919166201</c:v>
                </c:pt>
                <c:pt idx="68">
                  <c:v>2.59797016888177</c:v>
                </c:pt>
                <c:pt idx="69">
                  <c:v>2.6043052037827401</c:v>
                </c:pt>
                <c:pt idx="70">
                  <c:v>2.6104460211033498</c:v>
                </c:pt>
                <c:pt idx="71">
                  <c:v>2.6163911246170399</c:v>
                </c:pt>
                <c:pt idx="72">
                  <c:v>2.6221390985753201</c:v>
                </c:pt>
                <c:pt idx="73">
                  <c:v>2.6276886088139202</c:v>
                </c:pt>
                <c:pt idx="74">
                  <c:v>2.63303840377462</c:v>
                </c:pt>
                <c:pt idx="75">
                  <c:v>2.63818731544132</c:v>
                </c:pt>
                <c:pt idx="76">
                  <c:v>2.6431342601886501</c:v>
                </c:pt>
                <c:pt idx="77">
                  <c:v>2.6478782395421501</c:v>
                </c:pt>
                <c:pt idx="78">
                  <c:v>2.6524183408485298</c:v>
                </c:pt>
                <c:pt idx="79">
                  <c:v>2.6567537378554098</c:v>
                </c:pt>
                <c:pt idx="80">
                  <c:v>2.6608836911995399</c:v>
                </c:pt>
                <c:pt idx="81">
                  <c:v>2.6648075488030001</c:v>
                </c:pt>
                <c:pt idx="82">
                  <c:v>2.6685247461769901</c:v>
                </c:pt>
                <c:pt idx="83">
                  <c:v>2.67203480663302</c:v>
                </c:pt>
                <c:pt idx="84">
                  <c:v>2.67533734140132</c:v>
                </c:pt>
                <c:pt idx="85">
                  <c:v>2.6784320496567999</c:v>
                </c:pt>
                <c:pt idx="86">
                  <c:v>2.6813187184527201</c:v>
                </c:pt>
                <c:pt idx="87">
                  <c:v>2.68399722256276</c:v>
                </c:pt>
                <c:pt idx="88">
                  <c:v>2.6864675242318898</c:v>
                </c:pt>
                <c:pt idx="89">
                  <c:v>2.6887296728372201</c:v>
                </c:pt>
                <c:pt idx="90">
                  <c:v>2.6907838044596</c:v>
                </c:pt>
                <c:pt idx="91">
                  <c:v>2.69263014136726</c:v>
                </c:pt>
                <c:pt idx="92">
                  <c:v>2.6942689914128901</c:v>
                </c:pt>
                <c:pt idx="93">
                  <c:v>2.6957007473455001</c:v>
                </c:pt>
                <c:pt idx="94">
                  <c:v>2.69692588603893</c:v>
                </c:pt>
                <c:pt idx="95">
                  <c:v>2.69794496763868</c:v>
                </c:pt>
                <c:pt idx="96">
                  <c:v>2.69875863462905</c:v>
                </c:pt>
                <c:pt idx="97">
                  <c:v>2.6993676108226299</c:v>
                </c:pt>
                <c:pt idx="98">
                  <c:v>2.6997727002744401</c:v>
                </c:pt>
                <c:pt idx="99">
                  <c:v>2.6999747861229699</c:v>
                </c:pt>
                <c:pt idx="100">
                  <c:v>2.6999747861229699</c:v>
                </c:pt>
                <c:pt idx="101">
                  <c:v>2.6997727002744401</c:v>
                </c:pt>
                <c:pt idx="102">
                  <c:v>2.6993676108226299</c:v>
                </c:pt>
                <c:pt idx="103">
                  <c:v>2.69875863462905</c:v>
                </c:pt>
                <c:pt idx="104">
                  <c:v>2.69794496763868</c:v>
                </c:pt>
                <c:pt idx="105">
                  <c:v>2.69692588603893</c:v>
                </c:pt>
                <c:pt idx="106">
                  <c:v>2.6957007473455001</c:v>
                </c:pt>
                <c:pt idx="107">
                  <c:v>2.6942689914128999</c:v>
                </c:pt>
                <c:pt idx="108">
                  <c:v>2.6926301413672702</c:v>
                </c:pt>
                <c:pt idx="109">
                  <c:v>2.6907838044596</c:v>
                </c:pt>
                <c:pt idx="110">
                  <c:v>2.6887296728372201</c:v>
                </c:pt>
                <c:pt idx="111">
                  <c:v>2.6864675242318898</c:v>
                </c:pt>
                <c:pt idx="112">
                  <c:v>2.68399722256276</c:v>
                </c:pt>
                <c:pt idx="113">
                  <c:v>2.6813187184527298</c:v>
                </c:pt>
                <c:pt idx="114">
                  <c:v>2.6784320496567999</c:v>
                </c:pt>
                <c:pt idx="115">
                  <c:v>2.6753373414013302</c:v>
                </c:pt>
                <c:pt idx="116">
                  <c:v>2.67203480663302</c:v>
                </c:pt>
                <c:pt idx="117">
                  <c:v>2.6685247461769901</c:v>
                </c:pt>
                <c:pt idx="118">
                  <c:v>2.6648075488030001</c:v>
                </c:pt>
                <c:pt idx="119">
                  <c:v>2.6608836911995501</c:v>
                </c:pt>
                <c:pt idx="120">
                  <c:v>2.65675373785542</c:v>
                </c:pt>
                <c:pt idx="121">
                  <c:v>2.65241834084854</c:v>
                </c:pt>
                <c:pt idx="122">
                  <c:v>2.6478782395421501</c:v>
                </c:pt>
                <c:pt idx="123">
                  <c:v>2.6431342601886598</c:v>
                </c:pt>
                <c:pt idx="124">
                  <c:v>2.63818731544132</c:v>
                </c:pt>
                <c:pt idx="125">
                  <c:v>2.6330384037746302</c:v>
                </c:pt>
                <c:pt idx="126">
                  <c:v>2.6276886088139202</c:v>
                </c:pt>
                <c:pt idx="127">
                  <c:v>2.6221390985753201</c:v>
                </c:pt>
                <c:pt idx="128">
                  <c:v>2.6163911246170399</c:v>
                </c:pt>
                <c:pt idx="129">
                  <c:v>2.61044602110336</c:v>
                </c:pt>
                <c:pt idx="130">
                  <c:v>2.6043052037827401</c:v>
                </c:pt>
                <c:pt idx="131">
                  <c:v>2.5979701688817798</c:v>
                </c:pt>
                <c:pt idx="132">
                  <c:v>2.5914424919166201</c:v>
                </c:pt>
                <c:pt idx="133">
                  <c:v>2.5847238264239798</c:v>
                </c:pt>
                <c:pt idx="134">
                  <c:v>2.57781590261372</c:v>
                </c:pt>
                <c:pt idx="135">
                  <c:v>2.5707205259453101</c:v>
                </c:pt>
                <c:pt idx="136">
                  <c:v>2.5634395756305599</c:v>
                </c:pt>
                <c:pt idx="137">
                  <c:v>2.5559750030650101</c:v>
                </c:pt>
                <c:pt idx="138">
                  <c:v>2.5483288301909002</c:v>
                </c:pt>
                <c:pt idx="139">
                  <c:v>2.54050314779413</c:v>
                </c:pt>
                <c:pt idx="140">
                  <c:v>2.53250011373841</c:v>
                </c:pt>
                <c:pt idx="141">
                  <c:v>2.52432195113929</c:v>
                </c:pt>
                <c:pt idx="142">
                  <c:v>2.5159709464814499</c:v>
                </c:pt>
                <c:pt idx="143">
                  <c:v>2.5074494476820202</c:v>
                </c:pt>
                <c:pt idx="144">
                  <c:v>2.4987598621035798</c:v>
                </c:pt>
                <c:pt idx="145">
                  <c:v>2.4899046545197798</c:v>
                </c:pt>
                <c:pt idx="146">
                  <c:v>2.4808863450372098</c:v>
                </c:pt>
                <c:pt idx="147">
                  <c:v>2.4717075069767098</c:v>
                </c:pt>
                <c:pt idx="148">
                  <c:v>2.4623707647178001</c:v>
                </c:pt>
                <c:pt idx="149">
                  <c:v>2.4528787915094501</c:v>
                </c:pt>
                <c:pt idx="150">
                  <c:v>2.44015841700628</c:v>
                </c:pt>
                <c:pt idx="151">
                  <c:v>2.4239360624467099</c:v>
                </c:pt>
                <c:pt idx="152">
                  <c:v>2.4071978464552402</c:v>
                </c:pt>
                <c:pt idx="153">
                  <c:v>2.3899465802487398</c:v>
                </c:pt>
                <c:pt idx="154">
                  <c:v>2.3721857181953898</c:v>
                </c:pt>
                <c:pt idx="155">
                  <c:v>2.3539193648311598</c:v>
                </c:pt>
                <c:pt idx="156">
                  <c:v>2.33515228015527</c:v>
                </c:pt>
                <c:pt idx="157">
                  <c:v>2.31588988313352</c:v>
                </c:pt>
                <c:pt idx="158">
                  <c:v>2.2961382533459198</c:v>
                </c:pt>
                <c:pt idx="159">
                  <c:v>2.2759041307232701</c:v>
                </c:pt>
                <c:pt idx="160">
                  <c:v>2.2551949133264699</c:v>
                </c:pt>
                <c:pt idx="161">
                  <c:v>2.23401865313159</c:v>
                </c:pt>
                <c:pt idx="162">
                  <c:v>2.2123840497941099</c:v>
                </c:pt>
                <c:pt idx="163">
                  <c:v>2.1903004423761301</c:v>
                </c:pt>
                <c:pt idx="164">
                  <c:v>2.16777779903143</c:v>
                </c:pt>
                <c:pt idx="165">
                  <c:v>2.1448267046545202</c:v>
                </c:pt>
                <c:pt idx="166">
                  <c:v>2.12145834651123</c:v>
                </c:pt>
                <c:pt idx="167">
                  <c:v>2.0976844978803202</c:v>
                </c:pt>
                <c:pt idx="168">
                  <c:v>2.0735174997468899</c:v>
                </c:pt>
                <c:pt idx="169">
                  <c:v>2.0489702406000498</c:v>
                </c:pt>
                <c:pt idx="170">
                  <c:v>2.0240561343989301</c:v>
                </c:pt>
                <c:pt idx="171">
                  <c:v>1.9987890967817901</c:v>
                </c:pt>
                <c:pt idx="172">
                  <c:v>1.97318351960397</c:v>
                </c:pt>
                <c:pt idx="173">
                  <c:v>1.9472542439004401</c:v>
                </c:pt>
                <c:pt idx="174">
                  <c:v>1.9210165313783201</c:v>
                </c:pt>
                <c:pt idx="175">
                  <c:v>1.89448603455369</c:v>
                </c:pt>
                <c:pt idx="176">
                  <c:v>1.8676787656549201</c:v>
                </c:pt>
                <c:pt idx="177">
                  <c:v>1.8406110644222</c:v>
                </c:pt>
                <c:pt idx="178">
                  <c:v>1.8132995649391701</c:v>
                </c:pt>
                <c:pt idx="179">
                  <c:v>1.78576116163781</c:v>
                </c:pt>
                <c:pt idx="180">
                  <c:v>1.7580129746222299</c:v>
                </c:pt>
                <c:pt idx="181">
                  <c:v>1.7300723144600401</c:v>
                </c:pt>
                <c:pt idx="182">
                  <c:v>1.7019566465923299</c:v>
                </c:pt>
                <c:pt idx="183">
                  <c:v>1.67368355551417</c:v>
                </c:pt>
                <c:pt idx="184">
                  <c:v>1.64527070887754</c:v>
                </c:pt>
                <c:pt idx="185">
                  <c:v>1.6167358216674901</c:v>
                </c:pt>
                <c:pt idx="186">
                  <c:v>1.58809662060023</c:v>
                </c:pt>
                <c:pt idx="187">
                  <c:v>1.5593708088882301</c:v>
                </c:pt>
                <c:pt idx="188">
                  <c:v>1.53057603151374</c:v>
                </c:pt>
                <c:pt idx="189">
                  <c:v>1.50172984114659</c:v>
                </c:pt>
                <c:pt idx="190">
                  <c:v>1.47284966483619</c:v>
                </c:pt>
                <c:pt idx="191">
                  <c:v>1.44395277160111</c:v>
                </c:pt>
                <c:pt idx="192">
                  <c:v>1.4150562410318199</c:v>
                </c:pt>
                <c:pt idx="193">
                  <c:v>1.38617693301412</c:v>
                </c:pt>
                <c:pt idx="194">
                  <c:v>1.35733145867226</c:v>
                </c:pt>
                <c:pt idx="195">
                  <c:v>1.3285361526214601</c:v>
                </c:pt>
                <c:pt idx="196">
                  <c:v>1.2998070466102301</c:v>
                </c:pt>
                <c:pt idx="197">
                  <c:v>1.27115984462291</c:v>
                </c:pt>
                <c:pt idx="198">
                  <c:v>1.2426098995034001</c:v>
                </c:pt>
                <c:pt idx="199">
                  <c:v>1.2141721911504999</c:v>
                </c:pt>
              </c:numCache>
            </c:numRef>
          </c:xVal>
          <c:yVal>
            <c:numRef>
              <c:f>SSIGA!$D$2:$D$201</c:f>
              <c:numCache>
                <c:formatCode>0.00E+00</c:formatCode>
                <c:ptCount val="200"/>
                <c:pt idx="0">
                  <c:v>-0.59997321926872604</c:v>
                </c:pt>
                <c:pt idx="1">
                  <c:v>-0.59975787067306496</c:v>
                </c:pt>
                <c:pt idx="2">
                  <c:v>-0.59932445656932698</c:v>
                </c:pt>
                <c:pt idx="3">
                  <c:v>-0.59867033378271794</c:v>
                </c:pt>
                <c:pt idx="4">
                  <c:v>-0.59779306887507799</c:v>
                </c:pt>
                <c:pt idx="5">
                  <c:v>-0.59669044733255905</c:v>
                </c:pt>
                <c:pt idx="6">
                  <c:v>-0.595360482345068</c:v>
                </c:pt>
                <c:pt idx="7">
                  <c:v>-0.59380142312975503</c:v>
                </c:pt>
                <c:pt idx="8">
                  <c:v>-0.592011762751807</c:v>
                </c:pt>
                <c:pt idx="9">
                  <c:v>-0.58999024539716305</c:v>
                </c:pt>
                <c:pt idx="10">
                  <c:v>-0.58773587305341801</c:v>
                </c:pt>
                <c:pt idx="11">
                  <c:v>-0.58524791155729805</c:v>
                </c:pt>
                <c:pt idx="12">
                  <c:v>-0.58252589596947801</c:v>
                </c:pt>
                <c:pt idx="13">
                  <c:v>-0.57956963524031202</c:v>
                </c:pt>
                <c:pt idx="14">
                  <c:v>-0.57637921613314402</c:v>
                </c:pt>
                <c:pt idx="15">
                  <c:v>-0.57295500637529095</c:v>
                </c:pt>
                <c:pt idx="16">
                  <c:v>-0.56929765701052204</c:v>
                </c:pt>
                <c:pt idx="17">
                  <c:v>-0.56540810393085394</c:v>
                </c:pt>
                <c:pt idx="18">
                  <c:v>-0.56128756856968998</c:v>
                </c:pt>
                <c:pt idx="19">
                  <c:v>-0.55693755774280296</c:v>
                </c:pt>
                <c:pt idx="20">
                  <c:v>-0.55235986262822501</c:v>
                </c:pt>
                <c:pt idx="21">
                  <c:v>-0.54755655688089799</c:v>
                </c:pt>
                <c:pt idx="22">
                  <c:v>-0.54252999388270995</c:v>
                </c:pt>
                <c:pt idx="23">
                  <c:v>-0.53728280313347099</c:v>
                </c:pt>
                <c:pt idx="24">
                  <c:v>-0.53181788579322697</c:v>
                </c:pt>
                <c:pt idx="25">
                  <c:v>-0.52613840939116396</c:v>
                </c:pt>
                <c:pt idx="26">
                  <c:v>-0.52024780172110396</c:v>
                </c:pt>
                <c:pt idx="27">
                  <c:v>-0.51414974394824597</c:v>
                </c:pt>
                <c:pt idx="28">
                  <c:v>-0.50784816295621404</c:v>
                </c:pt>
                <c:pt idx="29">
                  <c:v>-0.501347222967789</c:v>
                </c:pt>
                <c:pt idx="30">
                  <c:v>-0.49465131647664101</c:v>
                </c:pt>
                <c:pt idx="31">
                  <c:v>-0.48776505453111901</c:v>
                </c:pt>
                <c:pt idx="32">
                  <c:v>-0.480693256414577</c:v>
                </c:pt>
                <c:pt idx="33">
                  <c:v>-0.47344093876972898</c:v>
                </c:pt>
                <c:pt idx="34">
                  <c:v>-0.46601330421723403</c:v>
                </c:pt>
                <c:pt idx="35">
                  <c:v>-0.45841572952102499</c:v>
                </c:pt>
                <c:pt idx="36">
                  <c:v>-0.45065375335476399</c:v>
                </c:pt>
                <c:pt idx="37">
                  <c:v>-0.44273306372529903</c:v>
                </c:pt>
                <c:pt idx="38">
                  <c:v>-0.43465948511005897</c:v>
                </c:pt>
                <c:pt idx="39">
                  <c:v>-0.42643896536595199</c:v>
                </c:pt>
                <c:pt idx="40">
                  <c:v>-0.41807756246755101</c:v>
                </c:pt>
                <c:pt idx="41">
                  <c:v>-0.409581431132167</c:v>
                </c:pt>
                <c:pt idx="42">
                  <c:v>-0.40095680938878298</c:v>
                </c:pt>
                <c:pt idx="43">
                  <c:v>-0.39221000514688398</c:v>
                </c:pt>
                <c:pt idx="44">
                  <c:v>-0.38334738281983299</c:v>
                </c:pt>
                <c:pt idx="45">
                  <c:v>-0.37437535005578498</c:v>
                </c:pt>
                <c:pt idx="46">
                  <c:v>-0.36530034462710897</c:v>
                </c:pt>
                <c:pt idx="47">
                  <c:v>-0.35612882152699499</c:v>
                </c:pt>
                <c:pt idx="48">
                  <c:v>-0.34686724031937699</c:v>
                </c:pt>
                <c:pt idx="49">
                  <c:v>-0.337522052785517</c:v>
                </c:pt>
                <c:pt idx="50">
                  <c:v>-0.32991992574823398</c:v>
                </c:pt>
                <c:pt idx="51">
                  <c:v>-0.324079015645443</c:v>
                </c:pt>
                <c:pt idx="52">
                  <c:v>-0.31818485613216002</c:v>
                </c:pt>
                <c:pt idx="53">
                  <c:v>-0.31223841431756499</c:v>
                </c:pt>
                <c:pt idx="54">
                  <c:v>-0.30624068501703899</c:v>
                </c:pt>
                <c:pt idx="55">
                  <c:v>-0.30019269027440398</c:v>
                </c:pt>
                <c:pt idx="56">
                  <c:v>-0.29409547885159598</c:v>
                </c:pt>
                <c:pt idx="57">
                  <c:v>-0.28795012568614797</c:v>
                </c:pt>
                <c:pt idx="58">
                  <c:v>-0.28175773131697901</c:v>
                </c:pt>
                <c:pt idx="59">
                  <c:v>-0.275519421279035</c:v>
                </c:pt>
                <c:pt idx="60">
                  <c:v>-0.269236345467391</c:v>
                </c:pt>
                <c:pt idx="61">
                  <c:v>-0.26290967747148303</c:v>
                </c:pt>
                <c:pt idx="62">
                  <c:v>-0.25654061388023303</c:v>
                </c:pt>
                <c:pt idx="63">
                  <c:v>-0.25013037355885298</c:v>
                </c:pt>
                <c:pt idx="64">
                  <c:v>-0.243680196898198</c:v>
                </c:pt>
                <c:pt idx="65">
                  <c:v>-0.23719134503761399</c:v>
                </c:pt>
                <c:pt idx="66">
                  <c:v>-0.23066509906223501</c:v>
                </c:pt>
                <c:pt idx="67">
                  <c:v>-0.22410275917581099</c:v>
                </c:pt>
                <c:pt idx="68">
                  <c:v>-0.217505643850124</c:v>
                </c:pt>
                <c:pt idx="69">
                  <c:v>-0.210875088952171</c:v>
                </c:pt>
                <c:pt idx="70">
                  <c:v>-0.20421244685029599</c:v>
                </c:pt>
                <c:pt idx="71">
                  <c:v>-0.197519085500522</c:v>
                </c:pt>
                <c:pt idx="72">
                  <c:v>-0.19079638751436201</c:v>
                </c:pt>
                <c:pt idx="73">
                  <c:v>-0.18404574920945099</c:v>
                </c:pt>
                <c:pt idx="74">
                  <c:v>-0.177268579644345</c:v>
                </c:pt>
                <c:pt idx="75">
                  <c:v>-0.170466299638908</c:v>
                </c:pt>
                <c:pt idx="76">
                  <c:v>-0.16364034078169701</c:v>
                </c:pt>
                <c:pt idx="77">
                  <c:v>-0.156792144425805</c:v>
                </c:pt>
                <c:pt idx="78">
                  <c:v>-0.149923160674655</c:v>
                </c:pt>
                <c:pt idx="79">
                  <c:v>-0.14303484735921701</c:v>
                </c:pt>
                <c:pt idx="80">
                  <c:v>-0.13612866900819301</c:v>
                </c:pt>
                <c:pt idx="81">
                  <c:v>-0.12920609581266401</c:v>
                </c:pt>
                <c:pt idx="82">
                  <c:v>-0.12226860258675799</c:v>
                </c:pt>
                <c:pt idx="83">
                  <c:v>-0.115317667725858</c:v>
                </c:pt>
                <c:pt idx="84">
                  <c:v>-0.10835477216389899</c:v>
                </c:pt>
                <c:pt idx="85">
                  <c:v>-0.101381398331283</c:v>
                </c:pt>
                <c:pt idx="86">
                  <c:v>-9.43990291149336E-2</c:v>
                </c:pt>
                <c:pt idx="87">
                  <c:v>-8.7409146822014505E-2</c:v>
                </c:pt>
                <c:pt idx="88">
                  <c:v>-8.0413232148802194E-2</c:v>
                </c:pt>
                <c:pt idx="89">
                  <c:v>-7.3412763156195701E-2</c:v>
                </c:pt>
                <c:pt idx="90">
                  <c:v>-6.6409214253325799E-2</c:v>
                </c:pt>
                <c:pt idx="91">
                  <c:v>-5.9404055190688497E-2</c:v>
                </c:pt>
                <c:pt idx="92">
                  <c:v>-5.2398750064210999E-2</c:v>
                </c:pt>
                <c:pt idx="93">
                  <c:v>-4.53947563316194E-2</c:v>
                </c:pt>
                <c:pt idx="94">
                  <c:v>-3.8393523842440998E-2</c:v>
                </c:pt>
                <c:pt idx="95">
                  <c:v>-3.1396493882938997E-2</c:v>
                </c:pt>
                <c:pt idx="96">
                  <c:v>-2.4405098237235499E-2</c:v>
                </c:pt>
                <c:pt idx="97">
                  <c:v>-1.7420758265829402E-2</c:v>
                </c:pt>
                <c:pt idx="98">
                  <c:v>-1.0444884002678E-2</c:v>
                </c:pt>
                <c:pt idx="99">
                  <c:v>-3.4788732719563602E-3</c:v>
                </c:pt>
                <c:pt idx="100">
                  <c:v>3.47887327195487E-3</c:v>
                </c:pt>
                <c:pt idx="101">
                  <c:v>1.04448840026766E-2</c:v>
                </c:pt>
                <c:pt idx="102">
                  <c:v>1.74207582658275E-2</c:v>
                </c:pt>
                <c:pt idx="103">
                  <c:v>2.4405098237233601E-2</c:v>
                </c:pt>
                <c:pt idx="104">
                  <c:v>3.1396493882937103E-2</c:v>
                </c:pt>
                <c:pt idx="105">
                  <c:v>3.8393523842438798E-2</c:v>
                </c:pt>
                <c:pt idx="106">
                  <c:v>4.5394756331617603E-2</c:v>
                </c:pt>
                <c:pt idx="107">
                  <c:v>5.2398750064209201E-2</c:v>
                </c:pt>
                <c:pt idx="108">
                  <c:v>5.9404055190686499E-2</c:v>
                </c:pt>
                <c:pt idx="109">
                  <c:v>6.6409214253323898E-2</c:v>
                </c:pt>
                <c:pt idx="110">
                  <c:v>7.3412763156193606E-2</c:v>
                </c:pt>
                <c:pt idx="111">
                  <c:v>8.0413232148800001E-2</c:v>
                </c:pt>
                <c:pt idx="112">
                  <c:v>8.7409146822012507E-2</c:v>
                </c:pt>
                <c:pt idx="113">
                  <c:v>9.4399029114931601E-2</c:v>
                </c:pt>
                <c:pt idx="114">
                  <c:v>0.10138139833128</c:v>
                </c:pt>
                <c:pt idx="115">
                  <c:v>0.108354772163897</c:v>
                </c:pt>
                <c:pt idx="116">
                  <c:v>0.115317667725855</c:v>
                </c:pt>
                <c:pt idx="117">
                  <c:v>0.122268602586756</c:v>
                </c:pt>
                <c:pt idx="118">
                  <c:v>0.12920609581266099</c:v>
                </c:pt>
                <c:pt idx="119">
                  <c:v>0.13612866900819001</c:v>
                </c:pt>
                <c:pt idx="120">
                  <c:v>0.14303484735921501</c:v>
                </c:pt>
                <c:pt idx="121">
                  <c:v>0.149923160674652</c:v>
                </c:pt>
                <c:pt idx="122">
                  <c:v>0.156792144425803</c:v>
                </c:pt>
                <c:pt idx="123">
                  <c:v>0.16364034078169501</c:v>
                </c:pt>
                <c:pt idx="124">
                  <c:v>0.170466299638906</c:v>
                </c:pt>
                <c:pt idx="125">
                  <c:v>0.17726857964434201</c:v>
                </c:pt>
                <c:pt idx="126">
                  <c:v>0.184045749209448</c:v>
                </c:pt>
                <c:pt idx="127">
                  <c:v>0.19079638751436001</c:v>
                </c:pt>
                <c:pt idx="128">
                  <c:v>0.19751908550052</c:v>
                </c:pt>
                <c:pt idx="129">
                  <c:v>0.20421244685029399</c:v>
                </c:pt>
                <c:pt idx="130">
                  <c:v>0.210875088952168</c:v>
                </c:pt>
                <c:pt idx="131">
                  <c:v>0.217505643850122</c:v>
                </c:pt>
                <c:pt idx="132">
                  <c:v>0.22410275917580899</c:v>
                </c:pt>
                <c:pt idx="133">
                  <c:v>0.23066509906223301</c:v>
                </c:pt>
                <c:pt idx="134">
                  <c:v>0.237191345037611</c:v>
                </c:pt>
                <c:pt idx="135">
                  <c:v>0.24368019689819601</c:v>
                </c:pt>
                <c:pt idx="136">
                  <c:v>0.25013037355885098</c:v>
                </c:pt>
                <c:pt idx="137">
                  <c:v>0.25654061388023103</c:v>
                </c:pt>
                <c:pt idx="138">
                  <c:v>0.26290967747147997</c:v>
                </c:pt>
                <c:pt idx="139">
                  <c:v>0.26923634546738801</c:v>
                </c:pt>
                <c:pt idx="140">
                  <c:v>0.27551942127903301</c:v>
                </c:pt>
                <c:pt idx="141">
                  <c:v>0.28175773131697701</c:v>
                </c:pt>
                <c:pt idx="142">
                  <c:v>0.28795012568614597</c:v>
                </c:pt>
                <c:pt idx="143">
                  <c:v>0.29409547885159498</c:v>
                </c:pt>
                <c:pt idx="144">
                  <c:v>0.30019269027440199</c:v>
                </c:pt>
                <c:pt idx="145">
                  <c:v>0.306240685017037</c:v>
                </c:pt>
                <c:pt idx="146">
                  <c:v>0.31223841431756399</c:v>
                </c:pt>
                <c:pt idx="147">
                  <c:v>0.31818485613215802</c:v>
                </c:pt>
                <c:pt idx="148">
                  <c:v>0.324079015645442</c:v>
                </c:pt>
                <c:pt idx="149">
                  <c:v>0.32991992574823298</c:v>
                </c:pt>
                <c:pt idx="150">
                  <c:v>0.337522052785516</c:v>
                </c:pt>
                <c:pt idx="151">
                  <c:v>0.34686724031937599</c:v>
                </c:pt>
                <c:pt idx="152">
                  <c:v>0.35612882152699299</c:v>
                </c:pt>
                <c:pt idx="153">
                  <c:v>0.36530034462710798</c:v>
                </c:pt>
                <c:pt idx="154">
                  <c:v>0.37437535005578398</c:v>
                </c:pt>
                <c:pt idx="155">
                  <c:v>0.38334738281983199</c:v>
                </c:pt>
                <c:pt idx="156">
                  <c:v>0.39221000514688298</c:v>
                </c:pt>
                <c:pt idx="157">
                  <c:v>0.40095680938878198</c:v>
                </c:pt>
                <c:pt idx="158">
                  <c:v>0.409581431132166</c:v>
                </c:pt>
                <c:pt idx="159">
                  <c:v>0.41807756246754901</c:v>
                </c:pt>
                <c:pt idx="160">
                  <c:v>0.42643896536595</c:v>
                </c:pt>
                <c:pt idx="161">
                  <c:v>0.43465948511005797</c:v>
                </c:pt>
                <c:pt idx="162">
                  <c:v>0.44273306372529803</c:v>
                </c:pt>
                <c:pt idx="163">
                  <c:v>0.45065375335476299</c:v>
                </c:pt>
                <c:pt idx="164">
                  <c:v>0.458415729521024</c:v>
                </c:pt>
                <c:pt idx="165">
                  <c:v>0.46601330421723303</c:v>
                </c:pt>
                <c:pt idx="166">
                  <c:v>0.47344093876972798</c:v>
                </c:pt>
                <c:pt idx="167">
                  <c:v>0.480693256414576</c:v>
                </c:pt>
                <c:pt idx="168">
                  <c:v>0.48776505453111701</c:v>
                </c:pt>
                <c:pt idx="169">
                  <c:v>0.49465131647664001</c:v>
                </c:pt>
                <c:pt idx="170">
                  <c:v>0.501347222967788</c:v>
                </c:pt>
                <c:pt idx="171">
                  <c:v>0.50784816295621105</c:v>
                </c:pt>
                <c:pt idx="172">
                  <c:v>0.51414974394824398</c:v>
                </c:pt>
                <c:pt idx="173">
                  <c:v>0.52024780172110197</c:v>
                </c:pt>
                <c:pt idx="174">
                  <c:v>0.52613840939116197</c:v>
                </c:pt>
                <c:pt idx="175">
                  <c:v>0.53181788579322498</c:v>
                </c:pt>
                <c:pt idx="176">
                  <c:v>0.53728280313346899</c:v>
                </c:pt>
                <c:pt idx="177">
                  <c:v>0.54252999388270695</c:v>
                </c:pt>
                <c:pt idx="178">
                  <c:v>0.547556556880895</c:v>
                </c:pt>
                <c:pt idx="179">
                  <c:v>0.55235986262822301</c:v>
                </c:pt>
                <c:pt idx="180">
                  <c:v>0.55693755774280096</c:v>
                </c:pt>
                <c:pt idx="181">
                  <c:v>0.56128756856968798</c:v>
                </c:pt>
                <c:pt idx="182">
                  <c:v>0.56540810393085095</c:v>
                </c:pt>
                <c:pt idx="183">
                  <c:v>0.56929765701051904</c:v>
                </c:pt>
                <c:pt idx="184">
                  <c:v>0.57295500637528796</c:v>
                </c:pt>
                <c:pt idx="185">
                  <c:v>0.57637921613314103</c:v>
                </c:pt>
                <c:pt idx="186">
                  <c:v>0.57956963524030902</c:v>
                </c:pt>
                <c:pt idx="187">
                  <c:v>0.58252589596947402</c:v>
                </c:pt>
                <c:pt idx="188">
                  <c:v>0.58524791155729405</c:v>
                </c:pt>
                <c:pt idx="189">
                  <c:v>0.58773587305341501</c:v>
                </c:pt>
                <c:pt idx="190">
                  <c:v>0.58999024539715905</c:v>
                </c:pt>
                <c:pt idx="191">
                  <c:v>0.59201176275180201</c:v>
                </c:pt>
                <c:pt idx="192">
                  <c:v>0.59380142312975004</c:v>
                </c:pt>
                <c:pt idx="193">
                  <c:v>0.595360482345064</c:v>
                </c:pt>
                <c:pt idx="194">
                  <c:v>0.59669044733255405</c:v>
                </c:pt>
                <c:pt idx="195">
                  <c:v>0.597793068875073</c:v>
                </c:pt>
                <c:pt idx="196">
                  <c:v>0.59867033378271295</c:v>
                </c:pt>
                <c:pt idx="197">
                  <c:v>0.59932445656932198</c:v>
                </c:pt>
                <c:pt idx="198">
                  <c:v>0.59975787067306097</c:v>
                </c:pt>
                <c:pt idx="199">
                  <c:v>0.59997321926872105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AF-4296-A529-29D426210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639696"/>
        <c:axId val="1721634896"/>
      </c:scatterChart>
      <c:valAx>
        <c:axId val="172163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1634896"/>
        <c:crosses val="autoZero"/>
        <c:crossBetween val="midCat"/>
      </c:valAx>
      <c:valAx>
        <c:axId val="172163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163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3449256342957"/>
          <c:y val="5.0925925925925923E-2"/>
          <c:w val="0.81745363079615052"/>
          <c:h val="0.781489501312335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SSIGA!$R$2:$R$201</c:f>
              <c:numCache>
                <c:formatCode>0.00E+00</c:formatCode>
                <c:ptCount val="200"/>
                <c:pt idx="0">
                  <c:v>-0.99398504577202118</c:v>
                </c:pt>
                <c:pt idx="1">
                  <c:v>-0.98191336397234363</c:v>
                </c:pt>
                <c:pt idx="2">
                  <c:v>-0.96978748427691364</c:v>
                </c:pt>
                <c:pt idx="3">
                  <c:v>-0.95760925498562954</c:v>
                </c:pt>
                <c:pt idx="4">
                  <c:v>-0.9453805786929107</c:v>
                </c:pt>
                <c:pt idx="5">
                  <c:v>-0.93310341100374206</c:v>
                </c:pt>
                <c:pt idx="6">
                  <c:v>-0.92077975911999888</c:v>
                </c:pt>
                <c:pt idx="7">
                  <c:v>-0.90841168029803609</c:v>
                </c:pt>
                <c:pt idx="8">
                  <c:v>-0.89600128017894753</c:v>
                </c:pt>
                <c:pt idx="9">
                  <c:v>-0.88355071099367222</c:v>
                </c:pt>
                <c:pt idx="10">
                  <c:v>-0.87106216964549366</c:v>
                </c:pt>
                <c:pt idx="11">
                  <c:v>-0.85853789567322492</c:v>
                </c:pt>
                <c:pt idx="12">
                  <c:v>-0.84598016909875295</c:v>
                </c:pt>
                <c:pt idx="13">
                  <c:v>-0.833391308163412</c:v>
                </c:pt>
                <c:pt idx="14">
                  <c:v>-0.82077366695794229</c:v>
                </c:pt>
                <c:pt idx="15">
                  <c:v>-0.80812963295156948</c:v>
                </c:pt>
                <c:pt idx="16">
                  <c:v>-0.79546162442611312</c:v>
                </c:pt>
                <c:pt idx="17">
                  <c:v>-0.78277208782154373</c:v>
                </c:pt>
                <c:pt idx="18">
                  <c:v>-0.77006349499991611</c:v>
                </c:pt>
                <c:pt idx="19">
                  <c:v>-0.75733834043506898</c:v>
                </c:pt>
                <c:pt idx="20">
                  <c:v>-0.74459913833572466</c:v>
                </c:pt>
                <c:pt idx="21">
                  <c:v>-0.73184841971022385</c:v>
                </c:pt>
                <c:pt idx="22">
                  <c:v>-0.71908872938122104</c:v>
                </c:pt>
                <c:pt idx="23">
                  <c:v>-0.70632262295911119</c:v>
                </c:pt>
                <c:pt idx="24">
                  <c:v>-0.69355266378307612</c:v>
                </c:pt>
                <c:pt idx="25">
                  <c:v>-0.68078141983892781</c:v>
                </c:pt>
                <c:pt idx="26">
                  <c:v>-0.66801146066289752</c:v>
                </c:pt>
                <c:pt idx="27">
                  <c:v>-0.65524535424078223</c:v>
                </c:pt>
                <c:pt idx="28">
                  <c:v>-0.64248566391178163</c:v>
                </c:pt>
                <c:pt idx="29">
                  <c:v>-0.62973494528628005</c:v>
                </c:pt>
                <c:pt idx="30">
                  <c:v>-0.61699574318693529</c:v>
                </c:pt>
                <c:pt idx="31">
                  <c:v>-0.60427058862208771</c:v>
                </c:pt>
                <c:pt idx="32">
                  <c:v>-0.59156199580046298</c:v>
                </c:pt>
                <c:pt idx="33">
                  <c:v>-0.57887245919589025</c:v>
                </c:pt>
                <c:pt idx="34">
                  <c:v>-0.5662044506704349</c:v>
                </c:pt>
                <c:pt idx="35">
                  <c:v>-0.55356041666406286</c:v>
                </c:pt>
                <c:pt idx="36">
                  <c:v>-0.5409427754585926</c:v>
                </c:pt>
                <c:pt idx="37">
                  <c:v>-0.52835391452325098</c:v>
                </c:pt>
                <c:pt idx="38">
                  <c:v>-0.51579618794878002</c:v>
                </c:pt>
                <c:pt idx="39">
                  <c:v>-0.50327191397651017</c:v>
                </c:pt>
                <c:pt idx="40">
                  <c:v>-0.49078337262833649</c:v>
                </c:pt>
                <c:pt idx="41">
                  <c:v>-0.47833280344305801</c:v>
                </c:pt>
                <c:pt idx="42">
                  <c:v>-0.46592240332397034</c:v>
                </c:pt>
                <c:pt idx="43">
                  <c:v>-0.45355432450200628</c:v>
                </c:pt>
                <c:pt idx="44">
                  <c:v>-0.44123067261826415</c:v>
                </c:pt>
                <c:pt idx="45">
                  <c:v>-0.42895350492909323</c:v>
                </c:pt>
                <c:pt idx="46">
                  <c:v>-0.41672482863637617</c:v>
                </c:pt>
                <c:pt idx="47">
                  <c:v>-0.40454659934509218</c:v>
                </c:pt>
                <c:pt idx="48">
                  <c:v>-0.39242071964965958</c:v>
                </c:pt>
                <c:pt idx="49">
                  <c:v>-0.38034903784998242</c:v>
                </c:pt>
                <c:pt idx="50">
                  <c:v>-0.37064286375561922</c:v>
                </c:pt>
                <c:pt idx="51">
                  <c:v>-0.36325115767913507</c:v>
                </c:pt>
                <c:pt idx="52">
                  <c:v>-0.35584748700762386</c:v>
                </c:pt>
                <c:pt idx="53">
                  <c:v>-0.34843232452109463</c:v>
                </c:pt>
                <c:pt idx="54">
                  <c:v>-0.34100614758614267</c:v>
                </c:pt>
                <c:pt idx="55">
                  <c:v>-0.33356943798570943</c:v>
                </c:pt>
                <c:pt idx="56">
                  <c:v>-0.32612268174451003</c:v>
                </c:pt>
                <c:pt idx="57">
                  <c:v>-0.31866636895030487</c:v>
                </c:pt>
                <c:pt idx="58">
                  <c:v>-0.31120099357109476</c:v>
                </c:pt>
                <c:pt idx="59">
                  <c:v>-0.30372705326848964</c:v>
                </c:pt>
                <c:pt idx="60">
                  <c:v>-0.29624504920733563</c:v>
                </c:pt>
                <c:pt idx="61">
                  <c:v>-0.28875548586182281</c:v>
                </c:pt>
                <c:pt idx="62">
                  <c:v>-0.28125887081822637</c:v>
                </c:pt>
                <c:pt idx="63">
                  <c:v>-0.2737557145745001</c:v>
                </c:pt>
                <c:pt idx="64">
                  <c:v>-0.26624653033685181</c:v>
                </c:pt>
                <c:pt idx="65">
                  <c:v>-0.2587318338135805</c:v>
                </c:pt>
                <c:pt idx="66">
                  <c:v>-0.25121214300629452</c:v>
                </c:pt>
                <c:pt idx="67">
                  <c:v>-0.24368797799878877</c:v>
                </c:pt>
                <c:pt idx="68">
                  <c:v>-0.23615986074374537</c:v>
                </c:pt>
                <c:pt idx="69">
                  <c:v>-0.22862831484748056</c:v>
                </c:pt>
                <c:pt idx="70">
                  <c:v>-0.22109386535299583</c:v>
                </c:pt>
                <c:pt idx="71">
                  <c:v>-0.21355703852149538</c:v>
                </c:pt>
                <c:pt idx="72">
                  <c:v>-0.20601836161265111</c:v>
                </c:pt>
                <c:pt idx="73">
                  <c:v>-0.19847836266380753</c:v>
                </c:pt>
                <c:pt idx="74">
                  <c:v>-0.19093757026837424</c:v>
                </c:pt>
                <c:pt idx="75">
                  <c:v>-0.18339651335363205</c:v>
                </c:pt>
                <c:pt idx="76">
                  <c:v>-0.17585572095819918</c:v>
                </c:pt>
                <c:pt idx="77">
                  <c:v>-0.16831572200935424</c:v>
                </c:pt>
                <c:pt idx="78">
                  <c:v>-0.16077704510051122</c:v>
                </c:pt>
                <c:pt idx="79">
                  <c:v>-0.1532402182690111</c:v>
                </c:pt>
                <c:pt idx="80">
                  <c:v>-0.14570576877452557</c:v>
                </c:pt>
                <c:pt idx="81">
                  <c:v>-0.13817422287826053</c:v>
                </c:pt>
                <c:pt idx="82">
                  <c:v>-0.13064610562321607</c:v>
                </c:pt>
                <c:pt idx="83">
                  <c:v>-0.1231219406157118</c:v>
                </c:pt>
                <c:pt idx="84">
                  <c:v>-0.11560224980842621</c:v>
                </c:pt>
                <c:pt idx="85">
                  <c:v>-0.10808755328515356</c:v>
                </c:pt>
                <c:pt idx="86">
                  <c:v>-0.10057836904750678</c:v>
                </c:pt>
                <c:pt idx="87">
                  <c:v>-9.3075212803778756E-2</c:v>
                </c:pt>
                <c:pt idx="88">
                  <c:v>-8.5578597760184311E-2</c:v>
                </c:pt>
                <c:pt idx="89">
                  <c:v>-7.8089034414669911E-2</c:v>
                </c:pt>
                <c:pt idx="90">
                  <c:v>-7.0607030353515537E-2</c:v>
                </c:pt>
                <c:pt idx="91">
                  <c:v>-6.313309005091082E-2</c:v>
                </c:pt>
                <c:pt idx="92">
                  <c:v>-5.5667714671700862E-2</c:v>
                </c:pt>
                <c:pt idx="93">
                  <c:v>-4.821140187749353E-2</c:v>
                </c:pt>
                <c:pt idx="94">
                  <c:v>-4.0764645636296011E-2</c:v>
                </c:pt>
                <c:pt idx="95">
                  <c:v>-3.3327936035861296E-2</c:v>
                </c:pt>
                <c:pt idx="96">
                  <c:v>-2.5901759100909787E-2</c:v>
                </c:pt>
                <c:pt idx="97">
                  <c:v>-1.8486596614380672E-2</c:v>
                </c:pt>
                <c:pt idx="98">
                  <c:v>-1.1082925942867916E-2</c:v>
                </c:pt>
                <c:pt idx="99">
                  <c:v>-3.6912198663849381E-3</c:v>
                </c:pt>
                <c:pt idx="100">
                  <c:v>3.6912198663833573E-3</c:v>
                </c:pt>
                <c:pt idx="101">
                  <c:v>1.1082925942866435E-2</c:v>
                </c:pt>
                <c:pt idx="102">
                  <c:v>1.848659661437866E-2</c:v>
                </c:pt>
                <c:pt idx="103">
                  <c:v>2.5901759100907775E-2</c:v>
                </c:pt>
                <c:pt idx="104">
                  <c:v>3.3327936035859297E-2</c:v>
                </c:pt>
                <c:pt idx="105">
                  <c:v>4.0764645636293673E-2</c:v>
                </c:pt>
                <c:pt idx="106">
                  <c:v>4.8211401877491622E-2</c:v>
                </c:pt>
                <c:pt idx="107">
                  <c:v>5.5667714671698586E-2</c:v>
                </c:pt>
                <c:pt idx="108">
                  <c:v>6.3133090050908267E-2</c:v>
                </c:pt>
                <c:pt idx="109">
                  <c:v>7.0607030353513553E-2</c:v>
                </c:pt>
                <c:pt idx="110">
                  <c:v>7.8089034414667705E-2</c:v>
                </c:pt>
                <c:pt idx="111">
                  <c:v>8.5578597760182021E-2</c:v>
                </c:pt>
                <c:pt idx="112">
                  <c:v>9.3075212803776675E-2</c:v>
                </c:pt>
                <c:pt idx="113">
                  <c:v>0.10057836904750403</c:v>
                </c:pt>
                <c:pt idx="114">
                  <c:v>0.10808755328515041</c:v>
                </c:pt>
                <c:pt idx="115">
                  <c:v>0.11560224980842332</c:v>
                </c:pt>
                <c:pt idx="116">
                  <c:v>0.12312194061570868</c:v>
                </c:pt>
                <c:pt idx="117">
                  <c:v>0.13064610562321402</c:v>
                </c:pt>
                <c:pt idx="118">
                  <c:v>0.1381742228782574</c:v>
                </c:pt>
                <c:pt idx="119">
                  <c:v>0.14570576877452152</c:v>
                </c:pt>
                <c:pt idx="120">
                  <c:v>0.15324021826900799</c:v>
                </c:pt>
                <c:pt idx="121">
                  <c:v>0.16077704510050703</c:v>
                </c:pt>
                <c:pt idx="122">
                  <c:v>0.16831572200935219</c:v>
                </c:pt>
                <c:pt idx="123">
                  <c:v>0.17585572095819599</c:v>
                </c:pt>
                <c:pt idx="124">
                  <c:v>0.18339651335363003</c:v>
                </c:pt>
                <c:pt idx="125">
                  <c:v>0.19093757026836994</c:v>
                </c:pt>
                <c:pt idx="126">
                  <c:v>0.1984783626638045</c:v>
                </c:pt>
                <c:pt idx="127">
                  <c:v>0.20601836161264911</c:v>
                </c:pt>
                <c:pt idx="128">
                  <c:v>0.21355703852149341</c:v>
                </c:pt>
                <c:pt idx="129">
                  <c:v>0.22109386535299236</c:v>
                </c:pt>
                <c:pt idx="130">
                  <c:v>0.22862831484747759</c:v>
                </c:pt>
                <c:pt idx="131">
                  <c:v>0.23615986074374187</c:v>
                </c:pt>
                <c:pt idx="132">
                  <c:v>0.24368797799878683</c:v>
                </c:pt>
                <c:pt idx="133">
                  <c:v>0.25121214300629091</c:v>
                </c:pt>
                <c:pt idx="134">
                  <c:v>0.25873183381357595</c:v>
                </c:pt>
                <c:pt idx="135">
                  <c:v>0.26624653033684986</c:v>
                </c:pt>
                <c:pt idx="136">
                  <c:v>0.27375571457449649</c:v>
                </c:pt>
                <c:pt idx="137">
                  <c:v>0.28125887081822443</c:v>
                </c:pt>
                <c:pt idx="138">
                  <c:v>0.28875548586181804</c:v>
                </c:pt>
                <c:pt idx="139">
                  <c:v>0.29624504920733286</c:v>
                </c:pt>
                <c:pt idx="140">
                  <c:v>0.30372705326848576</c:v>
                </c:pt>
                <c:pt idx="141">
                  <c:v>0.31120099357109288</c:v>
                </c:pt>
                <c:pt idx="142">
                  <c:v>0.31866636895030104</c:v>
                </c:pt>
                <c:pt idx="143">
                  <c:v>0.32612268174450909</c:v>
                </c:pt>
                <c:pt idx="144">
                  <c:v>0.33356943798570543</c:v>
                </c:pt>
                <c:pt idx="145">
                  <c:v>0.3410061475861409</c:v>
                </c:pt>
                <c:pt idx="146">
                  <c:v>0.34843232452109163</c:v>
                </c:pt>
                <c:pt idx="147">
                  <c:v>0.35584748700762203</c:v>
                </c:pt>
                <c:pt idx="148">
                  <c:v>0.3632511576791343</c:v>
                </c:pt>
                <c:pt idx="149">
                  <c:v>0.37064286375561833</c:v>
                </c:pt>
                <c:pt idx="150">
                  <c:v>0.38034903784998142</c:v>
                </c:pt>
                <c:pt idx="151">
                  <c:v>0.39242071964966119</c:v>
                </c:pt>
                <c:pt idx="152">
                  <c:v>0.40454659934509052</c:v>
                </c:pt>
                <c:pt idx="153">
                  <c:v>0.41672482863637539</c:v>
                </c:pt>
                <c:pt idx="154">
                  <c:v>0.42895350492909506</c:v>
                </c:pt>
                <c:pt idx="155">
                  <c:v>0.44123067261826621</c:v>
                </c:pt>
                <c:pt idx="156">
                  <c:v>0.4535543245020055</c:v>
                </c:pt>
                <c:pt idx="157">
                  <c:v>0.4659224033239695</c:v>
                </c:pt>
                <c:pt idx="158">
                  <c:v>0.47833280344305718</c:v>
                </c:pt>
                <c:pt idx="159">
                  <c:v>0.49078337262833488</c:v>
                </c:pt>
                <c:pt idx="160">
                  <c:v>0.50327191397651172</c:v>
                </c:pt>
                <c:pt idx="161">
                  <c:v>0.51579618794878235</c:v>
                </c:pt>
                <c:pt idx="162">
                  <c:v>0.52835391452325031</c:v>
                </c:pt>
                <c:pt idx="163">
                  <c:v>0.54094277545859204</c:v>
                </c:pt>
                <c:pt idx="164">
                  <c:v>0.55356041666406552</c:v>
                </c:pt>
                <c:pt idx="165">
                  <c:v>0.56620445067043434</c:v>
                </c:pt>
                <c:pt idx="166">
                  <c:v>0.57887245919588959</c:v>
                </c:pt>
                <c:pt idx="167">
                  <c:v>0.59156199580046565</c:v>
                </c:pt>
                <c:pt idx="168">
                  <c:v>0.60427058862209015</c:v>
                </c:pt>
                <c:pt idx="169">
                  <c:v>0.61699574318693817</c:v>
                </c:pt>
                <c:pt idx="170">
                  <c:v>0.6297349452862796</c:v>
                </c:pt>
                <c:pt idx="171">
                  <c:v>0.64248566391177997</c:v>
                </c:pt>
                <c:pt idx="172">
                  <c:v>0.65524535424078478</c:v>
                </c:pt>
                <c:pt idx="173">
                  <c:v>0.66801146066289641</c:v>
                </c:pt>
                <c:pt idx="174">
                  <c:v>0.68078141983893048</c:v>
                </c:pt>
                <c:pt idx="175">
                  <c:v>0.69355266378307878</c:v>
                </c:pt>
                <c:pt idx="176">
                  <c:v>0.70632262295911019</c:v>
                </c:pt>
                <c:pt idx="177">
                  <c:v>0.71908872938122337</c:v>
                </c:pt>
                <c:pt idx="178">
                  <c:v>0.73184841971022652</c:v>
                </c:pt>
                <c:pt idx="179">
                  <c:v>0.74459913833572777</c:v>
                </c:pt>
                <c:pt idx="180">
                  <c:v>0.75733834043506842</c:v>
                </c:pt>
                <c:pt idx="181">
                  <c:v>0.77006349499991544</c:v>
                </c:pt>
                <c:pt idx="182">
                  <c:v>0.78277208782154273</c:v>
                </c:pt>
                <c:pt idx="183">
                  <c:v>0.79546162442611645</c:v>
                </c:pt>
                <c:pt idx="184">
                  <c:v>0.80812963295156859</c:v>
                </c:pt>
                <c:pt idx="185">
                  <c:v>0.82077366695794141</c:v>
                </c:pt>
                <c:pt idx="186">
                  <c:v>0.83339130816341134</c:v>
                </c:pt>
                <c:pt idx="187">
                  <c:v>0.84598016909875207</c:v>
                </c:pt>
                <c:pt idx="188">
                  <c:v>0.85853789567322392</c:v>
                </c:pt>
                <c:pt idx="189">
                  <c:v>0.87106216964549288</c:v>
                </c:pt>
                <c:pt idx="190">
                  <c:v>0.88355071099366733</c:v>
                </c:pt>
                <c:pt idx="191">
                  <c:v>0.89600128017894654</c:v>
                </c:pt>
                <c:pt idx="192">
                  <c:v>0.90841168029803554</c:v>
                </c:pt>
                <c:pt idx="193">
                  <c:v>0.92077975911999832</c:v>
                </c:pt>
                <c:pt idx="194">
                  <c:v>0.93310341100373717</c:v>
                </c:pt>
                <c:pt idx="195">
                  <c:v>0.94538057869291037</c:v>
                </c:pt>
                <c:pt idx="196">
                  <c:v>0.9576092549856251</c:v>
                </c:pt>
                <c:pt idx="197">
                  <c:v>0.9697874842769092</c:v>
                </c:pt>
                <c:pt idx="198">
                  <c:v>0.98191336397233964</c:v>
                </c:pt>
                <c:pt idx="199">
                  <c:v>0.99398504577201696</c:v>
                </c:pt>
              </c:numCache>
            </c:numRef>
          </c:xVal>
          <c:yVal>
            <c:numRef>
              <c:f>SSIGA!$S$2:$S$201</c:f>
              <c:numCache>
                <c:formatCode>0.00E+00</c:formatCode>
                <c:ptCount val="200"/>
                <c:pt idx="0">
                  <c:v>2.3308019508627886</c:v>
                </c:pt>
                <c:pt idx="1">
                  <c:v>2.2722233017397215</c:v>
                </c:pt>
                <c:pt idx="2">
                  <c:v>2.2145965460062809</c:v>
                </c:pt>
                <c:pt idx="3">
                  <c:v>2.1580645539428382</c:v>
                </c:pt>
                <c:pt idx="4">
                  <c:v>2.1027979163664288</c:v>
                </c:pt>
                <c:pt idx="5">
                  <c:v>2.0489660941641503</c:v>
                </c:pt>
                <c:pt idx="6">
                  <c:v>1.9967032396355089</c:v>
                </c:pt>
                <c:pt idx="7">
                  <c:v>1.9460796219544578</c:v>
                </c:pt>
                <c:pt idx="8">
                  <c:v>1.8970900811035545</c:v>
                </c:pt>
                <c:pt idx="9">
                  <c:v>1.8496712834089926</c:v>
                </c:pt>
                <c:pt idx="10">
                  <c:v>1.8050983999011279</c:v>
                </c:pt>
                <c:pt idx="11">
                  <c:v>1.7642659566417016</c:v>
                </c:pt>
                <c:pt idx="12">
                  <c:v>1.7260025562744883</c:v>
                </c:pt>
                <c:pt idx="13">
                  <c:v>1.6900760788418558</c:v>
                </c:pt>
                <c:pt idx="14">
                  <c:v>1.6562710542188295</c:v>
                </c:pt>
                <c:pt idx="15">
                  <c:v>1.6243830570350328</c:v>
                </c:pt>
                <c:pt idx="16">
                  <c:v>1.594214585878811</c:v>
                </c:pt>
                <c:pt idx="17">
                  <c:v>1.5655728344722817</c:v>
                </c:pt>
                <c:pt idx="18">
                  <c:v>1.5382705875173248</c:v>
                </c:pt>
                <c:pt idx="19">
                  <c:v>1.5121270294702711</c:v>
                </c:pt>
                <c:pt idx="20">
                  <c:v>1.4869083514007353</c:v>
                </c:pt>
                <c:pt idx="21">
                  <c:v>1.4624830793552266</c:v>
                </c:pt>
                <c:pt idx="22">
                  <c:v>1.4388373775294836</c:v>
                </c:pt>
                <c:pt idx="23">
                  <c:v>1.4159008900654861</c:v>
                </c:pt>
                <c:pt idx="24">
                  <c:v>1.393605669880644</c:v>
                </c:pt>
                <c:pt idx="25">
                  <c:v>1.3718860981861933</c:v>
                </c:pt>
                <c:pt idx="26">
                  <c:v>1.3506719204333257</c:v>
                </c:pt>
                <c:pt idx="27">
                  <c:v>1.3298968589984441</c:v>
                </c:pt>
                <c:pt idx="28">
                  <c:v>1.309499716786181</c:v>
                </c:pt>
                <c:pt idx="29">
                  <c:v>1.2894189231764357</c:v>
                </c:pt>
                <c:pt idx="30">
                  <c:v>1.2705849147699853</c:v>
                </c:pt>
                <c:pt idx="31">
                  <c:v>1.2531076641349106</c:v>
                </c:pt>
                <c:pt idx="32">
                  <c:v>1.2360443456107639</c:v>
                </c:pt>
                <c:pt idx="33">
                  <c:v>1.2193638810567105</c:v>
                </c:pt>
                <c:pt idx="34">
                  <c:v>1.2030458322693509</c:v>
                </c:pt>
                <c:pt idx="35">
                  <c:v>1.187066526201825</c:v>
                </c:pt>
                <c:pt idx="36">
                  <c:v>1.1713984698920641</c:v>
                </c:pt>
                <c:pt idx="37">
                  <c:v>1.1560152120959497</c:v>
                </c:pt>
                <c:pt idx="38">
                  <c:v>1.1408928993655854</c:v>
                </c:pt>
                <c:pt idx="39">
                  <c:v>1.1260030124130664</c:v>
                </c:pt>
                <c:pt idx="40">
                  <c:v>1.1112476860205285</c:v>
                </c:pt>
                <c:pt idx="41">
                  <c:v>1.0967044911587447</c:v>
                </c:pt>
                <c:pt idx="42">
                  <c:v>1.0824657009528813</c:v>
                </c:pt>
                <c:pt idx="43">
                  <c:v>1.0684932925261563</c:v>
                </c:pt>
                <c:pt idx="44">
                  <c:v>1.054750866707584</c:v>
                </c:pt>
                <c:pt idx="45">
                  <c:v>1.0412096973937384</c:v>
                </c:pt>
                <c:pt idx="46">
                  <c:v>1.0278399490457448</c:v>
                </c:pt>
                <c:pt idx="47">
                  <c:v>1.0146116623923076</c:v>
                </c:pt>
                <c:pt idx="48">
                  <c:v>1.0014977835789762</c:v>
                </c:pt>
                <c:pt idx="49">
                  <c:v>0.98847571608769147</c:v>
                </c:pt>
                <c:pt idx="50">
                  <c:v>0.97957856332319482</c:v>
                </c:pt>
                <c:pt idx="51">
                  <c:v>0.97213831449904797</c:v>
                </c:pt>
                <c:pt idx="52">
                  <c:v>0.96472680716667469</c:v>
                </c:pt>
                <c:pt idx="53">
                  <c:v>0.95734203647575677</c:v>
                </c:pt>
                <c:pt idx="54">
                  <c:v>0.94998548037003228</c:v>
                </c:pt>
                <c:pt idx="55">
                  <c:v>0.94265730231984612</c:v>
                </c:pt>
                <c:pt idx="56">
                  <c:v>0.93535946077151111</c:v>
                </c:pt>
                <c:pt idx="57">
                  <c:v>0.92809371771281368</c:v>
                </c:pt>
                <c:pt idx="58">
                  <c:v>0.92086197426297212</c:v>
                </c:pt>
                <c:pt idx="59">
                  <c:v>0.91366650960472628</c:v>
                </c:pt>
                <c:pt idx="60">
                  <c:v>0.90655458157986546</c:v>
                </c:pt>
                <c:pt idx="61">
                  <c:v>0.89954528145937052</c:v>
                </c:pt>
                <c:pt idx="62">
                  <c:v>0.89260278348458755</c:v>
                </c:pt>
                <c:pt idx="63">
                  <c:v>0.88572958591868256</c:v>
                </c:pt>
                <c:pt idx="64">
                  <c:v>0.87892854938237708</c:v>
                </c:pt>
                <c:pt idx="65">
                  <c:v>0.87220291650229442</c:v>
                </c:pt>
                <c:pt idx="66">
                  <c:v>0.86555632797882265</c:v>
                </c:pt>
                <c:pt idx="67">
                  <c:v>0.85899283451990427</c:v>
                </c:pt>
                <c:pt idx="68">
                  <c:v>0.85251690404127278</c:v>
                </c:pt>
                <c:pt idx="69">
                  <c:v>0.84613342350788456</c:v>
                </c:pt>
                <c:pt idx="70">
                  <c:v>0.83978983869769619</c:v>
                </c:pt>
                <c:pt idx="71">
                  <c:v>0.83351218716556508</c:v>
                </c:pt>
                <c:pt idx="72">
                  <c:v>0.82737172367942224</c:v>
                </c:pt>
                <c:pt idx="73">
                  <c:v>0.82137349187786135</c:v>
                </c:pt>
                <c:pt idx="74">
                  <c:v>0.81552293921880725</c:v>
                </c:pt>
                <c:pt idx="75">
                  <c:v>0.80982592228312478</c:v>
                </c:pt>
                <c:pt idx="76">
                  <c:v>0.80428870595625568</c:v>
                </c:pt>
                <c:pt idx="77">
                  <c:v>0.79891795589938097</c:v>
                </c:pt>
                <c:pt idx="78">
                  <c:v>0.79372072375212632</c:v>
                </c:pt>
                <c:pt idx="79">
                  <c:v>0.78870442455884349</c:v>
                </c:pt>
                <c:pt idx="80">
                  <c:v>0.78372156556070405</c:v>
                </c:pt>
                <c:pt idx="81">
                  <c:v>0.77879962511471279</c:v>
                </c:pt>
                <c:pt idx="82">
                  <c:v>0.77410823810065288</c:v>
                </c:pt>
                <c:pt idx="83">
                  <c:v>0.76965322785431289</c:v>
                </c:pt>
                <c:pt idx="84">
                  <c:v>0.7654406322105678</c:v>
                </c:pt>
                <c:pt idx="85">
                  <c:v>0.76147669552840214</c:v>
                </c:pt>
                <c:pt idx="86">
                  <c:v>0.75776785486929066</c:v>
                </c:pt>
                <c:pt idx="87">
                  <c:v>0.75432072020079666</c:v>
                </c:pt>
                <c:pt idx="88">
                  <c:v>0.75114204857447331</c:v>
                </c:pt>
                <c:pt idx="89">
                  <c:v>0.74823871231561701</c:v>
                </c:pt>
                <c:pt idx="90">
                  <c:v>0.74544116236123958</c:v>
                </c:pt>
                <c:pt idx="91">
                  <c:v>0.74277022213674837</c:v>
                </c:pt>
                <c:pt idx="92">
                  <c:v>0.74041103702608457</c:v>
                </c:pt>
                <c:pt idx="93">
                  <c:v>0.73836543781966746</c:v>
                </c:pt>
                <c:pt idx="94">
                  <c:v>0.73663513959807125</c:v>
                </c:pt>
                <c:pt idx="95">
                  <c:v>0.73522175053640726</c:v>
                </c:pt>
                <c:pt idx="96">
                  <c:v>0.7341267751438455</c:v>
                </c:pt>
                <c:pt idx="97">
                  <c:v>0.73335161164955509</c:v>
                </c:pt>
                <c:pt idx="98">
                  <c:v>0.73289754338656854</c:v>
                </c:pt>
                <c:pt idx="99">
                  <c:v>0.73276572417824681</c:v>
                </c:pt>
                <c:pt idx="100">
                  <c:v>0.73276572439550358</c:v>
                </c:pt>
                <c:pt idx="101">
                  <c:v>0.73289754363986503</c:v>
                </c:pt>
                <c:pt idx="102">
                  <c:v>0.73335161195219112</c:v>
                </c:pt>
                <c:pt idx="103">
                  <c:v>0.73412677550388405</c:v>
                </c:pt>
                <c:pt idx="104">
                  <c:v>0.73522175095690001</c:v>
                </c:pt>
                <c:pt idx="105">
                  <c:v>0.73663514007765651</c:v>
                </c:pt>
                <c:pt idx="106">
                  <c:v>0.73836543835314428</c:v>
                </c:pt>
                <c:pt idx="107">
                  <c:v>0.74041103760450155</c:v>
                </c:pt>
                <c:pt idx="108">
                  <c:v>0.74277022274794913</c:v>
                </c:pt>
                <c:pt idx="109">
                  <c:v>0.74544116299014695</c:v>
                </c:pt>
                <c:pt idx="110">
                  <c:v>0.74823871285001153</c:v>
                </c:pt>
                <c:pt idx="111">
                  <c:v>0.75114204892276315</c:v>
                </c:pt>
                <c:pt idx="112">
                  <c:v>0.75432072037383446</c:v>
                </c:pt>
                <c:pt idx="113">
                  <c:v>0.75776785487814768</c:v>
                </c:pt>
                <c:pt idx="114">
                  <c:v>0.76147669538504514</c:v>
                </c:pt>
                <c:pt idx="115">
                  <c:v>0.7654406319289816</c:v>
                </c:pt>
                <c:pt idx="116">
                  <c:v>0.76965322745130815</c:v>
                </c:pt>
                <c:pt idx="117">
                  <c:v>0.7741082375968571</c:v>
                </c:pt>
                <c:pt idx="118">
                  <c:v>0.77879962453510143</c:v>
                </c:pt>
                <c:pt idx="119">
                  <c:v>0.78372156493537304</c:v>
                </c:pt>
                <c:pt idx="120">
                  <c:v>0.78870442403132468</c:v>
                </c:pt>
                <c:pt idx="121">
                  <c:v>0.79372072343890721</c:v>
                </c:pt>
                <c:pt idx="122">
                  <c:v>0.79891795579684166</c:v>
                </c:pt>
                <c:pt idx="123">
                  <c:v>0.80428870605765146</c:v>
                </c:pt>
                <c:pt idx="124">
                  <c:v>0.80982592257739172</c:v>
                </c:pt>
                <c:pt idx="125">
                  <c:v>0.81552293968839185</c:v>
                </c:pt>
                <c:pt idx="126">
                  <c:v>0.82137349249741642</c:v>
                </c:pt>
                <c:pt idx="127">
                  <c:v>0.82737172441439411</c:v>
                </c:pt>
                <c:pt idx="128">
                  <c:v>0.83351218797036553</c:v>
                </c:pt>
                <c:pt idx="129">
                  <c:v>0.83978983951454367</c:v>
                </c:pt>
                <c:pt idx="130">
                  <c:v>0.84613342417223425</c:v>
                </c:pt>
                <c:pt idx="131">
                  <c:v>0.85251690442856665</c:v>
                </c:pt>
                <c:pt idx="132">
                  <c:v>0.85899283463047749</c:v>
                </c:pt>
                <c:pt idx="133">
                  <c:v>0.86555632782951497</c:v>
                </c:pt>
                <c:pt idx="134">
                  <c:v>0.87220291612897793</c:v>
                </c:pt>
                <c:pt idx="135">
                  <c:v>0.87892854884086646</c:v>
                </c:pt>
                <c:pt idx="136">
                  <c:v>0.88572958528644674</c:v>
                </c:pt>
                <c:pt idx="137">
                  <c:v>0.89260278286235939</c:v>
                </c:pt>
                <c:pt idx="138">
                  <c:v>0.89954528097151842</c:v>
                </c:pt>
                <c:pt idx="139">
                  <c:v>0.90655458137641842</c:v>
                </c:pt>
                <c:pt idx="140">
                  <c:v>0.91366650974570884</c:v>
                </c:pt>
                <c:pt idx="141">
                  <c:v>0.92086197471335685</c:v>
                </c:pt>
                <c:pt idx="142">
                  <c:v>0.9280937184576985</c:v>
                </c:pt>
                <c:pt idx="143">
                  <c:v>0.93535946173042639</c:v>
                </c:pt>
                <c:pt idx="144">
                  <c:v>0.94265730334163389</c:v>
                </c:pt>
                <c:pt idx="145">
                  <c:v>0.94998548122396087</c:v>
                </c:pt>
                <c:pt idx="146">
                  <c:v>0.95734203682961139</c:v>
                </c:pt>
                <c:pt idx="147">
                  <c:v>0.96472680658905174</c:v>
                </c:pt>
                <c:pt idx="148">
                  <c:v>0.97213831244464899</c:v>
                </c:pt>
                <c:pt idx="149">
                  <c:v>0.97957855916099335</c:v>
                </c:pt>
                <c:pt idx="150">
                  <c:v>0.98847571114816335</c:v>
                </c:pt>
                <c:pt idx="151">
                  <c:v>1.0014977809854995</c:v>
                </c:pt>
                <c:pt idx="152">
                  <c:v>1.0146116616153089</c:v>
                </c:pt>
                <c:pt idx="153">
                  <c:v>1.0278399495715955</c:v>
                </c:pt>
                <c:pt idx="154">
                  <c:v>1.041209698735752</c:v>
                </c:pt>
                <c:pt idx="155">
                  <c:v>1.0547508684219671</c:v>
                </c:pt>
                <c:pt idx="156">
                  <c:v>1.0684932942192784</c:v>
                </c:pt>
                <c:pt idx="157">
                  <c:v>1.0824657022896944</c:v>
                </c:pt>
                <c:pt idx="158">
                  <c:v>1.0967044918923765</c:v>
                </c:pt>
                <c:pt idx="159">
                  <c:v>1.1112476860146361</c:v>
                </c:pt>
                <c:pt idx="160">
                  <c:v>1.1260030119983933</c:v>
                </c:pt>
                <c:pt idx="161">
                  <c:v>1.1408928989052947</c:v>
                </c:pt>
                <c:pt idx="162">
                  <c:v>1.1560152115895901</c:v>
                </c:pt>
                <c:pt idx="163">
                  <c:v>1.1713984693426798</c:v>
                </c:pt>
                <c:pt idx="164">
                  <c:v>1.187066525623816</c:v>
                </c:pt>
                <c:pt idx="165">
                  <c:v>1.2030458316795716</c:v>
                </c:pt>
                <c:pt idx="166">
                  <c:v>1.2193638804683875</c:v>
                </c:pt>
                <c:pt idx="167">
                  <c:v>1.2360443450383487</c:v>
                </c:pt>
                <c:pt idx="168">
                  <c:v>1.253107663594609</c:v>
                </c:pt>
                <c:pt idx="169">
                  <c:v>1.2705849142575072</c:v>
                </c:pt>
                <c:pt idx="170">
                  <c:v>1.2894189227446753</c:v>
                </c:pt>
                <c:pt idx="171">
                  <c:v>1.3094997164666107</c:v>
                </c:pt>
                <c:pt idx="172">
                  <c:v>1.3298968587748141</c:v>
                </c:pt>
                <c:pt idx="173">
                  <c:v>1.3506719202922706</c:v>
                </c:pt>
                <c:pt idx="174">
                  <c:v>1.3718860981213472</c:v>
                </c:pt>
                <c:pt idx="175">
                  <c:v>1.3936056698867405</c:v>
                </c:pt>
                <c:pt idx="176">
                  <c:v>1.4159008901354531</c:v>
                </c:pt>
                <c:pt idx="177">
                  <c:v>1.4388373776619952</c:v>
                </c:pt>
                <c:pt idx="178">
                  <c:v>1.4624830795523152</c:v>
                </c:pt>
                <c:pt idx="179">
                  <c:v>1.4869083516666399</c:v>
                </c:pt>
                <c:pt idx="180">
                  <c:v>1.5121270297669345</c:v>
                </c:pt>
                <c:pt idx="181">
                  <c:v>1.5382705878081322</c:v>
                </c:pt>
                <c:pt idx="182">
                  <c:v>1.5655728347652886</c:v>
                </c:pt>
                <c:pt idx="183">
                  <c:v>1.5942145861801287</c:v>
                </c:pt>
                <c:pt idx="184">
                  <c:v>1.6243830573492937</c:v>
                </c:pt>
                <c:pt idx="185">
                  <c:v>1.6562710545475041</c:v>
                </c:pt>
                <c:pt idx="186">
                  <c:v>1.6900760791836196</c:v>
                </c:pt>
                <c:pt idx="187">
                  <c:v>1.7260025566251891</c:v>
                </c:pt>
                <c:pt idx="188">
                  <c:v>1.7642659569951702</c:v>
                </c:pt>
                <c:pt idx="189">
                  <c:v>1.8050984002490169</c:v>
                </c:pt>
                <c:pt idx="190">
                  <c:v>1.8496712837389566</c:v>
                </c:pt>
                <c:pt idx="191">
                  <c:v>1.8970900813930871</c:v>
                </c:pt>
                <c:pt idx="192">
                  <c:v>1.946079622182429</c:v>
                </c:pt>
                <c:pt idx="193">
                  <c:v>1.9967032397856617</c:v>
                </c:pt>
                <c:pt idx="194">
                  <c:v>2.0489660942275836</c:v>
                </c:pt>
                <c:pt idx="195">
                  <c:v>2.1027979163472725</c:v>
                </c:pt>
                <c:pt idx="196">
                  <c:v>2.15806455386365</c:v>
                </c:pt>
                <c:pt idx="197">
                  <c:v>2.2145965459141861</c:v>
                </c:pt>
                <c:pt idx="198">
                  <c:v>2.2722233017133546</c:v>
                </c:pt>
                <c:pt idx="199">
                  <c:v>2.3308019510166709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D-4CE0-92C0-B6ECFA341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705487"/>
        <c:axId val="1330691567"/>
      </c:scatterChart>
      <c:valAx>
        <c:axId val="133070548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2φ/π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691567"/>
        <c:crosses val="autoZero"/>
        <c:crossBetween val="midCat"/>
        <c:majorUnit val="0.1"/>
      </c:valAx>
      <c:valAx>
        <c:axId val="13306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KI/σ</a:t>
                </a:r>
                <a:r>
                  <a:rPr lang="ja-JP"/>
                  <a:t>√</a:t>
                </a:r>
                <a:r>
                  <a:rPr lang="en-US"/>
                  <a:t>πb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705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SSIGA!$AD$2:$AD$18</c:f>
              <c:numCache>
                <c:formatCode>General</c:formatCode>
                <c:ptCount val="17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0.83299999999999996</c:v>
                </c:pt>
                <c:pt idx="8">
                  <c:v>0.91700000000000004</c:v>
                </c:pt>
                <c:pt idx="9">
                  <c:v>0.95799999999999996</c:v>
                </c:pt>
                <c:pt idx="10">
                  <c:v>1</c:v>
                </c:pt>
              </c:numCache>
            </c:numRef>
          </c:xVal>
          <c:yVal>
            <c:numRef>
              <c:f>SSIGA!$AE$2:$AE$18</c:f>
              <c:numCache>
                <c:formatCode>General</c:formatCode>
                <c:ptCount val="17"/>
                <c:pt idx="0">
                  <c:v>0.75800000000000001</c:v>
                </c:pt>
                <c:pt idx="1">
                  <c:v>0.79300000000000004</c:v>
                </c:pt>
                <c:pt idx="2">
                  <c:v>0.875</c:v>
                </c:pt>
                <c:pt idx="3">
                  <c:v>0.98299999999999998</c:v>
                </c:pt>
                <c:pt idx="4">
                  <c:v>1.1080000000000001</c:v>
                </c:pt>
                <c:pt idx="5">
                  <c:v>1.262</c:v>
                </c:pt>
                <c:pt idx="6">
                  <c:v>1.4490000000000001</c:v>
                </c:pt>
                <c:pt idx="7">
                  <c:v>1.643</c:v>
                </c:pt>
                <c:pt idx="8">
                  <c:v>1.861</c:v>
                </c:pt>
                <c:pt idx="9">
                  <c:v>1.96</c:v>
                </c:pt>
                <c:pt idx="10">
                  <c:v>1.671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B-4A50-B6E7-0A80CFEEB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74959"/>
        <c:axId val="81775919"/>
      </c:scatterChart>
      <c:valAx>
        <c:axId val="817749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775919"/>
        <c:crosses val="autoZero"/>
        <c:crossBetween val="midCat"/>
      </c:valAx>
      <c:valAx>
        <c:axId val="8177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77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3449256342957"/>
          <c:y val="5.0925925925925923E-2"/>
          <c:w val="0.81745363079615052"/>
          <c:h val="0.781489501312335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SSIGA!$R$2:$R$201</c:f>
              <c:numCache>
                <c:formatCode>0.00E+00</c:formatCode>
                <c:ptCount val="200"/>
                <c:pt idx="0">
                  <c:v>-0.99398504577202118</c:v>
                </c:pt>
                <c:pt idx="1">
                  <c:v>-0.98191336397234363</c:v>
                </c:pt>
                <c:pt idx="2">
                  <c:v>-0.96978748427691364</c:v>
                </c:pt>
                <c:pt idx="3">
                  <c:v>-0.95760925498562954</c:v>
                </c:pt>
                <c:pt idx="4">
                  <c:v>-0.9453805786929107</c:v>
                </c:pt>
                <c:pt idx="5">
                  <c:v>-0.93310341100374206</c:v>
                </c:pt>
                <c:pt idx="6">
                  <c:v>-0.92077975911999888</c:v>
                </c:pt>
                <c:pt idx="7">
                  <c:v>-0.90841168029803609</c:v>
                </c:pt>
                <c:pt idx="8">
                  <c:v>-0.89600128017894753</c:v>
                </c:pt>
                <c:pt idx="9">
                  <c:v>-0.88355071099367222</c:v>
                </c:pt>
                <c:pt idx="10">
                  <c:v>-0.87106216964549366</c:v>
                </c:pt>
                <c:pt idx="11">
                  <c:v>-0.85853789567322492</c:v>
                </c:pt>
                <c:pt idx="12">
                  <c:v>-0.84598016909875295</c:v>
                </c:pt>
                <c:pt idx="13">
                  <c:v>-0.833391308163412</c:v>
                </c:pt>
                <c:pt idx="14">
                  <c:v>-0.82077366695794229</c:v>
                </c:pt>
                <c:pt idx="15">
                  <c:v>-0.80812963295156948</c:v>
                </c:pt>
                <c:pt idx="16">
                  <c:v>-0.79546162442611312</c:v>
                </c:pt>
                <c:pt idx="17">
                  <c:v>-0.78277208782154373</c:v>
                </c:pt>
                <c:pt idx="18">
                  <c:v>-0.77006349499991611</c:v>
                </c:pt>
                <c:pt idx="19">
                  <c:v>-0.75733834043506898</c:v>
                </c:pt>
                <c:pt idx="20">
                  <c:v>-0.74459913833572466</c:v>
                </c:pt>
                <c:pt idx="21">
                  <c:v>-0.73184841971022385</c:v>
                </c:pt>
                <c:pt idx="22">
                  <c:v>-0.71908872938122104</c:v>
                </c:pt>
                <c:pt idx="23">
                  <c:v>-0.70632262295911119</c:v>
                </c:pt>
                <c:pt idx="24">
                  <c:v>-0.69355266378307612</c:v>
                </c:pt>
                <c:pt idx="25">
                  <c:v>-0.68078141983892781</c:v>
                </c:pt>
                <c:pt idx="26">
                  <c:v>-0.66801146066289752</c:v>
                </c:pt>
                <c:pt idx="27">
                  <c:v>-0.65524535424078223</c:v>
                </c:pt>
                <c:pt idx="28">
                  <c:v>-0.64248566391178163</c:v>
                </c:pt>
                <c:pt idx="29">
                  <c:v>-0.62973494528628005</c:v>
                </c:pt>
                <c:pt idx="30">
                  <c:v>-0.61699574318693529</c:v>
                </c:pt>
                <c:pt idx="31">
                  <c:v>-0.60427058862208771</c:v>
                </c:pt>
                <c:pt idx="32">
                  <c:v>-0.59156199580046298</c:v>
                </c:pt>
                <c:pt idx="33">
                  <c:v>-0.57887245919589025</c:v>
                </c:pt>
                <c:pt idx="34">
                  <c:v>-0.5662044506704349</c:v>
                </c:pt>
                <c:pt idx="35">
                  <c:v>-0.55356041666406286</c:v>
                </c:pt>
                <c:pt idx="36">
                  <c:v>-0.5409427754585926</c:v>
                </c:pt>
                <c:pt idx="37">
                  <c:v>-0.52835391452325098</c:v>
                </c:pt>
                <c:pt idx="38">
                  <c:v>-0.51579618794878002</c:v>
                </c:pt>
                <c:pt idx="39">
                  <c:v>-0.50327191397651017</c:v>
                </c:pt>
                <c:pt idx="40">
                  <c:v>-0.49078337262833649</c:v>
                </c:pt>
                <c:pt idx="41">
                  <c:v>-0.47833280344305801</c:v>
                </c:pt>
                <c:pt idx="42">
                  <c:v>-0.46592240332397034</c:v>
                </c:pt>
                <c:pt idx="43">
                  <c:v>-0.45355432450200628</c:v>
                </c:pt>
                <c:pt idx="44">
                  <c:v>-0.44123067261826415</c:v>
                </c:pt>
                <c:pt idx="45">
                  <c:v>-0.42895350492909323</c:v>
                </c:pt>
                <c:pt idx="46">
                  <c:v>-0.41672482863637617</c:v>
                </c:pt>
                <c:pt idx="47">
                  <c:v>-0.40454659934509218</c:v>
                </c:pt>
                <c:pt idx="48">
                  <c:v>-0.39242071964965958</c:v>
                </c:pt>
                <c:pt idx="49">
                  <c:v>-0.38034903784998242</c:v>
                </c:pt>
                <c:pt idx="50">
                  <c:v>-0.37064286375561922</c:v>
                </c:pt>
                <c:pt idx="51">
                  <c:v>-0.36325115767913507</c:v>
                </c:pt>
                <c:pt idx="52">
                  <c:v>-0.35584748700762386</c:v>
                </c:pt>
                <c:pt idx="53">
                  <c:v>-0.34843232452109463</c:v>
                </c:pt>
                <c:pt idx="54">
                  <c:v>-0.34100614758614267</c:v>
                </c:pt>
                <c:pt idx="55">
                  <c:v>-0.33356943798570943</c:v>
                </c:pt>
                <c:pt idx="56">
                  <c:v>-0.32612268174451003</c:v>
                </c:pt>
                <c:pt idx="57">
                  <c:v>-0.31866636895030487</c:v>
                </c:pt>
                <c:pt idx="58">
                  <c:v>-0.31120099357109476</c:v>
                </c:pt>
                <c:pt idx="59">
                  <c:v>-0.30372705326848964</c:v>
                </c:pt>
                <c:pt idx="60">
                  <c:v>-0.29624504920733563</c:v>
                </c:pt>
                <c:pt idx="61">
                  <c:v>-0.28875548586182281</c:v>
                </c:pt>
                <c:pt idx="62">
                  <c:v>-0.28125887081822637</c:v>
                </c:pt>
                <c:pt idx="63">
                  <c:v>-0.2737557145745001</c:v>
                </c:pt>
                <c:pt idx="64">
                  <c:v>-0.26624653033685181</c:v>
                </c:pt>
                <c:pt idx="65">
                  <c:v>-0.2587318338135805</c:v>
                </c:pt>
                <c:pt idx="66">
                  <c:v>-0.25121214300629452</c:v>
                </c:pt>
                <c:pt idx="67">
                  <c:v>-0.24368797799878877</c:v>
                </c:pt>
                <c:pt idx="68">
                  <c:v>-0.23615986074374537</c:v>
                </c:pt>
                <c:pt idx="69">
                  <c:v>-0.22862831484748056</c:v>
                </c:pt>
                <c:pt idx="70">
                  <c:v>-0.22109386535299583</c:v>
                </c:pt>
                <c:pt idx="71">
                  <c:v>-0.21355703852149538</c:v>
                </c:pt>
                <c:pt idx="72">
                  <c:v>-0.20601836161265111</c:v>
                </c:pt>
                <c:pt idx="73">
                  <c:v>-0.19847836266380753</c:v>
                </c:pt>
                <c:pt idx="74">
                  <c:v>-0.19093757026837424</c:v>
                </c:pt>
                <c:pt idx="75">
                  <c:v>-0.18339651335363205</c:v>
                </c:pt>
                <c:pt idx="76">
                  <c:v>-0.17585572095819918</c:v>
                </c:pt>
                <c:pt idx="77">
                  <c:v>-0.16831572200935424</c:v>
                </c:pt>
                <c:pt idx="78">
                  <c:v>-0.16077704510051122</c:v>
                </c:pt>
                <c:pt idx="79">
                  <c:v>-0.1532402182690111</c:v>
                </c:pt>
                <c:pt idx="80">
                  <c:v>-0.14570576877452557</c:v>
                </c:pt>
                <c:pt idx="81">
                  <c:v>-0.13817422287826053</c:v>
                </c:pt>
                <c:pt idx="82">
                  <c:v>-0.13064610562321607</c:v>
                </c:pt>
                <c:pt idx="83">
                  <c:v>-0.1231219406157118</c:v>
                </c:pt>
                <c:pt idx="84">
                  <c:v>-0.11560224980842621</c:v>
                </c:pt>
                <c:pt idx="85">
                  <c:v>-0.10808755328515356</c:v>
                </c:pt>
                <c:pt idx="86">
                  <c:v>-0.10057836904750678</c:v>
                </c:pt>
                <c:pt idx="87">
                  <c:v>-9.3075212803778756E-2</c:v>
                </c:pt>
                <c:pt idx="88">
                  <c:v>-8.5578597760184311E-2</c:v>
                </c:pt>
                <c:pt idx="89">
                  <c:v>-7.8089034414669911E-2</c:v>
                </c:pt>
                <c:pt idx="90">
                  <c:v>-7.0607030353515537E-2</c:v>
                </c:pt>
                <c:pt idx="91">
                  <c:v>-6.313309005091082E-2</c:v>
                </c:pt>
                <c:pt idx="92">
                  <c:v>-5.5667714671700862E-2</c:v>
                </c:pt>
                <c:pt idx="93">
                  <c:v>-4.821140187749353E-2</c:v>
                </c:pt>
                <c:pt idx="94">
                  <c:v>-4.0764645636296011E-2</c:v>
                </c:pt>
                <c:pt idx="95">
                  <c:v>-3.3327936035861296E-2</c:v>
                </c:pt>
                <c:pt idx="96">
                  <c:v>-2.5901759100909787E-2</c:v>
                </c:pt>
                <c:pt idx="97">
                  <c:v>-1.8486596614380672E-2</c:v>
                </c:pt>
                <c:pt idx="98">
                  <c:v>-1.1082925942867916E-2</c:v>
                </c:pt>
                <c:pt idx="99">
                  <c:v>-3.6912198663849381E-3</c:v>
                </c:pt>
                <c:pt idx="100">
                  <c:v>3.6912198663833573E-3</c:v>
                </c:pt>
                <c:pt idx="101">
                  <c:v>1.1082925942866435E-2</c:v>
                </c:pt>
                <c:pt idx="102">
                  <c:v>1.848659661437866E-2</c:v>
                </c:pt>
                <c:pt idx="103">
                  <c:v>2.5901759100907775E-2</c:v>
                </c:pt>
                <c:pt idx="104">
                  <c:v>3.3327936035859297E-2</c:v>
                </c:pt>
                <c:pt idx="105">
                  <c:v>4.0764645636293673E-2</c:v>
                </c:pt>
                <c:pt idx="106">
                  <c:v>4.8211401877491622E-2</c:v>
                </c:pt>
                <c:pt idx="107">
                  <c:v>5.5667714671698586E-2</c:v>
                </c:pt>
                <c:pt idx="108">
                  <c:v>6.3133090050908267E-2</c:v>
                </c:pt>
                <c:pt idx="109">
                  <c:v>7.0607030353513553E-2</c:v>
                </c:pt>
                <c:pt idx="110">
                  <c:v>7.8089034414667705E-2</c:v>
                </c:pt>
                <c:pt idx="111">
                  <c:v>8.5578597760182021E-2</c:v>
                </c:pt>
                <c:pt idx="112">
                  <c:v>9.3075212803776675E-2</c:v>
                </c:pt>
                <c:pt idx="113">
                  <c:v>0.10057836904750403</c:v>
                </c:pt>
                <c:pt idx="114">
                  <c:v>0.10808755328515041</c:v>
                </c:pt>
                <c:pt idx="115">
                  <c:v>0.11560224980842332</c:v>
                </c:pt>
                <c:pt idx="116">
                  <c:v>0.12312194061570868</c:v>
                </c:pt>
                <c:pt idx="117">
                  <c:v>0.13064610562321402</c:v>
                </c:pt>
                <c:pt idx="118">
                  <c:v>0.1381742228782574</c:v>
                </c:pt>
                <c:pt idx="119">
                  <c:v>0.14570576877452152</c:v>
                </c:pt>
                <c:pt idx="120">
                  <c:v>0.15324021826900799</c:v>
                </c:pt>
                <c:pt idx="121">
                  <c:v>0.16077704510050703</c:v>
                </c:pt>
                <c:pt idx="122">
                  <c:v>0.16831572200935219</c:v>
                </c:pt>
                <c:pt idx="123">
                  <c:v>0.17585572095819599</c:v>
                </c:pt>
                <c:pt idx="124">
                  <c:v>0.18339651335363003</c:v>
                </c:pt>
                <c:pt idx="125">
                  <c:v>0.19093757026836994</c:v>
                </c:pt>
                <c:pt idx="126">
                  <c:v>0.1984783626638045</c:v>
                </c:pt>
                <c:pt idx="127">
                  <c:v>0.20601836161264911</c:v>
                </c:pt>
                <c:pt idx="128">
                  <c:v>0.21355703852149341</c:v>
                </c:pt>
                <c:pt idx="129">
                  <c:v>0.22109386535299236</c:v>
                </c:pt>
                <c:pt idx="130">
                  <c:v>0.22862831484747759</c:v>
                </c:pt>
                <c:pt idx="131">
                  <c:v>0.23615986074374187</c:v>
                </c:pt>
                <c:pt idx="132">
                  <c:v>0.24368797799878683</c:v>
                </c:pt>
                <c:pt idx="133">
                  <c:v>0.25121214300629091</c:v>
                </c:pt>
                <c:pt idx="134">
                  <c:v>0.25873183381357595</c:v>
                </c:pt>
                <c:pt idx="135">
                  <c:v>0.26624653033684986</c:v>
                </c:pt>
                <c:pt idx="136">
                  <c:v>0.27375571457449649</c:v>
                </c:pt>
                <c:pt idx="137">
                  <c:v>0.28125887081822443</c:v>
                </c:pt>
                <c:pt idx="138">
                  <c:v>0.28875548586181804</c:v>
                </c:pt>
                <c:pt idx="139">
                  <c:v>0.29624504920733286</c:v>
                </c:pt>
                <c:pt idx="140">
                  <c:v>0.30372705326848576</c:v>
                </c:pt>
                <c:pt idx="141">
                  <c:v>0.31120099357109288</c:v>
                </c:pt>
                <c:pt idx="142">
                  <c:v>0.31866636895030104</c:v>
                </c:pt>
                <c:pt idx="143">
                  <c:v>0.32612268174450909</c:v>
                </c:pt>
                <c:pt idx="144">
                  <c:v>0.33356943798570543</c:v>
                </c:pt>
                <c:pt idx="145">
                  <c:v>0.3410061475861409</c:v>
                </c:pt>
                <c:pt idx="146">
                  <c:v>0.34843232452109163</c:v>
                </c:pt>
                <c:pt idx="147">
                  <c:v>0.35584748700762203</c:v>
                </c:pt>
                <c:pt idx="148">
                  <c:v>0.3632511576791343</c:v>
                </c:pt>
                <c:pt idx="149">
                  <c:v>0.37064286375561833</c:v>
                </c:pt>
                <c:pt idx="150">
                  <c:v>0.38034903784998142</c:v>
                </c:pt>
                <c:pt idx="151">
                  <c:v>0.39242071964966119</c:v>
                </c:pt>
                <c:pt idx="152">
                  <c:v>0.40454659934509052</c:v>
                </c:pt>
                <c:pt idx="153">
                  <c:v>0.41672482863637539</c:v>
                </c:pt>
                <c:pt idx="154">
                  <c:v>0.42895350492909506</c:v>
                </c:pt>
                <c:pt idx="155">
                  <c:v>0.44123067261826621</c:v>
                </c:pt>
                <c:pt idx="156">
                  <c:v>0.4535543245020055</c:v>
                </c:pt>
                <c:pt idx="157">
                  <c:v>0.4659224033239695</c:v>
                </c:pt>
                <c:pt idx="158">
                  <c:v>0.47833280344305718</c:v>
                </c:pt>
                <c:pt idx="159">
                  <c:v>0.49078337262833488</c:v>
                </c:pt>
                <c:pt idx="160">
                  <c:v>0.50327191397651172</c:v>
                </c:pt>
                <c:pt idx="161">
                  <c:v>0.51579618794878235</c:v>
                </c:pt>
                <c:pt idx="162">
                  <c:v>0.52835391452325031</c:v>
                </c:pt>
                <c:pt idx="163">
                  <c:v>0.54094277545859204</c:v>
                </c:pt>
                <c:pt idx="164">
                  <c:v>0.55356041666406552</c:v>
                </c:pt>
                <c:pt idx="165">
                  <c:v>0.56620445067043434</c:v>
                </c:pt>
                <c:pt idx="166">
                  <c:v>0.57887245919588959</c:v>
                </c:pt>
                <c:pt idx="167">
                  <c:v>0.59156199580046565</c:v>
                </c:pt>
                <c:pt idx="168">
                  <c:v>0.60427058862209015</c:v>
                </c:pt>
                <c:pt idx="169">
                  <c:v>0.61699574318693817</c:v>
                </c:pt>
                <c:pt idx="170">
                  <c:v>0.6297349452862796</c:v>
                </c:pt>
                <c:pt idx="171">
                  <c:v>0.64248566391177997</c:v>
                </c:pt>
                <c:pt idx="172">
                  <c:v>0.65524535424078478</c:v>
                </c:pt>
                <c:pt idx="173">
                  <c:v>0.66801146066289641</c:v>
                </c:pt>
                <c:pt idx="174">
                  <c:v>0.68078141983893048</c:v>
                </c:pt>
                <c:pt idx="175">
                  <c:v>0.69355266378307878</c:v>
                </c:pt>
                <c:pt idx="176">
                  <c:v>0.70632262295911019</c:v>
                </c:pt>
                <c:pt idx="177">
                  <c:v>0.71908872938122337</c:v>
                </c:pt>
                <c:pt idx="178">
                  <c:v>0.73184841971022652</c:v>
                </c:pt>
                <c:pt idx="179">
                  <c:v>0.74459913833572777</c:v>
                </c:pt>
                <c:pt idx="180">
                  <c:v>0.75733834043506842</c:v>
                </c:pt>
                <c:pt idx="181">
                  <c:v>0.77006349499991544</c:v>
                </c:pt>
                <c:pt idx="182">
                  <c:v>0.78277208782154273</c:v>
                </c:pt>
                <c:pt idx="183">
                  <c:v>0.79546162442611645</c:v>
                </c:pt>
                <c:pt idx="184">
                  <c:v>0.80812963295156859</c:v>
                </c:pt>
                <c:pt idx="185">
                  <c:v>0.82077366695794141</c:v>
                </c:pt>
                <c:pt idx="186">
                  <c:v>0.83339130816341134</c:v>
                </c:pt>
                <c:pt idx="187">
                  <c:v>0.84598016909875207</c:v>
                </c:pt>
                <c:pt idx="188">
                  <c:v>0.85853789567322392</c:v>
                </c:pt>
                <c:pt idx="189">
                  <c:v>0.87106216964549288</c:v>
                </c:pt>
                <c:pt idx="190">
                  <c:v>0.88355071099366733</c:v>
                </c:pt>
                <c:pt idx="191">
                  <c:v>0.89600128017894654</c:v>
                </c:pt>
                <c:pt idx="192">
                  <c:v>0.90841168029803554</c:v>
                </c:pt>
                <c:pt idx="193">
                  <c:v>0.92077975911999832</c:v>
                </c:pt>
                <c:pt idx="194">
                  <c:v>0.93310341100373717</c:v>
                </c:pt>
                <c:pt idx="195">
                  <c:v>0.94538057869291037</c:v>
                </c:pt>
                <c:pt idx="196">
                  <c:v>0.9576092549856251</c:v>
                </c:pt>
                <c:pt idx="197">
                  <c:v>0.9697874842769092</c:v>
                </c:pt>
                <c:pt idx="198">
                  <c:v>0.98191336397233964</c:v>
                </c:pt>
                <c:pt idx="199">
                  <c:v>0.99398504577201696</c:v>
                </c:pt>
              </c:numCache>
            </c:numRef>
          </c:xVal>
          <c:yVal>
            <c:numRef>
              <c:f>SSIGA!$S$2:$S$201</c:f>
              <c:numCache>
                <c:formatCode>0.00E+00</c:formatCode>
                <c:ptCount val="200"/>
                <c:pt idx="0">
                  <c:v>2.3308019508627886</c:v>
                </c:pt>
                <c:pt idx="1">
                  <c:v>2.2722233017397215</c:v>
                </c:pt>
                <c:pt idx="2">
                  <c:v>2.2145965460062809</c:v>
                </c:pt>
                <c:pt idx="3">
                  <c:v>2.1580645539428382</c:v>
                </c:pt>
                <c:pt idx="4">
                  <c:v>2.1027979163664288</c:v>
                </c:pt>
                <c:pt idx="5">
                  <c:v>2.0489660941641503</c:v>
                </c:pt>
                <c:pt idx="6">
                  <c:v>1.9967032396355089</c:v>
                </c:pt>
                <c:pt idx="7">
                  <c:v>1.9460796219544578</c:v>
                </c:pt>
                <c:pt idx="8">
                  <c:v>1.8970900811035545</c:v>
                </c:pt>
                <c:pt idx="9">
                  <c:v>1.8496712834089926</c:v>
                </c:pt>
                <c:pt idx="10">
                  <c:v>1.8050983999011279</c:v>
                </c:pt>
                <c:pt idx="11">
                  <c:v>1.7642659566417016</c:v>
                </c:pt>
                <c:pt idx="12">
                  <c:v>1.7260025562744883</c:v>
                </c:pt>
                <c:pt idx="13">
                  <c:v>1.6900760788418558</c:v>
                </c:pt>
                <c:pt idx="14">
                  <c:v>1.6562710542188295</c:v>
                </c:pt>
                <c:pt idx="15">
                  <c:v>1.6243830570350328</c:v>
                </c:pt>
                <c:pt idx="16">
                  <c:v>1.594214585878811</c:v>
                </c:pt>
                <c:pt idx="17">
                  <c:v>1.5655728344722817</c:v>
                </c:pt>
                <c:pt idx="18">
                  <c:v>1.5382705875173248</c:v>
                </c:pt>
                <c:pt idx="19">
                  <c:v>1.5121270294702711</c:v>
                </c:pt>
                <c:pt idx="20">
                  <c:v>1.4869083514007353</c:v>
                </c:pt>
                <c:pt idx="21">
                  <c:v>1.4624830793552266</c:v>
                </c:pt>
                <c:pt idx="22">
                  <c:v>1.4388373775294836</c:v>
                </c:pt>
                <c:pt idx="23">
                  <c:v>1.4159008900654861</c:v>
                </c:pt>
                <c:pt idx="24">
                  <c:v>1.393605669880644</c:v>
                </c:pt>
                <c:pt idx="25">
                  <c:v>1.3718860981861933</c:v>
                </c:pt>
                <c:pt idx="26">
                  <c:v>1.3506719204333257</c:v>
                </c:pt>
                <c:pt idx="27">
                  <c:v>1.3298968589984441</c:v>
                </c:pt>
                <c:pt idx="28">
                  <c:v>1.309499716786181</c:v>
                </c:pt>
                <c:pt idx="29">
                  <c:v>1.2894189231764357</c:v>
                </c:pt>
                <c:pt idx="30">
                  <c:v>1.2705849147699853</c:v>
                </c:pt>
                <c:pt idx="31">
                  <c:v>1.2531076641349106</c:v>
                </c:pt>
                <c:pt idx="32">
                  <c:v>1.2360443456107639</c:v>
                </c:pt>
                <c:pt idx="33">
                  <c:v>1.2193638810567105</c:v>
                </c:pt>
                <c:pt idx="34">
                  <c:v>1.2030458322693509</c:v>
                </c:pt>
                <c:pt idx="35">
                  <c:v>1.187066526201825</c:v>
                </c:pt>
                <c:pt idx="36">
                  <c:v>1.1713984698920641</c:v>
                </c:pt>
                <c:pt idx="37">
                  <c:v>1.1560152120959497</c:v>
                </c:pt>
                <c:pt idx="38">
                  <c:v>1.1408928993655854</c:v>
                </c:pt>
                <c:pt idx="39">
                  <c:v>1.1260030124130664</c:v>
                </c:pt>
                <c:pt idx="40">
                  <c:v>1.1112476860205285</c:v>
                </c:pt>
                <c:pt idx="41">
                  <c:v>1.0967044911587447</c:v>
                </c:pt>
                <c:pt idx="42">
                  <c:v>1.0824657009528813</c:v>
                </c:pt>
                <c:pt idx="43">
                  <c:v>1.0684932925261563</c:v>
                </c:pt>
                <c:pt idx="44">
                  <c:v>1.054750866707584</c:v>
                </c:pt>
                <c:pt idx="45">
                  <c:v>1.0412096973937384</c:v>
                </c:pt>
                <c:pt idx="46">
                  <c:v>1.0278399490457448</c:v>
                </c:pt>
                <c:pt idx="47">
                  <c:v>1.0146116623923076</c:v>
                </c:pt>
                <c:pt idx="48">
                  <c:v>1.0014977835789762</c:v>
                </c:pt>
                <c:pt idx="49">
                  <c:v>0.98847571608769147</c:v>
                </c:pt>
                <c:pt idx="50">
                  <c:v>0.97957856332319482</c:v>
                </c:pt>
                <c:pt idx="51">
                  <c:v>0.97213831449904797</c:v>
                </c:pt>
                <c:pt idx="52">
                  <c:v>0.96472680716667469</c:v>
                </c:pt>
                <c:pt idx="53">
                  <c:v>0.95734203647575677</c:v>
                </c:pt>
                <c:pt idx="54">
                  <c:v>0.94998548037003228</c:v>
                </c:pt>
                <c:pt idx="55">
                  <c:v>0.94265730231984612</c:v>
                </c:pt>
                <c:pt idx="56">
                  <c:v>0.93535946077151111</c:v>
                </c:pt>
                <c:pt idx="57">
                  <c:v>0.92809371771281368</c:v>
                </c:pt>
                <c:pt idx="58">
                  <c:v>0.92086197426297212</c:v>
                </c:pt>
                <c:pt idx="59">
                  <c:v>0.91366650960472628</c:v>
                </c:pt>
                <c:pt idx="60">
                  <c:v>0.90655458157986546</c:v>
                </c:pt>
                <c:pt idx="61">
                  <c:v>0.89954528145937052</c:v>
                </c:pt>
                <c:pt idx="62">
                  <c:v>0.89260278348458755</c:v>
                </c:pt>
                <c:pt idx="63">
                  <c:v>0.88572958591868256</c:v>
                </c:pt>
                <c:pt idx="64">
                  <c:v>0.87892854938237708</c:v>
                </c:pt>
                <c:pt idx="65">
                  <c:v>0.87220291650229442</c:v>
                </c:pt>
                <c:pt idx="66">
                  <c:v>0.86555632797882265</c:v>
                </c:pt>
                <c:pt idx="67">
                  <c:v>0.85899283451990427</c:v>
                </c:pt>
                <c:pt idx="68">
                  <c:v>0.85251690404127278</c:v>
                </c:pt>
                <c:pt idx="69">
                  <c:v>0.84613342350788456</c:v>
                </c:pt>
                <c:pt idx="70">
                  <c:v>0.83978983869769619</c:v>
                </c:pt>
                <c:pt idx="71">
                  <c:v>0.83351218716556508</c:v>
                </c:pt>
                <c:pt idx="72">
                  <c:v>0.82737172367942224</c:v>
                </c:pt>
                <c:pt idx="73">
                  <c:v>0.82137349187786135</c:v>
                </c:pt>
                <c:pt idx="74">
                  <c:v>0.81552293921880725</c:v>
                </c:pt>
                <c:pt idx="75">
                  <c:v>0.80982592228312478</c:v>
                </c:pt>
                <c:pt idx="76">
                  <c:v>0.80428870595625568</c:v>
                </c:pt>
                <c:pt idx="77">
                  <c:v>0.79891795589938097</c:v>
                </c:pt>
                <c:pt idx="78">
                  <c:v>0.79372072375212632</c:v>
                </c:pt>
                <c:pt idx="79">
                  <c:v>0.78870442455884349</c:v>
                </c:pt>
                <c:pt idx="80">
                  <c:v>0.78372156556070405</c:v>
                </c:pt>
                <c:pt idx="81">
                  <c:v>0.77879962511471279</c:v>
                </c:pt>
                <c:pt idx="82">
                  <c:v>0.77410823810065288</c:v>
                </c:pt>
                <c:pt idx="83">
                  <c:v>0.76965322785431289</c:v>
                </c:pt>
                <c:pt idx="84">
                  <c:v>0.7654406322105678</c:v>
                </c:pt>
                <c:pt idx="85">
                  <c:v>0.76147669552840214</c:v>
                </c:pt>
                <c:pt idx="86">
                  <c:v>0.75776785486929066</c:v>
                </c:pt>
                <c:pt idx="87">
                  <c:v>0.75432072020079666</c:v>
                </c:pt>
                <c:pt idx="88">
                  <c:v>0.75114204857447331</c:v>
                </c:pt>
                <c:pt idx="89">
                  <c:v>0.74823871231561701</c:v>
                </c:pt>
                <c:pt idx="90">
                  <c:v>0.74544116236123958</c:v>
                </c:pt>
                <c:pt idx="91">
                  <c:v>0.74277022213674837</c:v>
                </c:pt>
                <c:pt idx="92">
                  <c:v>0.74041103702608457</c:v>
                </c:pt>
                <c:pt idx="93">
                  <c:v>0.73836543781966746</c:v>
                </c:pt>
                <c:pt idx="94">
                  <c:v>0.73663513959807125</c:v>
                </c:pt>
                <c:pt idx="95">
                  <c:v>0.73522175053640726</c:v>
                </c:pt>
                <c:pt idx="96">
                  <c:v>0.7341267751438455</c:v>
                </c:pt>
                <c:pt idx="97">
                  <c:v>0.73335161164955509</c:v>
                </c:pt>
                <c:pt idx="98">
                  <c:v>0.73289754338656854</c:v>
                </c:pt>
                <c:pt idx="99">
                  <c:v>0.73276572417824681</c:v>
                </c:pt>
                <c:pt idx="100">
                  <c:v>0.73276572439550358</c:v>
                </c:pt>
                <c:pt idx="101">
                  <c:v>0.73289754363986503</c:v>
                </c:pt>
                <c:pt idx="102">
                  <c:v>0.73335161195219112</c:v>
                </c:pt>
                <c:pt idx="103">
                  <c:v>0.73412677550388405</c:v>
                </c:pt>
                <c:pt idx="104">
                  <c:v>0.73522175095690001</c:v>
                </c:pt>
                <c:pt idx="105">
                  <c:v>0.73663514007765651</c:v>
                </c:pt>
                <c:pt idx="106">
                  <c:v>0.73836543835314428</c:v>
                </c:pt>
                <c:pt idx="107">
                  <c:v>0.74041103760450155</c:v>
                </c:pt>
                <c:pt idx="108">
                  <c:v>0.74277022274794913</c:v>
                </c:pt>
                <c:pt idx="109">
                  <c:v>0.74544116299014695</c:v>
                </c:pt>
                <c:pt idx="110">
                  <c:v>0.74823871285001153</c:v>
                </c:pt>
                <c:pt idx="111">
                  <c:v>0.75114204892276315</c:v>
                </c:pt>
                <c:pt idx="112">
                  <c:v>0.75432072037383446</c:v>
                </c:pt>
                <c:pt idx="113">
                  <c:v>0.75776785487814768</c:v>
                </c:pt>
                <c:pt idx="114">
                  <c:v>0.76147669538504514</c:v>
                </c:pt>
                <c:pt idx="115">
                  <c:v>0.7654406319289816</c:v>
                </c:pt>
                <c:pt idx="116">
                  <c:v>0.76965322745130815</c:v>
                </c:pt>
                <c:pt idx="117">
                  <c:v>0.7741082375968571</c:v>
                </c:pt>
                <c:pt idx="118">
                  <c:v>0.77879962453510143</c:v>
                </c:pt>
                <c:pt idx="119">
                  <c:v>0.78372156493537304</c:v>
                </c:pt>
                <c:pt idx="120">
                  <c:v>0.78870442403132468</c:v>
                </c:pt>
                <c:pt idx="121">
                  <c:v>0.79372072343890721</c:v>
                </c:pt>
                <c:pt idx="122">
                  <c:v>0.79891795579684166</c:v>
                </c:pt>
                <c:pt idx="123">
                  <c:v>0.80428870605765146</c:v>
                </c:pt>
                <c:pt idx="124">
                  <c:v>0.80982592257739172</c:v>
                </c:pt>
                <c:pt idx="125">
                  <c:v>0.81552293968839185</c:v>
                </c:pt>
                <c:pt idx="126">
                  <c:v>0.82137349249741642</c:v>
                </c:pt>
                <c:pt idx="127">
                  <c:v>0.82737172441439411</c:v>
                </c:pt>
                <c:pt idx="128">
                  <c:v>0.83351218797036553</c:v>
                </c:pt>
                <c:pt idx="129">
                  <c:v>0.83978983951454367</c:v>
                </c:pt>
                <c:pt idx="130">
                  <c:v>0.84613342417223425</c:v>
                </c:pt>
                <c:pt idx="131">
                  <c:v>0.85251690442856665</c:v>
                </c:pt>
                <c:pt idx="132">
                  <c:v>0.85899283463047749</c:v>
                </c:pt>
                <c:pt idx="133">
                  <c:v>0.86555632782951497</c:v>
                </c:pt>
                <c:pt idx="134">
                  <c:v>0.87220291612897793</c:v>
                </c:pt>
                <c:pt idx="135">
                  <c:v>0.87892854884086646</c:v>
                </c:pt>
                <c:pt idx="136">
                  <c:v>0.88572958528644674</c:v>
                </c:pt>
                <c:pt idx="137">
                  <c:v>0.89260278286235939</c:v>
                </c:pt>
                <c:pt idx="138">
                  <c:v>0.89954528097151842</c:v>
                </c:pt>
                <c:pt idx="139">
                  <c:v>0.90655458137641842</c:v>
                </c:pt>
                <c:pt idx="140">
                  <c:v>0.91366650974570884</c:v>
                </c:pt>
                <c:pt idx="141">
                  <c:v>0.92086197471335685</c:v>
                </c:pt>
                <c:pt idx="142">
                  <c:v>0.9280937184576985</c:v>
                </c:pt>
                <c:pt idx="143">
                  <c:v>0.93535946173042639</c:v>
                </c:pt>
                <c:pt idx="144">
                  <c:v>0.94265730334163389</c:v>
                </c:pt>
                <c:pt idx="145">
                  <c:v>0.94998548122396087</c:v>
                </c:pt>
                <c:pt idx="146">
                  <c:v>0.95734203682961139</c:v>
                </c:pt>
                <c:pt idx="147">
                  <c:v>0.96472680658905174</c:v>
                </c:pt>
                <c:pt idx="148">
                  <c:v>0.97213831244464899</c:v>
                </c:pt>
                <c:pt idx="149">
                  <c:v>0.97957855916099335</c:v>
                </c:pt>
                <c:pt idx="150">
                  <c:v>0.98847571114816335</c:v>
                </c:pt>
                <c:pt idx="151">
                  <c:v>1.0014977809854995</c:v>
                </c:pt>
                <c:pt idx="152">
                  <c:v>1.0146116616153089</c:v>
                </c:pt>
                <c:pt idx="153">
                  <c:v>1.0278399495715955</c:v>
                </c:pt>
                <c:pt idx="154">
                  <c:v>1.041209698735752</c:v>
                </c:pt>
                <c:pt idx="155">
                  <c:v>1.0547508684219671</c:v>
                </c:pt>
                <c:pt idx="156">
                  <c:v>1.0684932942192784</c:v>
                </c:pt>
                <c:pt idx="157">
                  <c:v>1.0824657022896944</c:v>
                </c:pt>
                <c:pt idx="158">
                  <c:v>1.0967044918923765</c:v>
                </c:pt>
                <c:pt idx="159">
                  <c:v>1.1112476860146361</c:v>
                </c:pt>
                <c:pt idx="160">
                  <c:v>1.1260030119983933</c:v>
                </c:pt>
                <c:pt idx="161">
                  <c:v>1.1408928989052947</c:v>
                </c:pt>
                <c:pt idx="162">
                  <c:v>1.1560152115895901</c:v>
                </c:pt>
                <c:pt idx="163">
                  <c:v>1.1713984693426798</c:v>
                </c:pt>
                <c:pt idx="164">
                  <c:v>1.187066525623816</c:v>
                </c:pt>
                <c:pt idx="165">
                  <c:v>1.2030458316795716</c:v>
                </c:pt>
                <c:pt idx="166">
                  <c:v>1.2193638804683875</c:v>
                </c:pt>
                <c:pt idx="167">
                  <c:v>1.2360443450383487</c:v>
                </c:pt>
                <c:pt idx="168">
                  <c:v>1.253107663594609</c:v>
                </c:pt>
                <c:pt idx="169">
                  <c:v>1.2705849142575072</c:v>
                </c:pt>
                <c:pt idx="170">
                  <c:v>1.2894189227446753</c:v>
                </c:pt>
                <c:pt idx="171">
                  <c:v>1.3094997164666107</c:v>
                </c:pt>
                <c:pt idx="172">
                  <c:v>1.3298968587748141</c:v>
                </c:pt>
                <c:pt idx="173">
                  <c:v>1.3506719202922706</c:v>
                </c:pt>
                <c:pt idx="174">
                  <c:v>1.3718860981213472</c:v>
                </c:pt>
                <c:pt idx="175">
                  <c:v>1.3936056698867405</c:v>
                </c:pt>
                <c:pt idx="176">
                  <c:v>1.4159008901354531</c:v>
                </c:pt>
                <c:pt idx="177">
                  <c:v>1.4388373776619952</c:v>
                </c:pt>
                <c:pt idx="178">
                  <c:v>1.4624830795523152</c:v>
                </c:pt>
                <c:pt idx="179">
                  <c:v>1.4869083516666399</c:v>
                </c:pt>
                <c:pt idx="180">
                  <c:v>1.5121270297669345</c:v>
                </c:pt>
                <c:pt idx="181">
                  <c:v>1.5382705878081322</c:v>
                </c:pt>
                <c:pt idx="182">
                  <c:v>1.5655728347652886</c:v>
                </c:pt>
                <c:pt idx="183">
                  <c:v>1.5942145861801287</c:v>
                </c:pt>
                <c:pt idx="184">
                  <c:v>1.6243830573492937</c:v>
                </c:pt>
                <c:pt idx="185">
                  <c:v>1.6562710545475041</c:v>
                </c:pt>
                <c:pt idx="186">
                  <c:v>1.6900760791836196</c:v>
                </c:pt>
                <c:pt idx="187">
                  <c:v>1.7260025566251891</c:v>
                </c:pt>
                <c:pt idx="188">
                  <c:v>1.7642659569951702</c:v>
                </c:pt>
                <c:pt idx="189">
                  <c:v>1.8050984002490169</c:v>
                </c:pt>
                <c:pt idx="190">
                  <c:v>1.8496712837389566</c:v>
                </c:pt>
                <c:pt idx="191">
                  <c:v>1.8970900813930871</c:v>
                </c:pt>
                <c:pt idx="192">
                  <c:v>1.946079622182429</c:v>
                </c:pt>
                <c:pt idx="193">
                  <c:v>1.9967032397856617</c:v>
                </c:pt>
                <c:pt idx="194">
                  <c:v>2.0489660942275836</c:v>
                </c:pt>
                <c:pt idx="195">
                  <c:v>2.1027979163472725</c:v>
                </c:pt>
                <c:pt idx="196">
                  <c:v>2.15806455386365</c:v>
                </c:pt>
                <c:pt idx="197">
                  <c:v>2.2145965459141861</c:v>
                </c:pt>
                <c:pt idx="198">
                  <c:v>2.2722233017133546</c:v>
                </c:pt>
                <c:pt idx="199">
                  <c:v>2.3308019510166709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0-498C-8235-6D134BFF31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SSIGA!$AD$2:$AD$12</c:f>
              <c:numCache>
                <c:formatCode>General</c:formatCode>
                <c:ptCount val="11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0.83299999999999996</c:v>
                </c:pt>
                <c:pt idx="8">
                  <c:v>0.91700000000000004</c:v>
                </c:pt>
                <c:pt idx="9">
                  <c:v>0.95799999999999996</c:v>
                </c:pt>
                <c:pt idx="10">
                  <c:v>1</c:v>
                </c:pt>
              </c:numCache>
            </c:numRef>
          </c:xVal>
          <c:yVal>
            <c:numRef>
              <c:f>SSIGA!$AE$2:$AE$12</c:f>
              <c:numCache>
                <c:formatCode>General</c:formatCode>
                <c:ptCount val="11"/>
                <c:pt idx="0">
                  <c:v>0.75800000000000001</c:v>
                </c:pt>
                <c:pt idx="1">
                  <c:v>0.79300000000000004</c:v>
                </c:pt>
                <c:pt idx="2">
                  <c:v>0.875</c:v>
                </c:pt>
                <c:pt idx="3">
                  <c:v>0.98299999999999998</c:v>
                </c:pt>
                <c:pt idx="4">
                  <c:v>1.1080000000000001</c:v>
                </c:pt>
                <c:pt idx="5">
                  <c:v>1.262</c:v>
                </c:pt>
                <c:pt idx="6">
                  <c:v>1.4490000000000001</c:v>
                </c:pt>
                <c:pt idx="7">
                  <c:v>1.643</c:v>
                </c:pt>
                <c:pt idx="8">
                  <c:v>1.861</c:v>
                </c:pt>
                <c:pt idx="9">
                  <c:v>1.96</c:v>
                </c:pt>
                <c:pt idx="10">
                  <c:v>1.671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AD-49CD-BF20-97197D9B9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705487"/>
        <c:axId val="1330691567"/>
      </c:scatterChart>
      <c:valAx>
        <c:axId val="133070548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2φ/π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691567"/>
        <c:crosses val="autoZero"/>
        <c:crossBetween val="midCat"/>
        <c:majorUnit val="0.1"/>
      </c:valAx>
      <c:valAx>
        <c:axId val="13306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KI/σ</a:t>
                </a:r>
                <a:r>
                  <a:rPr lang="ja-JP"/>
                  <a:t>√</a:t>
                </a:r>
                <a:r>
                  <a:rPr lang="en-US"/>
                  <a:t>πb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705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FEM_ref!$L$7:$L$79</c:f>
              <c:numCache>
                <c:formatCode>0.00</c:formatCode>
                <c:ptCount val="73"/>
                <c:pt idx="0">
                  <c:v>0</c:v>
                </c:pt>
                <c:pt idx="1">
                  <c:v>1.3888888888888888E-2</c:v>
                </c:pt>
                <c:pt idx="2">
                  <c:v>2.7777777777777776E-2</c:v>
                </c:pt>
                <c:pt idx="3">
                  <c:v>4.1666666666666664E-2</c:v>
                </c:pt>
                <c:pt idx="4">
                  <c:v>5.5555555555555552E-2</c:v>
                </c:pt>
                <c:pt idx="5">
                  <c:v>6.9444444444444448E-2</c:v>
                </c:pt>
                <c:pt idx="6">
                  <c:v>8.3333333333333329E-2</c:v>
                </c:pt>
                <c:pt idx="7">
                  <c:v>9.7222222222222224E-2</c:v>
                </c:pt>
                <c:pt idx="8">
                  <c:v>0.1111111111111111</c:v>
                </c:pt>
                <c:pt idx="9">
                  <c:v>0.125</c:v>
                </c:pt>
                <c:pt idx="10">
                  <c:v>0.1388888888888889</c:v>
                </c:pt>
                <c:pt idx="11">
                  <c:v>0.15277777777777779</c:v>
                </c:pt>
                <c:pt idx="12">
                  <c:v>0.16666666666666666</c:v>
                </c:pt>
                <c:pt idx="13">
                  <c:v>0.18055555555555555</c:v>
                </c:pt>
                <c:pt idx="14">
                  <c:v>0.19444444444444445</c:v>
                </c:pt>
                <c:pt idx="15">
                  <c:v>0.20833333333333334</c:v>
                </c:pt>
                <c:pt idx="16">
                  <c:v>0.22222222222222221</c:v>
                </c:pt>
                <c:pt idx="17">
                  <c:v>0.2361111111111111</c:v>
                </c:pt>
                <c:pt idx="18">
                  <c:v>0.25</c:v>
                </c:pt>
                <c:pt idx="19">
                  <c:v>0.2638888888888889</c:v>
                </c:pt>
                <c:pt idx="20">
                  <c:v>0.27777777777777779</c:v>
                </c:pt>
                <c:pt idx="21">
                  <c:v>0.29166666666666669</c:v>
                </c:pt>
                <c:pt idx="22">
                  <c:v>0.30555555555555558</c:v>
                </c:pt>
                <c:pt idx="23">
                  <c:v>0.31944444444444442</c:v>
                </c:pt>
                <c:pt idx="24">
                  <c:v>0.33333333333333331</c:v>
                </c:pt>
                <c:pt idx="25">
                  <c:v>0.34722222222222221</c:v>
                </c:pt>
                <c:pt idx="26">
                  <c:v>0.3611111111111111</c:v>
                </c:pt>
                <c:pt idx="27">
                  <c:v>0.375</c:v>
                </c:pt>
                <c:pt idx="28">
                  <c:v>0.3888888888888889</c:v>
                </c:pt>
                <c:pt idx="29">
                  <c:v>0.40277777777777779</c:v>
                </c:pt>
                <c:pt idx="30">
                  <c:v>0.41666666666666669</c:v>
                </c:pt>
                <c:pt idx="31">
                  <c:v>0.43055555555555558</c:v>
                </c:pt>
                <c:pt idx="32">
                  <c:v>0.44444444444444442</c:v>
                </c:pt>
                <c:pt idx="33">
                  <c:v>0.45833333333333331</c:v>
                </c:pt>
                <c:pt idx="34">
                  <c:v>0.47222222222222221</c:v>
                </c:pt>
                <c:pt idx="35">
                  <c:v>0.4861111111111111</c:v>
                </c:pt>
                <c:pt idx="36">
                  <c:v>0.5</c:v>
                </c:pt>
                <c:pt idx="37">
                  <c:v>0.51388888888888884</c:v>
                </c:pt>
                <c:pt idx="38">
                  <c:v>0.52777777777777779</c:v>
                </c:pt>
                <c:pt idx="39">
                  <c:v>0.54166666666666663</c:v>
                </c:pt>
                <c:pt idx="40">
                  <c:v>0.55555555555555558</c:v>
                </c:pt>
                <c:pt idx="41">
                  <c:v>0.56944444444444442</c:v>
                </c:pt>
                <c:pt idx="42">
                  <c:v>0.58333333333333337</c:v>
                </c:pt>
                <c:pt idx="43">
                  <c:v>0.59722222222222221</c:v>
                </c:pt>
                <c:pt idx="44">
                  <c:v>0.61111111111111116</c:v>
                </c:pt>
                <c:pt idx="45">
                  <c:v>0.625</c:v>
                </c:pt>
                <c:pt idx="46">
                  <c:v>0.63888888888888884</c:v>
                </c:pt>
                <c:pt idx="47">
                  <c:v>0.65277777777777779</c:v>
                </c:pt>
                <c:pt idx="48">
                  <c:v>0.66666666666666663</c:v>
                </c:pt>
                <c:pt idx="49">
                  <c:v>0.68055555555555558</c:v>
                </c:pt>
                <c:pt idx="50">
                  <c:v>0.69444444444444442</c:v>
                </c:pt>
                <c:pt idx="51">
                  <c:v>0.70833333333333337</c:v>
                </c:pt>
                <c:pt idx="52">
                  <c:v>0.72222222222222221</c:v>
                </c:pt>
                <c:pt idx="53">
                  <c:v>0.73611111111111116</c:v>
                </c:pt>
                <c:pt idx="54">
                  <c:v>0.75</c:v>
                </c:pt>
                <c:pt idx="55">
                  <c:v>0.76388888888888884</c:v>
                </c:pt>
                <c:pt idx="56">
                  <c:v>0.77777777777777779</c:v>
                </c:pt>
                <c:pt idx="57">
                  <c:v>0.79166666666666663</c:v>
                </c:pt>
                <c:pt idx="58">
                  <c:v>0.80555555555555558</c:v>
                </c:pt>
                <c:pt idx="59">
                  <c:v>0.81944444444444442</c:v>
                </c:pt>
                <c:pt idx="60">
                  <c:v>0.83333333333333337</c:v>
                </c:pt>
                <c:pt idx="61">
                  <c:v>0.84722222222222221</c:v>
                </c:pt>
                <c:pt idx="62">
                  <c:v>0.86111111111111116</c:v>
                </c:pt>
                <c:pt idx="63">
                  <c:v>0.875</c:v>
                </c:pt>
                <c:pt idx="64">
                  <c:v>0.88888888888888884</c:v>
                </c:pt>
                <c:pt idx="65">
                  <c:v>0.90277777777777779</c:v>
                </c:pt>
                <c:pt idx="66">
                  <c:v>0.91666666666666663</c:v>
                </c:pt>
                <c:pt idx="67">
                  <c:v>0.93055555555555558</c:v>
                </c:pt>
                <c:pt idx="68">
                  <c:v>0.94444444444444442</c:v>
                </c:pt>
                <c:pt idx="69">
                  <c:v>0.95833333333333337</c:v>
                </c:pt>
                <c:pt idx="70">
                  <c:v>0.97222222222222221</c:v>
                </c:pt>
                <c:pt idx="71">
                  <c:v>0.98611111111111116</c:v>
                </c:pt>
                <c:pt idx="72">
                  <c:v>1</c:v>
                </c:pt>
              </c:numCache>
            </c:numRef>
          </c:xVal>
          <c:yVal>
            <c:numRef>
              <c:f>FEM_ref!$O$7:$O$79</c:f>
              <c:numCache>
                <c:formatCode>General</c:formatCode>
                <c:ptCount val="73"/>
                <c:pt idx="0">
                  <c:v>4.1694000000000002E-3</c:v>
                </c:pt>
                <c:pt idx="1">
                  <c:v>4.2183000000000003E-3</c:v>
                </c:pt>
                <c:pt idx="2">
                  <c:v>4.0226000000000003E-3</c:v>
                </c:pt>
                <c:pt idx="3">
                  <c:v>3.7805999999999998E-3</c:v>
                </c:pt>
                <c:pt idx="4">
                  <c:v>3.5515E-3</c:v>
                </c:pt>
                <c:pt idx="5">
                  <c:v>3.3522999999999999E-3</c:v>
                </c:pt>
                <c:pt idx="6">
                  <c:v>3.1649999999999998E-3</c:v>
                </c:pt>
                <c:pt idx="7">
                  <c:v>2.9951999999999999E-3</c:v>
                </c:pt>
                <c:pt idx="8">
                  <c:v>2.836E-3</c:v>
                </c:pt>
                <c:pt idx="9">
                  <c:v>2.6997000000000002E-3</c:v>
                </c:pt>
                <c:pt idx="10">
                  <c:v>2.5701999999999999E-3</c:v>
                </c:pt>
                <c:pt idx="11">
                  <c:v>2.4521999999999999E-3</c:v>
                </c:pt>
                <c:pt idx="12">
                  <c:v>2.3384E-3</c:v>
                </c:pt>
                <c:pt idx="13">
                  <c:v>2.2412E-3</c:v>
                </c:pt>
                <c:pt idx="14">
                  <c:v>2.1475000000000001E-3</c:v>
                </c:pt>
                <c:pt idx="15">
                  <c:v>2.0617999999999999E-3</c:v>
                </c:pt>
                <c:pt idx="16">
                  <c:v>1.9762E-3</c:v>
                </c:pt>
                <c:pt idx="17">
                  <c:v>1.9039E-3</c:v>
                </c:pt>
                <c:pt idx="18">
                  <c:v>1.833E-3</c:v>
                </c:pt>
                <c:pt idx="19">
                  <c:v>1.7681999999999999E-3</c:v>
                </c:pt>
                <c:pt idx="20">
                  <c:v>1.7011000000000001E-3</c:v>
                </c:pt>
                <c:pt idx="21">
                  <c:v>1.6452000000000001E-3</c:v>
                </c:pt>
                <c:pt idx="22">
                  <c:v>1.5895E-3</c:v>
                </c:pt>
                <c:pt idx="23">
                  <c:v>1.5391000000000001E-3</c:v>
                </c:pt>
                <c:pt idx="24">
                  <c:v>1.4844000000000001E-3</c:v>
                </c:pt>
                <c:pt idx="25">
                  <c:v>1.4400999999999999E-3</c:v>
                </c:pt>
                <c:pt idx="26">
                  <c:v>1.395E-3</c:v>
                </c:pt>
                <c:pt idx="27">
                  <c:v>1.3544E-3</c:v>
                </c:pt>
                <c:pt idx="28">
                  <c:v>1.3078E-3</c:v>
                </c:pt>
                <c:pt idx="29">
                  <c:v>1.2707E-3</c:v>
                </c:pt>
                <c:pt idx="30">
                  <c:v>1.2323E-3</c:v>
                </c:pt>
                <c:pt idx="31">
                  <c:v>1.1982E-3</c:v>
                </c:pt>
                <c:pt idx="32">
                  <c:v>1.1571000000000001E-3</c:v>
                </c:pt>
                <c:pt idx="33">
                  <c:v>1.1257999999999999E-3</c:v>
                </c:pt>
                <c:pt idx="34">
                  <c:v>1.0927000000000001E-3</c:v>
                </c:pt>
                <c:pt idx="35">
                  <c:v>1.0640000000000001E-3</c:v>
                </c:pt>
                <c:pt idx="36">
                  <c:v>1.0269999999999999E-3</c:v>
                </c:pt>
                <c:pt idx="37">
                  <c:v>1.0004E-3</c:v>
                </c:pt>
                <c:pt idx="38">
                  <c:v>9.7146000000000005E-4</c:v>
                </c:pt>
                <c:pt idx="39">
                  <c:v>9.4693999999999996E-4</c:v>
                </c:pt>
                <c:pt idx="40">
                  <c:v>9.1295999999999999E-4</c:v>
                </c:pt>
                <c:pt idx="41">
                  <c:v>8.9004000000000004E-4</c:v>
                </c:pt>
                <c:pt idx="42">
                  <c:v>8.6432000000000002E-4</c:v>
                </c:pt>
                <c:pt idx="43">
                  <c:v>8.4307000000000002E-4</c:v>
                </c:pt>
                <c:pt idx="44">
                  <c:v>8.1130999999999998E-4</c:v>
                </c:pt>
                <c:pt idx="45">
                  <c:v>7.9166999999999996E-4</c:v>
                </c:pt>
                <c:pt idx="46">
                  <c:v>7.6862000000000002E-4</c:v>
                </c:pt>
                <c:pt idx="47">
                  <c:v>7.5018999999999997E-4</c:v>
                </c:pt>
                <c:pt idx="48">
                  <c:v>7.2022999999999998E-4</c:v>
                </c:pt>
                <c:pt idx="49">
                  <c:v>7.0381000000000003E-4</c:v>
                </c:pt>
                <c:pt idx="50">
                  <c:v>6.8318000000000003E-4</c:v>
                </c:pt>
                <c:pt idx="51">
                  <c:v>6.6739999999999996E-4</c:v>
                </c:pt>
                <c:pt idx="52">
                  <c:v>6.3918999999999998E-4</c:v>
                </c:pt>
                <c:pt idx="53">
                  <c:v>6.2609000000000004E-4</c:v>
                </c:pt>
                <c:pt idx="54">
                  <c:v>6.0789000000000004E-4</c:v>
                </c:pt>
                <c:pt idx="55">
                  <c:v>5.9475999999999995E-4</c:v>
                </c:pt>
                <c:pt idx="56">
                  <c:v>5.6846999999999996E-4</c:v>
                </c:pt>
                <c:pt idx="57">
                  <c:v>5.5902999999999997E-4</c:v>
                </c:pt>
                <c:pt idx="58">
                  <c:v>5.4341000000000003E-4</c:v>
                </c:pt>
                <c:pt idx="59">
                  <c:v>5.3313000000000004E-4</c:v>
                </c:pt>
                <c:pt idx="60">
                  <c:v>5.0927000000000004E-4</c:v>
                </c:pt>
                <c:pt idx="61">
                  <c:v>5.0398000000000001E-4</c:v>
                </c:pt>
                <c:pt idx="62">
                  <c:v>4.9136000000000004E-4</c:v>
                </c:pt>
                <c:pt idx="63">
                  <c:v>4.8432E-4</c:v>
                </c:pt>
                <c:pt idx="64">
                  <c:v>4.6375000000000002E-4</c:v>
                </c:pt>
                <c:pt idx="65">
                  <c:v>4.6320999999999998E-4</c:v>
                </c:pt>
                <c:pt idx="66">
                  <c:v>4.5419999999999998E-4</c:v>
                </c:pt>
                <c:pt idx="67">
                  <c:v>4.5094999999999998E-4</c:v>
                </c:pt>
                <c:pt idx="68">
                  <c:v>4.3471999999999998E-4</c:v>
                </c:pt>
                <c:pt idx="69">
                  <c:v>4.3951999999999999E-4</c:v>
                </c:pt>
                <c:pt idx="70">
                  <c:v>4.3468000000000001E-4</c:v>
                </c:pt>
                <c:pt idx="71">
                  <c:v>4.3564E-4</c:v>
                </c:pt>
                <c:pt idx="72">
                  <c:v>4.2517999999999999E-4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3-4029-B125-4410AE1AC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11616"/>
        <c:axId val="1120409216"/>
      </c:scatterChart>
      <c:valAx>
        <c:axId val="112041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0409216"/>
        <c:crosses val="autoZero"/>
        <c:crossBetween val="midCat"/>
      </c:valAx>
      <c:valAx>
        <c:axId val="11204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041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FEM_ref!$AA$7:$AA$79</c:f>
              <c:numCache>
                <c:formatCode>General</c:formatCode>
                <c:ptCount val="73"/>
                <c:pt idx="0">
                  <c:v>1</c:v>
                </c:pt>
                <c:pt idx="1">
                  <c:v>0.98611111111111116</c:v>
                </c:pt>
                <c:pt idx="2">
                  <c:v>0.97222222222222221</c:v>
                </c:pt>
                <c:pt idx="3">
                  <c:v>0.95833333333333337</c:v>
                </c:pt>
                <c:pt idx="4">
                  <c:v>0.94444444444444442</c:v>
                </c:pt>
                <c:pt idx="5">
                  <c:v>0.93055555555555558</c:v>
                </c:pt>
                <c:pt idx="6">
                  <c:v>0.91666666666666663</c:v>
                </c:pt>
                <c:pt idx="7">
                  <c:v>0.90277777777777779</c:v>
                </c:pt>
                <c:pt idx="8">
                  <c:v>0.88888888888888884</c:v>
                </c:pt>
                <c:pt idx="9">
                  <c:v>0.875</c:v>
                </c:pt>
                <c:pt idx="10">
                  <c:v>0.86111111111111116</c:v>
                </c:pt>
                <c:pt idx="11">
                  <c:v>0.84722222222222221</c:v>
                </c:pt>
                <c:pt idx="12">
                  <c:v>0.83333333333333337</c:v>
                </c:pt>
                <c:pt idx="13">
                  <c:v>0.81944444444444442</c:v>
                </c:pt>
                <c:pt idx="14">
                  <c:v>0.80555555555555558</c:v>
                </c:pt>
                <c:pt idx="15">
                  <c:v>0.79166666666666663</c:v>
                </c:pt>
                <c:pt idx="16">
                  <c:v>0.77777777777777779</c:v>
                </c:pt>
                <c:pt idx="17">
                  <c:v>0.76388888888888884</c:v>
                </c:pt>
                <c:pt idx="18">
                  <c:v>0.75</c:v>
                </c:pt>
                <c:pt idx="19">
                  <c:v>0.73611111111111116</c:v>
                </c:pt>
                <c:pt idx="20">
                  <c:v>0.72222222222222221</c:v>
                </c:pt>
                <c:pt idx="21">
                  <c:v>0.70833333333333337</c:v>
                </c:pt>
                <c:pt idx="22">
                  <c:v>0.69444444444444442</c:v>
                </c:pt>
                <c:pt idx="23">
                  <c:v>0.68055555555555558</c:v>
                </c:pt>
                <c:pt idx="24">
                  <c:v>0.66666666666666663</c:v>
                </c:pt>
                <c:pt idx="25">
                  <c:v>0.65277777777777779</c:v>
                </c:pt>
                <c:pt idx="26">
                  <c:v>0.63888888888888884</c:v>
                </c:pt>
                <c:pt idx="27">
                  <c:v>0.625</c:v>
                </c:pt>
                <c:pt idx="28">
                  <c:v>0.61111111111111116</c:v>
                </c:pt>
                <c:pt idx="29">
                  <c:v>0.59722222222222221</c:v>
                </c:pt>
                <c:pt idx="30">
                  <c:v>0.58333333333333337</c:v>
                </c:pt>
                <c:pt idx="31">
                  <c:v>0.56944444444444442</c:v>
                </c:pt>
                <c:pt idx="32">
                  <c:v>0.55555555555555558</c:v>
                </c:pt>
                <c:pt idx="33">
                  <c:v>0.54166666666666663</c:v>
                </c:pt>
                <c:pt idx="34">
                  <c:v>0.52777777777777779</c:v>
                </c:pt>
                <c:pt idx="35">
                  <c:v>0.51388888888888884</c:v>
                </c:pt>
                <c:pt idx="36">
                  <c:v>0.5</c:v>
                </c:pt>
                <c:pt idx="37">
                  <c:v>0.4861111111111111</c:v>
                </c:pt>
                <c:pt idx="38">
                  <c:v>0.47222222222222221</c:v>
                </c:pt>
                <c:pt idx="39">
                  <c:v>0.45833333333333331</c:v>
                </c:pt>
                <c:pt idx="40">
                  <c:v>0.44444444444444442</c:v>
                </c:pt>
                <c:pt idx="41">
                  <c:v>0.43055555555555558</c:v>
                </c:pt>
                <c:pt idx="42">
                  <c:v>0.41666666666666669</c:v>
                </c:pt>
                <c:pt idx="43">
                  <c:v>0.40277777777777779</c:v>
                </c:pt>
                <c:pt idx="44">
                  <c:v>0.3888888888888889</c:v>
                </c:pt>
                <c:pt idx="45">
                  <c:v>0.375</c:v>
                </c:pt>
                <c:pt idx="46">
                  <c:v>0.3611111111111111</c:v>
                </c:pt>
                <c:pt idx="47">
                  <c:v>0.34722222222222221</c:v>
                </c:pt>
                <c:pt idx="48">
                  <c:v>0.33333333333333331</c:v>
                </c:pt>
                <c:pt idx="49">
                  <c:v>0.31944444444444442</c:v>
                </c:pt>
                <c:pt idx="50">
                  <c:v>0.30555555555555558</c:v>
                </c:pt>
                <c:pt idx="51">
                  <c:v>0.29166666666666669</c:v>
                </c:pt>
                <c:pt idx="52">
                  <c:v>0.27777777777777779</c:v>
                </c:pt>
                <c:pt idx="53">
                  <c:v>0.2638888888888889</c:v>
                </c:pt>
                <c:pt idx="54">
                  <c:v>0.25</c:v>
                </c:pt>
                <c:pt idx="55">
                  <c:v>0.2361111111111111</c:v>
                </c:pt>
                <c:pt idx="56">
                  <c:v>0.22222222222222221</c:v>
                </c:pt>
                <c:pt idx="57">
                  <c:v>0.20833333333333334</c:v>
                </c:pt>
                <c:pt idx="58">
                  <c:v>0.19444444444444445</c:v>
                </c:pt>
                <c:pt idx="59">
                  <c:v>0.18055555555555555</c:v>
                </c:pt>
                <c:pt idx="60">
                  <c:v>0.16666666666666666</c:v>
                </c:pt>
                <c:pt idx="61">
                  <c:v>0.15277777777777779</c:v>
                </c:pt>
                <c:pt idx="62">
                  <c:v>0.1388888888888889</c:v>
                </c:pt>
                <c:pt idx="63">
                  <c:v>0.125</c:v>
                </c:pt>
                <c:pt idx="64">
                  <c:v>0.1111111111111111</c:v>
                </c:pt>
                <c:pt idx="65">
                  <c:v>9.7222222222222224E-2</c:v>
                </c:pt>
                <c:pt idx="66">
                  <c:v>8.3333333333333329E-2</c:v>
                </c:pt>
                <c:pt idx="67">
                  <c:v>6.9444444444444448E-2</c:v>
                </c:pt>
                <c:pt idx="68">
                  <c:v>5.5555555555555552E-2</c:v>
                </c:pt>
                <c:pt idx="69">
                  <c:v>4.1666666666666664E-2</c:v>
                </c:pt>
                <c:pt idx="70">
                  <c:v>2.7777777777777776E-2</c:v>
                </c:pt>
                <c:pt idx="71">
                  <c:v>1.3888888888888888E-2</c:v>
                </c:pt>
                <c:pt idx="72">
                  <c:v>0</c:v>
                </c:pt>
              </c:numCache>
            </c:numRef>
          </c:xVal>
          <c:yVal>
            <c:numRef>
              <c:f>FEM_ref!$AC$7:$AC$79</c:f>
              <c:numCache>
                <c:formatCode>General</c:formatCode>
                <c:ptCount val="73"/>
                <c:pt idx="0">
                  <c:v>2.2376859422100783</c:v>
                </c:pt>
                <c:pt idx="1">
                  <c:v>2.2507698240846614</c:v>
                </c:pt>
                <c:pt idx="2">
                  <c:v>2.1979397184384726</c:v>
                </c:pt>
                <c:pt idx="3">
                  <c:v>2.130800144107964</c:v>
                </c:pt>
                <c:pt idx="4">
                  <c:v>2.065229224437215</c:v>
                </c:pt>
                <c:pt idx="5">
                  <c:v>2.0064751758974784</c:v>
                </c:pt>
                <c:pt idx="6">
                  <c:v>1.9496165805682282</c:v>
                </c:pt>
                <c:pt idx="7">
                  <c:v>1.8965979028883186</c:v>
                </c:pt>
                <c:pt idx="8">
                  <c:v>1.8455060180776921</c:v>
                </c:pt>
                <c:pt idx="9">
                  <c:v>1.8006118574678476</c:v>
                </c:pt>
                <c:pt idx="10">
                  <c:v>1.75689502121817</c:v>
                </c:pt>
                <c:pt idx="11">
                  <c:v>1.7160909322830358</c:v>
                </c:pt>
                <c:pt idx="12">
                  <c:v>1.6757983314152523</c:v>
                </c:pt>
                <c:pt idx="13">
                  <c:v>1.6405998193086646</c:v>
                </c:pt>
                <c:pt idx="14">
                  <c:v>1.6059386070186863</c:v>
                </c:pt>
                <c:pt idx="15">
                  <c:v>1.5735683801506941</c:v>
                </c:pt>
                <c:pt idx="16">
                  <c:v>1.5405571003522673</c:v>
                </c:pt>
                <c:pt idx="17">
                  <c:v>1.5121135998113218</c:v>
                </c:pt>
                <c:pt idx="18">
                  <c:v>1.4836914191183184</c:v>
                </c:pt>
                <c:pt idx="19">
                  <c:v>1.4572298057820694</c:v>
                </c:pt>
                <c:pt idx="20">
                  <c:v>1.42931277296569</c:v>
                </c:pt>
                <c:pt idx="21">
                  <c:v>1.4056322179735872</c:v>
                </c:pt>
                <c:pt idx="22">
                  <c:v>1.3816327483543913</c:v>
                </c:pt>
                <c:pt idx="23">
                  <c:v>1.3595518387316714</c:v>
                </c:pt>
                <c:pt idx="24">
                  <c:v>1.3351738728368168</c:v>
                </c:pt>
                <c:pt idx="25">
                  <c:v>1.315099696921403</c:v>
                </c:pt>
                <c:pt idx="26">
                  <c:v>1.2943432293906909</c:v>
                </c:pt>
                <c:pt idx="27">
                  <c:v>1.2753689075478234</c:v>
                </c:pt>
                <c:pt idx="28">
                  <c:v>1.25323645370111</c:v>
                </c:pt>
                <c:pt idx="29">
                  <c:v>1.2353325004271347</c:v>
                </c:pt>
                <c:pt idx="30">
                  <c:v>1.2165237071812929</c:v>
                </c:pt>
                <c:pt idx="31">
                  <c:v>1.1995739060277357</c:v>
                </c:pt>
                <c:pt idx="32">
                  <c:v>1.1788208244678784</c:v>
                </c:pt>
                <c:pt idx="33">
                  <c:v>1.1627677413707627</c:v>
                </c:pt>
                <c:pt idx="34">
                  <c:v>1.1455467671153461</c:v>
                </c:pt>
                <c:pt idx="35">
                  <c:v>1.1304026487181831</c:v>
                </c:pt>
                <c:pt idx="36">
                  <c:v>1.1105741852276461</c:v>
                </c:pt>
                <c:pt idx="37">
                  <c:v>1.0960975171891973</c:v>
                </c:pt>
                <c:pt idx="38">
                  <c:v>1.0801269795334258</c:v>
                </c:pt>
                <c:pt idx="39">
                  <c:v>1.0664084643963285</c:v>
                </c:pt>
                <c:pt idx="40">
                  <c:v>1.0471001636668531</c:v>
                </c:pt>
                <c:pt idx="41">
                  <c:v>1.0338728126762875</c:v>
                </c:pt>
                <c:pt idx="42">
                  <c:v>1.0188250951691327</c:v>
                </c:pt>
                <c:pt idx="43">
                  <c:v>1.0062228381742455</c:v>
                </c:pt>
                <c:pt idx="44">
                  <c:v>0.98708776079867933</c:v>
                </c:pt>
                <c:pt idx="45">
                  <c:v>0.97506697285333144</c:v>
                </c:pt>
                <c:pt idx="46">
                  <c:v>0.96076725494212234</c:v>
                </c:pt>
                <c:pt idx="47">
                  <c:v>0.94917870865218223</c:v>
                </c:pt>
                <c:pt idx="48">
                  <c:v>0.93003213778402372</c:v>
                </c:pt>
                <c:pt idx="49">
                  <c:v>0.91936945150981897</c:v>
                </c:pt>
                <c:pt idx="50">
                  <c:v>0.90579501130593321</c:v>
                </c:pt>
                <c:pt idx="51">
                  <c:v>0.89527293110705475</c:v>
                </c:pt>
                <c:pt idx="52">
                  <c:v>0.87614772667257568</c:v>
                </c:pt>
                <c:pt idx="53">
                  <c:v>0.86712306045805609</c:v>
                </c:pt>
                <c:pt idx="54">
                  <c:v>0.85442678043636888</c:v>
                </c:pt>
                <c:pt idx="55">
                  <c:v>0.84514889674533611</c:v>
                </c:pt>
                <c:pt idx="56">
                  <c:v>0.82625885669942201</c:v>
                </c:pt>
                <c:pt idx="57">
                  <c:v>0.8193697187819825</c:v>
                </c:pt>
                <c:pt idx="58">
                  <c:v>0.80784151083313138</c:v>
                </c:pt>
                <c:pt idx="59">
                  <c:v>0.80016382505230854</c:v>
                </c:pt>
                <c:pt idx="60">
                  <c:v>0.7820533834324751</c:v>
                </c:pt>
                <c:pt idx="61">
                  <c:v>0.77798102308389205</c:v>
                </c:pt>
                <c:pt idx="62">
                  <c:v>0.76817868429763825</c:v>
                </c:pt>
                <c:pt idx="63">
                  <c:v>0.76265575938408781</c:v>
                </c:pt>
                <c:pt idx="64">
                  <c:v>0.74628431473682721</c:v>
                </c:pt>
                <c:pt idx="65">
                  <c:v>0.74584969380767441</c:v>
                </c:pt>
                <c:pt idx="66">
                  <c:v>0.738560228940218</c:v>
                </c:pt>
                <c:pt idx="67">
                  <c:v>0.73591312412748078</c:v>
                </c:pt>
                <c:pt idx="68">
                  <c:v>0.72254876493218478</c:v>
                </c:pt>
                <c:pt idx="69">
                  <c:v>0.72652685756598545</c:v>
                </c:pt>
                <c:pt idx="70">
                  <c:v>0.72251552213743364</c:v>
                </c:pt>
                <c:pt idx="71">
                  <c:v>0.7233129275365292</c:v>
                </c:pt>
                <c:pt idx="72">
                  <c:v>0.71457656031310701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6-4E22-B9AD-00A49F648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84048"/>
        <c:axId val="153902768"/>
      </c:scatterChart>
      <c:valAx>
        <c:axId val="15388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902768"/>
        <c:crosses val="autoZero"/>
        <c:crossBetween val="midCat"/>
      </c:valAx>
      <c:valAx>
        <c:axId val="1539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88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3449256342957"/>
          <c:y val="5.0925925925925923E-2"/>
          <c:w val="0.81745363079615052"/>
          <c:h val="0.78148950131233597"/>
        </c:manualLayout>
      </c:layout>
      <c:scatterChart>
        <c:scatterStyle val="lineMarker"/>
        <c:varyColors val="0"/>
        <c:ser>
          <c:idx val="0"/>
          <c:order val="0"/>
          <c:tx>
            <c:v>SSIGA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SSIGA!$R$2:$R$201</c:f>
              <c:numCache>
                <c:formatCode>0.00E+00</c:formatCode>
                <c:ptCount val="200"/>
                <c:pt idx="0">
                  <c:v>-0.99398504577202118</c:v>
                </c:pt>
                <c:pt idx="1">
                  <c:v>-0.98191336397234363</c:v>
                </c:pt>
                <c:pt idx="2">
                  <c:v>-0.96978748427691364</c:v>
                </c:pt>
                <c:pt idx="3">
                  <c:v>-0.95760925498562954</c:v>
                </c:pt>
                <c:pt idx="4">
                  <c:v>-0.9453805786929107</c:v>
                </c:pt>
                <c:pt idx="5">
                  <c:v>-0.93310341100374206</c:v>
                </c:pt>
                <c:pt idx="6">
                  <c:v>-0.92077975911999888</c:v>
                </c:pt>
                <c:pt idx="7">
                  <c:v>-0.90841168029803609</c:v>
                </c:pt>
                <c:pt idx="8">
                  <c:v>-0.89600128017894753</c:v>
                </c:pt>
                <c:pt idx="9">
                  <c:v>-0.88355071099367222</c:v>
                </c:pt>
                <c:pt idx="10">
                  <c:v>-0.87106216964549366</c:v>
                </c:pt>
                <c:pt idx="11">
                  <c:v>-0.85853789567322492</c:v>
                </c:pt>
                <c:pt idx="12">
                  <c:v>-0.84598016909875295</c:v>
                </c:pt>
                <c:pt idx="13">
                  <c:v>-0.833391308163412</c:v>
                </c:pt>
                <c:pt idx="14">
                  <c:v>-0.82077366695794229</c:v>
                </c:pt>
                <c:pt idx="15">
                  <c:v>-0.80812963295156948</c:v>
                </c:pt>
                <c:pt idx="16">
                  <c:v>-0.79546162442611312</c:v>
                </c:pt>
                <c:pt idx="17">
                  <c:v>-0.78277208782154373</c:v>
                </c:pt>
                <c:pt idx="18">
                  <c:v>-0.77006349499991611</c:v>
                </c:pt>
                <c:pt idx="19">
                  <c:v>-0.75733834043506898</c:v>
                </c:pt>
                <c:pt idx="20">
                  <c:v>-0.74459913833572466</c:v>
                </c:pt>
                <c:pt idx="21">
                  <c:v>-0.73184841971022385</c:v>
                </c:pt>
                <c:pt idx="22">
                  <c:v>-0.71908872938122104</c:v>
                </c:pt>
                <c:pt idx="23">
                  <c:v>-0.70632262295911119</c:v>
                </c:pt>
                <c:pt idx="24">
                  <c:v>-0.69355266378307612</c:v>
                </c:pt>
                <c:pt idx="25">
                  <c:v>-0.68078141983892781</c:v>
                </c:pt>
                <c:pt idx="26">
                  <c:v>-0.66801146066289752</c:v>
                </c:pt>
                <c:pt idx="27">
                  <c:v>-0.65524535424078223</c:v>
                </c:pt>
                <c:pt idx="28">
                  <c:v>-0.64248566391178163</c:v>
                </c:pt>
                <c:pt idx="29">
                  <c:v>-0.62973494528628005</c:v>
                </c:pt>
                <c:pt idx="30">
                  <c:v>-0.61699574318693529</c:v>
                </c:pt>
                <c:pt idx="31">
                  <c:v>-0.60427058862208771</c:v>
                </c:pt>
                <c:pt idx="32">
                  <c:v>-0.59156199580046298</c:v>
                </c:pt>
                <c:pt idx="33">
                  <c:v>-0.57887245919589025</c:v>
                </c:pt>
                <c:pt idx="34">
                  <c:v>-0.5662044506704349</c:v>
                </c:pt>
                <c:pt idx="35">
                  <c:v>-0.55356041666406286</c:v>
                </c:pt>
                <c:pt idx="36">
                  <c:v>-0.5409427754585926</c:v>
                </c:pt>
                <c:pt idx="37">
                  <c:v>-0.52835391452325098</c:v>
                </c:pt>
                <c:pt idx="38">
                  <c:v>-0.51579618794878002</c:v>
                </c:pt>
                <c:pt idx="39">
                  <c:v>-0.50327191397651017</c:v>
                </c:pt>
                <c:pt idx="40">
                  <c:v>-0.49078337262833649</c:v>
                </c:pt>
                <c:pt idx="41">
                  <c:v>-0.47833280344305801</c:v>
                </c:pt>
                <c:pt idx="42">
                  <c:v>-0.46592240332397034</c:v>
                </c:pt>
                <c:pt idx="43">
                  <c:v>-0.45355432450200628</c:v>
                </c:pt>
                <c:pt idx="44">
                  <c:v>-0.44123067261826415</c:v>
                </c:pt>
                <c:pt idx="45">
                  <c:v>-0.42895350492909323</c:v>
                </c:pt>
                <c:pt idx="46">
                  <c:v>-0.41672482863637617</c:v>
                </c:pt>
                <c:pt idx="47">
                  <c:v>-0.40454659934509218</c:v>
                </c:pt>
                <c:pt idx="48">
                  <c:v>-0.39242071964965958</c:v>
                </c:pt>
                <c:pt idx="49">
                  <c:v>-0.38034903784998242</c:v>
                </c:pt>
                <c:pt idx="50">
                  <c:v>-0.37064286375561922</c:v>
                </c:pt>
                <c:pt idx="51">
                  <c:v>-0.36325115767913507</c:v>
                </c:pt>
                <c:pt idx="52">
                  <c:v>-0.35584748700762386</c:v>
                </c:pt>
                <c:pt idx="53">
                  <c:v>-0.34843232452109463</c:v>
                </c:pt>
                <c:pt idx="54">
                  <c:v>-0.34100614758614267</c:v>
                </c:pt>
                <c:pt idx="55">
                  <c:v>-0.33356943798570943</c:v>
                </c:pt>
                <c:pt idx="56">
                  <c:v>-0.32612268174451003</c:v>
                </c:pt>
                <c:pt idx="57">
                  <c:v>-0.31866636895030487</c:v>
                </c:pt>
                <c:pt idx="58">
                  <c:v>-0.31120099357109476</c:v>
                </c:pt>
                <c:pt idx="59">
                  <c:v>-0.30372705326848964</c:v>
                </c:pt>
                <c:pt idx="60">
                  <c:v>-0.29624504920733563</c:v>
                </c:pt>
                <c:pt idx="61">
                  <c:v>-0.28875548586182281</c:v>
                </c:pt>
                <c:pt idx="62">
                  <c:v>-0.28125887081822637</c:v>
                </c:pt>
                <c:pt idx="63">
                  <c:v>-0.2737557145745001</c:v>
                </c:pt>
                <c:pt idx="64">
                  <c:v>-0.26624653033685181</c:v>
                </c:pt>
                <c:pt idx="65">
                  <c:v>-0.2587318338135805</c:v>
                </c:pt>
                <c:pt idx="66">
                  <c:v>-0.25121214300629452</c:v>
                </c:pt>
                <c:pt idx="67">
                  <c:v>-0.24368797799878877</c:v>
                </c:pt>
                <c:pt idx="68">
                  <c:v>-0.23615986074374537</c:v>
                </c:pt>
                <c:pt idx="69">
                  <c:v>-0.22862831484748056</c:v>
                </c:pt>
                <c:pt idx="70">
                  <c:v>-0.22109386535299583</c:v>
                </c:pt>
                <c:pt idx="71">
                  <c:v>-0.21355703852149538</c:v>
                </c:pt>
                <c:pt idx="72">
                  <c:v>-0.20601836161265111</c:v>
                </c:pt>
                <c:pt idx="73">
                  <c:v>-0.19847836266380753</c:v>
                </c:pt>
                <c:pt idx="74">
                  <c:v>-0.19093757026837424</c:v>
                </c:pt>
                <c:pt idx="75">
                  <c:v>-0.18339651335363205</c:v>
                </c:pt>
                <c:pt idx="76">
                  <c:v>-0.17585572095819918</c:v>
                </c:pt>
                <c:pt idx="77">
                  <c:v>-0.16831572200935424</c:v>
                </c:pt>
                <c:pt idx="78">
                  <c:v>-0.16077704510051122</c:v>
                </c:pt>
                <c:pt idx="79">
                  <c:v>-0.1532402182690111</c:v>
                </c:pt>
                <c:pt idx="80">
                  <c:v>-0.14570576877452557</c:v>
                </c:pt>
                <c:pt idx="81">
                  <c:v>-0.13817422287826053</c:v>
                </c:pt>
                <c:pt idx="82">
                  <c:v>-0.13064610562321607</c:v>
                </c:pt>
                <c:pt idx="83">
                  <c:v>-0.1231219406157118</c:v>
                </c:pt>
                <c:pt idx="84">
                  <c:v>-0.11560224980842621</c:v>
                </c:pt>
                <c:pt idx="85">
                  <c:v>-0.10808755328515356</c:v>
                </c:pt>
                <c:pt idx="86">
                  <c:v>-0.10057836904750678</c:v>
                </c:pt>
                <c:pt idx="87">
                  <c:v>-9.3075212803778756E-2</c:v>
                </c:pt>
                <c:pt idx="88">
                  <c:v>-8.5578597760184311E-2</c:v>
                </c:pt>
                <c:pt idx="89">
                  <c:v>-7.8089034414669911E-2</c:v>
                </c:pt>
                <c:pt idx="90">
                  <c:v>-7.0607030353515537E-2</c:v>
                </c:pt>
                <c:pt idx="91">
                  <c:v>-6.313309005091082E-2</c:v>
                </c:pt>
                <c:pt idx="92">
                  <c:v>-5.5667714671700862E-2</c:v>
                </c:pt>
                <c:pt idx="93">
                  <c:v>-4.821140187749353E-2</c:v>
                </c:pt>
                <c:pt idx="94">
                  <c:v>-4.0764645636296011E-2</c:v>
                </c:pt>
                <c:pt idx="95">
                  <c:v>-3.3327936035861296E-2</c:v>
                </c:pt>
                <c:pt idx="96">
                  <c:v>-2.5901759100909787E-2</c:v>
                </c:pt>
                <c:pt idx="97">
                  <c:v>-1.8486596614380672E-2</c:v>
                </c:pt>
                <c:pt idx="98">
                  <c:v>-1.1082925942867916E-2</c:v>
                </c:pt>
                <c:pt idx="99">
                  <c:v>-3.6912198663849381E-3</c:v>
                </c:pt>
                <c:pt idx="100">
                  <c:v>3.6912198663833573E-3</c:v>
                </c:pt>
                <c:pt idx="101">
                  <c:v>1.1082925942866435E-2</c:v>
                </c:pt>
                <c:pt idx="102">
                  <c:v>1.848659661437866E-2</c:v>
                </c:pt>
                <c:pt idx="103">
                  <c:v>2.5901759100907775E-2</c:v>
                </c:pt>
                <c:pt idx="104">
                  <c:v>3.3327936035859297E-2</c:v>
                </c:pt>
                <c:pt idx="105">
                  <c:v>4.0764645636293673E-2</c:v>
                </c:pt>
                <c:pt idx="106">
                  <c:v>4.8211401877491622E-2</c:v>
                </c:pt>
                <c:pt idx="107">
                  <c:v>5.5667714671698586E-2</c:v>
                </c:pt>
                <c:pt idx="108">
                  <c:v>6.3133090050908267E-2</c:v>
                </c:pt>
                <c:pt idx="109">
                  <c:v>7.0607030353513553E-2</c:v>
                </c:pt>
                <c:pt idx="110">
                  <c:v>7.8089034414667705E-2</c:v>
                </c:pt>
                <c:pt idx="111">
                  <c:v>8.5578597760182021E-2</c:v>
                </c:pt>
                <c:pt idx="112">
                  <c:v>9.3075212803776675E-2</c:v>
                </c:pt>
                <c:pt idx="113">
                  <c:v>0.10057836904750403</c:v>
                </c:pt>
                <c:pt idx="114">
                  <c:v>0.10808755328515041</c:v>
                </c:pt>
                <c:pt idx="115">
                  <c:v>0.11560224980842332</c:v>
                </c:pt>
                <c:pt idx="116">
                  <c:v>0.12312194061570868</c:v>
                </c:pt>
                <c:pt idx="117">
                  <c:v>0.13064610562321402</c:v>
                </c:pt>
                <c:pt idx="118">
                  <c:v>0.1381742228782574</c:v>
                </c:pt>
                <c:pt idx="119">
                  <c:v>0.14570576877452152</c:v>
                </c:pt>
                <c:pt idx="120">
                  <c:v>0.15324021826900799</c:v>
                </c:pt>
                <c:pt idx="121">
                  <c:v>0.16077704510050703</c:v>
                </c:pt>
                <c:pt idx="122">
                  <c:v>0.16831572200935219</c:v>
                </c:pt>
                <c:pt idx="123">
                  <c:v>0.17585572095819599</c:v>
                </c:pt>
                <c:pt idx="124">
                  <c:v>0.18339651335363003</c:v>
                </c:pt>
                <c:pt idx="125">
                  <c:v>0.19093757026836994</c:v>
                </c:pt>
                <c:pt idx="126">
                  <c:v>0.1984783626638045</c:v>
                </c:pt>
                <c:pt idx="127">
                  <c:v>0.20601836161264911</c:v>
                </c:pt>
                <c:pt idx="128">
                  <c:v>0.21355703852149341</c:v>
                </c:pt>
                <c:pt idx="129">
                  <c:v>0.22109386535299236</c:v>
                </c:pt>
                <c:pt idx="130">
                  <c:v>0.22862831484747759</c:v>
                </c:pt>
                <c:pt idx="131">
                  <c:v>0.23615986074374187</c:v>
                </c:pt>
                <c:pt idx="132">
                  <c:v>0.24368797799878683</c:v>
                </c:pt>
                <c:pt idx="133">
                  <c:v>0.25121214300629091</c:v>
                </c:pt>
                <c:pt idx="134">
                  <c:v>0.25873183381357595</c:v>
                </c:pt>
                <c:pt idx="135">
                  <c:v>0.26624653033684986</c:v>
                </c:pt>
                <c:pt idx="136">
                  <c:v>0.27375571457449649</c:v>
                </c:pt>
                <c:pt idx="137">
                  <c:v>0.28125887081822443</c:v>
                </c:pt>
                <c:pt idx="138">
                  <c:v>0.28875548586181804</c:v>
                </c:pt>
                <c:pt idx="139">
                  <c:v>0.29624504920733286</c:v>
                </c:pt>
                <c:pt idx="140">
                  <c:v>0.30372705326848576</c:v>
                </c:pt>
                <c:pt idx="141">
                  <c:v>0.31120099357109288</c:v>
                </c:pt>
                <c:pt idx="142">
                  <c:v>0.31866636895030104</c:v>
                </c:pt>
                <c:pt idx="143">
                  <c:v>0.32612268174450909</c:v>
                </c:pt>
                <c:pt idx="144">
                  <c:v>0.33356943798570543</c:v>
                </c:pt>
                <c:pt idx="145">
                  <c:v>0.3410061475861409</c:v>
                </c:pt>
                <c:pt idx="146">
                  <c:v>0.34843232452109163</c:v>
                </c:pt>
                <c:pt idx="147">
                  <c:v>0.35584748700762203</c:v>
                </c:pt>
                <c:pt idx="148">
                  <c:v>0.3632511576791343</c:v>
                </c:pt>
                <c:pt idx="149">
                  <c:v>0.37064286375561833</c:v>
                </c:pt>
                <c:pt idx="150">
                  <c:v>0.38034903784998142</c:v>
                </c:pt>
                <c:pt idx="151">
                  <c:v>0.39242071964966119</c:v>
                </c:pt>
                <c:pt idx="152">
                  <c:v>0.40454659934509052</c:v>
                </c:pt>
                <c:pt idx="153">
                  <c:v>0.41672482863637539</c:v>
                </c:pt>
                <c:pt idx="154">
                  <c:v>0.42895350492909506</c:v>
                </c:pt>
                <c:pt idx="155">
                  <c:v>0.44123067261826621</c:v>
                </c:pt>
                <c:pt idx="156">
                  <c:v>0.4535543245020055</c:v>
                </c:pt>
                <c:pt idx="157">
                  <c:v>0.4659224033239695</c:v>
                </c:pt>
                <c:pt idx="158">
                  <c:v>0.47833280344305718</c:v>
                </c:pt>
                <c:pt idx="159">
                  <c:v>0.49078337262833488</c:v>
                </c:pt>
                <c:pt idx="160">
                  <c:v>0.50327191397651172</c:v>
                </c:pt>
                <c:pt idx="161">
                  <c:v>0.51579618794878235</c:v>
                </c:pt>
                <c:pt idx="162">
                  <c:v>0.52835391452325031</c:v>
                </c:pt>
                <c:pt idx="163">
                  <c:v>0.54094277545859204</c:v>
                </c:pt>
                <c:pt idx="164">
                  <c:v>0.55356041666406552</c:v>
                </c:pt>
                <c:pt idx="165">
                  <c:v>0.56620445067043434</c:v>
                </c:pt>
                <c:pt idx="166">
                  <c:v>0.57887245919588959</c:v>
                </c:pt>
                <c:pt idx="167">
                  <c:v>0.59156199580046565</c:v>
                </c:pt>
                <c:pt idx="168">
                  <c:v>0.60427058862209015</c:v>
                </c:pt>
                <c:pt idx="169">
                  <c:v>0.61699574318693817</c:v>
                </c:pt>
                <c:pt idx="170">
                  <c:v>0.6297349452862796</c:v>
                </c:pt>
                <c:pt idx="171">
                  <c:v>0.64248566391177997</c:v>
                </c:pt>
                <c:pt idx="172">
                  <c:v>0.65524535424078478</c:v>
                </c:pt>
                <c:pt idx="173">
                  <c:v>0.66801146066289641</c:v>
                </c:pt>
                <c:pt idx="174">
                  <c:v>0.68078141983893048</c:v>
                </c:pt>
                <c:pt idx="175">
                  <c:v>0.69355266378307878</c:v>
                </c:pt>
                <c:pt idx="176">
                  <c:v>0.70632262295911019</c:v>
                </c:pt>
                <c:pt idx="177">
                  <c:v>0.71908872938122337</c:v>
                </c:pt>
                <c:pt idx="178">
                  <c:v>0.73184841971022652</c:v>
                </c:pt>
                <c:pt idx="179">
                  <c:v>0.74459913833572777</c:v>
                </c:pt>
                <c:pt idx="180">
                  <c:v>0.75733834043506842</c:v>
                </c:pt>
                <c:pt idx="181">
                  <c:v>0.77006349499991544</c:v>
                </c:pt>
                <c:pt idx="182">
                  <c:v>0.78277208782154273</c:v>
                </c:pt>
                <c:pt idx="183">
                  <c:v>0.79546162442611645</c:v>
                </c:pt>
                <c:pt idx="184">
                  <c:v>0.80812963295156859</c:v>
                </c:pt>
                <c:pt idx="185">
                  <c:v>0.82077366695794141</c:v>
                </c:pt>
                <c:pt idx="186">
                  <c:v>0.83339130816341134</c:v>
                </c:pt>
                <c:pt idx="187">
                  <c:v>0.84598016909875207</c:v>
                </c:pt>
                <c:pt idx="188">
                  <c:v>0.85853789567322392</c:v>
                </c:pt>
                <c:pt idx="189">
                  <c:v>0.87106216964549288</c:v>
                </c:pt>
                <c:pt idx="190">
                  <c:v>0.88355071099366733</c:v>
                </c:pt>
                <c:pt idx="191">
                  <c:v>0.89600128017894654</c:v>
                </c:pt>
                <c:pt idx="192">
                  <c:v>0.90841168029803554</c:v>
                </c:pt>
                <c:pt idx="193">
                  <c:v>0.92077975911999832</c:v>
                </c:pt>
                <c:pt idx="194">
                  <c:v>0.93310341100373717</c:v>
                </c:pt>
                <c:pt idx="195">
                  <c:v>0.94538057869291037</c:v>
                </c:pt>
                <c:pt idx="196">
                  <c:v>0.9576092549856251</c:v>
                </c:pt>
                <c:pt idx="197">
                  <c:v>0.9697874842769092</c:v>
                </c:pt>
                <c:pt idx="198">
                  <c:v>0.98191336397233964</c:v>
                </c:pt>
                <c:pt idx="199">
                  <c:v>0.99398504577201696</c:v>
                </c:pt>
              </c:numCache>
            </c:numRef>
          </c:xVal>
          <c:yVal>
            <c:numRef>
              <c:f>SSIGA!$S$2:$S$201</c:f>
              <c:numCache>
                <c:formatCode>0.00E+00</c:formatCode>
                <c:ptCount val="200"/>
                <c:pt idx="0">
                  <c:v>2.3308019508627886</c:v>
                </c:pt>
                <c:pt idx="1">
                  <c:v>2.2722233017397215</c:v>
                </c:pt>
                <c:pt idx="2">
                  <c:v>2.2145965460062809</c:v>
                </c:pt>
                <c:pt idx="3">
                  <c:v>2.1580645539428382</c:v>
                </c:pt>
                <c:pt idx="4">
                  <c:v>2.1027979163664288</c:v>
                </c:pt>
                <c:pt idx="5">
                  <c:v>2.0489660941641503</c:v>
                </c:pt>
                <c:pt idx="6">
                  <c:v>1.9967032396355089</c:v>
                </c:pt>
                <c:pt idx="7">
                  <c:v>1.9460796219544578</c:v>
                </c:pt>
                <c:pt idx="8">
                  <c:v>1.8970900811035545</c:v>
                </c:pt>
                <c:pt idx="9">
                  <c:v>1.8496712834089926</c:v>
                </c:pt>
                <c:pt idx="10">
                  <c:v>1.8050983999011279</c:v>
                </c:pt>
                <c:pt idx="11">
                  <c:v>1.7642659566417016</c:v>
                </c:pt>
                <c:pt idx="12">
                  <c:v>1.7260025562744883</c:v>
                </c:pt>
                <c:pt idx="13">
                  <c:v>1.6900760788418558</c:v>
                </c:pt>
                <c:pt idx="14">
                  <c:v>1.6562710542188295</c:v>
                </c:pt>
                <c:pt idx="15">
                  <c:v>1.6243830570350328</c:v>
                </c:pt>
                <c:pt idx="16">
                  <c:v>1.594214585878811</c:v>
                </c:pt>
                <c:pt idx="17">
                  <c:v>1.5655728344722817</c:v>
                </c:pt>
                <c:pt idx="18">
                  <c:v>1.5382705875173248</c:v>
                </c:pt>
                <c:pt idx="19">
                  <c:v>1.5121270294702711</c:v>
                </c:pt>
                <c:pt idx="20">
                  <c:v>1.4869083514007353</c:v>
                </c:pt>
                <c:pt idx="21">
                  <c:v>1.4624830793552266</c:v>
                </c:pt>
                <c:pt idx="22">
                  <c:v>1.4388373775294836</c:v>
                </c:pt>
                <c:pt idx="23">
                  <c:v>1.4159008900654861</c:v>
                </c:pt>
                <c:pt idx="24">
                  <c:v>1.393605669880644</c:v>
                </c:pt>
                <c:pt idx="25">
                  <c:v>1.3718860981861933</c:v>
                </c:pt>
                <c:pt idx="26">
                  <c:v>1.3506719204333257</c:v>
                </c:pt>
                <c:pt idx="27">
                  <c:v>1.3298968589984441</c:v>
                </c:pt>
                <c:pt idx="28">
                  <c:v>1.309499716786181</c:v>
                </c:pt>
                <c:pt idx="29">
                  <c:v>1.2894189231764357</c:v>
                </c:pt>
                <c:pt idx="30">
                  <c:v>1.2705849147699853</c:v>
                </c:pt>
                <c:pt idx="31">
                  <c:v>1.2531076641349106</c:v>
                </c:pt>
                <c:pt idx="32">
                  <c:v>1.2360443456107639</c:v>
                </c:pt>
                <c:pt idx="33">
                  <c:v>1.2193638810567105</c:v>
                </c:pt>
                <c:pt idx="34">
                  <c:v>1.2030458322693509</c:v>
                </c:pt>
                <c:pt idx="35">
                  <c:v>1.187066526201825</c:v>
                </c:pt>
                <c:pt idx="36">
                  <c:v>1.1713984698920641</c:v>
                </c:pt>
                <c:pt idx="37">
                  <c:v>1.1560152120959497</c:v>
                </c:pt>
                <c:pt idx="38">
                  <c:v>1.1408928993655854</c:v>
                </c:pt>
                <c:pt idx="39">
                  <c:v>1.1260030124130664</c:v>
                </c:pt>
                <c:pt idx="40">
                  <c:v>1.1112476860205285</c:v>
                </c:pt>
                <c:pt idx="41">
                  <c:v>1.0967044911587447</c:v>
                </c:pt>
                <c:pt idx="42">
                  <c:v>1.0824657009528813</c:v>
                </c:pt>
                <c:pt idx="43">
                  <c:v>1.0684932925261563</c:v>
                </c:pt>
                <c:pt idx="44">
                  <c:v>1.054750866707584</c:v>
                </c:pt>
                <c:pt idx="45">
                  <c:v>1.0412096973937384</c:v>
                </c:pt>
                <c:pt idx="46">
                  <c:v>1.0278399490457448</c:v>
                </c:pt>
                <c:pt idx="47">
                  <c:v>1.0146116623923076</c:v>
                </c:pt>
                <c:pt idx="48">
                  <c:v>1.0014977835789762</c:v>
                </c:pt>
                <c:pt idx="49">
                  <c:v>0.98847571608769147</c:v>
                </c:pt>
                <c:pt idx="50">
                  <c:v>0.97957856332319482</c:v>
                </c:pt>
                <c:pt idx="51">
                  <c:v>0.97213831449904797</c:v>
                </c:pt>
                <c:pt idx="52">
                  <c:v>0.96472680716667469</c:v>
                </c:pt>
                <c:pt idx="53">
                  <c:v>0.95734203647575677</c:v>
                </c:pt>
                <c:pt idx="54">
                  <c:v>0.94998548037003228</c:v>
                </c:pt>
                <c:pt idx="55">
                  <c:v>0.94265730231984612</c:v>
                </c:pt>
                <c:pt idx="56">
                  <c:v>0.93535946077151111</c:v>
                </c:pt>
                <c:pt idx="57">
                  <c:v>0.92809371771281368</c:v>
                </c:pt>
                <c:pt idx="58">
                  <c:v>0.92086197426297212</c:v>
                </c:pt>
                <c:pt idx="59">
                  <c:v>0.91366650960472628</c:v>
                </c:pt>
                <c:pt idx="60">
                  <c:v>0.90655458157986546</c:v>
                </c:pt>
                <c:pt idx="61">
                  <c:v>0.89954528145937052</c:v>
                </c:pt>
                <c:pt idx="62">
                  <c:v>0.89260278348458755</c:v>
                </c:pt>
                <c:pt idx="63">
                  <c:v>0.88572958591868256</c:v>
                </c:pt>
                <c:pt idx="64">
                  <c:v>0.87892854938237708</c:v>
                </c:pt>
                <c:pt idx="65">
                  <c:v>0.87220291650229442</c:v>
                </c:pt>
                <c:pt idx="66">
                  <c:v>0.86555632797882265</c:v>
                </c:pt>
                <c:pt idx="67">
                  <c:v>0.85899283451990427</c:v>
                </c:pt>
                <c:pt idx="68">
                  <c:v>0.85251690404127278</c:v>
                </c:pt>
                <c:pt idx="69">
                  <c:v>0.84613342350788456</c:v>
                </c:pt>
                <c:pt idx="70">
                  <c:v>0.83978983869769619</c:v>
                </c:pt>
                <c:pt idx="71">
                  <c:v>0.83351218716556508</c:v>
                </c:pt>
                <c:pt idx="72">
                  <c:v>0.82737172367942224</c:v>
                </c:pt>
                <c:pt idx="73">
                  <c:v>0.82137349187786135</c:v>
                </c:pt>
                <c:pt idx="74">
                  <c:v>0.81552293921880725</c:v>
                </c:pt>
                <c:pt idx="75">
                  <c:v>0.80982592228312478</c:v>
                </c:pt>
                <c:pt idx="76">
                  <c:v>0.80428870595625568</c:v>
                </c:pt>
                <c:pt idx="77">
                  <c:v>0.79891795589938097</c:v>
                </c:pt>
                <c:pt idx="78">
                  <c:v>0.79372072375212632</c:v>
                </c:pt>
                <c:pt idx="79">
                  <c:v>0.78870442455884349</c:v>
                </c:pt>
                <c:pt idx="80">
                  <c:v>0.78372156556070405</c:v>
                </c:pt>
                <c:pt idx="81">
                  <c:v>0.77879962511471279</c:v>
                </c:pt>
                <c:pt idx="82">
                  <c:v>0.77410823810065288</c:v>
                </c:pt>
                <c:pt idx="83">
                  <c:v>0.76965322785431289</c:v>
                </c:pt>
                <c:pt idx="84">
                  <c:v>0.7654406322105678</c:v>
                </c:pt>
                <c:pt idx="85">
                  <c:v>0.76147669552840214</c:v>
                </c:pt>
                <c:pt idx="86">
                  <c:v>0.75776785486929066</c:v>
                </c:pt>
                <c:pt idx="87">
                  <c:v>0.75432072020079666</c:v>
                </c:pt>
                <c:pt idx="88">
                  <c:v>0.75114204857447331</c:v>
                </c:pt>
                <c:pt idx="89">
                  <c:v>0.74823871231561701</c:v>
                </c:pt>
                <c:pt idx="90">
                  <c:v>0.74544116236123958</c:v>
                </c:pt>
                <c:pt idx="91">
                  <c:v>0.74277022213674837</c:v>
                </c:pt>
                <c:pt idx="92">
                  <c:v>0.74041103702608457</c:v>
                </c:pt>
                <c:pt idx="93">
                  <c:v>0.73836543781966746</c:v>
                </c:pt>
                <c:pt idx="94">
                  <c:v>0.73663513959807125</c:v>
                </c:pt>
                <c:pt idx="95">
                  <c:v>0.73522175053640726</c:v>
                </c:pt>
                <c:pt idx="96">
                  <c:v>0.7341267751438455</c:v>
                </c:pt>
                <c:pt idx="97">
                  <c:v>0.73335161164955509</c:v>
                </c:pt>
                <c:pt idx="98">
                  <c:v>0.73289754338656854</c:v>
                </c:pt>
                <c:pt idx="99">
                  <c:v>0.73276572417824681</c:v>
                </c:pt>
                <c:pt idx="100">
                  <c:v>0.73276572439550358</c:v>
                </c:pt>
                <c:pt idx="101">
                  <c:v>0.73289754363986503</c:v>
                </c:pt>
                <c:pt idx="102">
                  <c:v>0.73335161195219112</c:v>
                </c:pt>
                <c:pt idx="103">
                  <c:v>0.73412677550388405</c:v>
                </c:pt>
                <c:pt idx="104">
                  <c:v>0.73522175095690001</c:v>
                </c:pt>
                <c:pt idx="105">
                  <c:v>0.73663514007765651</c:v>
                </c:pt>
                <c:pt idx="106">
                  <c:v>0.73836543835314428</c:v>
                </c:pt>
                <c:pt idx="107">
                  <c:v>0.74041103760450155</c:v>
                </c:pt>
                <c:pt idx="108">
                  <c:v>0.74277022274794913</c:v>
                </c:pt>
                <c:pt idx="109">
                  <c:v>0.74544116299014695</c:v>
                </c:pt>
                <c:pt idx="110">
                  <c:v>0.74823871285001153</c:v>
                </c:pt>
                <c:pt idx="111">
                  <c:v>0.75114204892276315</c:v>
                </c:pt>
                <c:pt idx="112">
                  <c:v>0.75432072037383446</c:v>
                </c:pt>
                <c:pt idx="113">
                  <c:v>0.75776785487814768</c:v>
                </c:pt>
                <c:pt idx="114">
                  <c:v>0.76147669538504514</c:v>
                </c:pt>
                <c:pt idx="115">
                  <c:v>0.7654406319289816</c:v>
                </c:pt>
                <c:pt idx="116">
                  <c:v>0.76965322745130815</c:v>
                </c:pt>
                <c:pt idx="117">
                  <c:v>0.7741082375968571</c:v>
                </c:pt>
                <c:pt idx="118">
                  <c:v>0.77879962453510143</c:v>
                </c:pt>
                <c:pt idx="119">
                  <c:v>0.78372156493537304</c:v>
                </c:pt>
                <c:pt idx="120">
                  <c:v>0.78870442403132468</c:v>
                </c:pt>
                <c:pt idx="121">
                  <c:v>0.79372072343890721</c:v>
                </c:pt>
                <c:pt idx="122">
                  <c:v>0.79891795579684166</c:v>
                </c:pt>
                <c:pt idx="123">
                  <c:v>0.80428870605765146</c:v>
                </c:pt>
                <c:pt idx="124">
                  <c:v>0.80982592257739172</c:v>
                </c:pt>
                <c:pt idx="125">
                  <c:v>0.81552293968839185</c:v>
                </c:pt>
                <c:pt idx="126">
                  <c:v>0.82137349249741642</c:v>
                </c:pt>
                <c:pt idx="127">
                  <c:v>0.82737172441439411</c:v>
                </c:pt>
                <c:pt idx="128">
                  <c:v>0.83351218797036553</c:v>
                </c:pt>
                <c:pt idx="129">
                  <c:v>0.83978983951454367</c:v>
                </c:pt>
                <c:pt idx="130">
                  <c:v>0.84613342417223425</c:v>
                </c:pt>
                <c:pt idx="131">
                  <c:v>0.85251690442856665</c:v>
                </c:pt>
                <c:pt idx="132">
                  <c:v>0.85899283463047749</c:v>
                </c:pt>
                <c:pt idx="133">
                  <c:v>0.86555632782951497</c:v>
                </c:pt>
                <c:pt idx="134">
                  <c:v>0.87220291612897793</c:v>
                </c:pt>
                <c:pt idx="135">
                  <c:v>0.87892854884086646</c:v>
                </c:pt>
                <c:pt idx="136">
                  <c:v>0.88572958528644674</c:v>
                </c:pt>
                <c:pt idx="137">
                  <c:v>0.89260278286235939</c:v>
                </c:pt>
                <c:pt idx="138">
                  <c:v>0.89954528097151842</c:v>
                </c:pt>
                <c:pt idx="139">
                  <c:v>0.90655458137641842</c:v>
                </c:pt>
                <c:pt idx="140">
                  <c:v>0.91366650974570884</c:v>
                </c:pt>
                <c:pt idx="141">
                  <c:v>0.92086197471335685</c:v>
                </c:pt>
                <c:pt idx="142">
                  <c:v>0.9280937184576985</c:v>
                </c:pt>
                <c:pt idx="143">
                  <c:v>0.93535946173042639</c:v>
                </c:pt>
                <c:pt idx="144">
                  <c:v>0.94265730334163389</c:v>
                </c:pt>
                <c:pt idx="145">
                  <c:v>0.94998548122396087</c:v>
                </c:pt>
                <c:pt idx="146">
                  <c:v>0.95734203682961139</c:v>
                </c:pt>
                <c:pt idx="147">
                  <c:v>0.96472680658905174</c:v>
                </c:pt>
                <c:pt idx="148">
                  <c:v>0.97213831244464899</c:v>
                </c:pt>
                <c:pt idx="149">
                  <c:v>0.97957855916099335</c:v>
                </c:pt>
                <c:pt idx="150">
                  <c:v>0.98847571114816335</c:v>
                </c:pt>
                <c:pt idx="151">
                  <c:v>1.0014977809854995</c:v>
                </c:pt>
                <c:pt idx="152">
                  <c:v>1.0146116616153089</c:v>
                </c:pt>
                <c:pt idx="153">
                  <c:v>1.0278399495715955</c:v>
                </c:pt>
                <c:pt idx="154">
                  <c:v>1.041209698735752</c:v>
                </c:pt>
                <c:pt idx="155">
                  <c:v>1.0547508684219671</c:v>
                </c:pt>
                <c:pt idx="156">
                  <c:v>1.0684932942192784</c:v>
                </c:pt>
                <c:pt idx="157">
                  <c:v>1.0824657022896944</c:v>
                </c:pt>
                <c:pt idx="158">
                  <c:v>1.0967044918923765</c:v>
                </c:pt>
                <c:pt idx="159">
                  <c:v>1.1112476860146361</c:v>
                </c:pt>
                <c:pt idx="160">
                  <c:v>1.1260030119983933</c:v>
                </c:pt>
                <c:pt idx="161">
                  <c:v>1.1408928989052947</c:v>
                </c:pt>
                <c:pt idx="162">
                  <c:v>1.1560152115895901</c:v>
                </c:pt>
                <c:pt idx="163">
                  <c:v>1.1713984693426798</c:v>
                </c:pt>
                <c:pt idx="164">
                  <c:v>1.187066525623816</c:v>
                </c:pt>
                <c:pt idx="165">
                  <c:v>1.2030458316795716</c:v>
                </c:pt>
                <c:pt idx="166">
                  <c:v>1.2193638804683875</c:v>
                </c:pt>
                <c:pt idx="167">
                  <c:v>1.2360443450383487</c:v>
                </c:pt>
                <c:pt idx="168">
                  <c:v>1.253107663594609</c:v>
                </c:pt>
                <c:pt idx="169">
                  <c:v>1.2705849142575072</c:v>
                </c:pt>
                <c:pt idx="170">
                  <c:v>1.2894189227446753</c:v>
                </c:pt>
                <c:pt idx="171">
                  <c:v>1.3094997164666107</c:v>
                </c:pt>
                <c:pt idx="172">
                  <c:v>1.3298968587748141</c:v>
                </c:pt>
                <c:pt idx="173">
                  <c:v>1.3506719202922706</c:v>
                </c:pt>
                <c:pt idx="174">
                  <c:v>1.3718860981213472</c:v>
                </c:pt>
                <c:pt idx="175">
                  <c:v>1.3936056698867405</c:v>
                </c:pt>
                <c:pt idx="176">
                  <c:v>1.4159008901354531</c:v>
                </c:pt>
                <c:pt idx="177">
                  <c:v>1.4388373776619952</c:v>
                </c:pt>
                <c:pt idx="178">
                  <c:v>1.4624830795523152</c:v>
                </c:pt>
                <c:pt idx="179">
                  <c:v>1.4869083516666399</c:v>
                </c:pt>
                <c:pt idx="180">
                  <c:v>1.5121270297669345</c:v>
                </c:pt>
                <c:pt idx="181">
                  <c:v>1.5382705878081322</c:v>
                </c:pt>
                <c:pt idx="182">
                  <c:v>1.5655728347652886</c:v>
                </c:pt>
                <c:pt idx="183">
                  <c:v>1.5942145861801287</c:v>
                </c:pt>
                <c:pt idx="184">
                  <c:v>1.6243830573492937</c:v>
                </c:pt>
                <c:pt idx="185">
                  <c:v>1.6562710545475041</c:v>
                </c:pt>
                <c:pt idx="186">
                  <c:v>1.6900760791836196</c:v>
                </c:pt>
                <c:pt idx="187">
                  <c:v>1.7260025566251891</c:v>
                </c:pt>
                <c:pt idx="188">
                  <c:v>1.7642659569951702</c:v>
                </c:pt>
                <c:pt idx="189">
                  <c:v>1.8050984002490169</c:v>
                </c:pt>
                <c:pt idx="190">
                  <c:v>1.8496712837389566</c:v>
                </c:pt>
                <c:pt idx="191">
                  <c:v>1.8970900813930871</c:v>
                </c:pt>
                <c:pt idx="192">
                  <c:v>1.946079622182429</c:v>
                </c:pt>
                <c:pt idx="193">
                  <c:v>1.9967032397856617</c:v>
                </c:pt>
                <c:pt idx="194">
                  <c:v>2.0489660942275836</c:v>
                </c:pt>
                <c:pt idx="195">
                  <c:v>2.1027979163472725</c:v>
                </c:pt>
                <c:pt idx="196">
                  <c:v>2.15806455386365</c:v>
                </c:pt>
                <c:pt idx="197">
                  <c:v>2.2145965459141861</c:v>
                </c:pt>
                <c:pt idx="198">
                  <c:v>2.2722233017133546</c:v>
                </c:pt>
                <c:pt idx="199">
                  <c:v>2.3308019510166709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FC-456E-B6BD-2E57B44B75F5}"/>
            </c:ext>
          </c:extLst>
        </c:ser>
        <c:ser>
          <c:idx val="1"/>
          <c:order val="1"/>
          <c:tx>
            <c:v>FEM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FEM_ref!$AA$7:$AA$79</c:f>
              <c:numCache>
                <c:formatCode>General</c:formatCode>
                <c:ptCount val="73"/>
                <c:pt idx="0">
                  <c:v>1</c:v>
                </c:pt>
                <c:pt idx="1">
                  <c:v>0.98611111111111116</c:v>
                </c:pt>
                <c:pt idx="2">
                  <c:v>0.97222222222222221</c:v>
                </c:pt>
                <c:pt idx="3">
                  <c:v>0.95833333333333337</c:v>
                </c:pt>
                <c:pt idx="4">
                  <c:v>0.94444444444444442</c:v>
                </c:pt>
                <c:pt idx="5">
                  <c:v>0.93055555555555558</c:v>
                </c:pt>
                <c:pt idx="6">
                  <c:v>0.91666666666666663</c:v>
                </c:pt>
                <c:pt idx="7">
                  <c:v>0.90277777777777779</c:v>
                </c:pt>
                <c:pt idx="8">
                  <c:v>0.88888888888888884</c:v>
                </c:pt>
                <c:pt idx="9">
                  <c:v>0.875</c:v>
                </c:pt>
                <c:pt idx="10">
                  <c:v>0.86111111111111116</c:v>
                </c:pt>
                <c:pt idx="11">
                  <c:v>0.84722222222222221</c:v>
                </c:pt>
                <c:pt idx="12">
                  <c:v>0.83333333333333337</c:v>
                </c:pt>
                <c:pt idx="13">
                  <c:v>0.81944444444444442</c:v>
                </c:pt>
                <c:pt idx="14">
                  <c:v>0.80555555555555558</c:v>
                </c:pt>
                <c:pt idx="15">
                  <c:v>0.79166666666666663</c:v>
                </c:pt>
                <c:pt idx="16">
                  <c:v>0.77777777777777779</c:v>
                </c:pt>
                <c:pt idx="17">
                  <c:v>0.76388888888888884</c:v>
                </c:pt>
                <c:pt idx="18">
                  <c:v>0.75</c:v>
                </c:pt>
                <c:pt idx="19">
                  <c:v>0.73611111111111116</c:v>
                </c:pt>
                <c:pt idx="20">
                  <c:v>0.72222222222222221</c:v>
                </c:pt>
                <c:pt idx="21">
                  <c:v>0.70833333333333337</c:v>
                </c:pt>
                <c:pt idx="22">
                  <c:v>0.69444444444444442</c:v>
                </c:pt>
                <c:pt idx="23">
                  <c:v>0.68055555555555558</c:v>
                </c:pt>
                <c:pt idx="24">
                  <c:v>0.66666666666666663</c:v>
                </c:pt>
                <c:pt idx="25">
                  <c:v>0.65277777777777779</c:v>
                </c:pt>
                <c:pt idx="26">
                  <c:v>0.63888888888888884</c:v>
                </c:pt>
                <c:pt idx="27">
                  <c:v>0.625</c:v>
                </c:pt>
                <c:pt idx="28">
                  <c:v>0.61111111111111116</c:v>
                </c:pt>
                <c:pt idx="29">
                  <c:v>0.59722222222222221</c:v>
                </c:pt>
                <c:pt idx="30">
                  <c:v>0.58333333333333337</c:v>
                </c:pt>
                <c:pt idx="31">
                  <c:v>0.56944444444444442</c:v>
                </c:pt>
                <c:pt idx="32">
                  <c:v>0.55555555555555558</c:v>
                </c:pt>
                <c:pt idx="33">
                  <c:v>0.54166666666666663</c:v>
                </c:pt>
                <c:pt idx="34">
                  <c:v>0.52777777777777779</c:v>
                </c:pt>
                <c:pt idx="35">
                  <c:v>0.51388888888888884</c:v>
                </c:pt>
                <c:pt idx="36">
                  <c:v>0.5</c:v>
                </c:pt>
                <c:pt idx="37">
                  <c:v>0.4861111111111111</c:v>
                </c:pt>
                <c:pt idx="38">
                  <c:v>0.47222222222222221</c:v>
                </c:pt>
                <c:pt idx="39">
                  <c:v>0.45833333333333331</c:v>
                </c:pt>
                <c:pt idx="40">
                  <c:v>0.44444444444444442</c:v>
                </c:pt>
                <c:pt idx="41">
                  <c:v>0.43055555555555558</c:v>
                </c:pt>
                <c:pt idx="42">
                  <c:v>0.41666666666666669</c:v>
                </c:pt>
                <c:pt idx="43">
                  <c:v>0.40277777777777779</c:v>
                </c:pt>
                <c:pt idx="44">
                  <c:v>0.3888888888888889</c:v>
                </c:pt>
                <c:pt idx="45">
                  <c:v>0.375</c:v>
                </c:pt>
                <c:pt idx="46">
                  <c:v>0.3611111111111111</c:v>
                </c:pt>
                <c:pt idx="47">
                  <c:v>0.34722222222222221</c:v>
                </c:pt>
                <c:pt idx="48">
                  <c:v>0.33333333333333331</c:v>
                </c:pt>
                <c:pt idx="49">
                  <c:v>0.31944444444444442</c:v>
                </c:pt>
                <c:pt idx="50">
                  <c:v>0.30555555555555558</c:v>
                </c:pt>
                <c:pt idx="51">
                  <c:v>0.29166666666666669</c:v>
                </c:pt>
                <c:pt idx="52">
                  <c:v>0.27777777777777779</c:v>
                </c:pt>
                <c:pt idx="53">
                  <c:v>0.2638888888888889</c:v>
                </c:pt>
                <c:pt idx="54">
                  <c:v>0.25</c:v>
                </c:pt>
                <c:pt idx="55">
                  <c:v>0.2361111111111111</c:v>
                </c:pt>
                <c:pt idx="56">
                  <c:v>0.22222222222222221</c:v>
                </c:pt>
                <c:pt idx="57">
                  <c:v>0.20833333333333334</c:v>
                </c:pt>
                <c:pt idx="58">
                  <c:v>0.19444444444444445</c:v>
                </c:pt>
                <c:pt idx="59">
                  <c:v>0.18055555555555555</c:v>
                </c:pt>
                <c:pt idx="60">
                  <c:v>0.16666666666666666</c:v>
                </c:pt>
                <c:pt idx="61">
                  <c:v>0.15277777777777779</c:v>
                </c:pt>
                <c:pt idx="62">
                  <c:v>0.1388888888888889</c:v>
                </c:pt>
                <c:pt idx="63">
                  <c:v>0.125</c:v>
                </c:pt>
                <c:pt idx="64">
                  <c:v>0.1111111111111111</c:v>
                </c:pt>
                <c:pt idx="65">
                  <c:v>9.7222222222222224E-2</c:v>
                </c:pt>
                <c:pt idx="66">
                  <c:v>8.3333333333333329E-2</c:v>
                </c:pt>
                <c:pt idx="67">
                  <c:v>6.9444444444444448E-2</c:v>
                </c:pt>
                <c:pt idx="68">
                  <c:v>5.5555555555555552E-2</c:v>
                </c:pt>
                <c:pt idx="69">
                  <c:v>4.1666666666666664E-2</c:v>
                </c:pt>
                <c:pt idx="70">
                  <c:v>2.7777777777777776E-2</c:v>
                </c:pt>
                <c:pt idx="71">
                  <c:v>1.3888888888888888E-2</c:v>
                </c:pt>
                <c:pt idx="72">
                  <c:v>0</c:v>
                </c:pt>
              </c:numCache>
            </c:numRef>
          </c:xVal>
          <c:yVal>
            <c:numRef>
              <c:f>FEM_ref!$AC$7:$AC$79</c:f>
              <c:numCache>
                <c:formatCode>General</c:formatCode>
                <c:ptCount val="73"/>
                <c:pt idx="0">
                  <c:v>2.2376859422100783</c:v>
                </c:pt>
                <c:pt idx="1">
                  <c:v>2.2507698240846614</c:v>
                </c:pt>
                <c:pt idx="2">
                  <c:v>2.1979397184384726</c:v>
                </c:pt>
                <c:pt idx="3">
                  <c:v>2.130800144107964</c:v>
                </c:pt>
                <c:pt idx="4">
                  <c:v>2.065229224437215</c:v>
                </c:pt>
                <c:pt idx="5">
                  <c:v>2.0064751758974784</c:v>
                </c:pt>
                <c:pt idx="6">
                  <c:v>1.9496165805682282</c:v>
                </c:pt>
                <c:pt idx="7">
                  <c:v>1.8965979028883186</c:v>
                </c:pt>
                <c:pt idx="8">
                  <c:v>1.8455060180776921</c:v>
                </c:pt>
                <c:pt idx="9">
                  <c:v>1.8006118574678476</c:v>
                </c:pt>
                <c:pt idx="10">
                  <c:v>1.75689502121817</c:v>
                </c:pt>
                <c:pt idx="11">
                  <c:v>1.7160909322830358</c:v>
                </c:pt>
                <c:pt idx="12">
                  <c:v>1.6757983314152523</c:v>
                </c:pt>
                <c:pt idx="13">
                  <c:v>1.6405998193086646</c:v>
                </c:pt>
                <c:pt idx="14">
                  <c:v>1.6059386070186863</c:v>
                </c:pt>
                <c:pt idx="15">
                  <c:v>1.5735683801506941</c:v>
                </c:pt>
                <c:pt idx="16">
                  <c:v>1.5405571003522673</c:v>
                </c:pt>
                <c:pt idx="17">
                  <c:v>1.5121135998113218</c:v>
                </c:pt>
                <c:pt idx="18">
                  <c:v>1.4836914191183184</c:v>
                </c:pt>
                <c:pt idx="19">
                  <c:v>1.4572298057820694</c:v>
                </c:pt>
                <c:pt idx="20">
                  <c:v>1.42931277296569</c:v>
                </c:pt>
                <c:pt idx="21">
                  <c:v>1.4056322179735872</c:v>
                </c:pt>
                <c:pt idx="22">
                  <c:v>1.3816327483543913</c:v>
                </c:pt>
                <c:pt idx="23">
                  <c:v>1.3595518387316714</c:v>
                </c:pt>
                <c:pt idx="24">
                  <c:v>1.3351738728368168</c:v>
                </c:pt>
                <c:pt idx="25">
                  <c:v>1.315099696921403</c:v>
                </c:pt>
                <c:pt idx="26">
                  <c:v>1.2943432293906909</c:v>
                </c:pt>
                <c:pt idx="27">
                  <c:v>1.2753689075478234</c:v>
                </c:pt>
                <c:pt idx="28">
                  <c:v>1.25323645370111</c:v>
                </c:pt>
                <c:pt idx="29">
                  <c:v>1.2353325004271347</c:v>
                </c:pt>
                <c:pt idx="30">
                  <c:v>1.2165237071812929</c:v>
                </c:pt>
                <c:pt idx="31">
                  <c:v>1.1995739060277357</c:v>
                </c:pt>
                <c:pt idx="32">
                  <c:v>1.1788208244678784</c:v>
                </c:pt>
                <c:pt idx="33">
                  <c:v>1.1627677413707627</c:v>
                </c:pt>
                <c:pt idx="34">
                  <c:v>1.1455467671153461</c:v>
                </c:pt>
                <c:pt idx="35">
                  <c:v>1.1304026487181831</c:v>
                </c:pt>
                <c:pt idx="36">
                  <c:v>1.1105741852276461</c:v>
                </c:pt>
                <c:pt idx="37">
                  <c:v>1.0960975171891973</c:v>
                </c:pt>
                <c:pt idx="38">
                  <c:v>1.0801269795334258</c:v>
                </c:pt>
                <c:pt idx="39">
                  <c:v>1.0664084643963285</c:v>
                </c:pt>
                <c:pt idx="40">
                  <c:v>1.0471001636668531</c:v>
                </c:pt>
                <c:pt idx="41">
                  <c:v>1.0338728126762875</c:v>
                </c:pt>
                <c:pt idx="42">
                  <c:v>1.0188250951691327</c:v>
                </c:pt>
                <c:pt idx="43">
                  <c:v>1.0062228381742455</c:v>
                </c:pt>
                <c:pt idx="44">
                  <c:v>0.98708776079867933</c:v>
                </c:pt>
                <c:pt idx="45">
                  <c:v>0.97506697285333144</c:v>
                </c:pt>
                <c:pt idx="46">
                  <c:v>0.96076725494212234</c:v>
                </c:pt>
                <c:pt idx="47">
                  <c:v>0.94917870865218223</c:v>
                </c:pt>
                <c:pt idx="48">
                  <c:v>0.93003213778402372</c:v>
                </c:pt>
                <c:pt idx="49">
                  <c:v>0.91936945150981897</c:v>
                </c:pt>
                <c:pt idx="50">
                  <c:v>0.90579501130593321</c:v>
                </c:pt>
                <c:pt idx="51">
                  <c:v>0.89527293110705475</c:v>
                </c:pt>
                <c:pt idx="52">
                  <c:v>0.87614772667257568</c:v>
                </c:pt>
                <c:pt idx="53">
                  <c:v>0.86712306045805609</c:v>
                </c:pt>
                <c:pt idx="54">
                  <c:v>0.85442678043636888</c:v>
                </c:pt>
                <c:pt idx="55">
                  <c:v>0.84514889674533611</c:v>
                </c:pt>
                <c:pt idx="56">
                  <c:v>0.82625885669942201</c:v>
                </c:pt>
                <c:pt idx="57">
                  <c:v>0.8193697187819825</c:v>
                </c:pt>
                <c:pt idx="58">
                  <c:v>0.80784151083313138</c:v>
                </c:pt>
                <c:pt idx="59">
                  <c:v>0.80016382505230854</c:v>
                </c:pt>
                <c:pt idx="60">
                  <c:v>0.7820533834324751</c:v>
                </c:pt>
                <c:pt idx="61">
                  <c:v>0.77798102308389205</c:v>
                </c:pt>
                <c:pt idx="62">
                  <c:v>0.76817868429763825</c:v>
                </c:pt>
                <c:pt idx="63">
                  <c:v>0.76265575938408781</c:v>
                </c:pt>
                <c:pt idx="64">
                  <c:v>0.74628431473682721</c:v>
                </c:pt>
                <c:pt idx="65">
                  <c:v>0.74584969380767441</c:v>
                </c:pt>
                <c:pt idx="66">
                  <c:v>0.738560228940218</c:v>
                </c:pt>
                <c:pt idx="67">
                  <c:v>0.73591312412748078</c:v>
                </c:pt>
                <c:pt idx="68">
                  <c:v>0.72254876493218478</c:v>
                </c:pt>
                <c:pt idx="69">
                  <c:v>0.72652685756598545</c:v>
                </c:pt>
                <c:pt idx="70">
                  <c:v>0.72251552213743364</c:v>
                </c:pt>
                <c:pt idx="71">
                  <c:v>0.7233129275365292</c:v>
                </c:pt>
                <c:pt idx="72">
                  <c:v>0.71457656031310701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FC-456E-B6BD-2E57B44B7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705487"/>
        <c:axId val="1330691567"/>
      </c:scatterChart>
      <c:valAx>
        <c:axId val="133070548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2φ/π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691567"/>
        <c:crosses val="autoZero"/>
        <c:crossBetween val="midCat"/>
        <c:majorUnit val="0.1"/>
      </c:valAx>
      <c:valAx>
        <c:axId val="13306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KI/σ</a:t>
                </a:r>
                <a:r>
                  <a:rPr lang="ja-JP"/>
                  <a:t>√</a:t>
                </a:r>
                <a:r>
                  <a:rPr lang="en-US"/>
                  <a:t>πb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705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05441318196587"/>
          <c:y val="0.11060168960459123"/>
          <c:w val="0.25232283444647391"/>
          <c:h val="0.2160254236223637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3449256342957"/>
          <c:y val="5.0925925925925923E-2"/>
          <c:w val="0.81745363079615052"/>
          <c:h val="0.78148950131233597"/>
        </c:manualLayout>
      </c:layout>
      <c:scatterChart>
        <c:scatterStyle val="lineMarker"/>
        <c:varyColors val="0"/>
        <c:ser>
          <c:idx val="0"/>
          <c:order val="0"/>
          <c:tx>
            <c:v>SSIGA</c:v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SSIGA!$R$2:$R$201</c:f>
              <c:numCache>
                <c:formatCode>0.00E+00</c:formatCode>
                <c:ptCount val="200"/>
                <c:pt idx="0">
                  <c:v>-0.99398504577202118</c:v>
                </c:pt>
                <c:pt idx="1">
                  <c:v>-0.98191336397234363</c:v>
                </c:pt>
                <c:pt idx="2">
                  <c:v>-0.96978748427691364</c:v>
                </c:pt>
                <c:pt idx="3">
                  <c:v>-0.95760925498562954</c:v>
                </c:pt>
                <c:pt idx="4">
                  <c:v>-0.9453805786929107</c:v>
                </c:pt>
                <c:pt idx="5">
                  <c:v>-0.93310341100374206</c:v>
                </c:pt>
                <c:pt idx="6">
                  <c:v>-0.92077975911999888</c:v>
                </c:pt>
                <c:pt idx="7">
                  <c:v>-0.90841168029803609</c:v>
                </c:pt>
                <c:pt idx="8">
                  <c:v>-0.89600128017894753</c:v>
                </c:pt>
                <c:pt idx="9">
                  <c:v>-0.88355071099367222</c:v>
                </c:pt>
                <c:pt idx="10">
                  <c:v>-0.87106216964549366</c:v>
                </c:pt>
                <c:pt idx="11">
                  <c:v>-0.85853789567322492</c:v>
                </c:pt>
                <c:pt idx="12">
                  <c:v>-0.84598016909875295</c:v>
                </c:pt>
                <c:pt idx="13">
                  <c:v>-0.833391308163412</c:v>
                </c:pt>
                <c:pt idx="14">
                  <c:v>-0.82077366695794229</c:v>
                </c:pt>
                <c:pt idx="15">
                  <c:v>-0.80812963295156948</c:v>
                </c:pt>
                <c:pt idx="16">
                  <c:v>-0.79546162442611312</c:v>
                </c:pt>
                <c:pt idx="17">
                  <c:v>-0.78277208782154373</c:v>
                </c:pt>
                <c:pt idx="18">
                  <c:v>-0.77006349499991611</c:v>
                </c:pt>
                <c:pt idx="19">
                  <c:v>-0.75733834043506898</c:v>
                </c:pt>
                <c:pt idx="20">
                  <c:v>-0.74459913833572466</c:v>
                </c:pt>
                <c:pt idx="21">
                  <c:v>-0.73184841971022385</c:v>
                </c:pt>
                <c:pt idx="22">
                  <c:v>-0.71908872938122104</c:v>
                </c:pt>
                <c:pt idx="23">
                  <c:v>-0.70632262295911119</c:v>
                </c:pt>
                <c:pt idx="24">
                  <c:v>-0.69355266378307612</c:v>
                </c:pt>
                <c:pt idx="25">
                  <c:v>-0.68078141983892781</c:v>
                </c:pt>
                <c:pt idx="26">
                  <c:v>-0.66801146066289752</c:v>
                </c:pt>
                <c:pt idx="27">
                  <c:v>-0.65524535424078223</c:v>
                </c:pt>
                <c:pt idx="28">
                  <c:v>-0.64248566391178163</c:v>
                </c:pt>
                <c:pt idx="29">
                  <c:v>-0.62973494528628005</c:v>
                </c:pt>
                <c:pt idx="30">
                  <c:v>-0.61699574318693529</c:v>
                </c:pt>
                <c:pt idx="31">
                  <c:v>-0.60427058862208771</c:v>
                </c:pt>
                <c:pt idx="32">
                  <c:v>-0.59156199580046298</c:v>
                </c:pt>
                <c:pt idx="33">
                  <c:v>-0.57887245919589025</c:v>
                </c:pt>
                <c:pt idx="34">
                  <c:v>-0.5662044506704349</c:v>
                </c:pt>
                <c:pt idx="35">
                  <c:v>-0.55356041666406286</c:v>
                </c:pt>
                <c:pt idx="36">
                  <c:v>-0.5409427754585926</c:v>
                </c:pt>
                <c:pt idx="37">
                  <c:v>-0.52835391452325098</c:v>
                </c:pt>
                <c:pt idx="38">
                  <c:v>-0.51579618794878002</c:v>
                </c:pt>
                <c:pt idx="39">
                  <c:v>-0.50327191397651017</c:v>
                </c:pt>
                <c:pt idx="40">
                  <c:v>-0.49078337262833649</c:v>
                </c:pt>
                <c:pt idx="41">
                  <c:v>-0.47833280344305801</c:v>
                </c:pt>
                <c:pt idx="42">
                  <c:v>-0.46592240332397034</c:v>
                </c:pt>
                <c:pt idx="43">
                  <c:v>-0.45355432450200628</c:v>
                </c:pt>
                <c:pt idx="44">
                  <c:v>-0.44123067261826415</c:v>
                </c:pt>
                <c:pt idx="45">
                  <c:v>-0.42895350492909323</c:v>
                </c:pt>
                <c:pt idx="46">
                  <c:v>-0.41672482863637617</c:v>
                </c:pt>
                <c:pt idx="47">
                  <c:v>-0.40454659934509218</c:v>
                </c:pt>
                <c:pt idx="48">
                  <c:v>-0.39242071964965958</c:v>
                </c:pt>
                <c:pt idx="49">
                  <c:v>-0.38034903784998242</c:v>
                </c:pt>
                <c:pt idx="50">
                  <c:v>-0.37064286375561922</c:v>
                </c:pt>
                <c:pt idx="51">
                  <c:v>-0.36325115767913507</c:v>
                </c:pt>
                <c:pt idx="52">
                  <c:v>-0.35584748700762386</c:v>
                </c:pt>
                <c:pt idx="53">
                  <c:v>-0.34843232452109463</c:v>
                </c:pt>
                <c:pt idx="54">
                  <c:v>-0.34100614758614267</c:v>
                </c:pt>
                <c:pt idx="55">
                  <c:v>-0.33356943798570943</c:v>
                </c:pt>
                <c:pt idx="56">
                  <c:v>-0.32612268174451003</c:v>
                </c:pt>
                <c:pt idx="57">
                  <c:v>-0.31866636895030487</c:v>
                </c:pt>
                <c:pt idx="58">
                  <c:v>-0.31120099357109476</c:v>
                </c:pt>
                <c:pt idx="59">
                  <c:v>-0.30372705326848964</c:v>
                </c:pt>
                <c:pt idx="60">
                  <c:v>-0.29624504920733563</c:v>
                </c:pt>
                <c:pt idx="61">
                  <c:v>-0.28875548586182281</c:v>
                </c:pt>
                <c:pt idx="62">
                  <c:v>-0.28125887081822637</c:v>
                </c:pt>
                <c:pt idx="63">
                  <c:v>-0.2737557145745001</c:v>
                </c:pt>
                <c:pt idx="64">
                  <c:v>-0.26624653033685181</c:v>
                </c:pt>
                <c:pt idx="65">
                  <c:v>-0.2587318338135805</c:v>
                </c:pt>
                <c:pt idx="66">
                  <c:v>-0.25121214300629452</c:v>
                </c:pt>
                <c:pt idx="67">
                  <c:v>-0.24368797799878877</c:v>
                </c:pt>
                <c:pt idx="68">
                  <c:v>-0.23615986074374537</c:v>
                </c:pt>
                <c:pt idx="69">
                  <c:v>-0.22862831484748056</c:v>
                </c:pt>
                <c:pt idx="70">
                  <c:v>-0.22109386535299583</c:v>
                </c:pt>
                <c:pt idx="71">
                  <c:v>-0.21355703852149538</c:v>
                </c:pt>
                <c:pt idx="72">
                  <c:v>-0.20601836161265111</c:v>
                </c:pt>
                <c:pt idx="73">
                  <c:v>-0.19847836266380753</c:v>
                </c:pt>
                <c:pt idx="74">
                  <c:v>-0.19093757026837424</c:v>
                </c:pt>
                <c:pt idx="75">
                  <c:v>-0.18339651335363205</c:v>
                </c:pt>
                <c:pt idx="76">
                  <c:v>-0.17585572095819918</c:v>
                </c:pt>
                <c:pt idx="77">
                  <c:v>-0.16831572200935424</c:v>
                </c:pt>
                <c:pt idx="78">
                  <c:v>-0.16077704510051122</c:v>
                </c:pt>
                <c:pt idx="79">
                  <c:v>-0.1532402182690111</c:v>
                </c:pt>
                <c:pt idx="80">
                  <c:v>-0.14570576877452557</c:v>
                </c:pt>
                <c:pt idx="81">
                  <c:v>-0.13817422287826053</c:v>
                </c:pt>
                <c:pt idx="82">
                  <c:v>-0.13064610562321607</c:v>
                </c:pt>
                <c:pt idx="83">
                  <c:v>-0.1231219406157118</c:v>
                </c:pt>
                <c:pt idx="84">
                  <c:v>-0.11560224980842621</c:v>
                </c:pt>
                <c:pt idx="85">
                  <c:v>-0.10808755328515356</c:v>
                </c:pt>
                <c:pt idx="86">
                  <c:v>-0.10057836904750678</c:v>
                </c:pt>
                <c:pt idx="87">
                  <c:v>-9.3075212803778756E-2</c:v>
                </c:pt>
                <c:pt idx="88">
                  <c:v>-8.5578597760184311E-2</c:v>
                </c:pt>
                <c:pt idx="89">
                  <c:v>-7.8089034414669911E-2</c:v>
                </c:pt>
                <c:pt idx="90">
                  <c:v>-7.0607030353515537E-2</c:v>
                </c:pt>
                <c:pt idx="91">
                  <c:v>-6.313309005091082E-2</c:v>
                </c:pt>
                <c:pt idx="92">
                  <c:v>-5.5667714671700862E-2</c:v>
                </c:pt>
                <c:pt idx="93">
                  <c:v>-4.821140187749353E-2</c:v>
                </c:pt>
                <c:pt idx="94">
                  <c:v>-4.0764645636296011E-2</c:v>
                </c:pt>
                <c:pt idx="95">
                  <c:v>-3.3327936035861296E-2</c:v>
                </c:pt>
                <c:pt idx="96">
                  <c:v>-2.5901759100909787E-2</c:v>
                </c:pt>
                <c:pt idx="97">
                  <c:v>-1.8486596614380672E-2</c:v>
                </c:pt>
                <c:pt idx="98">
                  <c:v>-1.1082925942867916E-2</c:v>
                </c:pt>
                <c:pt idx="99">
                  <c:v>-3.6912198663849381E-3</c:v>
                </c:pt>
                <c:pt idx="100">
                  <c:v>3.6912198663833573E-3</c:v>
                </c:pt>
                <c:pt idx="101">
                  <c:v>1.1082925942866435E-2</c:v>
                </c:pt>
                <c:pt idx="102">
                  <c:v>1.848659661437866E-2</c:v>
                </c:pt>
                <c:pt idx="103">
                  <c:v>2.5901759100907775E-2</c:v>
                </c:pt>
                <c:pt idx="104">
                  <c:v>3.3327936035859297E-2</c:v>
                </c:pt>
                <c:pt idx="105">
                  <c:v>4.0764645636293673E-2</c:v>
                </c:pt>
                <c:pt idx="106">
                  <c:v>4.8211401877491622E-2</c:v>
                </c:pt>
                <c:pt idx="107">
                  <c:v>5.5667714671698586E-2</c:v>
                </c:pt>
                <c:pt idx="108">
                  <c:v>6.3133090050908267E-2</c:v>
                </c:pt>
                <c:pt idx="109">
                  <c:v>7.0607030353513553E-2</c:v>
                </c:pt>
                <c:pt idx="110">
                  <c:v>7.8089034414667705E-2</c:v>
                </c:pt>
                <c:pt idx="111">
                  <c:v>8.5578597760182021E-2</c:v>
                </c:pt>
                <c:pt idx="112">
                  <c:v>9.3075212803776675E-2</c:v>
                </c:pt>
                <c:pt idx="113">
                  <c:v>0.10057836904750403</c:v>
                </c:pt>
                <c:pt idx="114">
                  <c:v>0.10808755328515041</c:v>
                </c:pt>
                <c:pt idx="115">
                  <c:v>0.11560224980842332</c:v>
                </c:pt>
                <c:pt idx="116">
                  <c:v>0.12312194061570868</c:v>
                </c:pt>
                <c:pt idx="117">
                  <c:v>0.13064610562321402</c:v>
                </c:pt>
                <c:pt idx="118">
                  <c:v>0.1381742228782574</c:v>
                </c:pt>
                <c:pt idx="119">
                  <c:v>0.14570576877452152</c:v>
                </c:pt>
                <c:pt idx="120">
                  <c:v>0.15324021826900799</c:v>
                </c:pt>
                <c:pt idx="121">
                  <c:v>0.16077704510050703</c:v>
                </c:pt>
                <c:pt idx="122">
                  <c:v>0.16831572200935219</c:v>
                </c:pt>
                <c:pt idx="123">
                  <c:v>0.17585572095819599</c:v>
                </c:pt>
                <c:pt idx="124">
                  <c:v>0.18339651335363003</c:v>
                </c:pt>
                <c:pt idx="125">
                  <c:v>0.19093757026836994</c:v>
                </c:pt>
                <c:pt idx="126">
                  <c:v>0.1984783626638045</c:v>
                </c:pt>
                <c:pt idx="127">
                  <c:v>0.20601836161264911</c:v>
                </c:pt>
                <c:pt idx="128">
                  <c:v>0.21355703852149341</c:v>
                </c:pt>
                <c:pt idx="129">
                  <c:v>0.22109386535299236</c:v>
                </c:pt>
                <c:pt idx="130">
                  <c:v>0.22862831484747759</c:v>
                </c:pt>
                <c:pt idx="131">
                  <c:v>0.23615986074374187</c:v>
                </c:pt>
                <c:pt idx="132">
                  <c:v>0.24368797799878683</c:v>
                </c:pt>
                <c:pt idx="133">
                  <c:v>0.25121214300629091</c:v>
                </c:pt>
                <c:pt idx="134">
                  <c:v>0.25873183381357595</c:v>
                </c:pt>
                <c:pt idx="135">
                  <c:v>0.26624653033684986</c:v>
                </c:pt>
                <c:pt idx="136">
                  <c:v>0.27375571457449649</c:v>
                </c:pt>
                <c:pt idx="137">
                  <c:v>0.28125887081822443</c:v>
                </c:pt>
                <c:pt idx="138">
                  <c:v>0.28875548586181804</c:v>
                </c:pt>
                <c:pt idx="139">
                  <c:v>0.29624504920733286</c:v>
                </c:pt>
                <c:pt idx="140">
                  <c:v>0.30372705326848576</c:v>
                </c:pt>
                <c:pt idx="141">
                  <c:v>0.31120099357109288</c:v>
                </c:pt>
                <c:pt idx="142">
                  <c:v>0.31866636895030104</c:v>
                </c:pt>
                <c:pt idx="143">
                  <c:v>0.32612268174450909</c:v>
                </c:pt>
                <c:pt idx="144">
                  <c:v>0.33356943798570543</c:v>
                </c:pt>
                <c:pt idx="145">
                  <c:v>0.3410061475861409</c:v>
                </c:pt>
                <c:pt idx="146">
                  <c:v>0.34843232452109163</c:v>
                </c:pt>
                <c:pt idx="147">
                  <c:v>0.35584748700762203</c:v>
                </c:pt>
                <c:pt idx="148">
                  <c:v>0.3632511576791343</c:v>
                </c:pt>
                <c:pt idx="149">
                  <c:v>0.37064286375561833</c:v>
                </c:pt>
                <c:pt idx="150">
                  <c:v>0.38034903784998142</c:v>
                </c:pt>
                <c:pt idx="151">
                  <c:v>0.39242071964966119</c:v>
                </c:pt>
                <c:pt idx="152">
                  <c:v>0.40454659934509052</c:v>
                </c:pt>
                <c:pt idx="153">
                  <c:v>0.41672482863637539</c:v>
                </c:pt>
                <c:pt idx="154">
                  <c:v>0.42895350492909506</c:v>
                </c:pt>
                <c:pt idx="155">
                  <c:v>0.44123067261826621</c:v>
                </c:pt>
                <c:pt idx="156">
                  <c:v>0.4535543245020055</c:v>
                </c:pt>
                <c:pt idx="157">
                  <c:v>0.4659224033239695</c:v>
                </c:pt>
                <c:pt idx="158">
                  <c:v>0.47833280344305718</c:v>
                </c:pt>
                <c:pt idx="159">
                  <c:v>0.49078337262833488</c:v>
                </c:pt>
                <c:pt idx="160">
                  <c:v>0.50327191397651172</c:v>
                </c:pt>
                <c:pt idx="161">
                  <c:v>0.51579618794878235</c:v>
                </c:pt>
                <c:pt idx="162">
                  <c:v>0.52835391452325031</c:v>
                </c:pt>
                <c:pt idx="163">
                  <c:v>0.54094277545859204</c:v>
                </c:pt>
                <c:pt idx="164">
                  <c:v>0.55356041666406552</c:v>
                </c:pt>
                <c:pt idx="165">
                  <c:v>0.56620445067043434</c:v>
                </c:pt>
                <c:pt idx="166">
                  <c:v>0.57887245919588959</c:v>
                </c:pt>
                <c:pt idx="167">
                  <c:v>0.59156199580046565</c:v>
                </c:pt>
                <c:pt idx="168">
                  <c:v>0.60427058862209015</c:v>
                </c:pt>
                <c:pt idx="169">
                  <c:v>0.61699574318693817</c:v>
                </c:pt>
                <c:pt idx="170">
                  <c:v>0.6297349452862796</c:v>
                </c:pt>
                <c:pt idx="171">
                  <c:v>0.64248566391177997</c:v>
                </c:pt>
                <c:pt idx="172">
                  <c:v>0.65524535424078478</c:v>
                </c:pt>
                <c:pt idx="173">
                  <c:v>0.66801146066289641</c:v>
                </c:pt>
                <c:pt idx="174">
                  <c:v>0.68078141983893048</c:v>
                </c:pt>
                <c:pt idx="175">
                  <c:v>0.69355266378307878</c:v>
                </c:pt>
                <c:pt idx="176">
                  <c:v>0.70632262295911019</c:v>
                </c:pt>
                <c:pt idx="177">
                  <c:v>0.71908872938122337</c:v>
                </c:pt>
                <c:pt idx="178">
                  <c:v>0.73184841971022652</c:v>
                </c:pt>
                <c:pt idx="179">
                  <c:v>0.74459913833572777</c:v>
                </c:pt>
                <c:pt idx="180">
                  <c:v>0.75733834043506842</c:v>
                </c:pt>
                <c:pt idx="181">
                  <c:v>0.77006349499991544</c:v>
                </c:pt>
                <c:pt idx="182">
                  <c:v>0.78277208782154273</c:v>
                </c:pt>
                <c:pt idx="183">
                  <c:v>0.79546162442611645</c:v>
                </c:pt>
                <c:pt idx="184">
                  <c:v>0.80812963295156859</c:v>
                </c:pt>
                <c:pt idx="185">
                  <c:v>0.82077366695794141</c:v>
                </c:pt>
                <c:pt idx="186">
                  <c:v>0.83339130816341134</c:v>
                </c:pt>
                <c:pt idx="187">
                  <c:v>0.84598016909875207</c:v>
                </c:pt>
                <c:pt idx="188">
                  <c:v>0.85853789567322392</c:v>
                </c:pt>
                <c:pt idx="189">
                  <c:v>0.87106216964549288</c:v>
                </c:pt>
                <c:pt idx="190">
                  <c:v>0.88355071099366733</c:v>
                </c:pt>
                <c:pt idx="191">
                  <c:v>0.89600128017894654</c:v>
                </c:pt>
                <c:pt idx="192">
                  <c:v>0.90841168029803554</c:v>
                </c:pt>
                <c:pt idx="193">
                  <c:v>0.92077975911999832</c:v>
                </c:pt>
                <c:pt idx="194">
                  <c:v>0.93310341100373717</c:v>
                </c:pt>
                <c:pt idx="195">
                  <c:v>0.94538057869291037</c:v>
                </c:pt>
                <c:pt idx="196">
                  <c:v>0.9576092549856251</c:v>
                </c:pt>
                <c:pt idx="197">
                  <c:v>0.9697874842769092</c:v>
                </c:pt>
                <c:pt idx="198">
                  <c:v>0.98191336397233964</c:v>
                </c:pt>
                <c:pt idx="199">
                  <c:v>0.99398504577201696</c:v>
                </c:pt>
              </c:numCache>
            </c:numRef>
          </c:xVal>
          <c:yVal>
            <c:numRef>
              <c:f>SSIGA!$S$2:$S$201</c:f>
              <c:numCache>
                <c:formatCode>0.00E+00</c:formatCode>
                <c:ptCount val="200"/>
                <c:pt idx="0">
                  <c:v>2.3308019508627886</c:v>
                </c:pt>
                <c:pt idx="1">
                  <c:v>2.2722233017397215</c:v>
                </c:pt>
                <c:pt idx="2">
                  <c:v>2.2145965460062809</c:v>
                </c:pt>
                <c:pt idx="3">
                  <c:v>2.1580645539428382</c:v>
                </c:pt>
                <c:pt idx="4">
                  <c:v>2.1027979163664288</c:v>
                </c:pt>
                <c:pt idx="5">
                  <c:v>2.0489660941641503</c:v>
                </c:pt>
                <c:pt idx="6">
                  <c:v>1.9967032396355089</c:v>
                </c:pt>
                <c:pt idx="7">
                  <c:v>1.9460796219544578</c:v>
                </c:pt>
                <c:pt idx="8">
                  <c:v>1.8970900811035545</c:v>
                </c:pt>
                <c:pt idx="9">
                  <c:v>1.8496712834089926</c:v>
                </c:pt>
                <c:pt idx="10">
                  <c:v>1.8050983999011279</c:v>
                </c:pt>
                <c:pt idx="11">
                  <c:v>1.7642659566417016</c:v>
                </c:pt>
                <c:pt idx="12">
                  <c:v>1.7260025562744883</c:v>
                </c:pt>
                <c:pt idx="13">
                  <c:v>1.6900760788418558</c:v>
                </c:pt>
                <c:pt idx="14">
                  <c:v>1.6562710542188295</c:v>
                </c:pt>
                <c:pt idx="15">
                  <c:v>1.6243830570350328</c:v>
                </c:pt>
                <c:pt idx="16">
                  <c:v>1.594214585878811</c:v>
                </c:pt>
                <c:pt idx="17">
                  <c:v>1.5655728344722817</c:v>
                </c:pt>
                <c:pt idx="18">
                  <c:v>1.5382705875173248</c:v>
                </c:pt>
                <c:pt idx="19">
                  <c:v>1.5121270294702711</c:v>
                </c:pt>
                <c:pt idx="20">
                  <c:v>1.4869083514007353</c:v>
                </c:pt>
                <c:pt idx="21">
                  <c:v>1.4624830793552266</c:v>
                </c:pt>
                <c:pt idx="22">
                  <c:v>1.4388373775294836</c:v>
                </c:pt>
                <c:pt idx="23">
                  <c:v>1.4159008900654861</c:v>
                </c:pt>
                <c:pt idx="24">
                  <c:v>1.393605669880644</c:v>
                </c:pt>
                <c:pt idx="25">
                  <c:v>1.3718860981861933</c:v>
                </c:pt>
                <c:pt idx="26">
                  <c:v>1.3506719204333257</c:v>
                </c:pt>
                <c:pt idx="27">
                  <c:v>1.3298968589984441</c:v>
                </c:pt>
                <c:pt idx="28">
                  <c:v>1.309499716786181</c:v>
                </c:pt>
                <c:pt idx="29">
                  <c:v>1.2894189231764357</c:v>
                </c:pt>
                <c:pt idx="30">
                  <c:v>1.2705849147699853</c:v>
                </c:pt>
                <c:pt idx="31">
                  <c:v>1.2531076641349106</c:v>
                </c:pt>
                <c:pt idx="32">
                  <c:v>1.2360443456107639</c:v>
                </c:pt>
                <c:pt idx="33">
                  <c:v>1.2193638810567105</c:v>
                </c:pt>
                <c:pt idx="34">
                  <c:v>1.2030458322693509</c:v>
                </c:pt>
                <c:pt idx="35">
                  <c:v>1.187066526201825</c:v>
                </c:pt>
                <c:pt idx="36">
                  <c:v>1.1713984698920641</c:v>
                </c:pt>
                <c:pt idx="37">
                  <c:v>1.1560152120959497</c:v>
                </c:pt>
                <c:pt idx="38">
                  <c:v>1.1408928993655854</c:v>
                </c:pt>
                <c:pt idx="39">
                  <c:v>1.1260030124130664</c:v>
                </c:pt>
                <c:pt idx="40">
                  <c:v>1.1112476860205285</c:v>
                </c:pt>
                <c:pt idx="41">
                  <c:v>1.0967044911587447</c:v>
                </c:pt>
                <c:pt idx="42">
                  <c:v>1.0824657009528813</c:v>
                </c:pt>
                <c:pt idx="43">
                  <c:v>1.0684932925261563</c:v>
                </c:pt>
                <c:pt idx="44">
                  <c:v>1.054750866707584</c:v>
                </c:pt>
                <c:pt idx="45">
                  <c:v>1.0412096973937384</c:v>
                </c:pt>
                <c:pt idx="46">
                  <c:v>1.0278399490457448</c:v>
                </c:pt>
                <c:pt idx="47">
                  <c:v>1.0146116623923076</c:v>
                </c:pt>
                <c:pt idx="48">
                  <c:v>1.0014977835789762</c:v>
                </c:pt>
                <c:pt idx="49">
                  <c:v>0.98847571608769147</c:v>
                </c:pt>
                <c:pt idx="50">
                  <c:v>0.97957856332319482</c:v>
                </c:pt>
                <c:pt idx="51">
                  <c:v>0.97213831449904797</c:v>
                </c:pt>
                <c:pt idx="52">
                  <c:v>0.96472680716667469</c:v>
                </c:pt>
                <c:pt idx="53">
                  <c:v>0.95734203647575677</c:v>
                </c:pt>
                <c:pt idx="54">
                  <c:v>0.94998548037003228</c:v>
                </c:pt>
                <c:pt idx="55">
                  <c:v>0.94265730231984612</c:v>
                </c:pt>
                <c:pt idx="56">
                  <c:v>0.93535946077151111</c:v>
                </c:pt>
                <c:pt idx="57">
                  <c:v>0.92809371771281368</c:v>
                </c:pt>
                <c:pt idx="58">
                  <c:v>0.92086197426297212</c:v>
                </c:pt>
                <c:pt idx="59">
                  <c:v>0.91366650960472628</c:v>
                </c:pt>
                <c:pt idx="60">
                  <c:v>0.90655458157986546</c:v>
                </c:pt>
                <c:pt idx="61">
                  <c:v>0.89954528145937052</c:v>
                </c:pt>
                <c:pt idx="62">
                  <c:v>0.89260278348458755</c:v>
                </c:pt>
                <c:pt idx="63">
                  <c:v>0.88572958591868256</c:v>
                </c:pt>
                <c:pt idx="64">
                  <c:v>0.87892854938237708</c:v>
                </c:pt>
                <c:pt idx="65">
                  <c:v>0.87220291650229442</c:v>
                </c:pt>
                <c:pt idx="66">
                  <c:v>0.86555632797882265</c:v>
                </c:pt>
                <c:pt idx="67">
                  <c:v>0.85899283451990427</c:v>
                </c:pt>
                <c:pt idx="68">
                  <c:v>0.85251690404127278</c:v>
                </c:pt>
                <c:pt idx="69">
                  <c:v>0.84613342350788456</c:v>
                </c:pt>
                <c:pt idx="70">
                  <c:v>0.83978983869769619</c:v>
                </c:pt>
                <c:pt idx="71">
                  <c:v>0.83351218716556508</c:v>
                </c:pt>
                <c:pt idx="72">
                  <c:v>0.82737172367942224</c:v>
                </c:pt>
                <c:pt idx="73">
                  <c:v>0.82137349187786135</c:v>
                </c:pt>
                <c:pt idx="74">
                  <c:v>0.81552293921880725</c:v>
                </c:pt>
                <c:pt idx="75">
                  <c:v>0.80982592228312478</c:v>
                </c:pt>
                <c:pt idx="76">
                  <c:v>0.80428870595625568</c:v>
                </c:pt>
                <c:pt idx="77">
                  <c:v>0.79891795589938097</c:v>
                </c:pt>
                <c:pt idx="78">
                  <c:v>0.79372072375212632</c:v>
                </c:pt>
                <c:pt idx="79">
                  <c:v>0.78870442455884349</c:v>
                </c:pt>
                <c:pt idx="80">
                  <c:v>0.78372156556070405</c:v>
                </c:pt>
                <c:pt idx="81">
                  <c:v>0.77879962511471279</c:v>
                </c:pt>
                <c:pt idx="82">
                  <c:v>0.77410823810065288</c:v>
                </c:pt>
                <c:pt idx="83">
                  <c:v>0.76965322785431289</c:v>
                </c:pt>
                <c:pt idx="84">
                  <c:v>0.7654406322105678</c:v>
                </c:pt>
                <c:pt idx="85">
                  <c:v>0.76147669552840214</c:v>
                </c:pt>
                <c:pt idx="86">
                  <c:v>0.75776785486929066</c:v>
                </c:pt>
                <c:pt idx="87">
                  <c:v>0.75432072020079666</c:v>
                </c:pt>
                <c:pt idx="88">
                  <c:v>0.75114204857447331</c:v>
                </c:pt>
                <c:pt idx="89">
                  <c:v>0.74823871231561701</c:v>
                </c:pt>
                <c:pt idx="90">
                  <c:v>0.74544116236123958</c:v>
                </c:pt>
                <c:pt idx="91">
                  <c:v>0.74277022213674837</c:v>
                </c:pt>
                <c:pt idx="92">
                  <c:v>0.74041103702608457</c:v>
                </c:pt>
                <c:pt idx="93">
                  <c:v>0.73836543781966746</c:v>
                </c:pt>
                <c:pt idx="94">
                  <c:v>0.73663513959807125</c:v>
                </c:pt>
                <c:pt idx="95">
                  <c:v>0.73522175053640726</c:v>
                </c:pt>
                <c:pt idx="96">
                  <c:v>0.7341267751438455</c:v>
                </c:pt>
                <c:pt idx="97">
                  <c:v>0.73335161164955509</c:v>
                </c:pt>
                <c:pt idx="98">
                  <c:v>0.73289754338656854</c:v>
                </c:pt>
                <c:pt idx="99">
                  <c:v>0.73276572417824681</c:v>
                </c:pt>
                <c:pt idx="100">
                  <c:v>0.73276572439550358</c:v>
                </c:pt>
                <c:pt idx="101">
                  <c:v>0.73289754363986503</c:v>
                </c:pt>
                <c:pt idx="102">
                  <c:v>0.73335161195219112</c:v>
                </c:pt>
                <c:pt idx="103">
                  <c:v>0.73412677550388405</c:v>
                </c:pt>
                <c:pt idx="104">
                  <c:v>0.73522175095690001</c:v>
                </c:pt>
                <c:pt idx="105">
                  <c:v>0.73663514007765651</c:v>
                </c:pt>
                <c:pt idx="106">
                  <c:v>0.73836543835314428</c:v>
                </c:pt>
                <c:pt idx="107">
                  <c:v>0.74041103760450155</c:v>
                </c:pt>
                <c:pt idx="108">
                  <c:v>0.74277022274794913</c:v>
                </c:pt>
                <c:pt idx="109">
                  <c:v>0.74544116299014695</c:v>
                </c:pt>
                <c:pt idx="110">
                  <c:v>0.74823871285001153</c:v>
                </c:pt>
                <c:pt idx="111">
                  <c:v>0.75114204892276315</c:v>
                </c:pt>
                <c:pt idx="112">
                  <c:v>0.75432072037383446</c:v>
                </c:pt>
                <c:pt idx="113">
                  <c:v>0.75776785487814768</c:v>
                </c:pt>
                <c:pt idx="114">
                  <c:v>0.76147669538504514</c:v>
                </c:pt>
                <c:pt idx="115">
                  <c:v>0.7654406319289816</c:v>
                </c:pt>
                <c:pt idx="116">
                  <c:v>0.76965322745130815</c:v>
                </c:pt>
                <c:pt idx="117">
                  <c:v>0.7741082375968571</c:v>
                </c:pt>
                <c:pt idx="118">
                  <c:v>0.77879962453510143</c:v>
                </c:pt>
                <c:pt idx="119">
                  <c:v>0.78372156493537304</c:v>
                </c:pt>
                <c:pt idx="120">
                  <c:v>0.78870442403132468</c:v>
                </c:pt>
                <c:pt idx="121">
                  <c:v>0.79372072343890721</c:v>
                </c:pt>
                <c:pt idx="122">
                  <c:v>0.79891795579684166</c:v>
                </c:pt>
                <c:pt idx="123">
                  <c:v>0.80428870605765146</c:v>
                </c:pt>
                <c:pt idx="124">
                  <c:v>0.80982592257739172</c:v>
                </c:pt>
                <c:pt idx="125">
                  <c:v>0.81552293968839185</c:v>
                </c:pt>
                <c:pt idx="126">
                  <c:v>0.82137349249741642</c:v>
                </c:pt>
                <c:pt idx="127">
                  <c:v>0.82737172441439411</c:v>
                </c:pt>
                <c:pt idx="128">
                  <c:v>0.83351218797036553</c:v>
                </c:pt>
                <c:pt idx="129">
                  <c:v>0.83978983951454367</c:v>
                </c:pt>
                <c:pt idx="130">
                  <c:v>0.84613342417223425</c:v>
                </c:pt>
                <c:pt idx="131">
                  <c:v>0.85251690442856665</c:v>
                </c:pt>
                <c:pt idx="132">
                  <c:v>0.85899283463047749</c:v>
                </c:pt>
                <c:pt idx="133">
                  <c:v>0.86555632782951497</c:v>
                </c:pt>
                <c:pt idx="134">
                  <c:v>0.87220291612897793</c:v>
                </c:pt>
                <c:pt idx="135">
                  <c:v>0.87892854884086646</c:v>
                </c:pt>
                <c:pt idx="136">
                  <c:v>0.88572958528644674</c:v>
                </c:pt>
                <c:pt idx="137">
                  <c:v>0.89260278286235939</c:v>
                </c:pt>
                <c:pt idx="138">
                  <c:v>0.89954528097151842</c:v>
                </c:pt>
                <c:pt idx="139">
                  <c:v>0.90655458137641842</c:v>
                </c:pt>
                <c:pt idx="140">
                  <c:v>0.91366650974570884</c:v>
                </c:pt>
                <c:pt idx="141">
                  <c:v>0.92086197471335685</c:v>
                </c:pt>
                <c:pt idx="142">
                  <c:v>0.9280937184576985</c:v>
                </c:pt>
                <c:pt idx="143">
                  <c:v>0.93535946173042639</c:v>
                </c:pt>
                <c:pt idx="144">
                  <c:v>0.94265730334163389</c:v>
                </c:pt>
                <c:pt idx="145">
                  <c:v>0.94998548122396087</c:v>
                </c:pt>
                <c:pt idx="146">
                  <c:v>0.95734203682961139</c:v>
                </c:pt>
                <c:pt idx="147">
                  <c:v>0.96472680658905174</c:v>
                </c:pt>
                <c:pt idx="148">
                  <c:v>0.97213831244464899</c:v>
                </c:pt>
                <c:pt idx="149">
                  <c:v>0.97957855916099335</c:v>
                </c:pt>
                <c:pt idx="150">
                  <c:v>0.98847571114816335</c:v>
                </c:pt>
                <c:pt idx="151">
                  <c:v>1.0014977809854995</c:v>
                </c:pt>
                <c:pt idx="152">
                  <c:v>1.0146116616153089</c:v>
                </c:pt>
                <c:pt idx="153">
                  <c:v>1.0278399495715955</c:v>
                </c:pt>
                <c:pt idx="154">
                  <c:v>1.041209698735752</c:v>
                </c:pt>
                <c:pt idx="155">
                  <c:v>1.0547508684219671</c:v>
                </c:pt>
                <c:pt idx="156">
                  <c:v>1.0684932942192784</c:v>
                </c:pt>
                <c:pt idx="157">
                  <c:v>1.0824657022896944</c:v>
                </c:pt>
                <c:pt idx="158">
                  <c:v>1.0967044918923765</c:v>
                </c:pt>
                <c:pt idx="159">
                  <c:v>1.1112476860146361</c:v>
                </c:pt>
                <c:pt idx="160">
                  <c:v>1.1260030119983933</c:v>
                </c:pt>
                <c:pt idx="161">
                  <c:v>1.1408928989052947</c:v>
                </c:pt>
                <c:pt idx="162">
                  <c:v>1.1560152115895901</c:v>
                </c:pt>
                <c:pt idx="163">
                  <c:v>1.1713984693426798</c:v>
                </c:pt>
                <c:pt idx="164">
                  <c:v>1.187066525623816</c:v>
                </c:pt>
                <c:pt idx="165">
                  <c:v>1.2030458316795716</c:v>
                </c:pt>
                <c:pt idx="166">
                  <c:v>1.2193638804683875</c:v>
                </c:pt>
                <c:pt idx="167">
                  <c:v>1.2360443450383487</c:v>
                </c:pt>
                <c:pt idx="168">
                  <c:v>1.253107663594609</c:v>
                </c:pt>
                <c:pt idx="169">
                  <c:v>1.2705849142575072</c:v>
                </c:pt>
                <c:pt idx="170">
                  <c:v>1.2894189227446753</c:v>
                </c:pt>
                <c:pt idx="171">
                  <c:v>1.3094997164666107</c:v>
                </c:pt>
                <c:pt idx="172">
                  <c:v>1.3298968587748141</c:v>
                </c:pt>
                <c:pt idx="173">
                  <c:v>1.3506719202922706</c:v>
                </c:pt>
                <c:pt idx="174">
                  <c:v>1.3718860981213472</c:v>
                </c:pt>
                <c:pt idx="175">
                  <c:v>1.3936056698867405</c:v>
                </c:pt>
                <c:pt idx="176">
                  <c:v>1.4159008901354531</c:v>
                </c:pt>
                <c:pt idx="177">
                  <c:v>1.4388373776619952</c:v>
                </c:pt>
                <c:pt idx="178">
                  <c:v>1.4624830795523152</c:v>
                </c:pt>
                <c:pt idx="179">
                  <c:v>1.4869083516666399</c:v>
                </c:pt>
                <c:pt idx="180">
                  <c:v>1.5121270297669345</c:v>
                </c:pt>
                <c:pt idx="181">
                  <c:v>1.5382705878081322</c:v>
                </c:pt>
                <c:pt idx="182">
                  <c:v>1.5655728347652886</c:v>
                </c:pt>
                <c:pt idx="183">
                  <c:v>1.5942145861801287</c:v>
                </c:pt>
                <c:pt idx="184">
                  <c:v>1.6243830573492937</c:v>
                </c:pt>
                <c:pt idx="185">
                  <c:v>1.6562710545475041</c:v>
                </c:pt>
                <c:pt idx="186">
                  <c:v>1.6900760791836196</c:v>
                </c:pt>
                <c:pt idx="187">
                  <c:v>1.7260025566251891</c:v>
                </c:pt>
                <c:pt idx="188">
                  <c:v>1.7642659569951702</c:v>
                </c:pt>
                <c:pt idx="189">
                  <c:v>1.8050984002490169</c:v>
                </c:pt>
                <c:pt idx="190">
                  <c:v>1.8496712837389566</c:v>
                </c:pt>
                <c:pt idx="191">
                  <c:v>1.8970900813930871</c:v>
                </c:pt>
                <c:pt idx="192">
                  <c:v>1.946079622182429</c:v>
                </c:pt>
                <c:pt idx="193">
                  <c:v>1.9967032397856617</c:v>
                </c:pt>
                <c:pt idx="194">
                  <c:v>2.0489660942275836</c:v>
                </c:pt>
                <c:pt idx="195">
                  <c:v>2.1027979163472725</c:v>
                </c:pt>
                <c:pt idx="196">
                  <c:v>2.15806455386365</c:v>
                </c:pt>
                <c:pt idx="197">
                  <c:v>2.2145965459141861</c:v>
                </c:pt>
                <c:pt idx="198">
                  <c:v>2.2722233017133546</c:v>
                </c:pt>
                <c:pt idx="199">
                  <c:v>2.3308019510166709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3-4FF7-83DC-FA0176B0B3E2}"/>
            </c:ext>
          </c:extLst>
        </c:ser>
        <c:ser>
          <c:idx val="1"/>
          <c:order val="1"/>
          <c:tx>
            <c:v>FEM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FEM_ref!$AA$7:$AA$79</c:f>
              <c:numCache>
                <c:formatCode>General</c:formatCode>
                <c:ptCount val="73"/>
                <c:pt idx="0">
                  <c:v>1</c:v>
                </c:pt>
                <c:pt idx="1">
                  <c:v>0.98611111111111116</c:v>
                </c:pt>
                <c:pt idx="2">
                  <c:v>0.97222222222222221</c:v>
                </c:pt>
                <c:pt idx="3">
                  <c:v>0.95833333333333337</c:v>
                </c:pt>
                <c:pt idx="4">
                  <c:v>0.94444444444444442</c:v>
                </c:pt>
                <c:pt idx="5">
                  <c:v>0.93055555555555558</c:v>
                </c:pt>
                <c:pt idx="6">
                  <c:v>0.91666666666666663</c:v>
                </c:pt>
                <c:pt idx="7">
                  <c:v>0.90277777777777779</c:v>
                </c:pt>
                <c:pt idx="8">
                  <c:v>0.88888888888888884</c:v>
                </c:pt>
                <c:pt idx="9">
                  <c:v>0.875</c:v>
                </c:pt>
                <c:pt idx="10">
                  <c:v>0.86111111111111116</c:v>
                </c:pt>
                <c:pt idx="11">
                  <c:v>0.84722222222222221</c:v>
                </c:pt>
                <c:pt idx="12">
                  <c:v>0.83333333333333337</c:v>
                </c:pt>
                <c:pt idx="13">
                  <c:v>0.81944444444444442</c:v>
                </c:pt>
                <c:pt idx="14">
                  <c:v>0.80555555555555558</c:v>
                </c:pt>
                <c:pt idx="15">
                  <c:v>0.79166666666666663</c:v>
                </c:pt>
                <c:pt idx="16">
                  <c:v>0.77777777777777779</c:v>
                </c:pt>
                <c:pt idx="17">
                  <c:v>0.76388888888888884</c:v>
                </c:pt>
                <c:pt idx="18">
                  <c:v>0.75</c:v>
                </c:pt>
                <c:pt idx="19">
                  <c:v>0.73611111111111116</c:v>
                </c:pt>
                <c:pt idx="20">
                  <c:v>0.72222222222222221</c:v>
                </c:pt>
                <c:pt idx="21">
                  <c:v>0.70833333333333337</c:v>
                </c:pt>
                <c:pt idx="22">
                  <c:v>0.69444444444444442</c:v>
                </c:pt>
                <c:pt idx="23">
                  <c:v>0.68055555555555558</c:v>
                </c:pt>
                <c:pt idx="24">
                  <c:v>0.66666666666666663</c:v>
                </c:pt>
                <c:pt idx="25">
                  <c:v>0.65277777777777779</c:v>
                </c:pt>
                <c:pt idx="26">
                  <c:v>0.63888888888888884</c:v>
                </c:pt>
                <c:pt idx="27">
                  <c:v>0.625</c:v>
                </c:pt>
                <c:pt idx="28">
                  <c:v>0.61111111111111116</c:v>
                </c:pt>
                <c:pt idx="29">
                  <c:v>0.59722222222222221</c:v>
                </c:pt>
                <c:pt idx="30">
                  <c:v>0.58333333333333337</c:v>
                </c:pt>
                <c:pt idx="31">
                  <c:v>0.56944444444444442</c:v>
                </c:pt>
                <c:pt idx="32">
                  <c:v>0.55555555555555558</c:v>
                </c:pt>
                <c:pt idx="33">
                  <c:v>0.54166666666666663</c:v>
                </c:pt>
                <c:pt idx="34">
                  <c:v>0.52777777777777779</c:v>
                </c:pt>
                <c:pt idx="35">
                  <c:v>0.51388888888888884</c:v>
                </c:pt>
                <c:pt idx="36">
                  <c:v>0.5</c:v>
                </c:pt>
                <c:pt idx="37">
                  <c:v>0.4861111111111111</c:v>
                </c:pt>
                <c:pt idx="38">
                  <c:v>0.47222222222222221</c:v>
                </c:pt>
                <c:pt idx="39">
                  <c:v>0.45833333333333331</c:v>
                </c:pt>
                <c:pt idx="40">
                  <c:v>0.44444444444444442</c:v>
                </c:pt>
                <c:pt idx="41">
                  <c:v>0.43055555555555558</c:v>
                </c:pt>
                <c:pt idx="42">
                  <c:v>0.41666666666666669</c:v>
                </c:pt>
                <c:pt idx="43">
                  <c:v>0.40277777777777779</c:v>
                </c:pt>
                <c:pt idx="44">
                  <c:v>0.3888888888888889</c:v>
                </c:pt>
                <c:pt idx="45">
                  <c:v>0.375</c:v>
                </c:pt>
                <c:pt idx="46">
                  <c:v>0.3611111111111111</c:v>
                </c:pt>
                <c:pt idx="47">
                  <c:v>0.34722222222222221</c:v>
                </c:pt>
                <c:pt idx="48">
                  <c:v>0.33333333333333331</c:v>
                </c:pt>
                <c:pt idx="49">
                  <c:v>0.31944444444444442</c:v>
                </c:pt>
                <c:pt idx="50">
                  <c:v>0.30555555555555558</c:v>
                </c:pt>
                <c:pt idx="51">
                  <c:v>0.29166666666666669</c:v>
                </c:pt>
                <c:pt idx="52">
                  <c:v>0.27777777777777779</c:v>
                </c:pt>
                <c:pt idx="53">
                  <c:v>0.2638888888888889</c:v>
                </c:pt>
                <c:pt idx="54">
                  <c:v>0.25</c:v>
                </c:pt>
                <c:pt idx="55">
                  <c:v>0.2361111111111111</c:v>
                </c:pt>
                <c:pt idx="56">
                  <c:v>0.22222222222222221</c:v>
                </c:pt>
                <c:pt idx="57">
                  <c:v>0.20833333333333334</c:v>
                </c:pt>
                <c:pt idx="58">
                  <c:v>0.19444444444444445</c:v>
                </c:pt>
                <c:pt idx="59">
                  <c:v>0.18055555555555555</c:v>
                </c:pt>
                <c:pt idx="60">
                  <c:v>0.16666666666666666</c:v>
                </c:pt>
                <c:pt idx="61">
                  <c:v>0.15277777777777779</c:v>
                </c:pt>
                <c:pt idx="62">
                  <c:v>0.1388888888888889</c:v>
                </c:pt>
                <c:pt idx="63">
                  <c:v>0.125</c:v>
                </c:pt>
                <c:pt idx="64">
                  <c:v>0.1111111111111111</c:v>
                </c:pt>
                <c:pt idx="65">
                  <c:v>9.7222222222222224E-2</c:v>
                </c:pt>
                <c:pt idx="66">
                  <c:v>8.3333333333333329E-2</c:v>
                </c:pt>
                <c:pt idx="67">
                  <c:v>6.9444444444444448E-2</c:v>
                </c:pt>
                <c:pt idx="68">
                  <c:v>5.5555555555555552E-2</c:v>
                </c:pt>
                <c:pt idx="69">
                  <c:v>4.1666666666666664E-2</c:v>
                </c:pt>
                <c:pt idx="70">
                  <c:v>2.7777777777777776E-2</c:v>
                </c:pt>
                <c:pt idx="71">
                  <c:v>1.3888888888888888E-2</c:v>
                </c:pt>
                <c:pt idx="72">
                  <c:v>0</c:v>
                </c:pt>
              </c:numCache>
            </c:numRef>
          </c:xVal>
          <c:yVal>
            <c:numRef>
              <c:f>FEM_ref!$AC$7:$AC$79</c:f>
              <c:numCache>
                <c:formatCode>General</c:formatCode>
                <c:ptCount val="73"/>
                <c:pt idx="0">
                  <c:v>2.2376859422100783</c:v>
                </c:pt>
                <c:pt idx="1">
                  <c:v>2.2507698240846614</c:v>
                </c:pt>
                <c:pt idx="2">
                  <c:v>2.1979397184384726</c:v>
                </c:pt>
                <c:pt idx="3">
                  <c:v>2.130800144107964</c:v>
                </c:pt>
                <c:pt idx="4">
                  <c:v>2.065229224437215</c:v>
                </c:pt>
                <c:pt idx="5">
                  <c:v>2.0064751758974784</c:v>
                </c:pt>
                <c:pt idx="6">
                  <c:v>1.9496165805682282</c:v>
                </c:pt>
                <c:pt idx="7">
                  <c:v>1.8965979028883186</c:v>
                </c:pt>
                <c:pt idx="8">
                  <c:v>1.8455060180776921</c:v>
                </c:pt>
                <c:pt idx="9">
                  <c:v>1.8006118574678476</c:v>
                </c:pt>
                <c:pt idx="10">
                  <c:v>1.75689502121817</c:v>
                </c:pt>
                <c:pt idx="11">
                  <c:v>1.7160909322830358</c:v>
                </c:pt>
                <c:pt idx="12">
                  <c:v>1.6757983314152523</c:v>
                </c:pt>
                <c:pt idx="13">
                  <c:v>1.6405998193086646</c:v>
                </c:pt>
                <c:pt idx="14">
                  <c:v>1.6059386070186863</c:v>
                </c:pt>
                <c:pt idx="15">
                  <c:v>1.5735683801506941</c:v>
                </c:pt>
                <c:pt idx="16">
                  <c:v>1.5405571003522673</c:v>
                </c:pt>
                <c:pt idx="17">
                  <c:v>1.5121135998113218</c:v>
                </c:pt>
                <c:pt idx="18">
                  <c:v>1.4836914191183184</c:v>
                </c:pt>
                <c:pt idx="19">
                  <c:v>1.4572298057820694</c:v>
                </c:pt>
                <c:pt idx="20">
                  <c:v>1.42931277296569</c:v>
                </c:pt>
                <c:pt idx="21">
                  <c:v>1.4056322179735872</c:v>
                </c:pt>
                <c:pt idx="22">
                  <c:v>1.3816327483543913</c:v>
                </c:pt>
                <c:pt idx="23">
                  <c:v>1.3595518387316714</c:v>
                </c:pt>
                <c:pt idx="24">
                  <c:v>1.3351738728368168</c:v>
                </c:pt>
                <c:pt idx="25">
                  <c:v>1.315099696921403</c:v>
                </c:pt>
                <c:pt idx="26">
                  <c:v>1.2943432293906909</c:v>
                </c:pt>
                <c:pt idx="27">
                  <c:v>1.2753689075478234</c:v>
                </c:pt>
                <c:pt idx="28">
                  <c:v>1.25323645370111</c:v>
                </c:pt>
                <c:pt idx="29">
                  <c:v>1.2353325004271347</c:v>
                </c:pt>
                <c:pt idx="30">
                  <c:v>1.2165237071812929</c:v>
                </c:pt>
                <c:pt idx="31">
                  <c:v>1.1995739060277357</c:v>
                </c:pt>
                <c:pt idx="32">
                  <c:v>1.1788208244678784</c:v>
                </c:pt>
                <c:pt idx="33">
                  <c:v>1.1627677413707627</c:v>
                </c:pt>
                <c:pt idx="34">
                  <c:v>1.1455467671153461</c:v>
                </c:pt>
                <c:pt idx="35">
                  <c:v>1.1304026487181831</c:v>
                </c:pt>
                <c:pt idx="36">
                  <c:v>1.1105741852276461</c:v>
                </c:pt>
                <c:pt idx="37">
                  <c:v>1.0960975171891973</c:v>
                </c:pt>
                <c:pt idx="38">
                  <c:v>1.0801269795334258</c:v>
                </c:pt>
                <c:pt idx="39">
                  <c:v>1.0664084643963285</c:v>
                </c:pt>
                <c:pt idx="40">
                  <c:v>1.0471001636668531</c:v>
                </c:pt>
                <c:pt idx="41">
                  <c:v>1.0338728126762875</c:v>
                </c:pt>
                <c:pt idx="42">
                  <c:v>1.0188250951691327</c:v>
                </c:pt>
                <c:pt idx="43">
                  <c:v>1.0062228381742455</c:v>
                </c:pt>
                <c:pt idx="44">
                  <c:v>0.98708776079867933</c:v>
                </c:pt>
                <c:pt idx="45">
                  <c:v>0.97506697285333144</c:v>
                </c:pt>
                <c:pt idx="46">
                  <c:v>0.96076725494212234</c:v>
                </c:pt>
                <c:pt idx="47">
                  <c:v>0.94917870865218223</c:v>
                </c:pt>
                <c:pt idx="48">
                  <c:v>0.93003213778402372</c:v>
                </c:pt>
                <c:pt idx="49">
                  <c:v>0.91936945150981897</c:v>
                </c:pt>
                <c:pt idx="50">
                  <c:v>0.90579501130593321</c:v>
                </c:pt>
                <c:pt idx="51">
                  <c:v>0.89527293110705475</c:v>
                </c:pt>
                <c:pt idx="52">
                  <c:v>0.87614772667257568</c:v>
                </c:pt>
                <c:pt idx="53">
                  <c:v>0.86712306045805609</c:v>
                </c:pt>
                <c:pt idx="54">
                  <c:v>0.85442678043636888</c:v>
                </c:pt>
                <c:pt idx="55">
                  <c:v>0.84514889674533611</c:v>
                </c:pt>
                <c:pt idx="56">
                  <c:v>0.82625885669942201</c:v>
                </c:pt>
                <c:pt idx="57">
                  <c:v>0.8193697187819825</c:v>
                </c:pt>
                <c:pt idx="58">
                  <c:v>0.80784151083313138</c:v>
                </c:pt>
                <c:pt idx="59">
                  <c:v>0.80016382505230854</c:v>
                </c:pt>
                <c:pt idx="60">
                  <c:v>0.7820533834324751</c:v>
                </c:pt>
                <c:pt idx="61">
                  <c:v>0.77798102308389205</c:v>
                </c:pt>
                <c:pt idx="62">
                  <c:v>0.76817868429763825</c:v>
                </c:pt>
                <c:pt idx="63">
                  <c:v>0.76265575938408781</c:v>
                </c:pt>
                <c:pt idx="64">
                  <c:v>0.74628431473682721</c:v>
                </c:pt>
                <c:pt idx="65">
                  <c:v>0.74584969380767441</c:v>
                </c:pt>
                <c:pt idx="66">
                  <c:v>0.738560228940218</c:v>
                </c:pt>
                <c:pt idx="67">
                  <c:v>0.73591312412748078</c:v>
                </c:pt>
                <c:pt idx="68">
                  <c:v>0.72254876493218478</c:v>
                </c:pt>
                <c:pt idx="69">
                  <c:v>0.72652685756598545</c:v>
                </c:pt>
                <c:pt idx="70">
                  <c:v>0.72251552213743364</c:v>
                </c:pt>
                <c:pt idx="71">
                  <c:v>0.7233129275365292</c:v>
                </c:pt>
                <c:pt idx="72">
                  <c:v>0.71457656031310701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23-4FF7-83DC-FA0176B0B3E2}"/>
            </c:ext>
          </c:extLst>
        </c:ser>
        <c:ser>
          <c:idx val="2"/>
          <c:order val="2"/>
          <c:tx>
            <c:v>ref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FEM_ref!$AT$8:$AT$18</c:f>
              <c:numCache>
                <c:formatCode>General</c:formatCode>
                <c:ptCount val="11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0.83299999999999996</c:v>
                </c:pt>
                <c:pt idx="8">
                  <c:v>0.91700000000000004</c:v>
                </c:pt>
                <c:pt idx="9">
                  <c:v>0.95799999999999996</c:v>
                </c:pt>
                <c:pt idx="10">
                  <c:v>1</c:v>
                </c:pt>
              </c:numCache>
            </c:numRef>
          </c:xVal>
          <c:yVal>
            <c:numRef>
              <c:f>FEM_ref!$AU$8:$AU$18</c:f>
              <c:numCache>
                <c:formatCode>General</c:formatCode>
                <c:ptCount val="11"/>
                <c:pt idx="0">
                  <c:v>0.75800000000000001</c:v>
                </c:pt>
                <c:pt idx="1">
                  <c:v>0.79300000000000004</c:v>
                </c:pt>
                <c:pt idx="2">
                  <c:v>0.875</c:v>
                </c:pt>
                <c:pt idx="3">
                  <c:v>0.98299999999999998</c:v>
                </c:pt>
                <c:pt idx="4">
                  <c:v>1.1080000000000001</c:v>
                </c:pt>
                <c:pt idx="5">
                  <c:v>1.262</c:v>
                </c:pt>
                <c:pt idx="6">
                  <c:v>1.4490000000000001</c:v>
                </c:pt>
                <c:pt idx="7">
                  <c:v>1.643</c:v>
                </c:pt>
                <c:pt idx="8">
                  <c:v>1.861</c:v>
                </c:pt>
                <c:pt idx="9">
                  <c:v>1.96</c:v>
                </c:pt>
                <c:pt idx="10">
                  <c:v>1.671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23-4FF7-83DC-FA0176B0B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705487"/>
        <c:axId val="1330691567"/>
      </c:scatterChart>
      <c:valAx>
        <c:axId val="133070548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2φ/π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691567"/>
        <c:crosses val="autoZero"/>
        <c:crossBetween val="midCat"/>
        <c:majorUnit val="0.1"/>
      </c:valAx>
      <c:valAx>
        <c:axId val="13306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KI/σ</a:t>
                </a:r>
                <a:r>
                  <a:rPr lang="ja-JP"/>
                  <a:t>√</a:t>
                </a:r>
                <a:r>
                  <a:rPr lang="en-US"/>
                  <a:t>πb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0705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05441318196587"/>
          <c:y val="0.11060168960459123"/>
          <c:w val="0.10432648450075196"/>
          <c:h val="0.2243345768800793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CRACK_SHAPE!$E$2:$E$182</c:f>
              <c:numCache>
                <c:formatCode>General</c:formatCode>
                <c:ptCount val="181"/>
                <c:pt idx="0">
                  <c:v>1.2</c:v>
                </c:pt>
                <c:pt idx="1">
                  <c:v>1.2261786096559253</c:v>
                </c:pt>
                <c:pt idx="2">
                  <c:v>1.2523492450537517</c:v>
                </c:pt>
                <c:pt idx="3">
                  <c:v>1.278503934364416</c:v>
                </c:pt>
                <c:pt idx="4">
                  <c:v>1.3046347106161877</c:v>
                </c:pt>
                <c:pt idx="5">
                  <c:v>1.3307336141214872</c:v>
                </c:pt>
                <c:pt idx="6">
                  <c:v>1.3567926949014801</c:v>
                </c:pt>
                <c:pt idx="7">
                  <c:v>1.3828040151077212</c:v>
                </c:pt>
                <c:pt idx="8">
                  <c:v>1.4087596514400982</c:v>
                </c:pt>
                <c:pt idx="9">
                  <c:v>1.4346516975603463</c:v>
                </c:pt>
                <c:pt idx="10">
                  <c:v>1.4604722665003955</c:v>
                </c:pt>
                <c:pt idx="11">
                  <c:v>1.4862134930648172</c:v>
                </c:pt>
                <c:pt idx="12">
                  <c:v>1.5118675362266392</c:v>
                </c:pt>
                <c:pt idx="13">
                  <c:v>1.5374265815157973</c:v>
                </c:pt>
                <c:pt idx="14">
                  <c:v>1.5628828433995015</c:v>
                </c:pt>
                <c:pt idx="15">
                  <c:v>1.5882285676537811</c:v>
                </c:pt>
                <c:pt idx="16">
                  <c:v>1.6134560337254986</c:v>
                </c:pt>
                <c:pt idx="17">
                  <c:v>1.6385575570841051</c:v>
                </c:pt>
                <c:pt idx="18">
                  <c:v>1.6635254915624211</c:v>
                </c:pt>
                <c:pt idx="19">
                  <c:v>1.6883522316857351</c:v>
                </c:pt>
                <c:pt idx="20">
                  <c:v>1.7130302149885033</c:v>
                </c:pt>
                <c:pt idx="21">
                  <c:v>1.7375519243179505</c:v>
                </c:pt>
                <c:pt idx="22">
                  <c:v>1.7619098901238679</c:v>
                </c:pt>
                <c:pt idx="23">
                  <c:v>1.7860966927339106</c:v>
                </c:pt>
                <c:pt idx="24">
                  <c:v>1.8101049646137004</c:v>
                </c:pt>
                <c:pt idx="25">
                  <c:v>1.8339273926110491</c:v>
                </c:pt>
                <c:pt idx="26">
                  <c:v>1.8575567201836161</c:v>
                </c:pt>
                <c:pt idx="27">
                  <c:v>1.8809857496093203</c:v>
                </c:pt>
                <c:pt idx="28">
                  <c:v>1.9042073441788363</c:v>
                </c:pt>
                <c:pt idx="29">
                  <c:v>1.9272144303695056</c:v>
                </c:pt>
                <c:pt idx="30">
                  <c:v>1.9500000000000002</c:v>
                </c:pt>
                <c:pt idx="31">
                  <c:v>1.9725571123650811</c:v>
                </c:pt>
                <c:pt idx="32">
                  <c:v>1.9948788963498072</c:v>
                </c:pt>
                <c:pt idx="33">
                  <c:v>2.0169585525225404</c:v>
                </c:pt>
                <c:pt idx="34">
                  <c:v>2.03878935520612</c:v>
                </c:pt>
                <c:pt idx="35">
                  <c:v>2.0603646545265693</c:v>
                </c:pt>
                <c:pt idx="36">
                  <c:v>2.0816778784387098</c:v>
                </c:pt>
                <c:pt idx="37">
                  <c:v>2.1027225347280725</c:v>
                </c:pt>
                <c:pt idx="38">
                  <c:v>2.1234922129884874</c:v>
                </c:pt>
                <c:pt idx="39">
                  <c:v>2.1439805865747563</c:v>
                </c:pt>
                <c:pt idx="40">
                  <c:v>2.1641814145298088</c:v>
                </c:pt>
                <c:pt idx="41">
                  <c:v>2.1840885434857609</c:v>
                </c:pt>
                <c:pt idx="42">
                  <c:v>2.2036959095382871</c:v>
                </c:pt>
                <c:pt idx="43">
                  <c:v>2.2229975400937478</c:v>
                </c:pt>
                <c:pt idx="44">
                  <c:v>2.2419875556884961</c:v>
                </c:pt>
                <c:pt idx="45">
                  <c:v>2.2606601717798211</c:v>
                </c:pt>
                <c:pt idx="46">
                  <c:v>2.2790097005079768</c:v>
                </c:pt>
                <c:pt idx="47">
                  <c:v>2.2970305524287555</c:v>
                </c:pt>
                <c:pt idx="48">
                  <c:v>2.3147172382160912</c:v>
                </c:pt>
                <c:pt idx="49">
                  <c:v>2.3320643703341579</c:v>
                </c:pt>
                <c:pt idx="50">
                  <c:v>2.349066664678467</c:v>
                </c:pt>
                <c:pt idx="51">
                  <c:v>2.3657189421854561</c:v>
                </c:pt>
                <c:pt idx="52">
                  <c:v>2.3820161304100829</c:v>
                </c:pt>
                <c:pt idx="53">
                  <c:v>2.3979532650709392</c:v>
                </c:pt>
                <c:pt idx="54">
                  <c:v>2.4135254915624209</c:v>
                </c:pt>
                <c:pt idx="55">
                  <c:v>2.4287280664334876</c:v>
                </c:pt>
                <c:pt idx="56">
                  <c:v>2.4435563588325624</c:v>
                </c:pt>
                <c:pt idx="57">
                  <c:v>2.458005851918136</c:v>
                </c:pt>
                <c:pt idx="58">
                  <c:v>2.4720721442346392</c:v>
                </c:pt>
                <c:pt idx="59">
                  <c:v>2.4857509510531681</c:v>
                </c:pt>
                <c:pt idx="60">
                  <c:v>2.4990381056766582</c:v>
                </c:pt>
                <c:pt idx="61">
                  <c:v>2.5119295607090937</c:v>
                </c:pt>
                <c:pt idx="62">
                  <c:v>2.5244213892883902</c:v>
                </c:pt>
                <c:pt idx="63">
                  <c:v>2.5365097862825516</c:v>
                </c:pt>
                <c:pt idx="64">
                  <c:v>2.5481910694487508</c:v>
                </c:pt>
                <c:pt idx="65">
                  <c:v>2.5594616805549748</c:v>
                </c:pt>
                <c:pt idx="66">
                  <c:v>2.5703181864639015</c:v>
                </c:pt>
                <c:pt idx="67">
                  <c:v>2.5807572801786605</c:v>
                </c:pt>
                <c:pt idx="68">
                  <c:v>2.5907757818501809</c:v>
                </c:pt>
                <c:pt idx="69">
                  <c:v>2.6003706397458028</c:v>
                </c:pt>
                <c:pt idx="70">
                  <c:v>2.6095389311788626</c:v>
                </c:pt>
                <c:pt idx="71">
                  <c:v>2.6182778633989754</c:v>
                </c:pt>
                <c:pt idx="72">
                  <c:v>2.6265847744427302</c:v>
                </c:pt>
                <c:pt idx="73">
                  <c:v>2.6344571339445531</c:v>
                </c:pt>
                <c:pt idx="74">
                  <c:v>2.6418925439074785</c:v>
                </c:pt>
                <c:pt idx="75">
                  <c:v>2.6488887394336027</c:v>
                </c:pt>
                <c:pt idx="76">
                  <c:v>2.6554435894139949</c:v>
                </c:pt>
                <c:pt idx="77">
                  <c:v>2.6615550971778528</c:v>
                </c:pt>
                <c:pt idx="78">
                  <c:v>2.6672214011007087</c:v>
                </c:pt>
                <c:pt idx="79">
                  <c:v>2.6724407751714958</c:v>
                </c:pt>
                <c:pt idx="80">
                  <c:v>2.6772116295183119</c:v>
                </c:pt>
                <c:pt idx="81">
                  <c:v>2.6815325108927066</c:v>
                </c:pt>
                <c:pt idx="82">
                  <c:v>2.6854021031123558</c:v>
                </c:pt>
                <c:pt idx="83">
                  <c:v>2.6888192274619831</c:v>
                </c:pt>
                <c:pt idx="84">
                  <c:v>2.69178284305241</c:v>
                </c:pt>
                <c:pt idx="85">
                  <c:v>2.6942920471376182</c:v>
                </c:pt>
                <c:pt idx="86">
                  <c:v>2.6963460753897364</c:v>
                </c:pt>
                <c:pt idx="87">
                  <c:v>2.6979443021318605</c:v>
                </c:pt>
                <c:pt idx="88">
                  <c:v>2.6990862405286435</c:v>
                </c:pt>
                <c:pt idx="89">
                  <c:v>2.6997715427345872</c:v>
                </c:pt>
                <c:pt idx="90">
                  <c:v>2.7</c:v>
                </c:pt>
                <c:pt idx="91">
                  <c:v>2.6997715427345872</c:v>
                </c:pt>
                <c:pt idx="92">
                  <c:v>2.6990862405286435</c:v>
                </c:pt>
                <c:pt idx="93">
                  <c:v>2.6979443021318605</c:v>
                </c:pt>
                <c:pt idx="94">
                  <c:v>2.6963460753897364</c:v>
                </c:pt>
                <c:pt idx="95">
                  <c:v>2.6942920471376182</c:v>
                </c:pt>
                <c:pt idx="96">
                  <c:v>2.69178284305241</c:v>
                </c:pt>
                <c:pt idx="97">
                  <c:v>2.6888192274619831</c:v>
                </c:pt>
                <c:pt idx="98">
                  <c:v>2.6854021031123558</c:v>
                </c:pt>
                <c:pt idx="99">
                  <c:v>2.6815325108927066</c:v>
                </c:pt>
                <c:pt idx="100">
                  <c:v>2.6772116295183119</c:v>
                </c:pt>
                <c:pt idx="101">
                  <c:v>2.6724407751714958</c:v>
                </c:pt>
                <c:pt idx="102">
                  <c:v>2.6672214011007087</c:v>
                </c:pt>
                <c:pt idx="103">
                  <c:v>2.6615550971778528</c:v>
                </c:pt>
                <c:pt idx="104">
                  <c:v>2.6554435894139949</c:v>
                </c:pt>
                <c:pt idx="105">
                  <c:v>2.6488887394336027</c:v>
                </c:pt>
                <c:pt idx="106">
                  <c:v>2.6418925439074785</c:v>
                </c:pt>
                <c:pt idx="107">
                  <c:v>2.6344571339445531</c:v>
                </c:pt>
                <c:pt idx="108">
                  <c:v>2.6265847744427302</c:v>
                </c:pt>
                <c:pt idx="109">
                  <c:v>2.6182778633989754</c:v>
                </c:pt>
                <c:pt idx="110">
                  <c:v>2.6095389311788626</c:v>
                </c:pt>
                <c:pt idx="111">
                  <c:v>2.6003706397458028</c:v>
                </c:pt>
                <c:pt idx="112">
                  <c:v>2.5907757818501809</c:v>
                </c:pt>
                <c:pt idx="113">
                  <c:v>2.5807572801786605</c:v>
                </c:pt>
                <c:pt idx="114">
                  <c:v>2.5703181864639015</c:v>
                </c:pt>
                <c:pt idx="115">
                  <c:v>2.5594616805549748</c:v>
                </c:pt>
                <c:pt idx="116">
                  <c:v>2.5481910694487508</c:v>
                </c:pt>
                <c:pt idx="117">
                  <c:v>2.5365097862825516</c:v>
                </c:pt>
                <c:pt idx="118">
                  <c:v>2.5244213892883902</c:v>
                </c:pt>
                <c:pt idx="119">
                  <c:v>2.5119295607090937</c:v>
                </c:pt>
                <c:pt idx="120">
                  <c:v>2.4990381056766582</c:v>
                </c:pt>
                <c:pt idx="121">
                  <c:v>2.4857509510531681</c:v>
                </c:pt>
                <c:pt idx="122">
                  <c:v>2.4720721442346392</c:v>
                </c:pt>
                <c:pt idx="123">
                  <c:v>2.458005851918136</c:v>
                </c:pt>
                <c:pt idx="124">
                  <c:v>2.4435563588325624</c:v>
                </c:pt>
                <c:pt idx="125">
                  <c:v>2.4287280664334876</c:v>
                </c:pt>
                <c:pt idx="126">
                  <c:v>2.4135254915624209</c:v>
                </c:pt>
                <c:pt idx="127">
                  <c:v>2.3979532650709392</c:v>
                </c:pt>
                <c:pt idx="128">
                  <c:v>2.3820161304100829</c:v>
                </c:pt>
                <c:pt idx="129">
                  <c:v>2.3657189421854561</c:v>
                </c:pt>
                <c:pt idx="130">
                  <c:v>2.349066664678467</c:v>
                </c:pt>
                <c:pt idx="131">
                  <c:v>2.3320643703341579</c:v>
                </c:pt>
                <c:pt idx="132">
                  <c:v>2.3147172382160912</c:v>
                </c:pt>
                <c:pt idx="133">
                  <c:v>2.2970305524287555</c:v>
                </c:pt>
                <c:pt idx="134">
                  <c:v>2.2790097005079768</c:v>
                </c:pt>
                <c:pt idx="135">
                  <c:v>2.2606601717798211</c:v>
                </c:pt>
                <c:pt idx="136">
                  <c:v>2.2419875556884961</c:v>
                </c:pt>
                <c:pt idx="137">
                  <c:v>2.2229975400937478</c:v>
                </c:pt>
                <c:pt idx="138">
                  <c:v>2.2036959095382871</c:v>
                </c:pt>
                <c:pt idx="139">
                  <c:v>2.1840885434857609</c:v>
                </c:pt>
                <c:pt idx="140">
                  <c:v>2.1641814145298088</c:v>
                </c:pt>
                <c:pt idx="141">
                  <c:v>2.1439805865747563</c:v>
                </c:pt>
                <c:pt idx="142">
                  <c:v>2.1234922129884874</c:v>
                </c:pt>
                <c:pt idx="143">
                  <c:v>2.1027225347280725</c:v>
                </c:pt>
                <c:pt idx="144">
                  <c:v>2.0816778784387098</c:v>
                </c:pt>
                <c:pt idx="145">
                  <c:v>2.0603646545265693</c:v>
                </c:pt>
                <c:pt idx="146">
                  <c:v>2.03878935520612</c:v>
                </c:pt>
                <c:pt idx="147">
                  <c:v>2.0169585525225404</c:v>
                </c:pt>
                <c:pt idx="148">
                  <c:v>1.9948788963498072</c:v>
                </c:pt>
                <c:pt idx="149">
                  <c:v>1.9725571123650811</c:v>
                </c:pt>
                <c:pt idx="150">
                  <c:v>1.9500000000000002</c:v>
                </c:pt>
                <c:pt idx="151">
                  <c:v>1.9272144303695056</c:v>
                </c:pt>
                <c:pt idx="152">
                  <c:v>1.9042073441788363</c:v>
                </c:pt>
                <c:pt idx="153">
                  <c:v>1.8809857496093203</c:v>
                </c:pt>
                <c:pt idx="154">
                  <c:v>1.8575567201836161</c:v>
                </c:pt>
                <c:pt idx="155">
                  <c:v>1.8339273926110491</c:v>
                </c:pt>
                <c:pt idx="156">
                  <c:v>1.8101049646137004</c:v>
                </c:pt>
                <c:pt idx="157">
                  <c:v>1.7860966927339106</c:v>
                </c:pt>
                <c:pt idx="158">
                  <c:v>1.7619098901238679</c:v>
                </c:pt>
                <c:pt idx="159">
                  <c:v>1.7375519243179505</c:v>
                </c:pt>
                <c:pt idx="160">
                  <c:v>1.7130302149885033</c:v>
                </c:pt>
                <c:pt idx="161">
                  <c:v>1.6883522316857351</c:v>
                </c:pt>
                <c:pt idx="162">
                  <c:v>1.6635254915624211</c:v>
                </c:pt>
                <c:pt idx="163">
                  <c:v>1.6385575570841051</c:v>
                </c:pt>
                <c:pt idx="164">
                  <c:v>1.6134560337254986</c:v>
                </c:pt>
                <c:pt idx="165">
                  <c:v>1.5882285676537811</c:v>
                </c:pt>
                <c:pt idx="166">
                  <c:v>1.5628828433995015</c:v>
                </c:pt>
                <c:pt idx="167">
                  <c:v>1.5374265815157973</c:v>
                </c:pt>
                <c:pt idx="168">
                  <c:v>1.5118675362266392</c:v>
                </c:pt>
                <c:pt idx="169">
                  <c:v>1.4862134930648172</c:v>
                </c:pt>
                <c:pt idx="170">
                  <c:v>1.4604722665003955</c:v>
                </c:pt>
                <c:pt idx="171">
                  <c:v>1.4346516975603463</c:v>
                </c:pt>
                <c:pt idx="172">
                  <c:v>1.4087596514400982</c:v>
                </c:pt>
                <c:pt idx="173">
                  <c:v>1.3828040151077212</c:v>
                </c:pt>
                <c:pt idx="174">
                  <c:v>1.3567926949014801</c:v>
                </c:pt>
                <c:pt idx="175">
                  <c:v>1.3307336141214872</c:v>
                </c:pt>
                <c:pt idx="176">
                  <c:v>1.3046347106161877</c:v>
                </c:pt>
                <c:pt idx="177">
                  <c:v>1.278503934364416</c:v>
                </c:pt>
                <c:pt idx="178">
                  <c:v>1.2523492450537517</c:v>
                </c:pt>
                <c:pt idx="179">
                  <c:v>1.2261786096559253</c:v>
                </c:pt>
                <c:pt idx="180">
                  <c:v>1.2</c:v>
                </c:pt>
              </c:numCache>
            </c:numRef>
          </c:xVal>
          <c:yVal>
            <c:numRef>
              <c:f>CRACK_SHAPE!$F$2:$F$182</c:f>
              <c:numCache>
                <c:formatCode>General</c:formatCode>
                <c:ptCount val="181"/>
                <c:pt idx="0">
                  <c:v>-0.60000000000000009</c:v>
                </c:pt>
                <c:pt idx="1">
                  <c:v>-0.59990861709383481</c:v>
                </c:pt>
                <c:pt idx="2">
                  <c:v>-0.59963449621145759</c:v>
                </c:pt>
                <c:pt idx="3">
                  <c:v>-0.59917772085274434</c:v>
                </c:pt>
                <c:pt idx="4">
                  <c:v>-0.59853843015589459</c:v>
                </c:pt>
                <c:pt idx="5">
                  <c:v>-0.59771681885504746</c:v>
                </c:pt>
                <c:pt idx="6">
                  <c:v>-0.59671313722096408</c:v>
                </c:pt>
                <c:pt idx="7">
                  <c:v>-0.5955276909847933</c:v>
                </c:pt>
                <c:pt idx="8">
                  <c:v>-0.59416084124494228</c:v>
                </c:pt>
                <c:pt idx="9">
                  <c:v>-0.59261300435708275</c:v>
                </c:pt>
                <c:pt idx="10">
                  <c:v>-0.59088465180732486</c:v>
                </c:pt>
                <c:pt idx="11">
                  <c:v>-0.58897631006859852</c:v>
                </c:pt>
                <c:pt idx="12">
                  <c:v>-0.58688856044028348</c:v>
                </c:pt>
                <c:pt idx="13">
                  <c:v>-0.58462203887114128</c:v>
                </c:pt>
                <c:pt idx="14">
                  <c:v>-0.58217743576559799</c:v>
                </c:pt>
                <c:pt idx="15">
                  <c:v>-0.57955549577344112</c:v>
                </c:pt>
                <c:pt idx="16">
                  <c:v>-0.57675701756299147</c:v>
                </c:pt>
                <c:pt idx="17">
                  <c:v>-0.57378285357782133</c:v>
                </c:pt>
                <c:pt idx="18">
                  <c:v>-0.57063390977709216</c:v>
                </c:pt>
                <c:pt idx="19">
                  <c:v>-0.56731114535959015</c:v>
                </c:pt>
                <c:pt idx="20">
                  <c:v>-0.56381557247154512</c:v>
                </c:pt>
                <c:pt idx="21">
                  <c:v>-0.56014825589832118</c:v>
                </c:pt>
                <c:pt idx="22">
                  <c:v>-0.55631031274007259</c:v>
                </c:pt>
                <c:pt idx="23">
                  <c:v>-0.55230291207146431</c:v>
                </c:pt>
                <c:pt idx="24">
                  <c:v>-0.54812727458556065</c:v>
                </c:pt>
                <c:pt idx="25">
                  <c:v>-0.54378467222199001</c:v>
                </c:pt>
                <c:pt idx="26">
                  <c:v>-0.53927642777950036</c:v>
                </c:pt>
                <c:pt idx="27">
                  <c:v>-0.53460391451302081</c:v>
                </c:pt>
                <c:pt idx="28">
                  <c:v>-0.52976855571535619</c:v>
                </c:pt>
                <c:pt idx="29">
                  <c:v>-0.52477182428363756</c:v>
                </c:pt>
                <c:pt idx="30">
                  <c:v>-0.51961524227066325</c:v>
                </c:pt>
                <c:pt idx="31">
                  <c:v>-0.51430038042126747</c:v>
                </c:pt>
                <c:pt idx="32">
                  <c:v>-0.50882885769385566</c:v>
                </c:pt>
                <c:pt idx="33">
                  <c:v>-0.50320234076725445</c:v>
                </c:pt>
                <c:pt idx="34">
                  <c:v>-0.49742254353302512</c:v>
                </c:pt>
                <c:pt idx="35">
                  <c:v>-0.49149122657339517</c:v>
                </c:pt>
                <c:pt idx="36">
                  <c:v>-0.48541019662496854</c:v>
                </c:pt>
                <c:pt idx="37">
                  <c:v>-0.47918130602837578</c:v>
                </c:pt>
                <c:pt idx="38">
                  <c:v>-0.47280645216403328</c:v>
                </c:pt>
                <c:pt idx="39">
                  <c:v>-0.4662875768741826</c:v>
                </c:pt>
                <c:pt idx="40">
                  <c:v>-0.4596266658713869</c:v>
                </c:pt>
                <c:pt idx="41">
                  <c:v>-0.45282574813366328</c:v>
                </c:pt>
                <c:pt idx="42">
                  <c:v>-0.4458868952864366</c:v>
                </c:pt>
                <c:pt idx="43">
                  <c:v>-0.43881222097150235</c:v>
                </c:pt>
                <c:pt idx="44">
                  <c:v>-0.43160388020319074</c:v>
                </c:pt>
                <c:pt idx="45">
                  <c:v>-0.42426406871192857</c:v>
                </c:pt>
                <c:pt idx="46">
                  <c:v>-0.41679502227539844</c:v>
                </c:pt>
                <c:pt idx="47">
                  <c:v>-0.40919901603749914</c:v>
                </c:pt>
                <c:pt idx="48">
                  <c:v>-0.40147836381531499</c:v>
                </c:pt>
                <c:pt idx="49">
                  <c:v>-0.39363541739430441</c:v>
                </c:pt>
                <c:pt idx="50">
                  <c:v>-0.38567256581192361</c:v>
                </c:pt>
                <c:pt idx="51">
                  <c:v>-0.37759223462990249</c:v>
                </c:pt>
                <c:pt idx="52">
                  <c:v>-0.36939688519539504</c:v>
                </c:pt>
                <c:pt idx="53">
                  <c:v>-0.36108901389122899</c:v>
                </c:pt>
                <c:pt idx="54">
                  <c:v>-0.35267115137548394</c:v>
                </c:pt>
                <c:pt idx="55">
                  <c:v>-0.34414586181062767</c:v>
                </c:pt>
                <c:pt idx="56">
                  <c:v>-0.33551574208244817</c:v>
                </c:pt>
                <c:pt idx="57">
                  <c:v>-0.32678342100901631</c:v>
                </c:pt>
                <c:pt idx="58">
                  <c:v>-0.31795155853992296</c:v>
                </c:pt>
                <c:pt idx="59">
                  <c:v>-0.30902284494603255</c:v>
                </c:pt>
                <c:pt idx="60">
                  <c:v>-0.3</c:v>
                </c:pt>
                <c:pt idx="61">
                  <c:v>-0.29088577214780226</c:v>
                </c:pt>
                <c:pt idx="62">
                  <c:v>-0.28168293767153452</c:v>
                </c:pt>
                <c:pt idx="63">
                  <c:v>-0.27239429984372809</c:v>
                </c:pt>
                <c:pt idx="64">
                  <c:v>-0.26302268807344648</c:v>
                </c:pt>
                <c:pt idx="65">
                  <c:v>-0.25357095704441968</c:v>
                </c:pt>
                <c:pt idx="66">
                  <c:v>-0.24404198584548017</c:v>
                </c:pt>
                <c:pt idx="67">
                  <c:v>-0.23443867709356431</c:v>
                </c:pt>
                <c:pt idx="68">
                  <c:v>-0.22476395604954724</c:v>
                </c:pt>
                <c:pt idx="69">
                  <c:v>-0.21502076972718021</c:v>
                </c:pt>
                <c:pt idx="70">
                  <c:v>-0.20521208599540125</c:v>
                </c:pt>
                <c:pt idx="71">
                  <c:v>-0.19534089267429405</c:v>
                </c:pt>
                <c:pt idx="72">
                  <c:v>-0.18541019662496847</c:v>
                </c:pt>
                <c:pt idx="73">
                  <c:v>-0.17542302283364208</c:v>
                </c:pt>
                <c:pt idx="74">
                  <c:v>-0.16538241349019953</c:v>
                </c:pt>
                <c:pt idx="75">
                  <c:v>-0.15529142706151247</c:v>
                </c:pt>
                <c:pt idx="76">
                  <c:v>-0.14515313735980065</c:v>
                </c:pt>
                <c:pt idx="77">
                  <c:v>-0.13497063260631903</c:v>
                </c:pt>
                <c:pt idx="78">
                  <c:v>-0.12474701449065563</c:v>
                </c:pt>
                <c:pt idx="79">
                  <c:v>-0.1144853972259269</c:v>
                </c:pt>
                <c:pt idx="80">
                  <c:v>-0.10418890660015821</c:v>
                </c:pt>
                <c:pt idx="81">
                  <c:v>-9.3860679024138541E-2</c:v>
                </c:pt>
                <c:pt idx="82">
                  <c:v>-8.3503860576039271E-2</c:v>
                </c:pt>
                <c:pt idx="83">
                  <c:v>-7.3121606043088497E-2</c:v>
                </c:pt>
                <c:pt idx="84">
                  <c:v>-6.2717077960592088E-2</c:v>
                </c:pt>
                <c:pt idx="85">
                  <c:v>-5.2293445648594908E-2</c:v>
                </c:pt>
                <c:pt idx="86">
                  <c:v>-4.1853884246475188E-2</c:v>
                </c:pt>
                <c:pt idx="87">
                  <c:v>-3.1401573745766305E-2</c:v>
                </c:pt>
                <c:pt idx="88">
                  <c:v>-2.0939698021500586E-2</c:v>
                </c:pt>
                <c:pt idx="89">
                  <c:v>-1.0471443862370108E-2</c:v>
                </c:pt>
                <c:pt idx="90">
                  <c:v>0</c:v>
                </c:pt>
                <c:pt idx="91">
                  <c:v>1.0471443862370108E-2</c:v>
                </c:pt>
                <c:pt idx="92">
                  <c:v>2.0939698021500586E-2</c:v>
                </c:pt>
                <c:pt idx="93">
                  <c:v>3.1401573745766305E-2</c:v>
                </c:pt>
                <c:pt idx="94">
                  <c:v>4.1853884246475188E-2</c:v>
                </c:pt>
                <c:pt idx="95">
                  <c:v>5.2293445648594908E-2</c:v>
                </c:pt>
                <c:pt idx="96">
                  <c:v>6.2717077960592088E-2</c:v>
                </c:pt>
                <c:pt idx="97">
                  <c:v>7.3121606043088497E-2</c:v>
                </c:pt>
                <c:pt idx="98">
                  <c:v>8.3503860576039271E-2</c:v>
                </c:pt>
                <c:pt idx="99">
                  <c:v>9.3860679024138541E-2</c:v>
                </c:pt>
                <c:pt idx="100">
                  <c:v>0.10418890660015821</c:v>
                </c:pt>
                <c:pt idx="101">
                  <c:v>0.1144853972259269</c:v>
                </c:pt>
                <c:pt idx="102">
                  <c:v>0.12474701449065563</c:v>
                </c:pt>
                <c:pt idx="103">
                  <c:v>0.13497063260631903</c:v>
                </c:pt>
                <c:pt idx="104">
                  <c:v>0.14515313735980065</c:v>
                </c:pt>
                <c:pt idx="105">
                  <c:v>0.15529142706151247</c:v>
                </c:pt>
                <c:pt idx="106">
                  <c:v>0.16538241349019953</c:v>
                </c:pt>
                <c:pt idx="107">
                  <c:v>0.17542302283364208</c:v>
                </c:pt>
                <c:pt idx="108">
                  <c:v>0.18541019662496847</c:v>
                </c:pt>
                <c:pt idx="109">
                  <c:v>0.19534089267429405</c:v>
                </c:pt>
                <c:pt idx="110">
                  <c:v>0.20521208599540125</c:v>
                </c:pt>
                <c:pt idx="111">
                  <c:v>0.21502076972718021</c:v>
                </c:pt>
                <c:pt idx="112">
                  <c:v>0.22476395604954724</c:v>
                </c:pt>
                <c:pt idx="113">
                  <c:v>0.23443867709356431</c:v>
                </c:pt>
                <c:pt idx="114">
                  <c:v>0.24404198584548017</c:v>
                </c:pt>
                <c:pt idx="115">
                  <c:v>0.25357095704441968</c:v>
                </c:pt>
                <c:pt idx="116">
                  <c:v>0.26302268807344648</c:v>
                </c:pt>
                <c:pt idx="117">
                  <c:v>0.27239429984372809</c:v>
                </c:pt>
                <c:pt idx="118">
                  <c:v>0.28168293767153452</c:v>
                </c:pt>
                <c:pt idx="119">
                  <c:v>0.29088577214780226</c:v>
                </c:pt>
                <c:pt idx="120">
                  <c:v>0.3</c:v>
                </c:pt>
                <c:pt idx="121">
                  <c:v>0.30902284494603255</c:v>
                </c:pt>
                <c:pt idx="122">
                  <c:v>0.31795155853992296</c:v>
                </c:pt>
                <c:pt idx="123">
                  <c:v>0.32678342100901631</c:v>
                </c:pt>
                <c:pt idx="124">
                  <c:v>0.33551574208244817</c:v>
                </c:pt>
                <c:pt idx="125">
                  <c:v>0.34414586181062767</c:v>
                </c:pt>
                <c:pt idx="126">
                  <c:v>0.35267115137548394</c:v>
                </c:pt>
                <c:pt idx="127">
                  <c:v>0.36108901389122899</c:v>
                </c:pt>
                <c:pt idx="128">
                  <c:v>0.36939688519539504</c:v>
                </c:pt>
                <c:pt idx="129">
                  <c:v>0.37759223462990249</c:v>
                </c:pt>
                <c:pt idx="130">
                  <c:v>0.38567256581192361</c:v>
                </c:pt>
                <c:pt idx="131">
                  <c:v>0.39363541739430441</c:v>
                </c:pt>
                <c:pt idx="132">
                  <c:v>0.40147836381531499</c:v>
                </c:pt>
                <c:pt idx="133">
                  <c:v>0.40919901603749914</c:v>
                </c:pt>
                <c:pt idx="134">
                  <c:v>0.41679502227539844</c:v>
                </c:pt>
                <c:pt idx="135">
                  <c:v>0.42426406871192857</c:v>
                </c:pt>
                <c:pt idx="136">
                  <c:v>0.43160388020319074</c:v>
                </c:pt>
                <c:pt idx="137">
                  <c:v>0.43881222097150235</c:v>
                </c:pt>
                <c:pt idx="138">
                  <c:v>0.4458868952864366</c:v>
                </c:pt>
                <c:pt idx="139">
                  <c:v>0.45282574813366328</c:v>
                </c:pt>
                <c:pt idx="140">
                  <c:v>0.4596266658713869</c:v>
                </c:pt>
                <c:pt idx="141">
                  <c:v>0.4662875768741826</c:v>
                </c:pt>
                <c:pt idx="142">
                  <c:v>0.47280645216403328</c:v>
                </c:pt>
                <c:pt idx="143">
                  <c:v>0.47918130602837578</c:v>
                </c:pt>
                <c:pt idx="144">
                  <c:v>0.48541019662496854</c:v>
                </c:pt>
                <c:pt idx="145">
                  <c:v>0.49149122657339517</c:v>
                </c:pt>
                <c:pt idx="146">
                  <c:v>0.49742254353302512</c:v>
                </c:pt>
                <c:pt idx="147">
                  <c:v>0.50320234076725445</c:v>
                </c:pt>
                <c:pt idx="148">
                  <c:v>0.50882885769385566</c:v>
                </c:pt>
                <c:pt idx="149">
                  <c:v>0.51430038042126747</c:v>
                </c:pt>
                <c:pt idx="150">
                  <c:v>0.51961524227066325</c:v>
                </c:pt>
                <c:pt idx="151">
                  <c:v>0.52477182428363756</c:v>
                </c:pt>
                <c:pt idx="152">
                  <c:v>0.52976855571535619</c:v>
                </c:pt>
                <c:pt idx="153">
                  <c:v>0.53460391451302081</c:v>
                </c:pt>
                <c:pt idx="154">
                  <c:v>0.53927642777950036</c:v>
                </c:pt>
                <c:pt idx="155">
                  <c:v>0.54378467222199001</c:v>
                </c:pt>
                <c:pt idx="156">
                  <c:v>0.54812727458556065</c:v>
                </c:pt>
                <c:pt idx="157">
                  <c:v>0.55230291207146431</c:v>
                </c:pt>
                <c:pt idx="158">
                  <c:v>0.55631031274007259</c:v>
                </c:pt>
                <c:pt idx="159">
                  <c:v>0.56014825589832118</c:v>
                </c:pt>
                <c:pt idx="160">
                  <c:v>0.56381557247154512</c:v>
                </c:pt>
                <c:pt idx="161">
                  <c:v>0.56731114535959015</c:v>
                </c:pt>
                <c:pt idx="162">
                  <c:v>0.57063390977709216</c:v>
                </c:pt>
                <c:pt idx="163">
                  <c:v>0.57378285357782133</c:v>
                </c:pt>
                <c:pt idx="164">
                  <c:v>0.57675701756299147</c:v>
                </c:pt>
                <c:pt idx="165">
                  <c:v>0.57955549577344112</c:v>
                </c:pt>
                <c:pt idx="166">
                  <c:v>0.58217743576559799</c:v>
                </c:pt>
                <c:pt idx="167">
                  <c:v>0.58462203887114128</c:v>
                </c:pt>
                <c:pt idx="168">
                  <c:v>0.58688856044028348</c:v>
                </c:pt>
                <c:pt idx="169">
                  <c:v>0.58897631006859852</c:v>
                </c:pt>
                <c:pt idx="170">
                  <c:v>0.59088465180732486</c:v>
                </c:pt>
                <c:pt idx="171">
                  <c:v>0.59261300435708275</c:v>
                </c:pt>
                <c:pt idx="172">
                  <c:v>0.59416084124494228</c:v>
                </c:pt>
                <c:pt idx="173">
                  <c:v>0.5955276909847933</c:v>
                </c:pt>
                <c:pt idx="174">
                  <c:v>0.59671313722096408</c:v>
                </c:pt>
                <c:pt idx="175">
                  <c:v>0.59771681885504746</c:v>
                </c:pt>
                <c:pt idx="176">
                  <c:v>0.59853843015589459</c:v>
                </c:pt>
                <c:pt idx="177">
                  <c:v>0.59917772085274434</c:v>
                </c:pt>
                <c:pt idx="178">
                  <c:v>0.59963449621145759</c:v>
                </c:pt>
                <c:pt idx="179">
                  <c:v>0.59990861709383481</c:v>
                </c:pt>
                <c:pt idx="180">
                  <c:v>0.60000000000000009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66-4DFC-AD2D-462C3105E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164208"/>
        <c:axId val="1058165648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CRACK_SHAPE!$A$2:$A$201</c:f>
              <c:numCache>
                <c:formatCode>0.00E+00</c:formatCode>
                <c:ptCount val="200"/>
                <c:pt idx="0">
                  <c:v>1.2141721911504899</c:v>
                </c:pt>
                <c:pt idx="1">
                  <c:v>1.2426098995033901</c:v>
                </c:pt>
                <c:pt idx="2">
                  <c:v>1.2711598446229</c:v>
                </c:pt>
                <c:pt idx="3">
                  <c:v>1.2998070466102201</c:v>
                </c:pt>
                <c:pt idx="4">
                  <c:v>1.3285361526214601</c:v>
                </c:pt>
                <c:pt idx="5">
                  <c:v>1.35733145867225</c:v>
                </c:pt>
                <c:pt idx="6">
                  <c:v>1.38617693301412</c:v>
                </c:pt>
                <c:pt idx="7">
                  <c:v>1.4150562410318199</c:v>
                </c:pt>
                <c:pt idx="8">
                  <c:v>1.44395277160111</c:v>
                </c:pt>
                <c:pt idx="9">
                  <c:v>1.47284966483618</c:v>
                </c:pt>
                <c:pt idx="10">
                  <c:v>1.50172984114659</c:v>
                </c:pt>
                <c:pt idx="11">
                  <c:v>1.53057603151374</c:v>
                </c:pt>
                <c:pt idx="12">
                  <c:v>1.5593708088882301</c:v>
                </c:pt>
                <c:pt idx="13">
                  <c:v>1.58809662060023</c:v>
                </c:pt>
                <c:pt idx="14">
                  <c:v>1.6167358216674901</c:v>
                </c:pt>
                <c:pt idx="15">
                  <c:v>1.64527070887754</c:v>
                </c:pt>
                <c:pt idx="16">
                  <c:v>1.67368355551418</c:v>
                </c:pt>
                <c:pt idx="17">
                  <c:v>1.7019566465923299</c:v>
                </c:pt>
                <c:pt idx="18">
                  <c:v>1.7300723144600401</c:v>
                </c:pt>
                <c:pt idx="19">
                  <c:v>1.7580129746222299</c:v>
                </c:pt>
                <c:pt idx="20">
                  <c:v>1.7857611616378199</c:v>
                </c:pt>
                <c:pt idx="21">
                  <c:v>1.8132995649391801</c:v>
                </c:pt>
                <c:pt idx="22">
                  <c:v>1.84061106442221</c:v>
                </c:pt>
                <c:pt idx="23">
                  <c:v>1.8676787656549201</c:v>
                </c:pt>
                <c:pt idx="24">
                  <c:v>1.8944860345537</c:v>
                </c:pt>
                <c:pt idx="25">
                  <c:v>1.9210165313783301</c:v>
                </c:pt>
                <c:pt idx="26">
                  <c:v>1.9472542439004401</c:v>
                </c:pt>
                <c:pt idx="27">
                  <c:v>1.97318351960398</c:v>
                </c:pt>
                <c:pt idx="28">
                  <c:v>1.9987890967817901</c:v>
                </c:pt>
                <c:pt idx="29">
                  <c:v>2.0240561343989301</c:v>
                </c:pt>
                <c:pt idx="30">
                  <c:v>2.0489702406000601</c:v>
                </c:pt>
                <c:pt idx="31">
                  <c:v>2.0735174997469001</c:v>
                </c:pt>
                <c:pt idx="32">
                  <c:v>2.09768449788033</c:v>
                </c:pt>
                <c:pt idx="33">
                  <c:v>2.12145834651123</c:v>
                </c:pt>
                <c:pt idx="34">
                  <c:v>2.1448267046545202</c:v>
                </c:pt>
                <c:pt idx="35">
                  <c:v>2.1677777990314402</c:v>
                </c:pt>
                <c:pt idx="36">
                  <c:v>2.1903004423761301</c:v>
                </c:pt>
                <c:pt idx="37">
                  <c:v>2.2123840497941099</c:v>
                </c:pt>
                <c:pt idx="38">
                  <c:v>2.2340186531316002</c:v>
                </c:pt>
                <c:pt idx="39">
                  <c:v>2.2551949133264801</c:v>
                </c:pt>
                <c:pt idx="40">
                  <c:v>2.2759041307232701</c:v>
                </c:pt>
                <c:pt idx="41">
                  <c:v>2.2961382533459198</c:v>
                </c:pt>
                <c:pt idx="42">
                  <c:v>2.31588988313352</c:v>
                </c:pt>
                <c:pt idx="43">
                  <c:v>2.33515228015527</c:v>
                </c:pt>
                <c:pt idx="44">
                  <c:v>2.35391936483117</c:v>
                </c:pt>
                <c:pt idx="45">
                  <c:v>2.3721857181954</c:v>
                </c:pt>
                <c:pt idx="46">
                  <c:v>2.3899465802487398</c:v>
                </c:pt>
                <c:pt idx="47">
                  <c:v>2.4071978464552402</c:v>
                </c:pt>
                <c:pt idx="48">
                  <c:v>2.4239360624467201</c:v>
                </c:pt>
                <c:pt idx="49">
                  <c:v>2.44015841700628</c:v>
                </c:pt>
                <c:pt idx="50">
                  <c:v>2.4528787915094501</c:v>
                </c:pt>
                <c:pt idx="51">
                  <c:v>2.4623707647178001</c:v>
                </c:pt>
                <c:pt idx="52">
                  <c:v>2.4717075069767098</c:v>
                </c:pt>
                <c:pt idx="53">
                  <c:v>2.4808863450372001</c:v>
                </c:pt>
                <c:pt idx="54">
                  <c:v>2.4899046545197798</c:v>
                </c:pt>
                <c:pt idx="55">
                  <c:v>2.49875986210357</c:v>
                </c:pt>
                <c:pt idx="56">
                  <c:v>2.5074494476820202</c:v>
                </c:pt>
                <c:pt idx="57">
                  <c:v>2.5159709464814402</c:v>
                </c:pt>
                <c:pt idx="58">
                  <c:v>2.52432195113929</c:v>
                </c:pt>
                <c:pt idx="59">
                  <c:v>2.5325001137383998</c:v>
                </c:pt>
                <c:pt idx="60">
                  <c:v>2.54050314779413</c:v>
                </c:pt>
                <c:pt idx="61">
                  <c:v>2.54832883019089</c:v>
                </c:pt>
                <c:pt idx="62">
                  <c:v>2.5559750030650101</c:v>
                </c:pt>
                <c:pt idx="63">
                  <c:v>2.5634395756305501</c:v>
                </c:pt>
                <c:pt idx="64">
                  <c:v>2.5707205259453101</c:v>
                </c:pt>
                <c:pt idx="65">
                  <c:v>2.5778159026137102</c:v>
                </c:pt>
                <c:pt idx="66">
                  <c:v>2.58472382642397</c:v>
                </c:pt>
                <c:pt idx="67">
                  <c:v>2.5914424919166201</c:v>
                </c:pt>
                <c:pt idx="68">
                  <c:v>2.59797016888177</c:v>
                </c:pt>
                <c:pt idx="69">
                  <c:v>2.6043052037827401</c:v>
                </c:pt>
                <c:pt idx="70">
                  <c:v>2.6104460211033498</c:v>
                </c:pt>
                <c:pt idx="71">
                  <c:v>2.6163911246170399</c:v>
                </c:pt>
                <c:pt idx="72">
                  <c:v>2.6221390985753201</c:v>
                </c:pt>
                <c:pt idx="73">
                  <c:v>2.6276886088139202</c:v>
                </c:pt>
                <c:pt idx="74">
                  <c:v>2.63303840377462</c:v>
                </c:pt>
                <c:pt idx="75">
                  <c:v>2.63818731544132</c:v>
                </c:pt>
                <c:pt idx="76">
                  <c:v>2.6431342601886501</c:v>
                </c:pt>
                <c:pt idx="77">
                  <c:v>2.6478782395421501</c:v>
                </c:pt>
                <c:pt idx="78">
                  <c:v>2.6524183408485298</c:v>
                </c:pt>
                <c:pt idx="79">
                  <c:v>2.6567537378554098</c:v>
                </c:pt>
                <c:pt idx="80">
                  <c:v>2.6608836911995399</c:v>
                </c:pt>
                <c:pt idx="81">
                  <c:v>2.6648075488030001</c:v>
                </c:pt>
                <c:pt idx="82">
                  <c:v>2.6685247461769901</c:v>
                </c:pt>
                <c:pt idx="83">
                  <c:v>2.67203480663302</c:v>
                </c:pt>
                <c:pt idx="84">
                  <c:v>2.67533734140132</c:v>
                </c:pt>
                <c:pt idx="85">
                  <c:v>2.6784320496567999</c:v>
                </c:pt>
                <c:pt idx="86">
                  <c:v>2.6813187184527201</c:v>
                </c:pt>
                <c:pt idx="87">
                  <c:v>2.68399722256276</c:v>
                </c:pt>
                <c:pt idx="88">
                  <c:v>2.6864675242318898</c:v>
                </c:pt>
                <c:pt idx="89">
                  <c:v>2.6887296728372201</c:v>
                </c:pt>
                <c:pt idx="90">
                  <c:v>2.6907838044596</c:v>
                </c:pt>
                <c:pt idx="91">
                  <c:v>2.69263014136726</c:v>
                </c:pt>
                <c:pt idx="92">
                  <c:v>2.6942689914128901</c:v>
                </c:pt>
                <c:pt idx="93">
                  <c:v>2.6957007473455001</c:v>
                </c:pt>
                <c:pt idx="94">
                  <c:v>2.69692588603893</c:v>
                </c:pt>
                <c:pt idx="95">
                  <c:v>2.69794496763868</c:v>
                </c:pt>
                <c:pt idx="96">
                  <c:v>2.69875863462905</c:v>
                </c:pt>
                <c:pt idx="97">
                  <c:v>2.6993676108226299</c:v>
                </c:pt>
                <c:pt idx="98">
                  <c:v>2.6997727002744401</c:v>
                </c:pt>
                <c:pt idx="99">
                  <c:v>2.6999747861229699</c:v>
                </c:pt>
                <c:pt idx="100">
                  <c:v>2.6999747861229699</c:v>
                </c:pt>
                <c:pt idx="101">
                  <c:v>2.6997727002744401</c:v>
                </c:pt>
                <c:pt idx="102">
                  <c:v>2.6993676108226299</c:v>
                </c:pt>
                <c:pt idx="103">
                  <c:v>2.69875863462905</c:v>
                </c:pt>
                <c:pt idx="104">
                  <c:v>2.69794496763868</c:v>
                </c:pt>
                <c:pt idx="105">
                  <c:v>2.69692588603893</c:v>
                </c:pt>
                <c:pt idx="106">
                  <c:v>2.6957007473455001</c:v>
                </c:pt>
                <c:pt idx="107">
                  <c:v>2.6942689914128999</c:v>
                </c:pt>
                <c:pt idx="108">
                  <c:v>2.6926301413672702</c:v>
                </c:pt>
                <c:pt idx="109">
                  <c:v>2.6907838044596</c:v>
                </c:pt>
                <c:pt idx="110">
                  <c:v>2.6887296728372201</c:v>
                </c:pt>
                <c:pt idx="111">
                  <c:v>2.6864675242318898</c:v>
                </c:pt>
                <c:pt idx="112">
                  <c:v>2.68399722256276</c:v>
                </c:pt>
                <c:pt idx="113">
                  <c:v>2.6813187184527298</c:v>
                </c:pt>
                <c:pt idx="114">
                  <c:v>2.6784320496567999</c:v>
                </c:pt>
                <c:pt idx="115">
                  <c:v>2.6753373414013302</c:v>
                </c:pt>
                <c:pt idx="116">
                  <c:v>2.67203480663302</c:v>
                </c:pt>
                <c:pt idx="117">
                  <c:v>2.6685247461769901</c:v>
                </c:pt>
                <c:pt idx="118">
                  <c:v>2.6648075488030001</c:v>
                </c:pt>
                <c:pt idx="119">
                  <c:v>2.6608836911995501</c:v>
                </c:pt>
                <c:pt idx="120">
                  <c:v>2.65675373785542</c:v>
                </c:pt>
                <c:pt idx="121">
                  <c:v>2.65241834084854</c:v>
                </c:pt>
                <c:pt idx="122">
                  <c:v>2.6478782395421501</c:v>
                </c:pt>
                <c:pt idx="123">
                  <c:v>2.6431342601886598</c:v>
                </c:pt>
                <c:pt idx="124">
                  <c:v>2.63818731544132</c:v>
                </c:pt>
                <c:pt idx="125">
                  <c:v>2.6330384037746302</c:v>
                </c:pt>
                <c:pt idx="126">
                  <c:v>2.6276886088139202</c:v>
                </c:pt>
                <c:pt idx="127">
                  <c:v>2.6221390985753201</c:v>
                </c:pt>
                <c:pt idx="128">
                  <c:v>2.6163911246170399</c:v>
                </c:pt>
                <c:pt idx="129">
                  <c:v>2.61044602110336</c:v>
                </c:pt>
                <c:pt idx="130">
                  <c:v>2.6043052037827401</c:v>
                </c:pt>
                <c:pt idx="131">
                  <c:v>2.5979701688817798</c:v>
                </c:pt>
                <c:pt idx="132">
                  <c:v>2.5914424919166201</c:v>
                </c:pt>
                <c:pt idx="133">
                  <c:v>2.5847238264239798</c:v>
                </c:pt>
                <c:pt idx="134">
                  <c:v>2.57781590261372</c:v>
                </c:pt>
                <c:pt idx="135">
                  <c:v>2.5707205259453101</c:v>
                </c:pt>
                <c:pt idx="136">
                  <c:v>2.5634395756305599</c:v>
                </c:pt>
                <c:pt idx="137">
                  <c:v>2.5559750030650101</c:v>
                </c:pt>
                <c:pt idx="138">
                  <c:v>2.5483288301909002</c:v>
                </c:pt>
                <c:pt idx="139">
                  <c:v>2.54050314779413</c:v>
                </c:pt>
                <c:pt idx="140">
                  <c:v>2.53250011373841</c:v>
                </c:pt>
                <c:pt idx="141">
                  <c:v>2.52432195113929</c:v>
                </c:pt>
                <c:pt idx="142">
                  <c:v>2.5159709464814499</c:v>
                </c:pt>
                <c:pt idx="143">
                  <c:v>2.5074494476820202</c:v>
                </c:pt>
                <c:pt idx="144">
                  <c:v>2.4987598621035798</c:v>
                </c:pt>
                <c:pt idx="145">
                  <c:v>2.4899046545197798</c:v>
                </c:pt>
                <c:pt idx="146">
                  <c:v>2.4808863450372098</c:v>
                </c:pt>
                <c:pt idx="147">
                  <c:v>2.4717075069767098</c:v>
                </c:pt>
                <c:pt idx="148">
                  <c:v>2.4623707647178001</c:v>
                </c:pt>
                <c:pt idx="149">
                  <c:v>2.4528787915094501</c:v>
                </c:pt>
                <c:pt idx="150">
                  <c:v>2.44015841700628</c:v>
                </c:pt>
                <c:pt idx="151">
                  <c:v>2.4239360624467099</c:v>
                </c:pt>
                <c:pt idx="152">
                  <c:v>2.4071978464552402</c:v>
                </c:pt>
                <c:pt idx="153">
                  <c:v>2.3899465802487398</c:v>
                </c:pt>
                <c:pt idx="154">
                  <c:v>2.3721857181953898</c:v>
                </c:pt>
                <c:pt idx="155">
                  <c:v>2.3539193648311598</c:v>
                </c:pt>
                <c:pt idx="156">
                  <c:v>2.33515228015527</c:v>
                </c:pt>
                <c:pt idx="157">
                  <c:v>2.31588988313352</c:v>
                </c:pt>
                <c:pt idx="158">
                  <c:v>2.2961382533459198</c:v>
                </c:pt>
                <c:pt idx="159">
                  <c:v>2.2759041307232701</c:v>
                </c:pt>
                <c:pt idx="160">
                  <c:v>2.2551949133264699</c:v>
                </c:pt>
                <c:pt idx="161">
                  <c:v>2.23401865313159</c:v>
                </c:pt>
                <c:pt idx="162">
                  <c:v>2.2123840497941099</c:v>
                </c:pt>
                <c:pt idx="163">
                  <c:v>2.1903004423761301</c:v>
                </c:pt>
                <c:pt idx="164">
                  <c:v>2.16777779903143</c:v>
                </c:pt>
                <c:pt idx="165">
                  <c:v>2.1448267046545202</c:v>
                </c:pt>
                <c:pt idx="166">
                  <c:v>2.12145834651123</c:v>
                </c:pt>
                <c:pt idx="167">
                  <c:v>2.0976844978803202</c:v>
                </c:pt>
                <c:pt idx="168">
                  <c:v>2.0735174997468899</c:v>
                </c:pt>
                <c:pt idx="169">
                  <c:v>2.0489702406000498</c:v>
                </c:pt>
                <c:pt idx="170">
                  <c:v>2.0240561343989301</c:v>
                </c:pt>
                <c:pt idx="171">
                  <c:v>1.9987890967817901</c:v>
                </c:pt>
                <c:pt idx="172">
                  <c:v>1.97318351960397</c:v>
                </c:pt>
                <c:pt idx="173">
                  <c:v>1.9472542439004401</c:v>
                </c:pt>
                <c:pt idx="174">
                  <c:v>1.9210165313783201</c:v>
                </c:pt>
                <c:pt idx="175">
                  <c:v>1.89448603455369</c:v>
                </c:pt>
                <c:pt idx="176">
                  <c:v>1.8676787656549201</c:v>
                </c:pt>
                <c:pt idx="177">
                  <c:v>1.8406110644222</c:v>
                </c:pt>
                <c:pt idx="178">
                  <c:v>1.8132995649391701</c:v>
                </c:pt>
                <c:pt idx="179">
                  <c:v>1.78576116163781</c:v>
                </c:pt>
                <c:pt idx="180">
                  <c:v>1.7580129746222299</c:v>
                </c:pt>
                <c:pt idx="181">
                  <c:v>1.7300723144600401</c:v>
                </c:pt>
                <c:pt idx="182">
                  <c:v>1.7019566465923299</c:v>
                </c:pt>
                <c:pt idx="183">
                  <c:v>1.67368355551417</c:v>
                </c:pt>
                <c:pt idx="184">
                  <c:v>1.64527070887754</c:v>
                </c:pt>
                <c:pt idx="185">
                  <c:v>1.6167358216674901</c:v>
                </c:pt>
                <c:pt idx="186">
                  <c:v>1.58809662060023</c:v>
                </c:pt>
                <c:pt idx="187">
                  <c:v>1.5593708088882301</c:v>
                </c:pt>
                <c:pt idx="188">
                  <c:v>1.53057603151374</c:v>
                </c:pt>
                <c:pt idx="189">
                  <c:v>1.50172984114659</c:v>
                </c:pt>
                <c:pt idx="190">
                  <c:v>1.47284966483619</c:v>
                </c:pt>
                <c:pt idx="191">
                  <c:v>1.44395277160111</c:v>
                </c:pt>
                <c:pt idx="192">
                  <c:v>1.4150562410318199</c:v>
                </c:pt>
                <c:pt idx="193">
                  <c:v>1.38617693301412</c:v>
                </c:pt>
                <c:pt idx="194">
                  <c:v>1.35733145867226</c:v>
                </c:pt>
                <c:pt idx="195">
                  <c:v>1.3285361526214601</c:v>
                </c:pt>
                <c:pt idx="196">
                  <c:v>1.2998070466102301</c:v>
                </c:pt>
                <c:pt idx="197">
                  <c:v>1.27115984462291</c:v>
                </c:pt>
                <c:pt idx="198">
                  <c:v>1.2426098995034001</c:v>
                </c:pt>
                <c:pt idx="199">
                  <c:v>1.2141721911504999</c:v>
                </c:pt>
              </c:numCache>
            </c:numRef>
          </c:xVal>
          <c:yVal>
            <c:numRef>
              <c:f>CRACK_SHAPE!$B$2:$B$201</c:f>
              <c:numCache>
                <c:formatCode>0.00E+00</c:formatCode>
                <c:ptCount val="200"/>
                <c:pt idx="0">
                  <c:v>-0.59997321926872604</c:v>
                </c:pt>
                <c:pt idx="1">
                  <c:v>-0.59975787067306496</c:v>
                </c:pt>
                <c:pt idx="2">
                  <c:v>-0.59932445656932698</c:v>
                </c:pt>
                <c:pt idx="3">
                  <c:v>-0.59867033378271794</c:v>
                </c:pt>
                <c:pt idx="4">
                  <c:v>-0.59779306887507799</c:v>
                </c:pt>
                <c:pt idx="5">
                  <c:v>-0.59669044733255905</c:v>
                </c:pt>
                <c:pt idx="6">
                  <c:v>-0.595360482345068</c:v>
                </c:pt>
                <c:pt idx="7">
                  <c:v>-0.59380142312975503</c:v>
                </c:pt>
                <c:pt idx="8">
                  <c:v>-0.592011762751807</c:v>
                </c:pt>
                <c:pt idx="9">
                  <c:v>-0.58999024539716305</c:v>
                </c:pt>
                <c:pt idx="10">
                  <c:v>-0.58773587305341801</c:v>
                </c:pt>
                <c:pt idx="11">
                  <c:v>-0.58524791155729805</c:v>
                </c:pt>
                <c:pt idx="12">
                  <c:v>-0.58252589596947801</c:v>
                </c:pt>
                <c:pt idx="13">
                  <c:v>-0.57956963524031202</c:v>
                </c:pt>
                <c:pt idx="14">
                  <c:v>-0.57637921613314402</c:v>
                </c:pt>
                <c:pt idx="15">
                  <c:v>-0.57295500637529095</c:v>
                </c:pt>
                <c:pt idx="16">
                  <c:v>-0.56929765701052204</c:v>
                </c:pt>
                <c:pt idx="17">
                  <c:v>-0.56540810393085394</c:v>
                </c:pt>
                <c:pt idx="18">
                  <c:v>-0.56128756856968998</c:v>
                </c:pt>
                <c:pt idx="19">
                  <c:v>-0.55693755774280296</c:v>
                </c:pt>
                <c:pt idx="20">
                  <c:v>-0.55235986262822501</c:v>
                </c:pt>
                <c:pt idx="21">
                  <c:v>-0.54755655688089799</c:v>
                </c:pt>
                <c:pt idx="22">
                  <c:v>-0.54252999388270995</c:v>
                </c:pt>
                <c:pt idx="23">
                  <c:v>-0.53728280313347099</c:v>
                </c:pt>
                <c:pt idx="24">
                  <c:v>-0.53181788579322697</c:v>
                </c:pt>
                <c:pt idx="25">
                  <c:v>-0.52613840939116396</c:v>
                </c:pt>
                <c:pt idx="26">
                  <c:v>-0.52024780172110396</c:v>
                </c:pt>
                <c:pt idx="27">
                  <c:v>-0.51414974394824597</c:v>
                </c:pt>
                <c:pt idx="28">
                  <c:v>-0.50784816295621404</c:v>
                </c:pt>
                <c:pt idx="29">
                  <c:v>-0.501347222967789</c:v>
                </c:pt>
                <c:pt idx="30">
                  <c:v>-0.49465131647664101</c:v>
                </c:pt>
                <c:pt idx="31">
                  <c:v>-0.48776505453111901</c:v>
                </c:pt>
                <c:pt idx="32">
                  <c:v>-0.480693256414577</c:v>
                </c:pt>
                <c:pt idx="33">
                  <c:v>-0.47344093876972898</c:v>
                </c:pt>
                <c:pt idx="34">
                  <c:v>-0.46601330421723403</c:v>
                </c:pt>
                <c:pt idx="35">
                  <c:v>-0.45841572952102499</c:v>
                </c:pt>
                <c:pt idx="36">
                  <c:v>-0.45065375335476399</c:v>
                </c:pt>
                <c:pt idx="37">
                  <c:v>-0.44273306372529903</c:v>
                </c:pt>
                <c:pt idx="38">
                  <c:v>-0.43465948511005897</c:v>
                </c:pt>
                <c:pt idx="39">
                  <c:v>-0.42643896536595199</c:v>
                </c:pt>
                <c:pt idx="40">
                  <c:v>-0.41807756246755101</c:v>
                </c:pt>
                <c:pt idx="41">
                  <c:v>-0.409581431132167</c:v>
                </c:pt>
                <c:pt idx="42">
                  <c:v>-0.40095680938878298</c:v>
                </c:pt>
                <c:pt idx="43">
                  <c:v>-0.39221000514688398</c:v>
                </c:pt>
                <c:pt idx="44">
                  <c:v>-0.38334738281983299</c:v>
                </c:pt>
                <c:pt idx="45">
                  <c:v>-0.37437535005578498</c:v>
                </c:pt>
                <c:pt idx="46">
                  <c:v>-0.36530034462710897</c:v>
                </c:pt>
                <c:pt idx="47">
                  <c:v>-0.35612882152699499</c:v>
                </c:pt>
                <c:pt idx="48">
                  <c:v>-0.34686724031937699</c:v>
                </c:pt>
                <c:pt idx="49">
                  <c:v>-0.337522052785517</c:v>
                </c:pt>
                <c:pt idx="50">
                  <c:v>-0.32991992574823398</c:v>
                </c:pt>
                <c:pt idx="51">
                  <c:v>-0.324079015645443</c:v>
                </c:pt>
                <c:pt idx="52">
                  <c:v>-0.31818485613216002</c:v>
                </c:pt>
                <c:pt idx="53">
                  <c:v>-0.31223841431756499</c:v>
                </c:pt>
                <c:pt idx="54">
                  <c:v>-0.30624068501703899</c:v>
                </c:pt>
                <c:pt idx="55">
                  <c:v>-0.30019269027440398</c:v>
                </c:pt>
                <c:pt idx="56">
                  <c:v>-0.29409547885159598</c:v>
                </c:pt>
                <c:pt idx="57">
                  <c:v>-0.28795012568614797</c:v>
                </c:pt>
                <c:pt idx="58">
                  <c:v>-0.28175773131697901</c:v>
                </c:pt>
                <c:pt idx="59">
                  <c:v>-0.275519421279035</c:v>
                </c:pt>
                <c:pt idx="60">
                  <c:v>-0.269236345467391</c:v>
                </c:pt>
                <c:pt idx="61">
                  <c:v>-0.26290967747148303</c:v>
                </c:pt>
                <c:pt idx="62">
                  <c:v>-0.25654061388023303</c:v>
                </c:pt>
                <c:pt idx="63">
                  <c:v>-0.25013037355885298</c:v>
                </c:pt>
                <c:pt idx="64">
                  <c:v>-0.243680196898198</c:v>
                </c:pt>
                <c:pt idx="65">
                  <c:v>-0.23719134503761399</c:v>
                </c:pt>
                <c:pt idx="66">
                  <c:v>-0.23066509906223501</c:v>
                </c:pt>
                <c:pt idx="67">
                  <c:v>-0.22410275917581099</c:v>
                </c:pt>
                <c:pt idx="68">
                  <c:v>-0.217505643850124</c:v>
                </c:pt>
                <c:pt idx="69">
                  <c:v>-0.210875088952171</c:v>
                </c:pt>
                <c:pt idx="70">
                  <c:v>-0.20421244685029599</c:v>
                </c:pt>
                <c:pt idx="71">
                  <c:v>-0.197519085500522</c:v>
                </c:pt>
                <c:pt idx="72">
                  <c:v>-0.19079638751436201</c:v>
                </c:pt>
                <c:pt idx="73">
                  <c:v>-0.18404574920945099</c:v>
                </c:pt>
                <c:pt idx="74">
                  <c:v>-0.177268579644345</c:v>
                </c:pt>
                <c:pt idx="75">
                  <c:v>-0.170466299638908</c:v>
                </c:pt>
                <c:pt idx="76">
                  <c:v>-0.16364034078169701</c:v>
                </c:pt>
                <c:pt idx="77">
                  <c:v>-0.156792144425805</c:v>
                </c:pt>
                <c:pt idx="78">
                  <c:v>-0.149923160674655</c:v>
                </c:pt>
                <c:pt idx="79">
                  <c:v>-0.14303484735921701</c:v>
                </c:pt>
                <c:pt idx="80">
                  <c:v>-0.13612866900819301</c:v>
                </c:pt>
                <c:pt idx="81">
                  <c:v>-0.12920609581266401</c:v>
                </c:pt>
                <c:pt idx="82">
                  <c:v>-0.12226860258675799</c:v>
                </c:pt>
                <c:pt idx="83">
                  <c:v>-0.115317667725858</c:v>
                </c:pt>
                <c:pt idx="84">
                  <c:v>-0.10835477216389899</c:v>
                </c:pt>
                <c:pt idx="85">
                  <c:v>-0.101381398331283</c:v>
                </c:pt>
                <c:pt idx="86">
                  <c:v>-9.43990291149336E-2</c:v>
                </c:pt>
                <c:pt idx="87">
                  <c:v>-8.7409146822014505E-2</c:v>
                </c:pt>
                <c:pt idx="88">
                  <c:v>-8.0413232148802194E-2</c:v>
                </c:pt>
                <c:pt idx="89">
                  <c:v>-7.3412763156195701E-2</c:v>
                </c:pt>
                <c:pt idx="90">
                  <c:v>-6.6409214253325799E-2</c:v>
                </c:pt>
                <c:pt idx="91">
                  <c:v>-5.9404055190688497E-2</c:v>
                </c:pt>
                <c:pt idx="92">
                  <c:v>-5.2398750064210999E-2</c:v>
                </c:pt>
                <c:pt idx="93">
                  <c:v>-4.53947563316194E-2</c:v>
                </c:pt>
                <c:pt idx="94">
                  <c:v>-3.8393523842440998E-2</c:v>
                </c:pt>
                <c:pt idx="95">
                  <c:v>-3.1396493882938997E-2</c:v>
                </c:pt>
                <c:pt idx="96">
                  <c:v>-2.4405098237235499E-2</c:v>
                </c:pt>
                <c:pt idx="97">
                  <c:v>-1.7420758265829402E-2</c:v>
                </c:pt>
                <c:pt idx="98">
                  <c:v>-1.0444884002678E-2</c:v>
                </c:pt>
                <c:pt idx="99">
                  <c:v>-3.4788732719563602E-3</c:v>
                </c:pt>
                <c:pt idx="100">
                  <c:v>3.47887327195487E-3</c:v>
                </c:pt>
                <c:pt idx="101">
                  <c:v>1.04448840026766E-2</c:v>
                </c:pt>
                <c:pt idx="102">
                  <c:v>1.74207582658275E-2</c:v>
                </c:pt>
                <c:pt idx="103">
                  <c:v>2.4405098237233601E-2</c:v>
                </c:pt>
                <c:pt idx="104">
                  <c:v>3.1396493882937103E-2</c:v>
                </c:pt>
                <c:pt idx="105">
                  <c:v>3.8393523842438798E-2</c:v>
                </c:pt>
                <c:pt idx="106">
                  <c:v>4.5394756331617603E-2</c:v>
                </c:pt>
                <c:pt idx="107">
                  <c:v>5.2398750064209201E-2</c:v>
                </c:pt>
                <c:pt idx="108">
                  <c:v>5.9404055190686499E-2</c:v>
                </c:pt>
                <c:pt idx="109">
                  <c:v>6.6409214253323898E-2</c:v>
                </c:pt>
                <c:pt idx="110">
                  <c:v>7.3412763156193606E-2</c:v>
                </c:pt>
                <c:pt idx="111">
                  <c:v>8.0413232148800001E-2</c:v>
                </c:pt>
                <c:pt idx="112">
                  <c:v>8.7409146822012507E-2</c:v>
                </c:pt>
                <c:pt idx="113">
                  <c:v>9.4399029114931601E-2</c:v>
                </c:pt>
                <c:pt idx="114">
                  <c:v>0.10138139833128</c:v>
                </c:pt>
                <c:pt idx="115">
                  <c:v>0.108354772163897</c:v>
                </c:pt>
                <c:pt idx="116">
                  <c:v>0.115317667725855</c:v>
                </c:pt>
                <c:pt idx="117">
                  <c:v>0.122268602586756</c:v>
                </c:pt>
                <c:pt idx="118">
                  <c:v>0.12920609581266099</c:v>
                </c:pt>
                <c:pt idx="119">
                  <c:v>0.13612866900819001</c:v>
                </c:pt>
                <c:pt idx="120">
                  <c:v>0.14303484735921501</c:v>
                </c:pt>
                <c:pt idx="121">
                  <c:v>0.149923160674652</c:v>
                </c:pt>
                <c:pt idx="122">
                  <c:v>0.156792144425803</c:v>
                </c:pt>
                <c:pt idx="123">
                  <c:v>0.16364034078169501</c:v>
                </c:pt>
                <c:pt idx="124">
                  <c:v>0.170466299638906</c:v>
                </c:pt>
                <c:pt idx="125">
                  <c:v>0.17726857964434201</c:v>
                </c:pt>
                <c:pt idx="126">
                  <c:v>0.184045749209448</c:v>
                </c:pt>
                <c:pt idx="127">
                  <c:v>0.19079638751436001</c:v>
                </c:pt>
                <c:pt idx="128">
                  <c:v>0.19751908550052</c:v>
                </c:pt>
                <c:pt idx="129">
                  <c:v>0.20421244685029399</c:v>
                </c:pt>
                <c:pt idx="130">
                  <c:v>0.210875088952168</c:v>
                </c:pt>
                <c:pt idx="131">
                  <c:v>0.217505643850122</c:v>
                </c:pt>
                <c:pt idx="132">
                  <c:v>0.22410275917580899</c:v>
                </c:pt>
                <c:pt idx="133">
                  <c:v>0.23066509906223301</c:v>
                </c:pt>
                <c:pt idx="134">
                  <c:v>0.237191345037611</c:v>
                </c:pt>
                <c:pt idx="135">
                  <c:v>0.24368019689819601</c:v>
                </c:pt>
                <c:pt idx="136">
                  <c:v>0.25013037355885098</c:v>
                </c:pt>
                <c:pt idx="137">
                  <c:v>0.25654061388023103</c:v>
                </c:pt>
                <c:pt idx="138">
                  <c:v>0.26290967747147997</c:v>
                </c:pt>
                <c:pt idx="139">
                  <c:v>0.26923634546738801</c:v>
                </c:pt>
                <c:pt idx="140">
                  <c:v>0.27551942127903301</c:v>
                </c:pt>
                <c:pt idx="141">
                  <c:v>0.28175773131697701</c:v>
                </c:pt>
                <c:pt idx="142">
                  <c:v>0.28795012568614597</c:v>
                </c:pt>
                <c:pt idx="143">
                  <c:v>0.29409547885159498</c:v>
                </c:pt>
                <c:pt idx="144">
                  <c:v>0.30019269027440199</c:v>
                </c:pt>
                <c:pt idx="145">
                  <c:v>0.306240685017037</c:v>
                </c:pt>
                <c:pt idx="146">
                  <c:v>0.31223841431756399</c:v>
                </c:pt>
                <c:pt idx="147">
                  <c:v>0.31818485613215802</c:v>
                </c:pt>
                <c:pt idx="148">
                  <c:v>0.324079015645442</c:v>
                </c:pt>
                <c:pt idx="149">
                  <c:v>0.32991992574823298</c:v>
                </c:pt>
                <c:pt idx="150">
                  <c:v>0.337522052785516</c:v>
                </c:pt>
                <c:pt idx="151">
                  <c:v>0.34686724031937599</c:v>
                </c:pt>
                <c:pt idx="152">
                  <c:v>0.35612882152699299</c:v>
                </c:pt>
                <c:pt idx="153">
                  <c:v>0.36530034462710798</c:v>
                </c:pt>
                <c:pt idx="154">
                  <c:v>0.37437535005578398</c:v>
                </c:pt>
                <c:pt idx="155">
                  <c:v>0.38334738281983199</c:v>
                </c:pt>
                <c:pt idx="156">
                  <c:v>0.39221000514688298</c:v>
                </c:pt>
                <c:pt idx="157">
                  <c:v>0.40095680938878198</c:v>
                </c:pt>
                <c:pt idx="158">
                  <c:v>0.409581431132166</c:v>
                </c:pt>
                <c:pt idx="159">
                  <c:v>0.41807756246754901</c:v>
                </c:pt>
                <c:pt idx="160">
                  <c:v>0.42643896536595</c:v>
                </c:pt>
                <c:pt idx="161">
                  <c:v>0.43465948511005797</c:v>
                </c:pt>
                <c:pt idx="162">
                  <c:v>0.44273306372529803</c:v>
                </c:pt>
                <c:pt idx="163">
                  <c:v>0.45065375335476299</c:v>
                </c:pt>
                <c:pt idx="164">
                  <c:v>0.458415729521024</c:v>
                </c:pt>
                <c:pt idx="165">
                  <c:v>0.46601330421723303</c:v>
                </c:pt>
                <c:pt idx="166">
                  <c:v>0.47344093876972798</c:v>
                </c:pt>
                <c:pt idx="167">
                  <c:v>0.480693256414576</c:v>
                </c:pt>
                <c:pt idx="168">
                  <c:v>0.48776505453111701</c:v>
                </c:pt>
                <c:pt idx="169">
                  <c:v>0.49465131647664001</c:v>
                </c:pt>
                <c:pt idx="170">
                  <c:v>0.501347222967788</c:v>
                </c:pt>
                <c:pt idx="171">
                  <c:v>0.50784816295621105</c:v>
                </c:pt>
                <c:pt idx="172">
                  <c:v>0.51414974394824398</c:v>
                </c:pt>
                <c:pt idx="173">
                  <c:v>0.52024780172110197</c:v>
                </c:pt>
                <c:pt idx="174">
                  <c:v>0.52613840939116197</c:v>
                </c:pt>
                <c:pt idx="175">
                  <c:v>0.53181788579322498</c:v>
                </c:pt>
                <c:pt idx="176">
                  <c:v>0.53728280313346899</c:v>
                </c:pt>
                <c:pt idx="177">
                  <c:v>0.54252999388270695</c:v>
                </c:pt>
                <c:pt idx="178">
                  <c:v>0.547556556880895</c:v>
                </c:pt>
                <c:pt idx="179">
                  <c:v>0.55235986262822301</c:v>
                </c:pt>
                <c:pt idx="180">
                  <c:v>0.55693755774280096</c:v>
                </c:pt>
                <c:pt idx="181">
                  <c:v>0.56128756856968798</c:v>
                </c:pt>
                <c:pt idx="182">
                  <c:v>0.56540810393085095</c:v>
                </c:pt>
                <c:pt idx="183">
                  <c:v>0.56929765701051904</c:v>
                </c:pt>
                <c:pt idx="184">
                  <c:v>0.57295500637528796</c:v>
                </c:pt>
                <c:pt idx="185">
                  <c:v>0.57637921613314103</c:v>
                </c:pt>
                <c:pt idx="186">
                  <c:v>0.57956963524030902</c:v>
                </c:pt>
                <c:pt idx="187">
                  <c:v>0.58252589596947402</c:v>
                </c:pt>
                <c:pt idx="188">
                  <c:v>0.58524791155729405</c:v>
                </c:pt>
                <c:pt idx="189">
                  <c:v>0.58773587305341501</c:v>
                </c:pt>
                <c:pt idx="190">
                  <c:v>0.58999024539715905</c:v>
                </c:pt>
                <c:pt idx="191">
                  <c:v>0.59201176275180201</c:v>
                </c:pt>
                <c:pt idx="192">
                  <c:v>0.59380142312975004</c:v>
                </c:pt>
                <c:pt idx="193">
                  <c:v>0.595360482345064</c:v>
                </c:pt>
                <c:pt idx="194">
                  <c:v>0.59669044733255405</c:v>
                </c:pt>
                <c:pt idx="195">
                  <c:v>0.597793068875073</c:v>
                </c:pt>
                <c:pt idx="196">
                  <c:v>0.59867033378271295</c:v>
                </c:pt>
                <c:pt idx="197">
                  <c:v>0.59932445656932198</c:v>
                </c:pt>
                <c:pt idx="198">
                  <c:v>0.59975787067306097</c:v>
                </c:pt>
                <c:pt idx="199">
                  <c:v>0.59997321926872105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66-4DFC-AD2D-462C3105E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164208"/>
        <c:axId val="1058165648"/>
      </c:scatterChart>
      <c:valAx>
        <c:axId val="105816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165648"/>
        <c:crosses val="autoZero"/>
        <c:crossBetween val="midCat"/>
      </c:valAx>
      <c:valAx>
        <c:axId val="10581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16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609600</xdr:colOff>
      <xdr:row>13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8D4D6AB-2C52-4AA1-B1C2-6B84B65CF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609600</xdr:colOff>
      <xdr:row>26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AAD2BEC-CA52-4B37-846A-CB2D73E63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48845</xdr:colOff>
      <xdr:row>1</xdr:row>
      <xdr:rowOff>18073</xdr:rowOff>
    </xdr:from>
    <xdr:to>
      <xdr:col>27</xdr:col>
      <xdr:colOff>4884</xdr:colOff>
      <xdr:row>13</xdr:row>
      <xdr:rowOff>107462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8C619A8-3CDC-4A6C-8807-51C9800B6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600807</xdr:colOff>
      <xdr:row>0</xdr:row>
      <xdr:rowOff>140188</xdr:rowOff>
    </xdr:from>
    <xdr:to>
      <xdr:col>39</xdr:col>
      <xdr:colOff>630115</xdr:colOff>
      <xdr:row>13</xdr:row>
      <xdr:rowOff>83038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AF73CF5-348A-43D5-9CBC-83C06AC47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0</xdr:colOff>
      <xdr:row>0</xdr:row>
      <xdr:rowOff>132522</xdr:rowOff>
    </xdr:from>
    <xdr:to>
      <xdr:col>47</xdr:col>
      <xdr:colOff>619891</xdr:colOff>
      <xdr:row>12</xdr:row>
      <xdr:rowOff>218736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2D2B68E-5C40-4C3A-96C1-CB98C7444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609600</xdr:colOff>
      <xdr:row>13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E754C1B-29A2-4928-AB16-F6B68C817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609600</xdr:colOff>
      <xdr:row>26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DCA9E0C-3C27-4201-A69F-6087B5C24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48845</xdr:colOff>
      <xdr:row>1</xdr:row>
      <xdr:rowOff>18073</xdr:rowOff>
    </xdr:from>
    <xdr:to>
      <xdr:col>27</xdr:col>
      <xdr:colOff>4884</xdr:colOff>
      <xdr:row>13</xdr:row>
      <xdr:rowOff>107462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259B77E-C39F-FEBD-9571-E64BDF411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600807</xdr:colOff>
      <xdr:row>0</xdr:row>
      <xdr:rowOff>140188</xdr:rowOff>
    </xdr:from>
    <xdr:to>
      <xdr:col>39</xdr:col>
      <xdr:colOff>630115</xdr:colOff>
      <xdr:row>13</xdr:row>
      <xdr:rowOff>83038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3891294-2F44-743D-E000-369689E4E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0</xdr:colOff>
      <xdr:row>0</xdr:row>
      <xdr:rowOff>132522</xdr:rowOff>
    </xdr:from>
    <xdr:to>
      <xdr:col>47</xdr:col>
      <xdr:colOff>619891</xdr:colOff>
      <xdr:row>12</xdr:row>
      <xdr:rowOff>218736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7636E34-35B4-4F1D-B669-423A36338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139700</xdr:colOff>
      <xdr:row>3</xdr:row>
      <xdr:rowOff>76200</xdr:rowOff>
    </xdr:from>
    <xdr:to>
      <xdr:col>25</xdr:col>
      <xdr:colOff>82550</xdr:colOff>
      <xdr:row>15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9733C0F-1641-CDDB-0A15-2FEC0DC2D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588962</xdr:colOff>
      <xdr:row>6</xdr:row>
      <xdr:rowOff>26987</xdr:rowOff>
    </xdr:from>
    <xdr:to>
      <xdr:col>36</xdr:col>
      <xdr:colOff>554037</xdr:colOff>
      <xdr:row>18</xdr:row>
      <xdr:rowOff>26987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F729673-DF08-FF73-21AB-C3910EB79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647700</xdr:colOff>
      <xdr:row>6</xdr:row>
      <xdr:rowOff>95250</xdr:rowOff>
    </xdr:from>
    <xdr:to>
      <xdr:col>44</xdr:col>
      <xdr:colOff>592972</xdr:colOff>
      <xdr:row>18</xdr:row>
      <xdr:rowOff>221221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7E87921-9363-4140-AD66-4577F2126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0</xdr:colOff>
      <xdr:row>6</xdr:row>
      <xdr:rowOff>0</xdr:rowOff>
    </xdr:from>
    <xdr:to>
      <xdr:col>54</xdr:col>
      <xdr:colOff>602497</xdr:colOff>
      <xdr:row>18</xdr:row>
      <xdr:rowOff>125971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4F41BBD-2BCD-474E-85D1-C928EA066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43</xdr:col>
      <xdr:colOff>54429</xdr:colOff>
      <xdr:row>57</xdr:row>
      <xdr:rowOff>72571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DCDB7AB-5BD2-4B26-8FF8-B8C3691D4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A65B-0029-4D35-8AF2-CE5A44299836}">
  <dimension ref="A1:AE201"/>
  <sheetViews>
    <sheetView tabSelected="1" zoomScale="115" zoomScaleNormal="115" workbookViewId="0">
      <selection activeCell="P11" sqref="P11"/>
    </sheetView>
  </sheetViews>
  <sheetFormatPr defaultRowHeight="18"/>
  <cols>
    <col min="1" max="1" width="7.83203125" bestFit="1" customWidth="1"/>
    <col min="2" max="2" width="6.4140625" bestFit="1" customWidth="1"/>
    <col min="3" max="3" width="9.1640625" bestFit="1" customWidth="1"/>
    <col min="4" max="4" width="9.5" bestFit="1" customWidth="1"/>
    <col min="5" max="5" width="10" bestFit="1" customWidth="1"/>
    <col min="6" max="6" width="9.1640625" bestFit="1" customWidth="1"/>
    <col min="10" max="10" width="9.1640625" bestFit="1" customWidth="1"/>
    <col min="16" max="16" width="21.83203125" customWidth="1"/>
    <col min="17" max="17" width="10" bestFit="1" customWidth="1"/>
    <col min="18" max="18" width="9.5" bestFit="1" customWidth="1"/>
    <col min="19" max="19" width="11.1640625" customWidth="1"/>
    <col min="29" max="29" width="10.25" customWidth="1"/>
    <col min="30" max="30" width="9.33203125" customWidth="1"/>
    <col min="31" max="31" width="12.1640625" customWidth="1"/>
  </cols>
  <sheetData>
    <row r="1" spans="1:3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0</v>
      </c>
      <c r="P1" t="s">
        <v>16</v>
      </c>
      <c r="Q1" s="2" t="s">
        <v>1</v>
      </c>
      <c r="R1" t="s">
        <v>13</v>
      </c>
      <c r="S1" t="s">
        <v>14</v>
      </c>
      <c r="AC1" t="s">
        <v>15</v>
      </c>
      <c r="AD1" t="s">
        <v>13</v>
      </c>
      <c r="AE1" t="s">
        <v>14</v>
      </c>
    </row>
    <row r="2" spans="1:31">
      <c r="A2">
        <v>0</v>
      </c>
      <c r="B2">
        <v>0</v>
      </c>
      <c r="C2" s="1">
        <v>1.19999999999999</v>
      </c>
      <c r="D2" s="1">
        <v>-0.6</v>
      </c>
      <c r="E2" s="1">
        <v>-26.565051177078001</v>
      </c>
      <c r="F2" s="1">
        <v>4.0292007706794903</v>
      </c>
      <c r="G2" s="1">
        <v>7.1715327931573999E-5</v>
      </c>
      <c r="Q2" s="1">
        <f>ATAN((D2)/((C2-$M$32)*$J$29))*180/PI()</f>
        <v>89.999999999999616</v>
      </c>
      <c r="R2" s="1">
        <f>RADIANS(Q2)/PI()*2</f>
        <v>0.99999999999999578</v>
      </c>
      <c r="S2" s="1">
        <f>F2/$J$33/SQRT(PI()*$M$30)</f>
        <v>2.9347313190308482</v>
      </c>
      <c r="AD2">
        <v>0</v>
      </c>
      <c r="AE2">
        <v>0.75800000000000001</v>
      </c>
    </row>
    <row r="3" spans="1:31">
      <c r="A3">
        <v>0</v>
      </c>
      <c r="B3">
        <v>0</v>
      </c>
      <c r="C3" s="1">
        <v>1.24736082925779</v>
      </c>
      <c r="D3" s="1">
        <v>-0.59970085233916604</v>
      </c>
      <c r="E3" s="1">
        <v>-25.6771196057475</v>
      </c>
      <c r="F3" s="1">
        <v>3.1070238988056902</v>
      </c>
      <c r="G3" s="1">
        <v>4.2644532679865299E-5</v>
      </c>
      <c r="Q3" s="1">
        <f t="shared" ref="Q3:Q66" si="0">ATAN((D3)/((C3-$M$32)*$J$29))*180/PI()</f>
        <v>-88.190648867774954</v>
      </c>
      <c r="R3" s="1">
        <f t="shared" ref="R3:R66" si="1">RADIANS(Q3)/PI()*2</f>
        <v>-0.97989609853083293</v>
      </c>
      <c r="S3" s="1">
        <f t="shared" ref="S3:S66" si="2">F3/$J$33/SQRT(PI()*$M$30)</f>
        <v>2.2630493896348263</v>
      </c>
      <c r="AD3">
        <v>0.125</v>
      </c>
      <c r="AE3">
        <v>0.79300000000000004</v>
      </c>
    </row>
    <row r="4" spans="1:31">
      <c r="A4">
        <v>0</v>
      </c>
      <c r="B4">
        <v>1</v>
      </c>
      <c r="C4" s="1">
        <v>1.3429265252286999</v>
      </c>
      <c r="D4" s="1">
        <v>-0.59727005729549798</v>
      </c>
      <c r="E4" s="1">
        <v>-23.977230740737902</v>
      </c>
      <c r="F4" s="1">
        <v>2.8507323544630698</v>
      </c>
      <c r="G4" s="1">
        <v>3.5899389372194999E-5</v>
      </c>
      <c r="Q4" s="1">
        <f t="shared" si="0"/>
        <v>-84.532313881315446</v>
      </c>
      <c r="R4" s="1">
        <f t="shared" si="1"/>
        <v>-0.93924793201461609</v>
      </c>
      <c r="S4" s="1">
        <f t="shared" si="2"/>
        <v>2.0763754399377929</v>
      </c>
      <c r="AD4">
        <v>0.25</v>
      </c>
      <c r="AE4">
        <v>0.875</v>
      </c>
    </row>
    <row r="5" spans="1:31">
      <c r="A5">
        <v>0</v>
      </c>
      <c r="B5">
        <v>2</v>
      </c>
      <c r="C5" s="1">
        <v>1.4391361997882599</v>
      </c>
      <c r="D5" s="1">
        <v>-0.59232610990241796</v>
      </c>
      <c r="E5" s="1">
        <v>-22.3713048053826</v>
      </c>
      <c r="F5" s="1">
        <v>2.6165982639337702</v>
      </c>
      <c r="G5" s="1">
        <v>3.0244629573239401E-5</v>
      </c>
      <c r="Q5" s="1">
        <f t="shared" si="0"/>
        <v>-80.826527556390687</v>
      </c>
      <c r="R5" s="1">
        <f t="shared" si="1"/>
        <v>-0.89807252840434093</v>
      </c>
      <c r="S5" s="1">
        <f t="shared" si="2"/>
        <v>1.905840217833866</v>
      </c>
      <c r="AD5">
        <v>0.375</v>
      </c>
      <c r="AE5">
        <v>0.98299999999999998</v>
      </c>
    </row>
    <row r="6" spans="1:31">
      <c r="A6">
        <v>0</v>
      </c>
      <c r="B6">
        <v>3</v>
      </c>
      <c r="C6" s="1">
        <v>1.5353792040749199</v>
      </c>
      <c r="D6" s="1">
        <v>-0.58481050462166895</v>
      </c>
      <c r="E6" s="1">
        <v>-20.851334152273001</v>
      </c>
      <c r="F6" s="1">
        <v>2.4143940958016601</v>
      </c>
      <c r="G6" s="1">
        <v>2.5750786181340598E-5</v>
      </c>
      <c r="Q6" s="1">
        <f t="shared" si="0"/>
        <v>-77.080248197578584</v>
      </c>
      <c r="R6" s="1">
        <f t="shared" si="1"/>
        <v>-0.85644720219531767</v>
      </c>
      <c r="S6" s="1">
        <f t="shared" si="2"/>
        <v>1.7585616534659236</v>
      </c>
      <c r="AD6">
        <v>0.5</v>
      </c>
      <c r="AE6">
        <v>1.1080000000000001</v>
      </c>
    </row>
    <row r="7" spans="1:31">
      <c r="A7">
        <v>0</v>
      </c>
      <c r="B7">
        <v>4</v>
      </c>
      <c r="C7" s="1">
        <v>1.6310174122843299</v>
      </c>
      <c r="D7" s="1">
        <v>-0.57469630105755398</v>
      </c>
      <c r="E7" s="1">
        <v>-19.410137905102498</v>
      </c>
      <c r="F7" s="1">
        <v>2.2526599361590001</v>
      </c>
      <c r="G7" s="1">
        <v>2.2416378043970999E-5</v>
      </c>
      <c r="Q7" s="1">
        <f t="shared" si="0"/>
        <v>-73.300931874335959</v>
      </c>
      <c r="R7" s="1">
        <f t="shared" si="1"/>
        <v>-0.81445479860373282</v>
      </c>
      <c r="S7" s="1">
        <f t="shared" si="2"/>
        <v>1.6407600519387791</v>
      </c>
      <c r="AD7">
        <v>0.625</v>
      </c>
      <c r="AE7">
        <v>1.262</v>
      </c>
    </row>
    <row r="8" spans="1:31">
      <c r="A8">
        <v>0</v>
      </c>
      <c r="B8">
        <v>5</v>
      </c>
      <c r="C8" s="1">
        <v>1.7253980495195</v>
      </c>
      <c r="D8" s="1">
        <v>-0.56199030448022402</v>
      </c>
      <c r="E8" s="1">
        <v>-18.041275011069899</v>
      </c>
      <c r="F8" s="1">
        <v>2.1187731497191402</v>
      </c>
      <c r="G8" s="1">
        <v>1.98309305367641E-5</v>
      </c>
      <c r="Q8" s="1">
        <f t="shared" si="0"/>
        <v>-69.496453039557011</v>
      </c>
      <c r="R8" s="1">
        <f t="shared" si="1"/>
        <v>-0.77218281155063351</v>
      </c>
      <c r="S8" s="1">
        <f t="shared" si="2"/>
        <v>1.5432415196708551</v>
      </c>
      <c r="AD8">
        <v>0.75</v>
      </c>
      <c r="AE8">
        <v>1.4490000000000001</v>
      </c>
    </row>
    <row r="9" spans="1:31">
      <c r="A9">
        <v>0</v>
      </c>
      <c r="B9">
        <v>6</v>
      </c>
      <c r="C9" s="1">
        <v>1.81786769796408</v>
      </c>
      <c r="D9" s="1">
        <v>-0.54673423274019395</v>
      </c>
      <c r="E9" s="1">
        <v>-16.738963934629499</v>
      </c>
      <c r="F9" s="1">
        <v>2.0029725801563201</v>
      </c>
      <c r="G9" s="1">
        <v>1.7722467149227501E-5</v>
      </c>
      <c r="Q9" s="1">
        <f t="shared" si="0"/>
        <v>-65.675012291126592</v>
      </c>
      <c r="R9" s="1">
        <f t="shared" si="1"/>
        <v>-0.72972235879029557</v>
      </c>
      <c r="S9" s="1">
        <f t="shared" si="2"/>
        <v>1.4588963659791698</v>
      </c>
      <c r="AD9">
        <v>0.83299999999999996</v>
      </c>
      <c r="AE9">
        <v>1.643</v>
      </c>
    </row>
    <row r="10" spans="1:31">
      <c r="A10">
        <v>0</v>
      </c>
      <c r="B10">
        <v>7</v>
      </c>
      <c r="C10" s="1">
        <v>1.90778688829803</v>
      </c>
      <c r="D10" s="1">
        <v>-0.52900475926076596</v>
      </c>
      <c r="E10" s="1">
        <v>-15.4980096389725</v>
      </c>
      <c r="F10" s="1">
        <v>1.8988131083138799</v>
      </c>
      <c r="G10" s="1">
        <v>1.5927169953772801E-5</v>
      </c>
      <c r="Q10" s="1">
        <f t="shared" si="0"/>
        <v>-61.845033762990106</v>
      </c>
      <c r="R10" s="1">
        <f t="shared" si="1"/>
        <v>-0.68716704181100119</v>
      </c>
      <c r="S10" s="1">
        <f t="shared" si="2"/>
        <v>1.3830301876506645</v>
      </c>
      <c r="AD10">
        <v>0.91700000000000004</v>
      </c>
      <c r="AE10">
        <v>1.861</v>
      </c>
    </row>
    <row r="11" spans="1:31">
      <c r="A11">
        <v>0</v>
      </c>
      <c r="B11">
        <v>8</v>
      </c>
      <c r="C11" s="1">
        <v>1.99454461488821</v>
      </c>
      <c r="D11" s="1">
        <v>-0.50891238616518297</v>
      </c>
      <c r="E11" s="1">
        <v>-14.313737914667501</v>
      </c>
      <c r="F11" s="1">
        <v>1.8029128526823499</v>
      </c>
      <c r="G11" s="1">
        <v>1.43589816819135E-5</v>
      </c>
      <c r="Q11" s="1">
        <f t="shared" si="0"/>
        <v>-58.015055234853996</v>
      </c>
      <c r="R11" s="1">
        <f t="shared" si="1"/>
        <v>-0.64461172483171103</v>
      </c>
      <c r="S11" s="1">
        <f t="shared" si="2"/>
        <v>1.3131797384615931</v>
      </c>
      <c r="AD11">
        <v>0.95799999999999996</v>
      </c>
      <c r="AE11">
        <v>1.96</v>
      </c>
    </row>
    <row r="12" spans="1:31">
      <c r="A12">
        <v>0</v>
      </c>
      <c r="B12">
        <v>9</v>
      </c>
      <c r="C12" s="1">
        <v>2.0775720944796201</v>
      </c>
      <c r="D12" s="1">
        <v>-0.486599172870751</v>
      </c>
      <c r="E12" s="1">
        <v>-13.181936766787</v>
      </c>
      <c r="F12" s="1">
        <v>1.7169069355266799</v>
      </c>
      <c r="G12" s="1">
        <v>1.3021699888282899E-5</v>
      </c>
      <c r="Q12" s="1">
        <f t="shared" si="0"/>
        <v>-54.193614486423641</v>
      </c>
      <c r="R12" s="1">
        <f t="shared" si="1"/>
        <v>-0.60215127207137376</v>
      </c>
      <c r="S12" s="1">
        <f t="shared" si="2"/>
        <v>1.2505359852548867</v>
      </c>
      <c r="AD12">
        <v>1</v>
      </c>
      <c r="AE12">
        <v>1.671</v>
      </c>
    </row>
    <row r="13" spans="1:31">
      <c r="A13">
        <v>0</v>
      </c>
      <c r="B13">
        <v>10</v>
      </c>
      <c r="C13" s="1">
        <v>2.1563551229538902</v>
      </c>
      <c r="D13" s="1">
        <v>-0.46223541686890401</v>
      </c>
      <c r="E13" s="1">
        <v>-12.098804380848399</v>
      </c>
      <c r="F13" s="1">
        <v>1.6410596261372901</v>
      </c>
      <c r="G13" s="1">
        <v>1.18966009410168E-5</v>
      </c>
      <c r="Q13" s="1">
        <f t="shared" si="0"/>
        <v>-50.389135651644494</v>
      </c>
      <c r="R13" s="1">
        <f t="shared" si="1"/>
        <v>-0.55987928501827222</v>
      </c>
      <c r="S13" s="1">
        <f t="shared" si="2"/>
        <v>1.1952914126962135</v>
      </c>
    </row>
    <row r="14" spans="1:31">
      <c r="A14">
        <v>0</v>
      </c>
      <c r="B14">
        <v>11</v>
      </c>
      <c r="C14" s="1">
        <v>2.23044447094557</v>
      </c>
      <c r="D14" s="1">
        <v>-0.43601544785434698</v>
      </c>
      <c r="E14" s="1">
        <v>-11.060903098053</v>
      </c>
      <c r="F14" s="1">
        <v>1.57015659319011</v>
      </c>
      <c r="G14" s="1">
        <v>1.08908081150288E-5</v>
      </c>
      <c r="Q14" s="1">
        <f t="shared" si="0"/>
        <v>-46.609819328401727</v>
      </c>
      <c r="R14" s="1">
        <f t="shared" si="1"/>
        <v>-0.51788688142668582</v>
      </c>
      <c r="S14" s="1">
        <f t="shared" si="2"/>
        <v>1.1436480811157734</v>
      </c>
    </row>
    <row r="15" spans="1:31">
      <c r="A15">
        <v>0</v>
      </c>
      <c r="B15">
        <v>12</v>
      </c>
      <c r="C15" s="1">
        <v>2.2994638882736198</v>
      </c>
      <c r="D15" s="1">
        <v>-0.40815274756046299</v>
      </c>
      <c r="E15" s="1">
        <v>-10.065118803809</v>
      </c>
      <c r="F15" s="1">
        <v>1.50277427564273</v>
      </c>
      <c r="G15" s="1">
        <v>9.9761202738617207E-6</v>
      </c>
      <c r="Q15" s="1">
        <f t="shared" si="0"/>
        <v>-42.863539969589823</v>
      </c>
      <c r="R15" s="1">
        <f t="shared" si="1"/>
        <v>-0.47626155521766467</v>
      </c>
      <c r="S15" s="1">
        <f t="shared" si="2"/>
        <v>1.094569117591742</v>
      </c>
    </row>
    <row r="16" spans="1:31">
      <c r="A16">
        <v>0</v>
      </c>
      <c r="B16">
        <v>13</v>
      </c>
      <c r="C16" s="1">
        <v>2.36311544583958</v>
      </c>
      <c r="D16" s="1">
        <v>-0.378874640935358</v>
      </c>
      <c r="E16" s="1">
        <v>-9.1086251452274691</v>
      </c>
      <c r="F16" s="1">
        <v>1.4390915853152499</v>
      </c>
      <c r="G16" s="1">
        <v>9.1485241637957106E-6</v>
      </c>
      <c r="Q16" s="1">
        <f t="shared" si="0"/>
        <v>-39.157753644664929</v>
      </c>
      <c r="R16" s="1">
        <f t="shared" si="1"/>
        <v>-0.43508615160738812</v>
      </c>
      <c r="S16" s="1">
        <f t="shared" si="2"/>
        <v>1.0481848353429621</v>
      </c>
    </row>
    <row r="17" spans="1:19">
      <c r="A17">
        <v>0</v>
      </c>
      <c r="B17">
        <v>14</v>
      </c>
      <c r="C17" s="1">
        <v>2.4211821154759399</v>
      </c>
      <c r="D17" s="1">
        <v>-0.34841681723858697</v>
      </c>
      <c r="E17" s="1">
        <v>-8.1888520266714</v>
      </c>
      <c r="F17" s="1">
        <v>1.3782697761932601</v>
      </c>
      <c r="G17" s="1">
        <v>8.3915587093724102E-6</v>
      </c>
      <c r="Q17" s="1">
        <f t="shared" si="0"/>
        <v>-35.499418658205556</v>
      </c>
      <c r="R17" s="1">
        <f t="shared" si="1"/>
        <v>-0.39443798509117284</v>
      </c>
      <c r="S17" s="1">
        <f t="shared" si="2"/>
        <v>1.0038843206082948</v>
      </c>
    </row>
    <row r="18" spans="1:19">
      <c r="A18">
        <v>1</v>
      </c>
      <c r="B18">
        <v>0</v>
      </c>
      <c r="C18" s="1">
        <v>2.4639377411382899</v>
      </c>
      <c r="D18" s="1">
        <v>-0.32310032783051901</v>
      </c>
      <c r="E18" s="1">
        <v>-7.4706665146926197</v>
      </c>
      <c r="F18" s="1">
        <v>1.33308604676453</v>
      </c>
      <c r="G18" s="1">
        <v>7.8503774337439296E-6</v>
      </c>
      <c r="Q18" s="1">
        <f t="shared" si="0"/>
        <v>-32.581622765865433</v>
      </c>
      <c r="R18" s="1">
        <f t="shared" si="1"/>
        <v>-0.36201803073183814</v>
      </c>
      <c r="S18" s="1">
        <f t="shared" si="2"/>
        <v>0.97097404549119082</v>
      </c>
    </row>
    <row r="19" spans="1:19">
      <c r="A19">
        <v>1</v>
      </c>
      <c r="B19">
        <v>1</v>
      </c>
      <c r="C19" s="1">
        <v>2.4943528048279102</v>
      </c>
      <c r="D19" s="1">
        <v>-0.30322290589836798</v>
      </c>
      <c r="E19" s="1">
        <v>-6.9310819793499903</v>
      </c>
      <c r="F19" s="1">
        <v>1.2993360902097</v>
      </c>
      <c r="G19" s="1">
        <v>7.4579106337014798E-6</v>
      </c>
      <c r="Q19" s="1">
        <f t="shared" si="0"/>
        <v>-30.356017118091749</v>
      </c>
      <c r="R19" s="1">
        <f t="shared" si="1"/>
        <v>-0.33728907908990835</v>
      </c>
      <c r="S19" s="1">
        <f t="shared" si="2"/>
        <v>0.94639173744683713</v>
      </c>
    </row>
    <row r="20" spans="1:19">
      <c r="A20">
        <v>1</v>
      </c>
      <c r="B20">
        <v>2</v>
      </c>
      <c r="C20" s="1">
        <v>2.5229420572920098</v>
      </c>
      <c r="D20" s="1">
        <v>-0.28279301633468701</v>
      </c>
      <c r="E20" s="1">
        <v>-6.3955081821005502</v>
      </c>
      <c r="F20" s="1">
        <v>1.2660408310607001</v>
      </c>
      <c r="G20" s="1">
        <v>7.0805924329161298E-6</v>
      </c>
      <c r="Q20" s="1">
        <f t="shared" si="0"/>
        <v>-28.12012479644731</v>
      </c>
      <c r="R20" s="1">
        <f t="shared" si="1"/>
        <v>-0.31244583107163676</v>
      </c>
      <c r="S20" s="1">
        <f t="shared" si="2"/>
        <v>0.9221406153605729</v>
      </c>
    </row>
    <row r="21" spans="1:19">
      <c r="A21">
        <v>1</v>
      </c>
      <c r="B21">
        <v>3</v>
      </c>
      <c r="C21" s="1">
        <v>2.5496157155796801</v>
      </c>
      <c r="D21" s="1">
        <v>-0.26185107836639598</v>
      </c>
      <c r="E21" s="1">
        <v>-5.8638420681376502</v>
      </c>
      <c r="F21" s="1">
        <v>1.2335350721921099</v>
      </c>
      <c r="G21" s="1">
        <v>6.7216698283421401E-6</v>
      </c>
      <c r="Q21" s="1">
        <f t="shared" si="0"/>
        <v>-25.875587337375521</v>
      </c>
      <c r="R21" s="1">
        <f t="shared" si="1"/>
        <v>-0.28750652597083914</v>
      </c>
      <c r="S21" s="1">
        <f t="shared" si="2"/>
        <v>0.89846453813585103</v>
      </c>
    </row>
    <row r="22" spans="1:19">
      <c r="A22">
        <v>1</v>
      </c>
      <c r="B22">
        <v>4</v>
      </c>
      <c r="C22" s="1">
        <v>2.5742915301465699</v>
      </c>
      <c r="D22" s="1">
        <v>-0.240440525757979</v>
      </c>
      <c r="E22" s="1">
        <v>-5.3359830301448596</v>
      </c>
      <c r="F22" s="1">
        <v>1.2021954308885101</v>
      </c>
      <c r="G22" s="1">
        <v>6.3844621707999797E-6</v>
      </c>
      <c r="Q22" s="1">
        <f t="shared" si="0"/>
        <v>-23.624085490839459</v>
      </c>
      <c r="R22" s="1">
        <f t="shared" si="1"/>
        <v>-0.26248983878710508</v>
      </c>
      <c r="S22" s="1">
        <f t="shared" si="2"/>
        <v>0.87563782085480668</v>
      </c>
    </row>
    <row r="23" spans="1:19">
      <c r="A23">
        <v>1</v>
      </c>
      <c r="B23">
        <v>5</v>
      </c>
      <c r="C23" s="1">
        <v>2.59689555694503</v>
      </c>
      <c r="D23" s="1">
        <v>-0.21860752154934199</v>
      </c>
      <c r="E23" s="1">
        <v>-4.8118328758289097</v>
      </c>
      <c r="F23" s="1">
        <v>1.17203848963613</v>
      </c>
      <c r="G23" s="1">
        <v>6.0681725304931001E-6</v>
      </c>
      <c r="Q23" s="1">
        <f t="shared" si="0"/>
        <v>-21.367331929130181</v>
      </c>
      <c r="R23" s="1">
        <f t="shared" si="1"/>
        <v>-0.23741479921255756</v>
      </c>
      <c r="S23" s="1">
        <f t="shared" si="2"/>
        <v>0.8536725416303097</v>
      </c>
    </row>
    <row r="24" spans="1:19">
      <c r="A24">
        <v>1</v>
      </c>
      <c r="B24">
        <v>6</v>
      </c>
      <c r="C24" s="1">
        <v>2.6173628468754102</v>
      </c>
      <c r="D24" s="1">
        <v>-0.196400635557896</v>
      </c>
      <c r="E24" s="1">
        <v>-4.2912957940946397</v>
      </c>
      <c r="F24" s="1">
        <v>1.14306360206748</v>
      </c>
      <c r="G24" s="1">
        <v>5.7718490413498101E-6</v>
      </c>
      <c r="Q24" s="1">
        <f t="shared" si="0"/>
        <v>-19.107063593620811</v>
      </c>
      <c r="R24" s="1">
        <f t="shared" si="1"/>
        <v>-0.21230070659578681</v>
      </c>
      <c r="S24" s="1">
        <f t="shared" si="2"/>
        <v>0.8325682296705027</v>
      </c>
    </row>
    <row r="25" spans="1:19">
      <c r="A25">
        <v>1</v>
      </c>
      <c r="B25">
        <v>7</v>
      </c>
      <c r="C25" s="1">
        <v>2.6356380397335601</v>
      </c>
      <c r="D25" s="1">
        <v>-0.17387048921306</v>
      </c>
      <c r="E25" s="1">
        <v>-3.77427832007819</v>
      </c>
      <c r="F25" s="1">
        <v>1.1158448195920601</v>
      </c>
      <c r="G25" s="1">
        <v>5.5002417081723597E-6</v>
      </c>
      <c r="Q25" s="1">
        <f t="shared" si="0"/>
        <v>-16.845033762990287</v>
      </c>
      <c r="R25" s="1">
        <f t="shared" si="1"/>
        <v>-0.18716704181100319</v>
      </c>
      <c r="S25" s="1">
        <f t="shared" si="2"/>
        <v>0.81274300428640456</v>
      </c>
    </row>
    <row r="26" spans="1:19">
      <c r="A26">
        <v>1</v>
      </c>
      <c r="B26">
        <v>8</v>
      </c>
      <c r="C26" s="1">
        <v>2.6516758516330201</v>
      </c>
      <c r="D26" s="1">
        <v>-0.15106937308957799</v>
      </c>
      <c r="E26" s="1">
        <v>-3.2606892992351799</v>
      </c>
      <c r="F26" s="1">
        <v>1.0910206229124499</v>
      </c>
      <c r="G26" s="1">
        <v>5.2582362119148202E-6</v>
      </c>
      <c r="Q26" s="1">
        <f t="shared" si="0"/>
        <v>-14.583003932359828</v>
      </c>
      <c r="R26" s="1">
        <f t="shared" si="1"/>
        <v>-0.16203337702622031</v>
      </c>
      <c r="S26" s="1">
        <f t="shared" si="2"/>
        <v>0.79466191287105981</v>
      </c>
    </row>
    <row r="27" spans="1:19">
      <c r="A27">
        <v>1</v>
      </c>
      <c r="B27">
        <v>9</v>
      </c>
      <c r="C27" s="1">
        <v>2.6654414470646599</v>
      </c>
      <c r="D27" s="1">
        <v>-0.12805084316783499</v>
      </c>
      <c r="E27" s="1">
        <v>-2.75043985066285</v>
      </c>
      <c r="F27" s="1">
        <v>1.06827368650057</v>
      </c>
      <c r="G27" s="1">
        <v>5.04126159725856E-6</v>
      </c>
      <c r="Q27" s="1">
        <f t="shared" si="0"/>
        <v>-12.3227355968504</v>
      </c>
      <c r="R27" s="1">
        <f t="shared" si="1"/>
        <v>-0.13691928440944889</v>
      </c>
      <c r="S27" s="1">
        <f t="shared" si="2"/>
        <v>0.77809382641934155</v>
      </c>
    </row>
    <row r="28" spans="1:19">
      <c r="A28">
        <v>1</v>
      </c>
      <c r="B28">
        <v>10</v>
      </c>
      <c r="C28" s="1">
        <v>2.6769106892105801</v>
      </c>
      <c r="D28" s="1">
        <v>-0.104869302349525</v>
      </c>
      <c r="E28" s="1">
        <v>-2.2434433298185401</v>
      </c>
      <c r="F28" s="1">
        <v>1.0482595914420401</v>
      </c>
      <c r="G28" s="1">
        <v>4.8541351245423202E-6</v>
      </c>
      <c r="I28" t="s">
        <v>2</v>
      </c>
      <c r="J28">
        <v>1</v>
      </c>
      <c r="L28" t="s">
        <v>3</v>
      </c>
      <c r="M28">
        <v>13.5</v>
      </c>
      <c r="Q28" s="1">
        <f t="shared" si="0"/>
        <v>-10.065982035141108</v>
      </c>
      <c r="R28" s="1">
        <f t="shared" si="1"/>
        <v>-0.1118442448349012</v>
      </c>
      <c r="S28" s="1">
        <f t="shared" si="2"/>
        <v>0.76351624765539661</v>
      </c>
    </row>
    <row r="29" spans="1:19">
      <c r="A29">
        <v>1</v>
      </c>
      <c r="B29">
        <v>11</v>
      </c>
      <c r="C29" s="1">
        <v>2.68607026477012</v>
      </c>
      <c r="D29" s="1">
        <v>-8.15795740768471E-2</v>
      </c>
      <c r="E29" s="1">
        <v>-1.73961529078136</v>
      </c>
      <c r="F29" s="1">
        <v>1.0320911424252499</v>
      </c>
      <c r="G29" s="1">
        <v>4.70554871314622E-6</v>
      </c>
      <c r="I29" t="s">
        <v>4</v>
      </c>
      <c r="J29">
        <v>0.4</v>
      </c>
      <c r="L29" t="s">
        <v>5</v>
      </c>
      <c r="M29">
        <v>1.2000000000000002</v>
      </c>
      <c r="Q29" s="1">
        <f t="shared" si="0"/>
        <v>-7.8144801886050361</v>
      </c>
      <c r="R29" s="1">
        <f t="shared" si="1"/>
        <v>-8.6827557651167064E-2</v>
      </c>
      <c r="S29" s="1">
        <f t="shared" si="2"/>
        <v>0.75173970525646183</v>
      </c>
    </row>
    <row r="30" spans="1:19">
      <c r="A30">
        <v>1</v>
      </c>
      <c r="B30">
        <v>12</v>
      </c>
      <c r="C30" s="1">
        <v>2.6929176822916601</v>
      </c>
      <c r="D30" s="1">
        <v>-5.82364750318373E-2</v>
      </c>
      <c r="E30" s="1">
        <v>-1.23887344818985</v>
      </c>
      <c r="F30" s="1">
        <v>1.01932837163653</v>
      </c>
      <c r="G30" s="1">
        <v>4.5898912601606897E-6</v>
      </c>
      <c r="I30" t="s">
        <v>6</v>
      </c>
      <c r="J30">
        <v>0.5</v>
      </c>
      <c r="L30" t="s">
        <v>7</v>
      </c>
      <c r="M30">
        <v>0.60000000000000009</v>
      </c>
      <c r="Q30" s="1">
        <f t="shared" si="0"/>
        <v>-5.5699427295330546</v>
      </c>
      <c r="R30" s="1">
        <f t="shared" si="1"/>
        <v>-6.1888252550367277E-2</v>
      </c>
      <c r="S30" s="1">
        <f t="shared" si="2"/>
        <v>0.74244374179298023</v>
      </c>
    </row>
    <row r="31" spans="1:19">
      <c r="A31">
        <v>1</v>
      </c>
      <c r="B31">
        <v>13</v>
      </c>
      <c r="C31" s="1">
        <v>2.6974611457385902</v>
      </c>
      <c r="D31" s="1">
        <v>-3.4894393826379801E-2</v>
      </c>
      <c r="E31" s="1">
        <v>-0.741137638975364</v>
      </c>
      <c r="F31" s="1">
        <v>1.0104453684845001</v>
      </c>
      <c r="G31" s="1">
        <v>4.51024202354136E-6</v>
      </c>
      <c r="I31" t="s">
        <v>8</v>
      </c>
      <c r="J31">
        <v>2</v>
      </c>
      <c r="L31" t="s">
        <v>9</v>
      </c>
      <c r="M31">
        <v>1.5</v>
      </c>
      <c r="Q31" s="1">
        <f t="shared" si="0"/>
        <v>-3.3340504078886526</v>
      </c>
      <c r="R31" s="1">
        <f t="shared" si="1"/>
        <v>-3.7045004532096144E-2</v>
      </c>
      <c r="S31" s="1">
        <f t="shared" si="2"/>
        <v>0.73597366769118366</v>
      </c>
    </row>
    <row r="32" spans="1:19">
      <c r="A32">
        <v>1</v>
      </c>
      <c r="B32">
        <v>14</v>
      </c>
      <c r="C32" s="1">
        <v>2.6997193076588801</v>
      </c>
      <c r="D32" s="1">
        <v>-1.1606882338320501E-2</v>
      </c>
      <c r="E32" s="1">
        <v>-0.24632978399851099</v>
      </c>
      <c r="F32" s="1">
        <v>1.0064103118433101</v>
      </c>
      <c r="G32" s="1">
        <v>4.47429204545602E-6</v>
      </c>
      <c r="I32" t="s">
        <v>10</v>
      </c>
      <c r="J32">
        <v>0.2</v>
      </c>
      <c r="L32" t="s">
        <v>11</v>
      </c>
      <c r="M32">
        <v>1.2000000000000002</v>
      </c>
      <c r="Q32" s="1">
        <f t="shared" si="0"/>
        <v>-1.1084447601148086</v>
      </c>
      <c r="R32" s="1">
        <f t="shared" si="1"/>
        <v>-1.231605289016454E-2</v>
      </c>
      <c r="S32" s="1">
        <f t="shared" si="2"/>
        <v>0.73303467115739551</v>
      </c>
    </row>
    <row r="33" spans="1:19">
      <c r="A33">
        <v>2</v>
      </c>
      <c r="B33">
        <v>0</v>
      </c>
      <c r="C33" s="1">
        <v>2.6997193076588801</v>
      </c>
      <c r="D33" s="1">
        <v>1.1606882338319E-2</v>
      </c>
      <c r="E33" s="1">
        <v>0.24632978399847899</v>
      </c>
      <c r="F33" s="1">
        <v>1.00641031220285</v>
      </c>
      <c r="G33" s="1">
        <v>4.4742920486529604E-6</v>
      </c>
      <c r="I33" t="s">
        <v>17</v>
      </c>
      <c r="J33" s="1">
        <v>1</v>
      </c>
      <c r="L33" t="s">
        <v>12</v>
      </c>
      <c r="M33">
        <v>27</v>
      </c>
      <c r="Q33" s="1">
        <f t="shared" si="0"/>
        <v>1.1084447601146656</v>
      </c>
      <c r="R33" s="1">
        <f t="shared" si="1"/>
        <v>1.2316052890162953E-2</v>
      </c>
      <c r="S33" s="1">
        <f t="shared" si="2"/>
        <v>0.73303467141927203</v>
      </c>
    </row>
    <row r="34" spans="1:19">
      <c r="A34">
        <v>2</v>
      </c>
      <c r="B34">
        <v>1</v>
      </c>
      <c r="C34" s="1">
        <v>2.6974611457386</v>
      </c>
      <c r="D34" s="1">
        <v>3.4894393826377802E-2</v>
      </c>
      <c r="E34" s="1">
        <v>0.74113763897532003</v>
      </c>
      <c r="F34" s="1">
        <v>1.0104453691020601</v>
      </c>
      <c r="G34" s="1">
        <v>4.5102420290544696E-6</v>
      </c>
      <c r="Q34" s="1">
        <f t="shared" si="0"/>
        <v>3.3340504078884403</v>
      </c>
      <c r="R34" s="1">
        <f t="shared" si="1"/>
        <v>3.7045004532093785E-2</v>
      </c>
      <c r="S34" s="1">
        <f t="shared" si="2"/>
        <v>0.73597366814099319</v>
      </c>
    </row>
    <row r="35" spans="1:19">
      <c r="A35">
        <v>2</v>
      </c>
      <c r="B35">
        <v>2</v>
      </c>
      <c r="C35" s="1">
        <v>2.6929176822916601</v>
      </c>
      <c r="D35" s="1">
        <v>5.82364750318351E-2</v>
      </c>
      <c r="E35" s="1">
        <v>1.23887344818981</v>
      </c>
      <c r="F35" s="1">
        <v>1.0193283724664199</v>
      </c>
      <c r="G35" s="1">
        <v>4.5898912676344299E-6</v>
      </c>
      <c r="Q35" s="1">
        <f t="shared" si="0"/>
        <v>5.5699427295328467</v>
      </c>
      <c r="R35" s="1">
        <f t="shared" si="1"/>
        <v>6.1888252550364967E-2</v>
      </c>
      <c r="S35" s="1">
        <f t="shared" si="2"/>
        <v>0.74244374239744348</v>
      </c>
    </row>
    <row r="36" spans="1:19">
      <c r="A36">
        <v>2</v>
      </c>
      <c r="B36">
        <v>3</v>
      </c>
      <c r="C36" s="1">
        <v>2.68607026477012</v>
      </c>
      <c r="D36" s="1">
        <v>8.1579574076845005E-2</v>
      </c>
      <c r="E36" s="1">
        <v>1.7396152907813101</v>
      </c>
      <c r="F36" s="1">
        <v>1.03209114286353</v>
      </c>
      <c r="G36" s="1">
        <v>4.7055487171426798E-6</v>
      </c>
      <c r="Q36" s="1">
        <f t="shared" si="0"/>
        <v>7.8144801886048372</v>
      </c>
      <c r="R36" s="1">
        <f t="shared" si="1"/>
        <v>8.6827557651164858E-2</v>
      </c>
      <c r="S36" s="1">
        <f t="shared" si="2"/>
        <v>0.75173970557568992</v>
      </c>
    </row>
    <row r="37" spans="1:19">
      <c r="A37">
        <v>2</v>
      </c>
      <c r="B37">
        <v>4</v>
      </c>
      <c r="C37" s="1">
        <v>2.6769106892105801</v>
      </c>
      <c r="D37" s="1">
        <v>0.10486930234952201</v>
      </c>
      <c r="E37" s="1">
        <v>2.2434433298184899</v>
      </c>
      <c r="F37" s="1">
        <v>1.0482595911508701</v>
      </c>
      <c r="G37" s="1">
        <v>4.8541351218456799E-6</v>
      </c>
      <c r="Q37" s="1">
        <f t="shared" si="0"/>
        <v>10.065982035140825</v>
      </c>
      <c r="R37" s="1">
        <f t="shared" si="1"/>
        <v>0.11184424483489806</v>
      </c>
      <c r="S37" s="1">
        <f t="shared" si="2"/>
        <v>0.76351624744331836</v>
      </c>
    </row>
    <row r="38" spans="1:19">
      <c r="A38">
        <v>2</v>
      </c>
      <c r="B38">
        <v>5</v>
      </c>
      <c r="C38" s="1">
        <v>2.6654414470646701</v>
      </c>
      <c r="D38" s="1">
        <v>0.128050843167833</v>
      </c>
      <c r="E38" s="1">
        <v>2.7504398506627901</v>
      </c>
      <c r="F38" s="1">
        <v>1.06827368572735</v>
      </c>
      <c r="G38" s="1">
        <v>5.0412615899608003E-6</v>
      </c>
      <c r="Q38" s="1">
        <f t="shared" si="0"/>
        <v>12.322735596850128</v>
      </c>
      <c r="R38" s="1">
        <f t="shared" si="1"/>
        <v>0.13691928440944587</v>
      </c>
      <c r="S38" s="1">
        <f t="shared" si="2"/>
        <v>0.77809382585615483</v>
      </c>
    </row>
    <row r="39" spans="1:19">
      <c r="A39">
        <v>2</v>
      </c>
      <c r="B39">
        <v>6</v>
      </c>
      <c r="C39" s="1">
        <v>2.6516758516330201</v>
      </c>
      <c r="D39" s="1">
        <v>0.15106937308957599</v>
      </c>
      <c r="E39" s="1">
        <v>3.26068929923512</v>
      </c>
      <c r="F39" s="1">
        <v>1.09102062253291</v>
      </c>
      <c r="G39" s="1">
        <v>5.2582362082564197E-6</v>
      </c>
      <c r="Q39" s="1">
        <f t="shared" si="0"/>
        <v>14.583003932359645</v>
      </c>
      <c r="R39" s="1">
        <f t="shared" si="1"/>
        <v>0.16203337702621826</v>
      </c>
      <c r="S39" s="1">
        <f t="shared" si="2"/>
        <v>0.79466191259461594</v>
      </c>
    </row>
    <row r="40" spans="1:19">
      <c r="A40">
        <v>2</v>
      </c>
      <c r="B40">
        <v>7</v>
      </c>
      <c r="C40" s="1">
        <v>2.6356380397335601</v>
      </c>
      <c r="D40" s="1">
        <v>0.17387048921305701</v>
      </c>
      <c r="E40" s="1">
        <v>3.77427832007813</v>
      </c>
      <c r="F40" s="1">
        <v>1.1158448201158599</v>
      </c>
      <c r="G40" s="1">
        <v>5.5002417133362199E-6</v>
      </c>
      <c r="Q40" s="1">
        <f t="shared" si="0"/>
        <v>16.845033762990013</v>
      </c>
      <c r="R40" s="1">
        <f t="shared" si="1"/>
        <v>0.18716704181100016</v>
      </c>
      <c r="S40" s="1">
        <f t="shared" si="2"/>
        <v>0.81274300466792238</v>
      </c>
    </row>
    <row r="41" spans="1:19">
      <c r="A41">
        <v>2</v>
      </c>
      <c r="B41">
        <v>8</v>
      </c>
      <c r="C41" s="1">
        <v>2.61736284687542</v>
      </c>
      <c r="D41" s="1">
        <v>0.196400635557894</v>
      </c>
      <c r="E41" s="1">
        <v>4.2912957940945802</v>
      </c>
      <c r="F41" s="1">
        <v>1.14306360314485</v>
      </c>
      <c r="G41" s="1">
        <v>5.7718490522300999E-6</v>
      </c>
      <c r="Q41" s="1">
        <f t="shared" si="0"/>
        <v>19.107063593620513</v>
      </c>
      <c r="R41" s="1">
        <f t="shared" si="1"/>
        <v>0.21230070659578348</v>
      </c>
      <c r="S41" s="1">
        <f t="shared" si="2"/>
        <v>0.83256823045522199</v>
      </c>
    </row>
    <row r="42" spans="1:19">
      <c r="A42">
        <v>2</v>
      </c>
      <c r="B42">
        <v>9</v>
      </c>
      <c r="C42" s="1">
        <v>2.5968955569450398</v>
      </c>
      <c r="D42" s="1">
        <v>0.21860752154933999</v>
      </c>
      <c r="E42" s="1">
        <v>4.8118328758288502</v>
      </c>
      <c r="F42" s="1">
        <v>1.1720384901016201</v>
      </c>
      <c r="G42" s="1">
        <v>6.0681725353132402E-6</v>
      </c>
      <c r="Q42" s="1">
        <f t="shared" si="0"/>
        <v>21.367331929129868</v>
      </c>
      <c r="R42" s="1">
        <f t="shared" si="1"/>
        <v>0.23741479921255412</v>
      </c>
      <c r="S42" s="1">
        <f t="shared" si="2"/>
        <v>0.85367254196935671</v>
      </c>
    </row>
    <row r="43" spans="1:19">
      <c r="A43">
        <v>2</v>
      </c>
      <c r="B43">
        <v>10</v>
      </c>
      <c r="C43" s="1">
        <v>2.5742915301465801</v>
      </c>
      <c r="D43" s="1">
        <v>0.240440525757977</v>
      </c>
      <c r="E43" s="1">
        <v>5.3359830301448001</v>
      </c>
      <c r="F43" s="1">
        <v>1.2021954302670399</v>
      </c>
      <c r="G43" s="1">
        <v>6.3844621641991603E-6</v>
      </c>
      <c r="Q43" s="1">
        <f t="shared" si="0"/>
        <v>23.624085490839128</v>
      </c>
      <c r="R43" s="1">
        <f t="shared" si="1"/>
        <v>0.26248983878710141</v>
      </c>
      <c r="S43" s="1">
        <f t="shared" si="2"/>
        <v>0.8756378204021491</v>
      </c>
    </row>
    <row r="44" spans="1:19">
      <c r="A44">
        <v>2</v>
      </c>
      <c r="B44">
        <v>11</v>
      </c>
      <c r="C44" s="1">
        <v>2.5496157155796899</v>
      </c>
      <c r="D44" s="1">
        <v>0.26185107836639399</v>
      </c>
      <c r="E44" s="1">
        <v>5.8638420681375996</v>
      </c>
      <c r="F44" s="1">
        <v>1.2335350715225399</v>
      </c>
      <c r="G44" s="1">
        <v>6.72166982104508E-6</v>
      </c>
      <c r="Q44" s="1">
        <f t="shared" si="0"/>
        <v>25.875587337375187</v>
      </c>
      <c r="R44" s="1">
        <f t="shared" si="1"/>
        <v>0.28750652597083542</v>
      </c>
      <c r="S44" s="1">
        <f t="shared" si="2"/>
        <v>0.89846453764815937</v>
      </c>
    </row>
    <row r="45" spans="1:19">
      <c r="A45">
        <v>2</v>
      </c>
      <c r="B45">
        <v>12</v>
      </c>
      <c r="C45" s="1">
        <v>2.5229420572920098</v>
      </c>
      <c r="D45" s="1">
        <v>0.28279301633468501</v>
      </c>
      <c r="E45" s="1">
        <v>6.3955081821005004</v>
      </c>
      <c r="F45" s="1">
        <v>1.2660408317457099</v>
      </c>
      <c r="G45" s="1">
        <v>7.0805924405782602E-6</v>
      </c>
      <c r="Q45" s="1">
        <f t="shared" si="0"/>
        <v>28.12012479644714</v>
      </c>
      <c r="R45" s="1">
        <f t="shared" si="1"/>
        <v>0.31244583107163493</v>
      </c>
      <c r="S45" s="1">
        <f t="shared" si="2"/>
        <v>0.92214061585951057</v>
      </c>
    </row>
    <row r="46" spans="1:19">
      <c r="A46">
        <v>2</v>
      </c>
      <c r="B46">
        <v>13</v>
      </c>
      <c r="C46" s="1">
        <v>2.4943528048279102</v>
      </c>
      <c r="D46" s="1">
        <v>0.30322290589836598</v>
      </c>
      <c r="E46" s="1">
        <v>6.9310819793499503</v>
      </c>
      <c r="F46" s="1">
        <v>1.29933609146284</v>
      </c>
      <c r="G46" s="1">
        <v>7.45791064808698E-6</v>
      </c>
      <c r="Q46" s="1">
        <f t="shared" si="0"/>
        <v>30.356017118091579</v>
      </c>
      <c r="R46" s="1">
        <f t="shared" si="1"/>
        <v>0.33728907908990646</v>
      </c>
      <c r="S46" s="1">
        <f t="shared" si="2"/>
        <v>0.94639173835958135</v>
      </c>
    </row>
    <row r="47" spans="1:19">
      <c r="A47">
        <v>2</v>
      </c>
      <c r="B47">
        <v>14</v>
      </c>
      <c r="C47" s="1">
        <v>2.4639377411382899</v>
      </c>
      <c r="D47" s="1">
        <v>0.32310032783051801</v>
      </c>
      <c r="E47" s="1">
        <v>7.4706665146926001</v>
      </c>
      <c r="F47" s="1">
        <v>1.3330860441471</v>
      </c>
      <c r="G47" s="1">
        <v>7.8503774029164602E-6</v>
      </c>
      <c r="Q47" s="1">
        <f t="shared" si="0"/>
        <v>32.581622765865355</v>
      </c>
      <c r="R47" s="1">
        <f t="shared" si="1"/>
        <v>0.3620180307318373</v>
      </c>
      <c r="S47" s="1">
        <f t="shared" si="2"/>
        <v>0.97097404358474471</v>
      </c>
    </row>
    <row r="48" spans="1:19">
      <c r="A48">
        <v>3</v>
      </c>
      <c r="B48">
        <v>0</v>
      </c>
      <c r="C48" s="1">
        <v>2.4211821154759301</v>
      </c>
      <c r="D48" s="1">
        <v>0.34841681723858597</v>
      </c>
      <c r="E48" s="1">
        <v>8.1888520266713805</v>
      </c>
      <c r="F48" s="1">
        <v>1.3782697729811999</v>
      </c>
      <c r="G48" s="1">
        <v>8.3915586702593493E-6</v>
      </c>
      <c r="Q48" s="1">
        <f t="shared" si="0"/>
        <v>35.499418658205698</v>
      </c>
      <c r="R48" s="1">
        <f t="shared" si="1"/>
        <v>0.39443798509117439</v>
      </c>
      <c r="S48" s="1">
        <f t="shared" si="2"/>
        <v>1.0038843182687407</v>
      </c>
    </row>
    <row r="49" spans="1:19">
      <c r="A49">
        <v>3</v>
      </c>
      <c r="B49">
        <v>1</v>
      </c>
      <c r="C49" s="1">
        <v>2.36311544583958</v>
      </c>
      <c r="D49" s="1">
        <v>0.378874640935357</v>
      </c>
      <c r="E49" s="1">
        <v>9.1086251452274496</v>
      </c>
      <c r="F49" s="1">
        <v>1.4390915873699399</v>
      </c>
      <c r="G49" s="1">
        <v>9.1485241899195704E-6</v>
      </c>
      <c r="Q49" s="1">
        <f t="shared" si="0"/>
        <v>39.157753644664851</v>
      </c>
      <c r="R49" s="1">
        <f t="shared" si="1"/>
        <v>0.43508615160738723</v>
      </c>
      <c r="S49" s="1">
        <f t="shared" si="2"/>
        <v>1.0481848368395277</v>
      </c>
    </row>
    <row r="50" spans="1:19">
      <c r="A50">
        <v>3</v>
      </c>
      <c r="B50">
        <v>2</v>
      </c>
      <c r="C50" s="1">
        <v>2.29946388827361</v>
      </c>
      <c r="D50" s="1">
        <v>0.40815274756046199</v>
      </c>
      <c r="E50" s="1">
        <v>10.065118803809</v>
      </c>
      <c r="F50" s="1">
        <v>1.5027742767502399</v>
      </c>
      <c r="G50" s="1">
        <v>9.9761202885661602E-6</v>
      </c>
      <c r="Q50" s="1">
        <f t="shared" si="0"/>
        <v>42.863539969590001</v>
      </c>
      <c r="R50" s="1">
        <f t="shared" si="1"/>
        <v>0.47626155521766667</v>
      </c>
      <c r="S50" s="1">
        <f t="shared" si="2"/>
        <v>1.0945691183984141</v>
      </c>
    </row>
    <row r="51" spans="1:19">
      <c r="A51">
        <v>3</v>
      </c>
      <c r="B51">
        <v>3</v>
      </c>
      <c r="C51" s="1">
        <v>2.23044447094557</v>
      </c>
      <c r="D51" s="1">
        <v>0.43601544785434598</v>
      </c>
      <c r="E51" s="1">
        <v>11.060903098053</v>
      </c>
      <c r="F51" s="1">
        <v>1.57015659254625</v>
      </c>
      <c r="G51" s="1">
        <v>1.0890808106097E-5</v>
      </c>
      <c r="Q51" s="1">
        <f t="shared" si="0"/>
        <v>46.609819328401663</v>
      </c>
      <c r="R51" s="1">
        <f t="shared" si="1"/>
        <v>0.51788688142668515</v>
      </c>
      <c r="S51" s="1">
        <f t="shared" si="2"/>
        <v>1.1436480806468079</v>
      </c>
    </row>
    <row r="52" spans="1:19">
      <c r="A52">
        <v>3</v>
      </c>
      <c r="B52">
        <v>4</v>
      </c>
      <c r="C52" s="1">
        <v>2.1563551229538902</v>
      </c>
      <c r="D52" s="1">
        <v>0.46223541686890302</v>
      </c>
      <c r="E52" s="1">
        <v>12.0988043808483</v>
      </c>
      <c r="F52" s="1">
        <v>1.64105962533699</v>
      </c>
      <c r="G52" s="1">
        <v>1.18966009294135E-5</v>
      </c>
      <c r="Q52" s="1">
        <f t="shared" si="0"/>
        <v>50.38913565164443</v>
      </c>
      <c r="R52" s="1">
        <f t="shared" si="1"/>
        <v>0.55987928501827144</v>
      </c>
      <c r="S52" s="1">
        <f t="shared" si="2"/>
        <v>1.1952914121133025</v>
      </c>
    </row>
    <row r="53" spans="1:19">
      <c r="A53">
        <v>3</v>
      </c>
      <c r="B53">
        <v>5</v>
      </c>
      <c r="C53" s="1">
        <v>2.0775720944796201</v>
      </c>
      <c r="D53" s="1">
        <v>0.48659917287075</v>
      </c>
      <c r="E53" s="1">
        <v>13.181936766787</v>
      </c>
      <c r="F53" s="1">
        <v>1.7169069347769601</v>
      </c>
      <c r="G53" s="1">
        <v>1.30216998769104E-5</v>
      </c>
      <c r="Q53" s="1">
        <f t="shared" si="0"/>
        <v>54.193614486423584</v>
      </c>
      <c r="R53" s="1">
        <f t="shared" si="1"/>
        <v>0.6021512720713732</v>
      </c>
      <c r="S53" s="1">
        <f t="shared" si="2"/>
        <v>1.2505359847088164</v>
      </c>
    </row>
    <row r="54" spans="1:19">
      <c r="A54">
        <v>3</v>
      </c>
      <c r="B54">
        <v>6</v>
      </c>
      <c r="C54" s="1">
        <v>1.9945446148882</v>
      </c>
      <c r="D54" s="1">
        <v>0.50891238616518097</v>
      </c>
      <c r="E54" s="1">
        <v>14.313737914667501</v>
      </c>
      <c r="F54" s="1">
        <v>1.8029128522640501</v>
      </c>
      <c r="G54" s="1">
        <v>1.4358981675250401E-5</v>
      </c>
      <c r="Q54" s="1">
        <f t="shared" si="0"/>
        <v>58.015055234854216</v>
      </c>
      <c r="R54" s="1">
        <f t="shared" si="1"/>
        <v>0.64461172483171347</v>
      </c>
      <c r="S54" s="1">
        <f t="shared" si="2"/>
        <v>1.3131797381569179</v>
      </c>
    </row>
    <row r="55" spans="1:19">
      <c r="A55">
        <v>3</v>
      </c>
      <c r="B55">
        <v>7</v>
      </c>
      <c r="C55" s="1">
        <v>1.90778688829802</v>
      </c>
      <c r="D55" s="1">
        <v>0.52900475926076396</v>
      </c>
      <c r="E55" s="1">
        <v>15.4980096389725</v>
      </c>
      <c r="F55" s="1">
        <v>1.8988131082736099</v>
      </c>
      <c r="G55" s="1">
        <v>1.5927169953097401E-5</v>
      </c>
      <c r="Q55" s="1">
        <f t="shared" si="0"/>
        <v>61.845033762990361</v>
      </c>
      <c r="R55" s="1">
        <f t="shared" si="1"/>
        <v>0.68716704181100396</v>
      </c>
      <c r="S55" s="1">
        <f t="shared" si="2"/>
        <v>1.3830301876213333</v>
      </c>
    </row>
    <row r="56" spans="1:19">
      <c r="A56">
        <v>3</v>
      </c>
      <c r="B56">
        <v>8</v>
      </c>
      <c r="C56" s="1">
        <v>1.81786769796408</v>
      </c>
      <c r="D56" s="1">
        <v>0.54673423274019095</v>
      </c>
      <c r="E56" s="1">
        <v>16.738963934629499</v>
      </c>
      <c r="F56" s="1">
        <v>2.0029725804135898</v>
      </c>
      <c r="G56" s="1">
        <v>1.77224671537801E-5</v>
      </c>
      <c r="Q56" s="1">
        <f t="shared" si="0"/>
        <v>65.675012291126464</v>
      </c>
      <c r="R56" s="1">
        <f t="shared" si="1"/>
        <v>0.72972235879029412</v>
      </c>
      <c r="S56" s="1">
        <f t="shared" si="2"/>
        <v>1.4588963661665564</v>
      </c>
    </row>
    <row r="57" spans="1:19">
      <c r="A57">
        <v>3</v>
      </c>
      <c r="B57">
        <v>9</v>
      </c>
      <c r="C57" s="1">
        <v>1.7253980495195</v>
      </c>
      <c r="D57" s="1">
        <v>0.56199030448022103</v>
      </c>
      <c r="E57" s="1">
        <v>18.0412750110698</v>
      </c>
      <c r="F57" s="1">
        <v>2.11877315012054</v>
      </c>
      <c r="G57" s="1">
        <v>1.9830930544278E-5</v>
      </c>
      <c r="Q57" s="1">
        <f t="shared" si="0"/>
        <v>69.496453039556911</v>
      </c>
      <c r="R57" s="1">
        <f t="shared" si="1"/>
        <v>0.7721828115506324</v>
      </c>
      <c r="S57" s="1">
        <f t="shared" si="2"/>
        <v>1.543241519963221</v>
      </c>
    </row>
    <row r="58" spans="1:19">
      <c r="A58">
        <v>3</v>
      </c>
      <c r="B58">
        <v>10</v>
      </c>
      <c r="C58" s="1">
        <v>1.63101741228432</v>
      </c>
      <c r="D58" s="1">
        <v>0.57469630105755098</v>
      </c>
      <c r="E58" s="1">
        <v>19.410137905102399</v>
      </c>
      <c r="F58" s="1">
        <v>2.2526599366007498</v>
      </c>
      <c r="G58" s="1">
        <v>2.2416378052763001E-5</v>
      </c>
      <c r="Q58" s="1">
        <f t="shared" si="0"/>
        <v>73.300931874336243</v>
      </c>
      <c r="R58" s="1">
        <f t="shared" si="1"/>
        <v>0.81445479860373615</v>
      </c>
      <c r="S58" s="1">
        <f t="shared" si="2"/>
        <v>1.6407600522605343</v>
      </c>
    </row>
    <row r="59" spans="1:19">
      <c r="A59">
        <v>3</v>
      </c>
      <c r="B59">
        <v>11</v>
      </c>
      <c r="C59" s="1">
        <v>1.5353792040749199</v>
      </c>
      <c r="D59" s="1">
        <v>0.58481050462166595</v>
      </c>
      <c r="E59" s="1">
        <v>20.851334152272901</v>
      </c>
      <c r="F59" s="1">
        <v>2.4143940962848802</v>
      </c>
      <c r="G59" s="1">
        <v>2.5750786191648098E-5</v>
      </c>
      <c r="Q59" s="1">
        <f t="shared" si="0"/>
        <v>77.080248197578513</v>
      </c>
      <c r="R59" s="1">
        <f t="shared" si="1"/>
        <v>0.85644720219531678</v>
      </c>
      <c r="S59" s="1">
        <f t="shared" si="2"/>
        <v>1.7585616538178845</v>
      </c>
    </row>
    <row r="60" spans="1:19">
      <c r="A60">
        <v>3</v>
      </c>
      <c r="B60">
        <v>12</v>
      </c>
      <c r="C60" s="1">
        <v>1.4391361997882599</v>
      </c>
      <c r="D60" s="1">
        <v>0.59232610990241497</v>
      </c>
      <c r="E60" s="1">
        <v>22.371304805382401</v>
      </c>
      <c r="F60" s="1">
        <v>2.6165982643124202</v>
      </c>
      <c r="G60" s="1">
        <v>3.0244629581992799E-5</v>
      </c>
      <c r="Q60" s="1">
        <f t="shared" si="0"/>
        <v>80.826527556390644</v>
      </c>
      <c r="R60" s="1">
        <f t="shared" si="1"/>
        <v>0.89807252840434049</v>
      </c>
      <c r="S60" s="1">
        <f t="shared" si="2"/>
        <v>1.9058402181096619</v>
      </c>
    </row>
    <row r="61" spans="1:19">
      <c r="A61">
        <v>3</v>
      </c>
      <c r="B61">
        <v>13</v>
      </c>
      <c r="C61" s="1">
        <v>1.3429265252286999</v>
      </c>
      <c r="D61" s="1">
        <v>0.59727005729549398</v>
      </c>
      <c r="E61" s="1">
        <v>23.977230740737699</v>
      </c>
      <c r="F61" s="1">
        <v>2.8507323544938199</v>
      </c>
      <c r="G61" s="1">
        <v>3.5899389372969302E-5</v>
      </c>
      <c r="Q61" s="1">
        <f t="shared" si="0"/>
        <v>84.532313881315417</v>
      </c>
      <c r="R61" s="1">
        <f t="shared" si="1"/>
        <v>0.93924793201461587</v>
      </c>
      <c r="S61" s="1">
        <f t="shared" si="2"/>
        <v>2.0763754399601901</v>
      </c>
    </row>
    <row r="62" spans="1:19">
      <c r="A62">
        <v>3</v>
      </c>
      <c r="B62">
        <v>14</v>
      </c>
      <c r="C62" s="1">
        <v>1.2473608292578</v>
      </c>
      <c r="D62" s="1">
        <v>0.59970085233916104</v>
      </c>
      <c r="E62" s="1">
        <v>25.677119605747201</v>
      </c>
      <c r="F62" s="1">
        <v>3.1070238987778498</v>
      </c>
      <c r="G62" s="1">
        <v>4.2644532679100997E-5</v>
      </c>
      <c r="Q62" s="1">
        <f t="shared" si="0"/>
        <v>88.190648867774556</v>
      </c>
      <c r="R62" s="1">
        <f t="shared" si="1"/>
        <v>0.97989609853082837</v>
      </c>
      <c r="S62" s="1">
        <f t="shared" si="2"/>
        <v>2.2630493896145483</v>
      </c>
    </row>
    <row r="63" spans="1:19">
      <c r="A63">
        <v>3</v>
      </c>
      <c r="B63">
        <v>1</v>
      </c>
      <c r="C63" s="1">
        <v>1.19999999999999</v>
      </c>
      <c r="D63" s="1">
        <v>0.59999999999999498</v>
      </c>
      <c r="E63" s="1">
        <v>26.565051177077802</v>
      </c>
      <c r="F63" s="1">
        <v>4.0292007708032802</v>
      </c>
      <c r="G63" s="1">
        <v>7.1715327935980698E-5</v>
      </c>
      <c r="Q63" s="1">
        <f t="shared" si="0"/>
        <v>-89.999999999999616</v>
      </c>
      <c r="R63" s="1">
        <f t="shared" si="1"/>
        <v>-0.99999999999999578</v>
      </c>
      <c r="S63" s="1">
        <f t="shared" si="2"/>
        <v>2.9347313191210125</v>
      </c>
    </row>
    <row r="64" spans="1:19">
      <c r="A64">
        <v>1</v>
      </c>
      <c r="B64">
        <v>12</v>
      </c>
      <c r="C64" s="1">
        <v>2.5559750030650101</v>
      </c>
      <c r="D64" s="1">
        <v>-0.25654061388023303</v>
      </c>
      <c r="E64" s="1">
        <v>-5.7315242719203603</v>
      </c>
      <c r="F64" s="1">
        <v>1.22548725322986</v>
      </c>
      <c r="G64" s="1">
        <v>6.6342490151664203E-6</v>
      </c>
      <c r="Q64" s="1">
        <f t="shared" si="0"/>
        <v>-25.313298373640375</v>
      </c>
      <c r="R64" s="1">
        <f t="shared" si="1"/>
        <v>-0.28125887081822637</v>
      </c>
      <c r="S64" s="1">
        <f t="shared" si="2"/>
        <v>0.89260278348458755</v>
      </c>
    </row>
    <row r="65" spans="1:19">
      <c r="A65">
        <v>1</v>
      </c>
      <c r="B65">
        <v>13</v>
      </c>
      <c r="C65" s="1">
        <v>2.5634395756305501</v>
      </c>
      <c r="D65" s="1">
        <v>-0.25013037355885298</v>
      </c>
      <c r="E65" s="1">
        <v>-5.5730548053400701</v>
      </c>
      <c r="F65" s="1">
        <v>1.2160507870191399</v>
      </c>
      <c r="G65" s="1">
        <v>6.5324726219173996E-6</v>
      </c>
      <c r="Q65" s="1">
        <f t="shared" si="0"/>
        <v>-24.63801431170501</v>
      </c>
      <c r="R65" s="1">
        <f t="shared" si="1"/>
        <v>-0.2737557145745001</v>
      </c>
      <c r="S65" s="1">
        <f t="shared" si="2"/>
        <v>0.88572958591868256</v>
      </c>
    </row>
    <row r="66" spans="1:19">
      <c r="A66">
        <v>1</v>
      </c>
      <c r="B66">
        <v>14</v>
      </c>
      <c r="C66" s="1">
        <v>2.5707205259453101</v>
      </c>
      <c r="D66" s="1">
        <v>-0.243680196898198</v>
      </c>
      <c r="E66" s="1">
        <v>-5.4149230720155703</v>
      </c>
      <c r="F66" s="1">
        <v>1.20671339334504</v>
      </c>
      <c r="G66" s="1">
        <v>6.4325391478022296E-6</v>
      </c>
      <c r="Q66" s="1">
        <f t="shared" si="0"/>
        <v>-23.962187730316664</v>
      </c>
      <c r="R66" s="1">
        <f t="shared" si="1"/>
        <v>-0.26624653033685181</v>
      </c>
      <c r="S66" s="1">
        <f t="shared" si="2"/>
        <v>0.87892854938237708</v>
      </c>
    </row>
    <row r="67" spans="1:19">
      <c r="A67">
        <v>1</v>
      </c>
      <c r="B67">
        <v>15</v>
      </c>
      <c r="C67" s="1">
        <v>2.5778159026137102</v>
      </c>
      <c r="D67" s="1">
        <v>-0.23719134503761399</v>
      </c>
      <c r="E67" s="1">
        <v>-5.25712643379231</v>
      </c>
      <c r="F67" s="1">
        <v>1.19747952412914</v>
      </c>
      <c r="G67" s="1">
        <v>6.3344711735183897E-6</v>
      </c>
      <c r="Q67" s="1">
        <f t="shared" ref="Q67:Q130" si="3">ATAN((D67)/((C67-$M$32)*$J$29))*180/PI()</f>
        <v>-23.285865043222245</v>
      </c>
      <c r="R67" s="1">
        <f t="shared" ref="R67:R130" si="4">RADIANS(Q67)/PI()*2</f>
        <v>-0.2587318338135805</v>
      </c>
      <c r="S67" s="1">
        <f t="shared" ref="S67:S130" si="5">F67/$J$33/SQRT(PI()*$M$30)</f>
        <v>0.87220291650229442</v>
      </c>
    </row>
    <row r="68" spans="1:19">
      <c r="A68">
        <v>1</v>
      </c>
      <c r="B68">
        <v>16</v>
      </c>
      <c r="C68" s="1">
        <v>2.58472382642397</v>
      </c>
      <c r="D68" s="1">
        <v>-0.23066509906223501</v>
      </c>
      <c r="E68" s="1">
        <v>-5.0996622718465598</v>
      </c>
      <c r="F68" s="1">
        <v>1.1883541778231601</v>
      </c>
      <c r="G68" s="1">
        <v>6.2382958411373596E-6</v>
      </c>
      <c r="Q68" s="1">
        <f t="shared" si="3"/>
        <v>-22.609092870566506</v>
      </c>
      <c r="R68" s="1">
        <f t="shared" si="4"/>
        <v>-0.25121214300629452</v>
      </c>
      <c r="S68" s="1">
        <f t="shared" si="5"/>
        <v>0.86555632797882265</v>
      </c>
    </row>
    <row r="69" spans="1:19">
      <c r="A69">
        <v>1</v>
      </c>
      <c r="B69">
        <v>17</v>
      </c>
      <c r="C69" s="1">
        <v>2.5914424919166201</v>
      </c>
      <c r="D69" s="1">
        <v>-0.22410275917581099</v>
      </c>
      <c r="E69" s="1">
        <v>-4.94252798660174</v>
      </c>
      <c r="F69" s="1">
        <v>1.1793429157933</v>
      </c>
      <c r="G69" s="1">
        <v>6.1440448488299898E-6</v>
      </c>
      <c r="Q69" s="1">
        <f t="shared" si="3"/>
        <v>-21.93191801989099</v>
      </c>
      <c r="R69" s="1">
        <f t="shared" si="4"/>
        <v>-0.24368797799878877</v>
      </c>
      <c r="S69" s="1">
        <f t="shared" si="5"/>
        <v>0.85899283451990427</v>
      </c>
    </row>
    <row r="70" spans="1:19">
      <c r="A70">
        <v>1</v>
      </c>
      <c r="B70">
        <v>18</v>
      </c>
      <c r="C70" s="1">
        <v>2.59797016888177</v>
      </c>
      <c r="D70" s="1">
        <v>-0.217505643850124</v>
      </c>
      <c r="E70" s="1">
        <v>-4.78572099764384</v>
      </c>
      <c r="F70" s="1">
        <v>1.17045187220571</v>
      </c>
      <c r="G70" s="1">
        <v>6.0517543810018404E-6</v>
      </c>
      <c r="Q70" s="1">
        <f t="shared" si="3"/>
        <v>-21.254387466937082</v>
      </c>
      <c r="R70" s="1">
        <f t="shared" si="4"/>
        <v>-0.23615986074374537</v>
      </c>
      <c r="S70" s="1">
        <f t="shared" si="5"/>
        <v>0.85251690404127278</v>
      </c>
    </row>
    <row r="71" spans="1:19">
      <c r="A71">
        <v>1</v>
      </c>
      <c r="B71">
        <v>19</v>
      </c>
      <c r="C71" s="1">
        <v>2.6043052037827401</v>
      </c>
      <c r="D71" s="1">
        <v>-0.210875088952171</v>
      </c>
      <c r="E71" s="1">
        <v>-4.6292387436361402</v>
      </c>
      <c r="F71" s="1">
        <v>1.1616877565546599</v>
      </c>
      <c r="G71" s="1">
        <v>5.9614649698708599E-6</v>
      </c>
      <c r="Q71" s="1">
        <f t="shared" si="3"/>
        <v>-20.576548336273248</v>
      </c>
      <c r="R71" s="1">
        <f t="shared" si="4"/>
        <v>-0.22862831484748056</v>
      </c>
      <c r="S71" s="1">
        <f t="shared" si="5"/>
        <v>0.84613342350788456</v>
      </c>
    </row>
    <row r="72" spans="1:19">
      <c r="A72">
        <v>1</v>
      </c>
      <c r="B72">
        <v>20</v>
      </c>
      <c r="C72" s="1">
        <v>2.6104460211033498</v>
      </c>
      <c r="D72" s="1">
        <v>-0.20421244685029599</v>
      </c>
      <c r="E72" s="1">
        <v>-4.4730786822331501</v>
      </c>
      <c r="F72" s="1">
        <v>1.1529784152121201</v>
      </c>
      <c r="G72" s="1">
        <v>5.8724121146116997E-6</v>
      </c>
      <c r="Q72" s="1">
        <f t="shared" si="3"/>
        <v>-19.898447881769624</v>
      </c>
      <c r="R72" s="1">
        <f t="shared" si="4"/>
        <v>-0.22109386535299583</v>
      </c>
      <c r="S72" s="1">
        <f t="shared" si="5"/>
        <v>0.83978983869769619</v>
      </c>
    </row>
    <row r="73" spans="1:19">
      <c r="A73">
        <v>1</v>
      </c>
      <c r="B73">
        <v>21</v>
      </c>
      <c r="C73" s="1">
        <v>2.6163911246170399</v>
      </c>
      <c r="D73" s="1">
        <v>-0.197519085500522</v>
      </c>
      <c r="E73" s="1">
        <v>-4.3172382899939397</v>
      </c>
      <c r="F73" s="1">
        <v>1.14435959609662</v>
      </c>
      <c r="G73" s="1">
        <v>5.7849445898658999E-6</v>
      </c>
      <c r="Q73" s="1">
        <f t="shared" si="3"/>
        <v>-19.220133466934584</v>
      </c>
      <c r="R73" s="1">
        <f t="shared" si="4"/>
        <v>-0.21355703852149538</v>
      </c>
      <c r="S73" s="1">
        <f t="shared" si="5"/>
        <v>0.83351218716556508</v>
      </c>
    </row>
    <row r="74" spans="1:19">
      <c r="A74">
        <v>1</v>
      </c>
      <c r="B74">
        <v>22</v>
      </c>
      <c r="C74" s="1">
        <v>2.6221390985753201</v>
      </c>
      <c r="D74" s="1">
        <v>-0.19079638751436201</v>
      </c>
      <c r="E74" s="1">
        <v>-4.1617150622947197</v>
      </c>
      <c r="F74" s="1">
        <v>1.1359291275047401</v>
      </c>
      <c r="G74" s="1">
        <v>5.7000234673274597E-6</v>
      </c>
      <c r="Q74" s="1">
        <f t="shared" si="3"/>
        <v>-18.5416525451386</v>
      </c>
      <c r="R74" s="1">
        <f t="shared" si="4"/>
        <v>-0.20601836161265111</v>
      </c>
      <c r="S74" s="1">
        <f t="shared" si="5"/>
        <v>0.82737172367942224</v>
      </c>
    </row>
    <row r="75" spans="1:19">
      <c r="A75">
        <v>1</v>
      </c>
      <c r="B75">
        <v>23</v>
      </c>
      <c r="C75" s="1">
        <v>2.6276886088139202</v>
      </c>
      <c r="D75" s="1">
        <v>-0.18404574920945099</v>
      </c>
      <c r="E75" s="1">
        <v>-4.0065065132409998</v>
      </c>
      <c r="F75" s="1">
        <v>1.1276939340337599</v>
      </c>
      <c r="G75" s="1">
        <v>5.6176756507740898E-6</v>
      </c>
      <c r="Q75" s="1">
        <f t="shared" si="3"/>
        <v>-17.863052639742676</v>
      </c>
      <c r="R75" s="1">
        <f t="shared" si="4"/>
        <v>-0.19847836266380753</v>
      </c>
      <c r="S75" s="1">
        <f t="shared" si="5"/>
        <v>0.82137349187786135</v>
      </c>
    </row>
    <row r="76" spans="1:19">
      <c r="A76">
        <v>1</v>
      </c>
      <c r="B76">
        <v>24</v>
      </c>
      <c r="C76" s="1">
        <v>2.63303840377462</v>
      </c>
      <c r="D76" s="1">
        <v>-0.177268579644345</v>
      </c>
      <c r="E76" s="1">
        <v>-3.8516101755789598</v>
      </c>
      <c r="F76" s="1">
        <v>1.1196614946993999</v>
      </c>
      <c r="G76" s="1">
        <v>5.5379325003319604E-6</v>
      </c>
      <c r="Q76" s="1">
        <f t="shared" si="3"/>
        <v>-17.18438132415368</v>
      </c>
      <c r="R76" s="1">
        <f t="shared" si="4"/>
        <v>-0.19093757026837424</v>
      </c>
      <c r="S76" s="1">
        <f t="shared" si="5"/>
        <v>0.81552293921880725</v>
      </c>
    </row>
    <row r="77" spans="1:19">
      <c r="A77">
        <v>1</v>
      </c>
      <c r="B77">
        <v>25</v>
      </c>
      <c r="C77" s="1">
        <v>2.63818731544132</v>
      </c>
      <c r="D77" s="1">
        <v>-0.170466299638908</v>
      </c>
      <c r="E77" s="1">
        <v>-3.6970236006065198</v>
      </c>
      <c r="F77" s="1">
        <v>1.1118398502173401</v>
      </c>
      <c r="G77" s="1">
        <v>5.4608298339976002E-6</v>
      </c>
      <c r="Q77" s="1">
        <f t="shared" si="3"/>
        <v>-16.505686201826883</v>
      </c>
      <c r="R77" s="1">
        <f t="shared" si="4"/>
        <v>-0.18339651335363205</v>
      </c>
      <c r="S77" s="1">
        <f t="shared" si="5"/>
        <v>0.80982592228312478</v>
      </c>
    </row>
    <row r="78" spans="1:19">
      <c r="A78">
        <v>1</v>
      </c>
      <c r="B78">
        <v>26</v>
      </c>
      <c r="C78" s="1">
        <v>2.6431342601886501</v>
      </c>
      <c r="D78" s="1">
        <v>-0.16364034078169701</v>
      </c>
      <c r="E78" s="1">
        <v>-3.5427443580837399</v>
      </c>
      <c r="F78" s="1">
        <v>1.10423760187966</v>
      </c>
      <c r="G78" s="1">
        <v>5.3864078644587399E-6</v>
      </c>
      <c r="Q78" s="1">
        <f t="shared" si="3"/>
        <v>-15.827014886237924</v>
      </c>
      <c r="R78" s="1">
        <f t="shared" si="4"/>
        <v>-0.17585572095819918</v>
      </c>
      <c r="S78" s="1">
        <f t="shared" si="5"/>
        <v>0.80428870595625568</v>
      </c>
    </row>
    <row r="79" spans="1:19">
      <c r="A79">
        <v>1</v>
      </c>
      <c r="B79">
        <v>27</v>
      </c>
      <c r="C79" s="1">
        <v>2.6478782395421501</v>
      </c>
      <c r="D79" s="1">
        <v>-0.156792144425805</v>
      </c>
      <c r="E79" s="1">
        <v>-3.3887700361428799</v>
      </c>
      <c r="F79" s="1">
        <v>1.09686390121822</v>
      </c>
      <c r="G79" s="1">
        <v>5.3147110689031803E-6</v>
      </c>
      <c r="Q79" s="1">
        <f t="shared" si="3"/>
        <v>-15.148414980841881</v>
      </c>
      <c r="R79" s="1">
        <f t="shared" si="4"/>
        <v>-0.16831572200935424</v>
      </c>
      <c r="S79" s="1">
        <f t="shared" si="5"/>
        <v>0.79891795589938097</v>
      </c>
    </row>
    <row r="80" spans="1:19">
      <c r="A80">
        <v>1</v>
      </c>
      <c r="B80">
        <v>28</v>
      </c>
      <c r="C80" s="1">
        <v>2.6524183408485298</v>
      </c>
      <c r="D80" s="1">
        <v>-0.149923160674655</v>
      </c>
      <c r="E80" s="1">
        <v>-3.2350982411980098</v>
      </c>
      <c r="F80" s="1">
        <v>1.08972842968891</v>
      </c>
      <c r="G80" s="1">
        <v>5.2457879899503102E-6</v>
      </c>
      <c r="Q80" s="1">
        <f t="shared" si="3"/>
        <v>-14.469934059046007</v>
      </c>
      <c r="R80" s="1">
        <f t="shared" si="4"/>
        <v>-0.16077704510051122</v>
      </c>
      <c r="S80" s="1">
        <f t="shared" si="5"/>
        <v>0.79372072375212632</v>
      </c>
    </row>
    <row r="81" spans="1:19">
      <c r="A81">
        <v>1</v>
      </c>
      <c r="B81">
        <v>29</v>
      </c>
      <c r="C81" s="1">
        <v>2.6567537378554098</v>
      </c>
      <c r="D81" s="1">
        <v>-0.14303484735921701</v>
      </c>
      <c r="E81" s="1">
        <v>-3.0817265978541899</v>
      </c>
      <c r="F81" s="1">
        <v>1.08284136767936</v>
      </c>
      <c r="G81" s="1">
        <v>5.1796909663957602E-6</v>
      </c>
      <c r="Q81" s="1">
        <f t="shared" si="3"/>
        <v>-13.791619644211</v>
      </c>
      <c r="R81" s="1">
        <f t="shared" si="4"/>
        <v>-0.1532402182690111</v>
      </c>
      <c r="S81" s="1">
        <f t="shared" si="5"/>
        <v>0.78870442455884349</v>
      </c>
    </row>
    <row r="82" spans="1:19">
      <c r="A82">
        <v>1</v>
      </c>
      <c r="B82">
        <v>30</v>
      </c>
      <c r="C82" s="1">
        <v>2.6608836911995399</v>
      </c>
      <c r="D82" s="1">
        <v>-0.13612866900819301</v>
      </c>
      <c r="E82" s="1">
        <v>-2.9286527488163299</v>
      </c>
      <c r="F82" s="1">
        <v>1.0760002169459699</v>
      </c>
      <c r="G82" s="1">
        <v>5.1144494410178502E-6</v>
      </c>
      <c r="Q82" s="1">
        <f t="shared" si="3"/>
        <v>-13.113519189707302</v>
      </c>
      <c r="R82" s="1">
        <f t="shared" si="4"/>
        <v>-0.14570576877452557</v>
      </c>
      <c r="S82" s="1">
        <f t="shared" si="5"/>
        <v>0.78372156556070405</v>
      </c>
    </row>
    <row r="83" spans="1:19">
      <c r="A83">
        <v>1</v>
      </c>
      <c r="B83">
        <v>31</v>
      </c>
      <c r="C83" s="1">
        <v>2.6648075488030001</v>
      </c>
      <c r="D83" s="1">
        <v>-0.12920609581266401</v>
      </c>
      <c r="E83" s="1">
        <v>-2.77587435479774</v>
      </c>
      <c r="F83" s="1">
        <v>1.06924270353763</v>
      </c>
      <c r="G83" s="1">
        <v>5.0504114696714099E-6</v>
      </c>
      <c r="Q83" s="1">
        <f t="shared" si="3"/>
        <v>-12.435680059043447</v>
      </c>
      <c r="R83" s="1">
        <f t="shared" si="4"/>
        <v>-0.13817422287826053</v>
      </c>
      <c r="S83" s="1">
        <f t="shared" si="5"/>
        <v>0.77879962511471279</v>
      </c>
    </row>
    <row r="84" spans="1:19">
      <c r="A84">
        <v>1</v>
      </c>
      <c r="B84">
        <v>32</v>
      </c>
      <c r="C84" s="1">
        <v>2.6685247461769901</v>
      </c>
      <c r="D84" s="1">
        <v>-0.12226860258675799</v>
      </c>
      <c r="E84" s="1">
        <v>-2.6233890944283802</v>
      </c>
      <c r="F84" s="1">
        <v>1.0628017254317199</v>
      </c>
      <c r="G84" s="1">
        <v>4.9897486985359001E-6</v>
      </c>
      <c r="Q84" s="1">
        <f t="shared" si="3"/>
        <v>-11.758149506089445</v>
      </c>
      <c r="R84" s="1">
        <f t="shared" si="4"/>
        <v>-0.13064610562321607</v>
      </c>
      <c r="S84" s="1">
        <f t="shared" si="5"/>
        <v>0.77410823810065288</v>
      </c>
    </row>
    <row r="85" spans="1:19">
      <c r="A85">
        <v>1</v>
      </c>
      <c r="B85">
        <v>33</v>
      </c>
      <c r="C85" s="1">
        <v>2.67203480663302</v>
      </c>
      <c r="D85" s="1">
        <v>-0.115317667725858</v>
      </c>
      <c r="E85" s="1">
        <v>-2.47119466416276</v>
      </c>
      <c r="F85" s="1">
        <v>1.05668527770053</v>
      </c>
      <c r="G85" s="1">
        <v>4.9324817294137602E-6</v>
      </c>
      <c r="Q85" s="1">
        <f t="shared" si="3"/>
        <v>-11.080974655414062</v>
      </c>
      <c r="R85" s="1">
        <f t="shared" si="4"/>
        <v>-0.1231219406157118</v>
      </c>
      <c r="S85" s="1">
        <f t="shared" si="5"/>
        <v>0.76965322785431289</v>
      </c>
    </row>
    <row r="86" spans="1:19">
      <c r="A86">
        <v>1</v>
      </c>
      <c r="B86">
        <v>34</v>
      </c>
      <c r="C86" s="1">
        <v>2.67533734140132</v>
      </c>
      <c r="D86" s="1">
        <v>-0.10835477216389899</v>
      </c>
      <c r="E86" s="1">
        <v>-2.31928877818775</v>
      </c>
      <c r="F86" s="1">
        <v>1.0509016499100501</v>
      </c>
      <c r="G86" s="1">
        <v>4.8786349164230102E-6</v>
      </c>
      <c r="Q86" s="1">
        <f t="shared" si="3"/>
        <v>-10.404202482758357</v>
      </c>
      <c r="R86" s="1">
        <f t="shared" si="4"/>
        <v>-0.11560224980842621</v>
      </c>
      <c r="S86" s="1">
        <f t="shared" si="5"/>
        <v>0.7654406322105678</v>
      </c>
    </row>
    <row r="87" spans="1:19">
      <c r="A87">
        <v>1</v>
      </c>
      <c r="B87">
        <v>35</v>
      </c>
      <c r="C87" s="1">
        <v>2.6784320496567999</v>
      </c>
      <c r="D87" s="1">
        <v>-0.101381398331283</v>
      </c>
      <c r="E87" s="1">
        <v>-2.1676691683300402</v>
      </c>
      <c r="F87" s="1">
        <v>1.0454594151708301</v>
      </c>
      <c r="G87" s="1">
        <v>4.8282364261170002E-6</v>
      </c>
      <c r="Q87" s="1">
        <f t="shared" si="3"/>
        <v>-9.727879795663819</v>
      </c>
      <c r="R87" s="1">
        <f t="shared" si="4"/>
        <v>-0.10808755328515356</v>
      </c>
      <c r="S87" s="1">
        <f t="shared" si="5"/>
        <v>0.76147669552840214</v>
      </c>
    </row>
    <row r="88" spans="1:19">
      <c r="A88">
        <v>1</v>
      </c>
      <c r="B88">
        <v>36</v>
      </c>
      <c r="C88" s="1">
        <v>2.6813187184527201</v>
      </c>
      <c r="D88" s="1">
        <v>-9.43990291149336E-2</v>
      </c>
      <c r="E88" s="1">
        <v>-2.0163335839635201</v>
      </c>
      <c r="F88" s="1">
        <v>1.04036741116177</v>
      </c>
      <c r="G88" s="1">
        <v>4.7813182460620602E-6</v>
      </c>
      <c r="Q88" s="1">
        <f t="shared" si="3"/>
        <v>-9.0520532142756096</v>
      </c>
      <c r="R88" s="1">
        <f t="shared" si="4"/>
        <v>-0.10057836904750678</v>
      </c>
      <c r="S88" s="1">
        <f t="shared" si="5"/>
        <v>0.75776785486929066</v>
      </c>
    </row>
    <row r="89" spans="1:19">
      <c r="A89">
        <v>1</v>
      </c>
      <c r="B89">
        <v>37</v>
      </c>
      <c r="C89" s="1">
        <v>2.68399722256276</v>
      </c>
      <c r="D89" s="1">
        <v>-8.7409146822014505E-2</v>
      </c>
      <c r="E89" s="1">
        <v>-1.8652797919163899</v>
      </c>
      <c r="F89" s="1">
        <v>1.03563471295091</v>
      </c>
      <c r="G89" s="1">
        <v>4.7379161426636896E-6</v>
      </c>
      <c r="Q89" s="1">
        <f t="shared" si="3"/>
        <v>-8.3767691523400885</v>
      </c>
      <c r="R89" s="1">
        <f t="shared" si="4"/>
        <v>-9.3075212803778756E-2</v>
      </c>
      <c r="S89" s="1">
        <f t="shared" si="5"/>
        <v>0.75432072020079666</v>
      </c>
    </row>
    <row r="90" spans="1:19">
      <c r="A90">
        <v>1</v>
      </c>
      <c r="B90">
        <v>38</v>
      </c>
      <c r="C90" s="1">
        <v>2.6864675242318898</v>
      </c>
      <c r="D90" s="1">
        <v>-8.0413232148802194E-2</v>
      </c>
      <c r="E90" s="1">
        <v>-1.7145055763782799</v>
      </c>
      <c r="F90" s="1">
        <v>1.0312705975433201</v>
      </c>
      <c r="G90" s="1">
        <v>4.6980695692971298E-6</v>
      </c>
      <c r="Q90" s="1">
        <f t="shared" si="3"/>
        <v>-7.7020737984165883</v>
      </c>
      <c r="R90" s="1">
        <f t="shared" si="4"/>
        <v>-8.5578597760184311E-2</v>
      </c>
      <c r="S90" s="1">
        <f t="shared" si="5"/>
        <v>0.75114204857447331</v>
      </c>
    </row>
    <row r="91" spans="1:19">
      <c r="A91">
        <v>1</v>
      </c>
      <c r="B91">
        <v>39</v>
      </c>
      <c r="C91" s="1">
        <v>2.6887296728372201</v>
      </c>
      <c r="D91" s="1">
        <v>-7.3412763156195701E-2</v>
      </c>
      <c r="E91" s="1">
        <v>-1.56400873880709</v>
      </c>
      <c r="F91" s="1">
        <v>1.0272845002076401</v>
      </c>
      <c r="G91" s="1">
        <v>4.6618215260866196E-6</v>
      </c>
      <c r="Q91" s="1">
        <f t="shared" si="3"/>
        <v>-7.0280130973202919</v>
      </c>
      <c r="R91" s="1">
        <f t="shared" si="4"/>
        <v>-7.8089034414669911E-2</v>
      </c>
      <c r="S91" s="1">
        <f t="shared" si="5"/>
        <v>0.74823871231561701</v>
      </c>
    </row>
    <row r="92" spans="1:19">
      <c r="A92">
        <v>1</v>
      </c>
      <c r="B92">
        <v>40</v>
      </c>
      <c r="C92" s="1">
        <v>2.6907838044596</v>
      </c>
      <c r="D92" s="1">
        <v>-6.6409214253325799E-2</v>
      </c>
      <c r="E92" s="1">
        <v>-1.4137870978359199</v>
      </c>
      <c r="F92" s="1">
        <v>1.02344364078753</v>
      </c>
      <c r="G92" s="1">
        <v>4.6270270200984397E-6</v>
      </c>
      <c r="Q92" s="1">
        <f t="shared" si="3"/>
        <v>-6.3546327318163982</v>
      </c>
      <c r="R92" s="1">
        <f t="shared" si="4"/>
        <v>-7.0607030353515537E-2</v>
      </c>
      <c r="S92" s="1">
        <f t="shared" si="5"/>
        <v>0.74544116236123958</v>
      </c>
    </row>
    <row r="93" spans="1:19">
      <c r="A93">
        <v>1</v>
      </c>
      <c r="B93">
        <v>41</v>
      </c>
      <c r="C93" s="1">
        <v>2.69263014136726</v>
      </c>
      <c r="D93" s="1">
        <v>-5.9404055190688497E-2</v>
      </c>
      <c r="E93" s="1">
        <v>-1.26383848917979</v>
      </c>
      <c r="F93" s="1">
        <v>1.01977660853106</v>
      </c>
      <c r="G93" s="1">
        <v>4.5939288421819304E-6</v>
      </c>
      <c r="Q93" s="1">
        <f t="shared" si="3"/>
        <v>-5.6819781045819742</v>
      </c>
      <c r="R93" s="1">
        <f t="shared" si="4"/>
        <v>-6.313309005091082E-2</v>
      </c>
      <c r="S93" s="1">
        <f t="shared" si="5"/>
        <v>0.74277022213674837</v>
      </c>
    </row>
    <row r="94" spans="1:19">
      <c r="A94">
        <v>1</v>
      </c>
      <c r="B94">
        <v>42</v>
      </c>
      <c r="C94" s="1">
        <v>2.6942689914128901</v>
      </c>
      <c r="D94" s="1">
        <v>-5.2398750064210999E-2</v>
      </c>
      <c r="E94" s="1">
        <v>-1.11416076554236</v>
      </c>
      <c r="F94" s="1">
        <v>1.0165375963583201</v>
      </c>
      <c r="G94" s="1">
        <v>4.5647927338692003E-6</v>
      </c>
      <c r="Q94" s="1">
        <f t="shared" si="3"/>
        <v>-5.010094320453077</v>
      </c>
      <c r="R94" s="1">
        <f t="shared" si="4"/>
        <v>-5.5667714671700862E-2</v>
      </c>
      <c r="S94" s="1">
        <f t="shared" si="5"/>
        <v>0.74041103702608457</v>
      </c>
    </row>
    <row r="95" spans="1:19">
      <c r="A95">
        <v>1</v>
      </c>
      <c r="B95">
        <v>43</v>
      </c>
      <c r="C95" s="1">
        <v>2.6957007473455001</v>
      </c>
      <c r="D95" s="1">
        <v>-4.53947563316194E-2</v>
      </c>
      <c r="E95" s="1">
        <v>-0.96475179652270104</v>
      </c>
      <c r="F95" s="1">
        <v>1.01372911782894</v>
      </c>
      <c r="G95" s="1">
        <v>4.5396044618648796E-6</v>
      </c>
      <c r="Q95" s="1">
        <f t="shared" si="3"/>
        <v>-4.3390261689744181</v>
      </c>
      <c r="R95" s="1">
        <f t="shared" si="4"/>
        <v>-4.821140187749353E-2</v>
      </c>
      <c r="S95" s="1">
        <f t="shared" si="5"/>
        <v>0.73836543781966746</v>
      </c>
    </row>
    <row r="96" spans="1:19">
      <c r="A96">
        <v>1</v>
      </c>
      <c r="B96">
        <v>44</v>
      </c>
      <c r="C96" s="1">
        <v>2.69692588603893</v>
      </c>
      <c r="D96" s="1">
        <v>-3.8393523842440998E-2</v>
      </c>
      <c r="E96" s="1">
        <v>-0.81560946852194005</v>
      </c>
      <c r="F96" s="1">
        <v>1.0113535276402399</v>
      </c>
      <c r="G96" s="1">
        <v>4.5183530177768503E-6</v>
      </c>
      <c r="Q96" s="1">
        <f t="shared" si="3"/>
        <v>-3.6688181072666408</v>
      </c>
      <c r="R96" s="1">
        <f t="shared" si="4"/>
        <v>-4.0764645636296011E-2</v>
      </c>
      <c r="S96" s="1">
        <f t="shared" si="5"/>
        <v>0.73663513959807125</v>
      </c>
    </row>
    <row r="97" spans="1:19">
      <c r="A97">
        <v>1</v>
      </c>
      <c r="B97">
        <v>45</v>
      </c>
      <c r="C97" s="1">
        <v>2.69794496763868</v>
      </c>
      <c r="D97" s="1">
        <v>-3.1396493882938997E-2</v>
      </c>
      <c r="E97" s="1">
        <v>-0.66673168465001997</v>
      </c>
      <c r="F97" s="1">
        <v>1.0094130337150899</v>
      </c>
      <c r="G97" s="1">
        <v>4.5010308354216504E-6</v>
      </c>
      <c r="Q97" s="1">
        <f t="shared" si="3"/>
        <v>-2.9995142432275168</v>
      </c>
      <c r="R97" s="1">
        <f t="shared" si="4"/>
        <v>-3.3327936035861296E-2</v>
      </c>
      <c r="S97" s="1">
        <f t="shared" si="5"/>
        <v>0.73522175053640726</v>
      </c>
    </row>
    <row r="98" spans="1:19">
      <c r="A98">
        <v>1</v>
      </c>
      <c r="B98">
        <v>46</v>
      </c>
      <c r="C98" s="1">
        <v>2.69875863462905</v>
      </c>
      <c r="D98" s="1">
        <v>-2.4405098237235499E-2</v>
      </c>
      <c r="E98" s="1">
        <v>-0.51811636463246502</v>
      </c>
      <c r="F98" s="1">
        <v>1.0079097016495699</v>
      </c>
      <c r="G98" s="1">
        <v>4.4876339304766797E-6</v>
      </c>
      <c r="Q98" s="1">
        <f t="shared" si="3"/>
        <v>-2.3311583190818808</v>
      </c>
      <c r="R98" s="1">
        <f t="shared" si="4"/>
        <v>-2.5901759100909787E-2</v>
      </c>
      <c r="S98" s="1">
        <f t="shared" si="5"/>
        <v>0.7341267751438455</v>
      </c>
    </row>
    <row r="99" spans="1:19">
      <c r="A99">
        <v>1</v>
      </c>
      <c r="B99">
        <v>47</v>
      </c>
      <c r="C99" s="1">
        <v>2.6993676108226299</v>
      </c>
      <c r="D99" s="1">
        <v>-1.7420758265829402E-2</v>
      </c>
      <c r="E99" s="1">
        <v>-0.36976144471717398</v>
      </c>
      <c r="F99" s="1">
        <v>1.0068454511240299</v>
      </c>
      <c r="G99" s="1">
        <v>4.47816196033363E-6</v>
      </c>
      <c r="Q99" s="1">
        <f t="shared" si="3"/>
        <v>-1.6637936952942607</v>
      </c>
      <c r="R99" s="1">
        <f t="shared" si="4"/>
        <v>-1.8486596614380672E-2</v>
      </c>
      <c r="S99" s="1">
        <f t="shared" si="5"/>
        <v>0.73335161164955509</v>
      </c>
    </row>
    <row r="100" spans="1:19">
      <c r="A100">
        <v>1</v>
      </c>
      <c r="B100">
        <v>48</v>
      </c>
      <c r="C100" s="1">
        <v>2.6997727002744401</v>
      </c>
      <c r="D100" s="1">
        <v>-1.0444884002678E-2</v>
      </c>
      <c r="E100" s="1">
        <v>-0.221664877581327</v>
      </c>
      <c r="F100" s="1">
        <v>1.00622204407368</v>
      </c>
      <c r="G100" s="1">
        <v>4.4726182029205401E-6</v>
      </c>
      <c r="Q100" s="1">
        <f t="shared" si="3"/>
        <v>-0.99746333485811256</v>
      </c>
      <c r="R100" s="1">
        <f t="shared" si="4"/>
        <v>-1.1082925942867916E-2</v>
      </c>
      <c r="S100" s="1">
        <f t="shared" si="5"/>
        <v>0.73289754338656854</v>
      </c>
    </row>
    <row r="101" spans="1:19">
      <c r="A101">
        <v>1</v>
      </c>
      <c r="B101">
        <v>49</v>
      </c>
      <c r="C101" s="1">
        <v>2.6999747861229699</v>
      </c>
      <c r="D101" s="1">
        <v>-3.4788732719563602E-3</v>
      </c>
      <c r="E101" s="1">
        <v>-7.3824632238377097E-2</v>
      </c>
      <c r="F101" s="1">
        <v>1.0060410646251301</v>
      </c>
      <c r="G101" s="1">
        <v>4.4710094542620701E-6</v>
      </c>
      <c r="Q101" s="1">
        <f t="shared" si="3"/>
        <v>-0.3322097879746444</v>
      </c>
      <c r="R101" s="1">
        <f t="shared" si="4"/>
        <v>-3.6912198663849381E-3</v>
      </c>
      <c r="S101" s="1">
        <f t="shared" si="5"/>
        <v>0.73276572417824681</v>
      </c>
    </row>
    <row r="102" spans="1:19">
      <c r="A102">
        <v>2</v>
      </c>
      <c r="B102">
        <v>0</v>
      </c>
      <c r="C102" s="1">
        <v>2.6999747861229699</v>
      </c>
      <c r="D102" s="1">
        <v>3.47887327195487E-3</v>
      </c>
      <c r="E102" s="1">
        <v>7.38246322383454E-2</v>
      </c>
      <c r="F102" s="1">
        <v>1.0060410649234099</v>
      </c>
      <c r="G102" s="1">
        <v>4.4710094569132502E-6</v>
      </c>
      <c r="Q102" s="1">
        <f t="shared" si="3"/>
        <v>0.33220978797450212</v>
      </c>
      <c r="R102" s="1">
        <f t="shared" si="4"/>
        <v>3.6912198663833573E-3</v>
      </c>
      <c r="S102" s="1">
        <f t="shared" si="5"/>
        <v>0.73276572439550358</v>
      </c>
    </row>
    <row r="103" spans="1:19">
      <c r="A103">
        <v>2</v>
      </c>
      <c r="B103">
        <v>1</v>
      </c>
      <c r="C103" s="1">
        <v>2.6997727002744401</v>
      </c>
      <c r="D103" s="1">
        <v>1.04448840026766E-2</v>
      </c>
      <c r="E103" s="1">
        <v>0.22166487758129599</v>
      </c>
      <c r="F103" s="1">
        <v>1.00622204442144</v>
      </c>
      <c r="G103" s="1">
        <v>4.47261820601214E-6</v>
      </c>
      <c r="Q103" s="1">
        <f t="shared" si="3"/>
        <v>0.99746333485797911</v>
      </c>
      <c r="R103" s="1">
        <f t="shared" si="4"/>
        <v>1.1082925942866435E-2</v>
      </c>
      <c r="S103" s="1">
        <f t="shared" si="5"/>
        <v>0.73289754363986503</v>
      </c>
    </row>
    <row r="104" spans="1:19">
      <c r="A104">
        <v>2</v>
      </c>
      <c r="B104">
        <v>2</v>
      </c>
      <c r="C104" s="1">
        <v>2.6993676108226299</v>
      </c>
      <c r="D104" s="1">
        <v>1.74207582658275E-2</v>
      </c>
      <c r="E104" s="1">
        <v>0.36976144471713401</v>
      </c>
      <c r="F104" s="1">
        <v>1.00684545153953</v>
      </c>
      <c r="G104" s="1">
        <v>4.4781619640297599E-6</v>
      </c>
      <c r="Q104" s="1">
        <f t="shared" si="3"/>
        <v>1.6637936952940795</v>
      </c>
      <c r="R104" s="1">
        <f t="shared" si="4"/>
        <v>1.848659661437866E-2</v>
      </c>
      <c r="S104" s="1">
        <f t="shared" si="5"/>
        <v>0.73335161195219112</v>
      </c>
    </row>
    <row r="105" spans="1:19">
      <c r="A105">
        <v>2</v>
      </c>
      <c r="B105">
        <v>3</v>
      </c>
      <c r="C105" s="1">
        <v>2.69875863462905</v>
      </c>
      <c r="D105" s="1">
        <v>2.4405098237233601E-2</v>
      </c>
      <c r="E105" s="1">
        <v>0.51811636463242405</v>
      </c>
      <c r="F105" s="1">
        <v>1.0079097021438801</v>
      </c>
      <c r="G105" s="1">
        <v>4.4876339348784296E-6</v>
      </c>
      <c r="Q105" s="1">
        <f t="shared" si="3"/>
        <v>2.3311583190816996</v>
      </c>
      <c r="R105" s="1">
        <f t="shared" si="4"/>
        <v>2.5901759100907775E-2</v>
      </c>
      <c r="S105" s="1">
        <f t="shared" si="5"/>
        <v>0.73412677550388405</v>
      </c>
    </row>
    <row r="106" spans="1:19">
      <c r="A106">
        <v>2</v>
      </c>
      <c r="B106">
        <v>4</v>
      </c>
      <c r="C106" s="1">
        <v>2.69794496763868</v>
      </c>
      <c r="D106" s="1">
        <v>3.1396493882937103E-2</v>
      </c>
      <c r="E106" s="1">
        <v>0.66673168464998001</v>
      </c>
      <c r="F106" s="1">
        <v>1.0094130342923999</v>
      </c>
      <c r="G106" s="1">
        <v>4.5010308405701504E-6</v>
      </c>
      <c r="Q106" s="1">
        <f t="shared" si="3"/>
        <v>2.9995142432273365</v>
      </c>
      <c r="R106" s="1">
        <f t="shared" si="4"/>
        <v>3.3327936035859297E-2</v>
      </c>
      <c r="S106" s="1">
        <f t="shared" si="5"/>
        <v>0.73522175095690001</v>
      </c>
    </row>
    <row r="107" spans="1:19">
      <c r="A107">
        <v>2</v>
      </c>
      <c r="B107">
        <v>5</v>
      </c>
      <c r="C107" s="1">
        <v>2.69692588603893</v>
      </c>
      <c r="D107" s="1">
        <v>3.8393523842438798E-2</v>
      </c>
      <c r="E107" s="1">
        <v>0.81560946852189398</v>
      </c>
      <c r="F107" s="1">
        <v>1.0113535282986801</v>
      </c>
      <c r="G107" s="1">
        <v>4.5183530236601904E-6</v>
      </c>
      <c r="Q107" s="1">
        <f t="shared" si="3"/>
        <v>3.6688181072664308</v>
      </c>
      <c r="R107" s="1">
        <f t="shared" si="4"/>
        <v>4.0764645636293673E-2</v>
      </c>
      <c r="S107" s="1">
        <f t="shared" si="5"/>
        <v>0.73663514007765651</v>
      </c>
    </row>
    <row r="108" spans="1:19">
      <c r="A108">
        <v>2</v>
      </c>
      <c r="B108">
        <v>6</v>
      </c>
      <c r="C108" s="1">
        <v>2.6957007473455001</v>
      </c>
      <c r="D108" s="1">
        <v>4.5394756331617603E-2</v>
      </c>
      <c r="E108" s="1">
        <v>0.96475179652266196</v>
      </c>
      <c r="F108" s="1">
        <v>1.0137291185613699</v>
      </c>
      <c r="G108" s="1">
        <v>4.5396044684247E-6</v>
      </c>
      <c r="Q108" s="1">
        <f t="shared" si="3"/>
        <v>4.3390261689742458</v>
      </c>
      <c r="R108" s="1">
        <f t="shared" si="4"/>
        <v>4.8211401877491622E-2</v>
      </c>
      <c r="S108" s="1">
        <f t="shared" si="5"/>
        <v>0.73836543835314428</v>
      </c>
    </row>
    <row r="109" spans="1:19">
      <c r="A109">
        <v>2</v>
      </c>
      <c r="B109">
        <v>7</v>
      </c>
      <c r="C109" s="1">
        <v>2.6942689914128999</v>
      </c>
      <c r="D109" s="1">
        <v>5.2398750064209201E-2</v>
      </c>
      <c r="E109" s="1">
        <v>1.11416076554232</v>
      </c>
      <c r="F109" s="1">
        <v>1.01653759715245</v>
      </c>
      <c r="G109" s="1">
        <v>4.5647927410013804E-6</v>
      </c>
      <c r="Q109" s="1">
        <f t="shared" si="3"/>
        <v>5.0100943204528727</v>
      </c>
      <c r="R109" s="1">
        <f t="shared" si="4"/>
        <v>5.5667714671698586E-2</v>
      </c>
      <c r="S109" s="1">
        <f t="shared" si="5"/>
        <v>0.74041103760450155</v>
      </c>
    </row>
    <row r="110" spans="1:19">
      <c r="A110">
        <v>2</v>
      </c>
      <c r="B110">
        <v>8</v>
      </c>
      <c r="C110" s="1">
        <v>2.6926301413672702</v>
      </c>
      <c r="D110" s="1">
        <v>5.9404055190686499E-2</v>
      </c>
      <c r="E110" s="1">
        <v>1.2638384891797401</v>
      </c>
      <c r="F110" s="1">
        <v>1.0197766093702001</v>
      </c>
      <c r="G110" s="1">
        <v>4.59392884974235E-6</v>
      </c>
      <c r="Q110" s="1">
        <f t="shared" si="3"/>
        <v>5.6819781045817441</v>
      </c>
      <c r="R110" s="1">
        <f t="shared" si="4"/>
        <v>6.3133090050908267E-2</v>
      </c>
      <c r="S110" s="1">
        <f t="shared" si="5"/>
        <v>0.74277022274794913</v>
      </c>
    </row>
    <row r="111" spans="1:19">
      <c r="A111">
        <v>2</v>
      </c>
      <c r="B111">
        <v>9</v>
      </c>
      <c r="C111" s="1">
        <v>2.6907838044596</v>
      </c>
      <c r="D111" s="1">
        <v>6.6409214253323898E-2</v>
      </c>
      <c r="E111" s="1">
        <v>1.41378709783588</v>
      </c>
      <c r="F111" s="1">
        <v>1.02344364165098</v>
      </c>
      <c r="G111" s="1">
        <v>4.6270270279058304E-6</v>
      </c>
      <c r="Q111" s="1">
        <f t="shared" si="3"/>
        <v>6.3546327318162188</v>
      </c>
      <c r="R111" s="1">
        <f t="shared" si="4"/>
        <v>7.0607030353513553E-2</v>
      </c>
      <c r="S111" s="1">
        <f t="shared" si="5"/>
        <v>0.74544116299014695</v>
      </c>
    </row>
    <row r="112" spans="1:19">
      <c r="A112">
        <v>2</v>
      </c>
      <c r="B112">
        <v>10</v>
      </c>
      <c r="C112" s="1">
        <v>2.6887296728372201</v>
      </c>
      <c r="D112" s="1">
        <v>7.3412763156193606E-2</v>
      </c>
      <c r="E112" s="1">
        <v>1.5640087388070401</v>
      </c>
      <c r="F112" s="1">
        <v>1.0272845009413301</v>
      </c>
      <c r="G112" s="1">
        <v>4.6618215327456598E-6</v>
      </c>
      <c r="Q112" s="1">
        <f t="shared" si="3"/>
        <v>7.0280130973200929</v>
      </c>
      <c r="R112" s="1">
        <f t="shared" si="4"/>
        <v>7.8089034414667705E-2</v>
      </c>
      <c r="S112" s="1">
        <f t="shared" si="5"/>
        <v>0.74823871285001153</v>
      </c>
    </row>
    <row r="113" spans="1:19">
      <c r="A113">
        <v>2</v>
      </c>
      <c r="B113">
        <v>11</v>
      </c>
      <c r="C113" s="1">
        <v>2.6864675242318898</v>
      </c>
      <c r="D113" s="1">
        <v>8.0413232148800001E-2</v>
      </c>
      <c r="E113" s="1">
        <v>1.71450557637823</v>
      </c>
      <c r="F113" s="1">
        <v>1.0312705980215</v>
      </c>
      <c r="G113" s="1">
        <v>4.6980695736539099E-6</v>
      </c>
      <c r="Q113" s="1">
        <f t="shared" si="3"/>
        <v>7.7020737984163814</v>
      </c>
      <c r="R113" s="1">
        <f t="shared" si="4"/>
        <v>8.5578597760182021E-2</v>
      </c>
      <c r="S113" s="1">
        <f t="shared" si="5"/>
        <v>0.75114204892276315</v>
      </c>
    </row>
    <row r="114" spans="1:19">
      <c r="A114">
        <v>2</v>
      </c>
      <c r="B114">
        <v>12</v>
      </c>
      <c r="C114" s="1">
        <v>2.68399722256276</v>
      </c>
      <c r="D114" s="1">
        <v>8.7409146822012507E-2</v>
      </c>
      <c r="E114" s="1">
        <v>1.86527979191634</v>
      </c>
      <c r="F114" s="1">
        <v>1.03563471318848</v>
      </c>
      <c r="G114" s="1">
        <v>4.7379161448374099E-6</v>
      </c>
      <c r="Q114" s="1">
        <f t="shared" si="3"/>
        <v>8.3767691523399002</v>
      </c>
      <c r="R114" s="1">
        <f t="shared" si="4"/>
        <v>9.3075212803776675E-2</v>
      </c>
      <c r="S114" s="1">
        <f t="shared" si="5"/>
        <v>0.75432072037383446</v>
      </c>
    </row>
    <row r="115" spans="1:19">
      <c r="A115">
        <v>2</v>
      </c>
      <c r="B115">
        <v>13</v>
      </c>
      <c r="C115" s="1">
        <v>2.6813187184527298</v>
      </c>
      <c r="D115" s="1">
        <v>9.4399029114931601E-2</v>
      </c>
      <c r="E115" s="1">
        <v>2.01633358396347</v>
      </c>
      <c r="F115" s="1">
        <v>1.0403674111739301</v>
      </c>
      <c r="G115" s="1">
        <v>4.7813182461737898E-6</v>
      </c>
      <c r="Q115" s="1">
        <f t="shared" si="3"/>
        <v>9.0520532142753627</v>
      </c>
      <c r="R115" s="1">
        <f t="shared" si="4"/>
        <v>0.10057836904750403</v>
      </c>
      <c r="S115" s="1">
        <f t="shared" si="5"/>
        <v>0.75776785487814768</v>
      </c>
    </row>
    <row r="116" spans="1:19">
      <c r="A116">
        <v>2</v>
      </c>
      <c r="B116">
        <v>14</v>
      </c>
      <c r="C116" s="1">
        <v>2.6784320496567999</v>
      </c>
      <c r="D116" s="1">
        <v>0.10138139833128</v>
      </c>
      <c r="E116" s="1">
        <v>2.16766916832999</v>
      </c>
      <c r="F116" s="1">
        <v>1.04545941497401</v>
      </c>
      <c r="G116" s="1">
        <v>4.8282364242990998E-6</v>
      </c>
      <c r="Q116" s="1">
        <f t="shared" si="3"/>
        <v>9.7278797956635366</v>
      </c>
      <c r="R116" s="1">
        <f t="shared" si="4"/>
        <v>0.10808755328515041</v>
      </c>
      <c r="S116" s="1">
        <f t="shared" si="5"/>
        <v>0.76147669538504514</v>
      </c>
    </row>
    <row r="117" spans="1:19">
      <c r="A117">
        <v>2</v>
      </c>
      <c r="B117">
        <v>15</v>
      </c>
      <c r="C117" s="1">
        <v>2.6753373414013302</v>
      </c>
      <c r="D117" s="1">
        <v>0.108354772163897</v>
      </c>
      <c r="E117" s="1">
        <v>2.3192887781876999</v>
      </c>
      <c r="F117" s="1">
        <v>1.05090164952345</v>
      </c>
      <c r="G117" s="1">
        <v>4.8786349128335598E-6</v>
      </c>
      <c r="Q117" s="1">
        <f t="shared" si="3"/>
        <v>10.404202482758098</v>
      </c>
      <c r="R117" s="1">
        <f t="shared" si="4"/>
        <v>0.11560224980842332</v>
      </c>
      <c r="S117" s="1">
        <f t="shared" si="5"/>
        <v>0.7654406319289816</v>
      </c>
    </row>
    <row r="118" spans="1:19">
      <c r="A118">
        <v>2</v>
      </c>
      <c r="B118">
        <v>16</v>
      </c>
      <c r="C118" s="1">
        <v>2.67203480663302</v>
      </c>
      <c r="D118" s="1">
        <v>0.115317667725855</v>
      </c>
      <c r="E118" s="1">
        <v>2.4711946641627001</v>
      </c>
      <c r="F118" s="1">
        <v>1.0566852771472299</v>
      </c>
      <c r="G118" s="1">
        <v>4.9324817242483001E-6</v>
      </c>
      <c r="Q118" s="1">
        <f t="shared" si="3"/>
        <v>11.08097465541378</v>
      </c>
      <c r="R118" s="1">
        <f t="shared" si="4"/>
        <v>0.12312194061570868</v>
      </c>
      <c r="S118" s="1">
        <f t="shared" si="5"/>
        <v>0.76965322745130815</v>
      </c>
    </row>
    <row r="119" spans="1:19">
      <c r="A119">
        <v>2</v>
      </c>
      <c r="B119">
        <v>17</v>
      </c>
      <c r="C119" s="1">
        <v>2.6685247461769901</v>
      </c>
      <c r="D119" s="1">
        <v>0.122268602586756</v>
      </c>
      <c r="E119" s="1">
        <v>2.6233890944283198</v>
      </c>
      <c r="F119" s="1">
        <v>1.0628017247400401</v>
      </c>
      <c r="G119" s="1">
        <v>4.9897486920411597E-6</v>
      </c>
      <c r="Q119" s="1">
        <f t="shared" si="3"/>
        <v>11.758149506089261</v>
      </c>
      <c r="R119" s="1">
        <f t="shared" si="4"/>
        <v>0.13064610562321402</v>
      </c>
      <c r="S119" s="1">
        <f t="shared" si="5"/>
        <v>0.7741082375968571</v>
      </c>
    </row>
    <row r="120" spans="1:19">
      <c r="A120">
        <v>2</v>
      </c>
      <c r="B120">
        <v>18</v>
      </c>
      <c r="C120" s="1">
        <v>2.6648075488030001</v>
      </c>
      <c r="D120" s="1">
        <v>0.12920609581266099</v>
      </c>
      <c r="E120" s="1">
        <v>2.7758743547976801</v>
      </c>
      <c r="F120" s="1">
        <v>1.0692427027418601</v>
      </c>
      <c r="G120" s="1">
        <v>5.0504114621540103E-6</v>
      </c>
      <c r="Q120" s="1">
        <f t="shared" si="3"/>
        <v>12.435680059043165</v>
      </c>
      <c r="R120" s="1">
        <f t="shared" si="4"/>
        <v>0.1381742228782574</v>
      </c>
      <c r="S120" s="1">
        <f t="shared" si="5"/>
        <v>0.77879962453510143</v>
      </c>
    </row>
    <row r="121" spans="1:19">
      <c r="A121">
        <v>2</v>
      </c>
      <c r="B121">
        <v>19</v>
      </c>
      <c r="C121" s="1">
        <v>2.6608836911995501</v>
      </c>
      <c r="D121" s="1">
        <v>0.13612866900819001</v>
      </c>
      <c r="E121" s="1">
        <v>2.9286527488162601</v>
      </c>
      <c r="F121" s="1">
        <v>1.07600021608743</v>
      </c>
      <c r="G121" s="1">
        <v>5.1144494328562201E-6</v>
      </c>
      <c r="Q121" s="1">
        <f t="shared" si="3"/>
        <v>13.113519189706937</v>
      </c>
      <c r="R121" s="1">
        <f t="shared" si="4"/>
        <v>0.14570576877452152</v>
      </c>
      <c r="S121" s="1">
        <f t="shared" si="5"/>
        <v>0.78372156493537304</v>
      </c>
    </row>
    <row r="122" spans="1:19">
      <c r="A122">
        <v>2</v>
      </c>
      <c r="B122">
        <v>20</v>
      </c>
      <c r="C122" s="1">
        <v>2.65675373785542</v>
      </c>
      <c r="D122" s="1">
        <v>0.14303484735921501</v>
      </c>
      <c r="E122" s="1">
        <v>3.0817265978541299</v>
      </c>
      <c r="F122" s="1">
        <v>1.08284136695511</v>
      </c>
      <c r="G122" s="1">
        <v>5.1796909594669503E-6</v>
      </c>
      <c r="Q122" s="1">
        <f t="shared" si="3"/>
        <v>13.791619644210719</v>
      </c>
      <c r="R122" s="1">
        <f t="shared" si="4"/>
        <v>0.15324021826900799</v>
      </c>
      <c r="S122" s="1">
        <f t="shared" si="5"/>
        <v>0.78870442403132468</v>
      </c>
    </row>
    <row r="123" spans="1:19">
      <c r="A123">
        <v>2</v>
      </c>
      <c r="B123">
        <v>21</v>
      </c>
      <c r="C123" s="1">
        <v>2.65241834084854</v>
      </c>
      <c r="D123" s="1">
        <v>0.149923160674652</v>
      </c>
      <c r="E123" s="1">
        <v>3.2350982411979499</v>
      </c>
      <c r="F123" s="1">
        <v>1.08972842925888</v>
      </c>
      <c r="G123" s="1">
        <v>5.2457879858100902E-6</v>
      </c>
      <c r="Q123" s="1">
        <f t="shared" si="3"/>
        <v>14.469934059045633</v>
      </c>
      <c r="R123" s="1">
        <f t="shared" si="4"/>
        <v>0.16077704510050703</v>
      </c>
      <c r="S123" s="1">
        <f t="shared" si="5"/>
        <v>0.79372072343890721</v>
      </c>
    </row>
    <row r="124" spans="1:19">
      <c r="A124">
        <v>2</v>
      </c>
      <c r="B124">
        <v>22</v>
      </c>
      <c r="C124" s="1">
        <v>2.6478782395421501</v>
      </c>
      <c r="D124" s="1">
        <v>0.156792144425803</v>
      </c>
      <c r="E124" s="1">
        <v>3.3887700361428301</v>
      </c>
      <c r="F124" s="1">
        <v>1.0968639010774399</v>
      </c>
      <c r="G124" s="1">
        <v>5.3147110675389397E-6</v>
      </c>
      <c r="Q124" s="1">
        <f t="shared" si="3"/>
        <v>15.148414980841698</v>
      </c>
      <c r="R124" s="1">
        <f t="shared" si="4"/>
        <v>0.16831572200935219</v>
      </c>
      <c r="S124" s="1">
        <f t="shared" si="5"/>
        <v>0.79891795579684166</v>
      </c>
    </row>
    <row r="125" spans="1:19">
      <c r="A125">
        <v>2</v>
      </c>
      <c r="B125">
        <v>23</v>
      </c>
      <c r="C125" s="1">
        <v>2.6431342601886598</v>
      </c>
      <c r="D125" s="1">
        <v>0.16364034078169501</v>
      </c>
      <c r="E125" s="1">
        <v>3.5427443580836799</v>
      </c>
      <c r="F125" s="1">
        <v>1.10423760201887</v>
      </c>
      <c r="G125" s="1">
        <v>5.3864078658169199E-6</v>
      </c>
      <c r="Q125" s="1">
        <f t="shared" si="3"/>
        <v>15.82701488623764</v>
      </c>
      <c r="R125" s="1">
        <f t="shared" si="4"/>
        <v>0.17585572095819599</v>
      </c>
      <c r="S125" s="1">
        <f t="shared" si="5"/>
        <v>0.80428870605765146</v>
      </c>
    </row>
    <row r="126" spans="1:19">
      <c r="A126">
        <v>2</v>
      </c>
      <c r="B126">
        <v>24</v>
      </c>
      <c r="C126" s="1">
        <v>2.63818731544132</v>
      </c>
      <c r="D126" s="1">
        <v>0.170466299638906</v>
      </c>
      <c r="E126" s="1">
        <v>3.6970236006064598</v>
      </c>
      <c r="F126" s="1">
        <v>1.11183985062135</v>
      </c>
      <c r="G126" s="1">
        <v>5.4608298379662003E-6</v>
      </c>
      <c r="Q126" s="1">
        <f t="shared" si="3"/>
        <v>16.505686201826702</v>
      </c>
      <c r="R126" s="1">
        <f t="shared" si="4"/>
        <v>0.18339651335363003</v>
      </c>
      <c r="S126" s="1">
        <f t="shared" si="5"/>
        <v>0.80982592257739172</v>
      </c>
    </row>
    <row r="127" spans="1:19">
      <c r="A127">
        <v>2</v>
      </c>
      <c r="B127">
        <v>25</v>
      </c>
      <c r="C127" s="1">
        <v>2.6330384037746302</v>
      </c>
      <c r="D127" s="1">
        <v>0.17726857964434201</v>
      </c>
      <c r="E127" s="1">
        <v>3.8516101755788998</v>
      </c>
      <c r="F127" s="1">
        <v>1.11966149534411</v>
      </c>
      <c r="G127" s="1">
        <v>5.5379325067094603E-6</v>
      </c>
      <c r="Q127" s="1">
        <f t="shared" si="3"/>
        <v>17.184381324153296</v>
      </c>
      <c r="R127" s="1">
        <f t="shared" si="4"/>
        <v>0.19093757026836994</v>
      </c>
      <c r="S127" s="1">
        <f t="shared" si="5"/>
        <v>0.81552293968839185</v>
      </c>
    </row>
    <row r="128" spans="1:19">
      <c r="A128">
        <v>2</v>
      </c>
      <c r="B128">
        <v>26</v>
      </c>
      <c r="C128" s="1">
        <v>2.6276886088139202</v>
      </c>
      <c r="D128" s="1">
        <v>0.184045749209448</v>
      </c>
      <c r="E128" s="1">
        <v>4.0065065132409403</v>
      </c>
      <c r="F128" s="1">
        <v>1.12769393488437</v>
      </c>
      <c r="G128" s="1">
        <v>5.6176756592488002E-6</v>
      </c>
      <c r="Q128" s="1">
        <f t="shared" si="3"/>
        <v>17.863052639742403</v>
      </c>
      <c r="R128" s="1">
        <f t="shared" si="4"/>
        <v>0.1984783626638045</v>
      </c>
      <c r="S128" s="1">
        <f t="shared" si="5"/>
        <v>0.82137349249741642</v>
      </c>
    </row>
    <row r="129" spans="1:19">
      <c r="A129">
        <v>2</v>
      </c>
      <c r="B129">
        <v>27</v>
      </c>
      <c r="C129" s="1">
        <v>2.6221390985753201</v>
      </c>
      <c r="D129" s="1">
        <v>0.19079638751436001</v>
      </c>
      <c r="E129" s="1">
        <v>4.1617150622946699</v>
      </c>
      <c r="F129" s="1">
        <v>1.13592912851381</v>
      </c>
      <c r="G129" s="1">
        <v>5.70002347745439E-6</v>
      </c>
      <c r="Q129" s="1">
        <f t="shared" si="3"/>
        <v>18.541652545138419</v>
      </c>
      <c r="R129" s="1">
        <f t="shared" si="4"/>
        <v>0.20601836161264911</v>
      </c>
      <c r="S129" s="1">
        <f t="shared" si="5"/>
        <v>0.82737172441439411</v>
      </c>
    </row>
    <row r="130" spans="1:19">
      <c r="A130">
        <v>2</v>
      </c>
      <c r="B130">
        <v>28</v>
      </c>
      <c r="C130" s="1">
        <v>2.6163911246170399</v>
      </c>
      <c r="D130" s="1">
        <v>0.19751908550052</v>
      </c>
      <c r="E130" s="1">
        <v>4.3172382899938802</v>
      </c>
      <c r="F130" s="1">
        <v>1.1443595972015601</v>
      </c>
      <c r="G130" s="1">
        <v>5.7849446010371896E-6</v>
      </c>
      <c r="Q130" s="1">
        <f t="shared" si="3"/>
        <v>19.220133466934406</v>
      </c>
      <c r="R130" s="1">
        <f t="shared" si="4"/>
        <v>0.21355703852149341</v>
      </c>
      <c r="S130" s="1">
        <f t="shared" si="5"/>
        <v>0.83351218797036553</v>
      </c>
    </row>
    <row r="131" spans="1:19">
      <c r="A131">
        <v>2</v>
      </c>
      <c r="B131">
        <v>29</v>
      </c>
      <c r="C131" s="1">
        <v>2.61044602110336</v>
      </c>
      <c r="D131" s="1">
        <v>0.20421244685029399</v>
      </c>
      <c r="E131" s="1">
        <v>4.4730786822330897</v>
      </c>
      <c r="F131" s="1">
        <v>1.1529784163336001</v>
      </c>
      <c r="G131" s="1">
        <v>5.8724121260356898E-6</v>
      </c>
      <c r="Q131" s="1">
        <f t="shared" ref="Q131:Q194" si="6">ATAN((D131)/((C131-$M$32)*$J$29))*180/PI()</f>
        <v>19.898447881769311</v>
      </c>
      <c r="R131" s="1">
        <f t="shared" ref="R131:R194" si="7">RADIANS(Q131)/PI()*2</f>
        <v>0.22109386535299236</v>
      </c>
      <c r="S131" s="1">
        <f t="shared" ref="S131:S194" si="8">F131/$J$33/SQRT(PI()*$M$30)</f>
        <v>0.83978983951454367</v>
      </c>
    </row>
    <row r="132" spans="1:19">
      <c r="A132">
        <v>2</v>
      </c>
      <c r="B132">
        <v>30</v>
      </c>
      <c r="C132" s="1">
        <v>2.6043052037827401</v>
      </c>
      <c r="D132" s="1">
        <v>0.210875088952168</v>
      </c>
      <c r="E132" s="1">
        <v>4.62923874363607</v>
      </c>
      <c r="F132" s="1">
        <v>1.1616877574667701</v>
      </c>
      <c r="G132" s="1">
        <v>5.9614649792322799E-6</v>
      </c>
      <c r="Q132" s="1">
        <f t="shared" si="6"/>
        <v>20.576548336272982</v>
      </c>
      <c r="R132" s="1">
        <f t="shared" si="7"/>
        <v>0.22862831484747759</v>
      </c>
      <c r="S132" s="1">
        <f t="shared" si="8"/>
        <v>0.84613342417223425</v>
      </c>
    </row>
    <row r="133" spans="1:19">
      <c r="A133">
        <v>2</v>
      </c>
      <c r="B133">
        <v>31</v>
      </c>
      <c r="C133" s="1">
        <v>2.5979701688817798</v>
      </c>
      <c r="D133" s="1">
        <v>0.217505643850122</v>
      </c>
      <c r="E133" s="1">
        <v>4.7857209976437796</v>
      </c>
      <c r="F133" s="1">
        <v>1.17045187273744</v>
      </c>
      <c r="G133" s="1">
        <v>6.0517543865003302E-6</v>
      </c>
      <c r="Q133" s="1">
        <f t="shared" si="6"/>
        <v>21.25438746693677</v>
      </c>
      <c r="R133" s="1">
        <f t="shared" si="7"/>
        <v>0.23615986074374187</v>
      </c>
      <c r="S133" s="1">
        <f t="shared" si="8"/>
        <v>0.85251690442856665</v>
      </c>
    </row>
    <row r="134" spans="1:19">
      <c r="A134">
        <v>2</v>
      </c>
      <c r="B134">
        <v>32</v>
      </c>
      <c r="C134" s="1">
        <v>2.5914424919166201</v>
      </c>
      <c r="D134" s="1">
        <v>0.22410275917580899</v>
      </c>
      <c r="E134" s="1">
        <v>4.9425279866016698</v>
      </c>
      <c r="F134" s="1">
        <v>1.1793429159451101</v>
      </c>
      <c r="G134" s="1">
        <v>6.1440448504118103E-6</v>
      </c>
      <c r="Q134" s="1">
        <f t="shared" si="6"/>
        <v>21.931918019890816</v>
      </c>
      <c r="R134" s="1">
        <f t="shared" si="7"/>
        <v>0.24368797799878683</v>
      </c>
      <c r="S134" s="1">
        <f t="shared" si="8"/>
        <v>0.85899283463047749</v>
      </c>
    </row>
    <row r="135" spans="1:19">
      <c r="A135">
        <v>2</v>
      </c>
      <c r="B135">
        <v>33</v>
      </c>
      <c r="C135" s="1">
        <v>2.5847238264239798</v>
      </c>
      <c r="D135" s="1">
        <v>0.23066509906223301</v>
      </c>
      <c r="E135" s="1">
        <v>5.0996622718465003</v>
      </c>
      <c r="F135" s="1">
        <v>1.1883541776181701</v>
      </c>
      <c r="G135" s="1">
        <v>6.23829583898517E-6</v>
      </c>
      <c r="Q135" s="1">
        <f t="shared" si="6"/>
        <v>22.609092870566183</v>
      </c>
      <c r="R135" s="1">
        <f t="shared" si="7"/>
        <v>0.25121214300629091</v>
      </c>
      <c r="S135" s="1">
        <f t="shared" si="8"/>
        <v>0.86555632782951497</v>
      </c>
    </row>
    <row r="136" spans="1:19">
      <c r="A136">
        <v>2</v>
      </c>
      <c r="B136">
        <v>34</v>
      </c>
      <c r="C136" s="1">
        <v>2.57781590261372</v>
      </c>
      <c r="D136" s="1">
        <v>0.237191345037611</v>
      </c>
      <c r="E136" s="1">
        <v>5.2571264337922496</v>
      </c>
      <c r="F136" s="1">
        <v>1.1974795236166</v>
      </c>
      <c r="G136" s="1">
        <v>6.3344711680959101E-6</v>
      </c>
      <c r="Q136" s="1">
        <f t="shared" si="6"/>
        <v>23.285865043221836</v>
      </c>
      <c r="R136" s="1">
        <f t="shared" si="7"/>
        <v>0.25873183381357595</v>
      </c>
      <c r="S136" s="1">
        <f t="shared" si="8"/>
        <v>0.87220291612897793</v>
      </c>
    </row>
    <row r="137" spans="1:19">
      <c r="A137">
        <v>2</v>
      </c>
      <c r="B137">
        <v>35</v>
      </c>
      <c r="C137" s="1">
        <v>2.5707205259453101</v>
      </c>
      <c r="D137" s="1">
        <v>0.24368019689819601</v>
      </c>
      <c r="E137" s="1">
        <v>5.4149230720155099</v>
      </c>
      <c r="F137" s="1">
        <v>1.2067133926015801</v>
      </c>
      <c r="G137" s="1">
        <v>6.4325391398760002E-6</v>
      </c>
      <c r="Q137" s="1">
        <f t="shared" si="6"/>
        <v>23.962187730316487</v>
      </c>
      <c r="R137" s="1">
        <f t="shared" si="7"/>
        <v>0.26624653033684986</v>
      </c>
      <c r="S137" s="1">
        <f t="shared" si="8"/>
        <v>0.87892854884086646</v>
      </c>
    </row>
    <row r="138" spans="1:19">
      <c r="A138">
        <v>2</v>
      </c>
      <c r="B138">
        <v>36</v>
      </c>
      <c r="C138" s="1">
        <v>2.5634395756305599</v>
      </c>
      <c r="D138" s="1">
        <v>0.25013037355885098</v>
      </c>
      <c r="E138" s="1">
        <v>5.5730548053400097</v>
      </c>
      <c r="F138" s="1">
        <v>1.2160507861511201</v>
      </c>
      <c r="G138" s="1">
        <v>6.5324726125916804E-6</v>
      </c>
      <c r="Q138" s="1">
        <f t="shared" si="6"/>
        <v>24.638014311704683</v>
      </c>
      <c r="R138" s="1">
        <f t="shared" si="7"/>
        <v>0.27375571457449649</v>
      </c>
      <c r="S138" s="1">
        <f t="shared" si="8"/>
        <v>0.88572958528644674</v>
      </c>
    </row>
    <row r="139" spans="1:19">
      <c r="A139">
        <v>2</v>
      </c>
      <c r="B139">
        <v>37</v>
      </c>
      <c r="C139" s="1">
        <v>2.5559750030650101</v>
      </c>
      <c r="D139" s="1">
        <v>0.25654061388023103</v>
      </c>
      <c r="E139" s="1">
        <v>5.7315242719203097</v>
      </c>
      <c r="F139" s="1">
        <v>1.22548725237558</v>
      </c>
      <c r="G139" s="1">
        <v>6.6342490059170196E-6</v>
      </c>
      <c r="Q139" s="1">
        <f t="shared" si="6"/>
        <v>25.313298373640198</v>
      </c>
      <c r="R139" s="1">
        <f t="shared" si="7"/>
        <v>0.28125887081822443</v>
      </c>
      <c r="S139" s="1">
        <f t="shared" si="8"/>
        <v>0.89260278286235939</v>
      </c>
    </row>
    <row r="140" spans="1:19">
      <c r="A140">
        <v>2</v>
      </c>
      <c r="B140">
        <v>38</v>
      </c>
      <c r="C140" s="1">
        <v>2.5483288301909002</v>
      </c>
      <c r="D140" s="1">
        <v>0.26290967747147997</v>
      </c>
      <c r="E140" s="1">
        <v>5.89033412932476</v>
      </c>
      <c r="F140" s="1">
        <v>1.2350188638558099</v>
      </c>
      <c r="G140" s="1">
        <v>6.73785024569186E-6</v>
      </c>
      <c r="Q140" s="1">
        <f t="shared" si="6"/>
        <v>25.987993727563623</v>
      </c>
      <c r="R140" s="1">
        <f t="shared" si="7"/>
        <v>0.28875548586181804</v>
      </c>
      <c r="S140" s="1">
        <f t="shared" si="8"/>
        <v>0.89954528097151842</v>
      </c>
    </row>
    <row r="141" spans="1:19">
      <c r="A141">
        <v>2</v>
      </c>
      <c r="B141">
        <v>39</v>
      </c>
      <c r="C141" s="1">
        <v>2.54050314779413</v>
      </c>
      <c r="D141" s="1">
        <v>0.26923634546738801</v>
      </c>
      <c r="E141" s="1">
        <v>6.0494870546174697</v>
      </c>
      <c r="F141" s="1">
        <v>1.24464219066948</v>
      </c>
      <c r="G141" s="1">
        <v>6.8432626521506099E-6</v>
      </c>
      <c r="Q141" s="1">
        <f t="shared" si="6"/>
        <v>26.662054428659957</v>
      </c>
      <c r="R141" s="1">
        <f t="shared" si="7"/>
        <v>0.29624504920733286</v>
      </c>
      <c r="S141" s="1">
        <f t="shared" si="8"/>
        <v>0.90655458137641842</v>
      </c>
    </row>
    <row r="142" spans="1:19">
      <c r="A142">
        <v>2</v>
      </c>
      <c r="B142">
        <v>40</v>
      </c>
      <c r="C142" s="1">
        <v>2.53250011373841</v>
      </c>
      <c r="D142" s="1">
        <v>0.27551942127903301</v>
      </c>
      <c r="E142" s="1">
        <v>6.20898574443929</v>
      </c>
      <c r="F142" s="1">
        <v>1.2544064191972299</v>
      </c>
      <c r="G142" s="1">
        <v>6.9510547219229701E-6</v>
      </c>
      <c r="Q142" s="1">
        <f t="shared" si="6"/>
        <v>27.335434794163717</v>
      </c>
      <c r="R142" s="1">
        <f t="shared" si="7"/>
        <v>0.30372705326848576</v>
      </c>
      <c r="S142" s="1">
        <f t="shared" si="8"/>
        <v>0.91366650974570884</v>
      </c>
    </row>
    <row r="143" spans="1:19">
      <c r="A143">
        <v>2</v>
      </c>
      <c r="B143">
        <v>41</v>
      </c>
      <c r="C143" s="1">
        <v>2.52432195113929</v>
      </c>
      <c r="D143" s="1">
        <v>0.28175773131697701</v>
      </c>
      <c r="E143" s="1">
        <v>6.3688329150879603</v>
      </c>
      <c r="F143" s="1">
        <v>1.2642853381991299</v>
      </c>
      <c r="G143" s="1">
        <v>7.0609701403428098E-6</v>
      </c>
      <c r="Q143" s="1">
        <f t="shared" si="6"/>
        <v>28.00808942139836</v>
      </c>
      <c r="R143" s="1">
        <f t="shared" si="7"/>
        <v>0.31120099357109288</v>
      </c>
      <c r="S143" s="1">
        <f t="shared" si="8"/>
        <v>0.92086197471335685</v>
      </c>
    </row>
    <row r="144" spans="1:19">
      <c r="A144">
        <v>2</v>
      </c>
      <c r="B144">
        <v>42</v>
      </c>
      <c r="C144" s="1">
        <v>2.5159709464814499</v>
      </c>
      <c r="D144" s="1">
        <v>0.28795012568614597</v>
      </c>
      <c r="E144" s="1">
        <v>6.5290313025970299</v>
      </c>
      <c r="F144" s="1">
        <v>1.2742140656704</v>
      </c>
      <c r="G144" s="1">
        <v>7.1723085023717599E-6</v>
      </c>
      <c r="Q144" s="1">
        <f t="shared" si="6"/>
        <v>28.679973205527091</v>
      </c>
      <c r="R144" s="1">
        <f t="shared" si="7"/>
        <v>0.31866636895030104</v>
      </c>
      <c r="S144" s="1">
        <f t="shared" si="8"/>
        <v>0.9280937184576985</v>
      </c>
    </row>
    <row r="145" spans="1:19">
      <c r="A145">
        <v>2</v>
      </c>
      <c r="B145">
        <v>43</v>
      </c>
      <c r="C145" s="1">
        <v>2.5074494476820202</v>
      </c>
      <c r="D145" s="1">
        <v>0.29409547885159498</v>
      </c>
      <c r="E145" s="1">
        <v>6.6895836628138499</v>
      </c>
      <c r="F145" s="1">
        <v>1.2841894723470499</v>
      </c>
      <c r="G145" s="1">
        <v>7.2850474116853503E-6</v>
      </c>
      <c r="Q145" s="1">
        <f t="shared" si="6"/>
        <v>29.351041357005819</v>
      </c>
      <c r="R145" s="1">
        <f t="shared" si="7"/>
        <v>0.32612268174450909</v>
      </c>
      <c r="S145" s="1">
        <f t="shared" si="8"/>
        <v>0.93535946173042639</v>
      </c>
    </row>
    <row r="146" spans="1:19">
      <c r="A146">
        <v>2</v>
      </c>
      <c r="B146">
        <v>44</v>
      </c>
      <c r="C146" s="1">
        <v>2.4987598621035798</v>
      </c>
      <c r="D146" s="1">
        <v>0.30019269027440199</v>
      </c>
      <c r="E146" s="1">
        <v>6.8504927714762003</v>
      </c>
      <c r="F146" s="1">
        <v>1.2942089480154</v>
      </c>
      <c r="G146" s="1">
        <v>7.3991693641847197E-6</v>
      </c>
      <c r="Q146" s="1">
        <f t="shared" si="6"/>
        <v>30.021249418713492</v>
      </c>
      <c r="R146" s="1">
        <f t="shared" si="7"/>
        <v>0.33356943798570543</v>
      </c>
      <c r="S146" s="1">
        <f t="shared" si="8"/>
        <v>0.94265730334163389</v>
      </c>
    </row>
    <row r="147" spans="1:19">
      <c r="A147">
        <v>2</v>
      </c>
      <c r="B147">
        <v>45</v>
      </c>
      <c r="C147" s="1">
        <v>2.4899046545197798</v>
      </c>
      <c r="D147" s="1">
        <v>0.306240685017037</v>
      </c>
      <c r="E147" s="1">
        <v>7.0117614242879904</v>
      </c>
      <c r="F147" s="1">
        <v>1.30427007346824</v>
      </c>
      <c r="G147" s="1">
        <v>7.5146581860961704E-6</v>
      </c>
      <c r="Q147" s="1">
        <f t="shared" si="6"/>
        <v>30.690553282752685</v>
      </c>
      <c r="R147" s="1">
        <f t="shared" si="7"/>
        <v>0.3410061475861409</v>
      </c>
      <c r="S147" s="1">
        <f t="shared" si="8"/>
        <v>0.94998548122396087</v>
      </c>
    </row>
    <row r="148" spans="1:19">
      <c r="A148">
        <v>2</v>
      </c>
      <c r="B148">
        <v>46</v>
      </c>
      <c r="C148" s="1">
        <v>2.4808863450372098</v>
      </c>
      <c r="D148" s="1">
        <v>0.31223841431756399</v>
      </c>
      <c r="E148" s="1">
        <v>7.1733924369934403</v>
      </c>
      <c r="F148" s="1">
        <v>1.3143701597431301</v>
      </c>
      <c r="G148" s="1">
        <v>7.6314937587820199E-6</v>
      </c>
      <c r="Q148" s="1">
        <f t="shared" si="6"/>
        <v>31.358909206898243</v>
      </c>
      <c r="R148" s="1">
        <f t="shared" si="7"/>
        <v>0.34843232452109163</v>
      </c>
      <c r="S148" s="1">
        <f t="shared" si="8"/>
        <v>0.95734203682961139</v>
      </c>
    </row>
    <row r="149" spans="1:19">
      <c r="A149">
        <v>2</v>
      </c>
      <c r="B149">
        <v>47</v>
      </c>
      <c r="C149" s="1">
        <v>2.4717075069767098</v>
      </c>
      <c r="D149" s="1">
        <v>0.31818485613215802</v>
      </c>
      <c r="E149" s="1">
        <v>7.3353886454501396</v>
      </c>
      <c r="F149" s="1">
        <v>1.32450898226943</v>
      </c>
      <c r="G149" s="1">
        <v>7.7496838841859399E-6</v>
      </c>
      <c r="Q149" s="1">
        <f t="shared" si="6"/>
        <v>32.02627383068598</v>
      </c>
      <c r="R149" s="1">
        <f t="shared" si="7"/>
        <v>0.35584748700762203</v>
      </c>
      <c r="S149" s="1">
        <f t="shared" si="8"/>
        <v>0.96472680658905174</v>
      </c>
    </row>
    <row r="150" spans="1:19">
      <c r="A150">
        <v>2</v>
      </c>
      <c r="B150">
        <v>48</v>
      </c>
      <c r="C150" s="1">
        <v>2.4623707647178001</v>
      </c>
      <c r="D150" s="1">
        <v>0.324079015645442</v>
      </c>
      <c r="E150" s="1">
        <v>7.4977529057005796</v>
      </c>
      <c r="F150" s="1">
        <v>1.33468451176735</v>
      </c>
      <c r="G150" s="1">
        <v>7.8692150427961603E-6</v>
      </c>
      <c r="Q150" s="1">
        <f t="shared" si="6"/>
        <v>32.692604191122086</v>
      </c>
      <c r="R150" s="1">
        <f t="shared" si="7"/>
        <v>0.3632511576791343</v>
      </c>
      <c r="S150" s="1">
        <f t="shared" si="8"/>
        <v>0.97213831244464899</v>
      </c>
    </row>
    <row r="151" spans="1:19">
      <c r="A151">
        <v>2</v>
      </c>
      <c r="B151">
        <v>49</v>
      </c>
      <c r="C151" s="1">
        <v>2.4528787915094501</v>
      </c>
      <c r="D151" s="1">
        <v>0.32991992574823298</v>
      </c>
      <c r="E151" s="1">
        <v>7.6604880940423099</v>
      </c>
      <c r="F151" s="1">
        <v>1.3448995006520701</v>
      </c>
      <c r="G151" s="1">
        <v>7.9901298390161693E-6</v>
      </c>
      <c r="Q151" s="1">
        <f t="shared" si="6"/>
        <v>33.357857738005649</v>
      </c>
      <c r="R151" s="1">
        <f t="shared" si="7"/>
        <v>0.37064286375561833</v>
      </c>
      <c r="S151" s="1">
        <f t="shared" si="8"/>
        <v>0.97957855916099335</v>
      </c>
    </row>
    <row r="152" spans="1:19">
      <c r="A152">
        <v>3</v>
      </c>
      <c r="B152">
        <v>0</v>
      </c>
      <c r="C152" s="1">
        <v>2.44015841700628</v>
      </c>
      <c r="D152" s="1">
        <v>0.337522052785516</v>
      </c>
      <c r="E152" s="1">
        <v>7.8751669623000398</v>
      </c>
      <c r="F152" s="1">
        <v>1.3571147284690399</v>
      </c>
      <c r="G152" s="1">
        <v>8.1359318032384107E-6</v>
      </c>
      <c r="Q152" s="1">
        <f t="shared" si="6"/>
        <v>34.231413406498326</v>
      </c>
      <c r="R152" s="1">
        <f t="shared" si="7"/>
        <v>0.38034903784998142</v>
      </c>
      <c r="S152" s="1">
        <f t="shared" si="8"/>
        <v>0.98847571114816335</v>
      </c>
    </row>
    <row r="153" spans="1:19">
      <c r="A153">
        <v>3</v>
      </c>
      <c r="B153">
        <v>1</v>
      </c>
      <c r="C153" s="1">
        <v>2.4239360624467099</v>
      </c>
      <c r="D153" s="1">
        <v>0.34686724031937599</v>
      </c>
      <c r="E153" s="1">
        <v>8.1437843754830705</v>
      </c>
      <c r="F153" s="1">
        <v>1.37499320800282</v>
      </c>
      <c r="G153" s="1">
        <v>8.3517075391701193E-6</v>
      </c>
      <c r="Q153" s="1">
        <f t="shared" si="6"/>
        <v>35.317864768469505</v>
      </c>
      <c r="R153" s="1">
        <f t="shared" si="7"/>
        <v>0.39242071964966119</v>
      </c>
      <c r="S153" s="1">
        <f t="shared" si="8"/>
        <v>1.0014977809854995</v>
      </c>
    </row>
    <row r="154" spans="1:19">
      <c r="A154">
        <v>3</v>
      </c>
      <c r="B154">
        <v>2</v>
      </c>
      <c r="C154" s="1">
        <v>2.4071978464552402</v>
      </c>
      <c r="D154" s="1">
        <v>0.35612882152699299</v>
      </c>
      <c r="E154" s="1">
        <v>8.4154844754112403</v>
      </c>
      <c r="F154" s="1">
        <v>1.39299773795675</v>
      </c>
      <c r="G154" s="1">
        <v>8.5718585200820804E-6</v>
      </c>
      <c r="Q154" s="1">
        <f t="shared" si="6"/>
        <v>36.409193941058142</v>
      </c>
      <c r="R154" s="1">
        <f t="shared" si="7"/>
        <v>0.40454659934509052</v>
      </c>
      <c r="S154" s="1">
        <f t="shared" si="8"/>
        <v>1.0146116616153089</v>
      </c>
    </row>
    <row r="155" spans="1:19">
      <c r="A155">
        <v>3</v>
      </c>
      <c r="B155">
        <v>3</v>
      </c>
      <c r="C155" s="1">
        <v>2.3899465802487398</v>
      </c>
      <c r="D155" s="1">
        <v>0.36530034462710798</v>
      </c>
      <c r="E155" s="1">
        <v>8.6903281345724501</v>
      </c>
      <c r="F155" s="1">
        <v>1.4111593419450299</v>
      </c>
      <c r="G155" s="1">
        <v>8.7968316815847393E-6</v>
      </c>
      <c r="Q155" s="1">
        <f t="shared" si="6"/>
        <v>37.505234577273782</v>
      </c>
      <c r="R155" s="1">
        <f t="shared" si="7"/>
        <v>0.41672482863637539</v>
      </c>
      <c r="S155" s="1">
        <f t="shared" si="8"/>
        <v>1.0278399495715955</v>
      </c>
    </row>
    <row r="156" spans="1:19">
      <c r="A156">
        <v>3</v>
      </c>
      <c r="B156">
        <v>4</v>
      </c>
      <c r="C156" s="1">
        <v>2.3721857181953898</v>
      </c>
      <c r="D156" s="1">
        <v>0.37437535005578398</v>
      </c>
      <c r="E156" s="1">
        <v>8.9683779221483597</v>
      </c>
      <c r="F156" s="1">
        <v>1.42951516323834</v>
      </c>
      <c r="G156" s="1">
        <v>9.0271717366737898E-6</v>
      </c>
      <c r="Q156" s="1">
        <f t="shared" si="6"/>
        <v>38.60581544361856</v>
      </c>
      <c r="R156" s="1">
        <f t="shared" si="7"/>
        <v>0.42895350492909506</v>
      </c>
      <c r="S156" s="1">
        <f t="shared" si="8"/>
        <v>1.041209698735752</v>
      </c>
    </row>
    <row r="157" spans="1:19">
      <c r="A157">
        <v>3</v>
      </c>
      <c r="B157">
        <v>5</v>
      </c>
      <c r="C157" s="1">
        <v>2.3539193648311598</v>
      </c>
      <c r="D157" s="1">
        <v>0.38334738281983199</v>
      </c>
      <c r="E157" s="1">
        <v>9.2496981624181593</v>
      </c>
      <c r="F157" s="1">
        <v>1.44810633408311</v>
      </c>
      <c r="G157" s="1">
        <v>9.2634994120319902E-6</v>
      </c>
      <c r="Q157" s="1">
        <f t="shared" si="6"/>
        <v>39.710760535643956</v>
      </c>
      <c r="R157" s="1">
        <f t="shared" si="7"/>
        <v>0.44123067261826621</v>
      </c>
      <c r="S157" s="1">
        <f t="shared" si="8"/>
        <v>1.0547508684219671</v>
      </c>
    </row>
    <row r="158" spans="1:19">
      <c r="A158">
        <v>3</v>
      </c>
      <c r="B158">
        <v>6</v>
      </c>
      <c r="C158" s="1">
        <v>2.33515228015527</v>
      </c>
      <c r="D158" s="1">
        <v>0.39221000514688298</v>
      </c>
      <c r="E158" s="1">
        <v>9.5343549954316291</v>
      </c>
      <c r="F158" s="1">
        <v>1.4669738168589499</v>
      </c>
      <c r="G158" s="1">
        <v>9.5064615689720405E-6</v>
      </c>
      <c r="Q158" s="1">
        <f t="shared" si="6"/>
        <v>40.819889205180495</v>
      </c>
      <c r="R158" s="1">
        <f t="shared" si="7"/>
        <v>0.4535543245020055</v>
      </c>
      <c r="S158" s="1">
        <f t="shared" si="8"/>
        <v>1.0684932942192784</v>
      </c>
    </row>
    <row r="159" spans="1:19">
      <c r="A159">
        <v>3</v>
      </c>
      <c r="B159">
        <v>7</v>
      </c>
      <c r="C159" s="1">
        <v>2.31588988313352</v>
      </c>
      <c r="D159" s="1">
        <v>0.40095680938878198</v>
      </c>
      <c r="E159" s="1">
        <v>9.8224164400427902</v>
      </c>
      <c r="F159" s="1">
        <v>1.4861570507722199</v>
      </c>
      <c r="G159" s="1">
        <v>9.7567142203863999E-6</v>
      </c>
      <c r="Q159" s="1">
        <f t="shared" si="6"/>
        <v>41.933016299157252</v>
      </c>
      <c r="R159" s="1">
        <f t="shared" si="7"/>
        <v>0.4659224033239695</v>
      </c>
      <c r="S159" s="1">
        <f t="shared" si="8"/>
        <v>1.0824657022896944</v>
      </c>
    </row>
    <row r="160" spans="1:19">
      <c r="A160">
        <v>3</v>
      </c>
      <c r="B160">
        <v>8</v>
      </c>
      <c r="C160" s="1">
        <v>2.2961382533459198</v>
      </c>
      <c r="D160" s="1">
        <v>0.409581431132166</v>
      </c>
      <c r="E160" s="1">
        <v>10.113952459398901</v>
      </c>
      <c r="F160" s="1">
        <v>1.50570600970711</v>
      </c>
      <c r="G160" s="1">
        <v>1.00150826930971E-5</v>
      </c>
      <c r="Q160" s="1">
        <f t="shared" si="6"/>
        <v>43.049952309875145</v>
      </c>
      <c r="R160" s="1">
        <f t="shared" si="7"/>
        <v>0.47833280344305718</v>
      </c>
      <c r="S160" s="1">
        <f t="shared" si="8"/>
        <v>1.0967044918923765</v>
      </c>
    </row>
    <row r="161" spans="1:19">
      <c r="A161">
        <v>3</v>
      </c>
      <c r="B161">
        <v>9</v>
      </c>
      <c r="C161" s="1">
        <v>2.2759041307232701</v>
      </c>
      <c r="D161" s="1">
        <v>0.41807756246754901</v>
      </c>
      <c r="E161" s="1">
        <v>10.4090350289828</v>
      </c>
      <c r="F161" s="1">
        <v>1.5256728968240201</v>
      </c>
      <c r="G161" s="1">
        <v>1.0282460131913E-5</v>
      </c>
      <c r="Q161" s="1">
        <f t="shared" si="6"/>
        <v>44.170503536550136</v>
      </c>
      <c r="R161" s="1">
        <f t="shared" si="7"/>
        <v>0.49078337262833488</v>
      </c>
      <c r="S161" s="1">
        <f t="shared" si="8"/>
        <v>1.1112476860146361</v>
      </c>
    </row>
    <row r="162" spans="1:19">
      <c r="A162">
        <v>3</v>
      </c>
      <c r="B162">
        <v>10</v>
      </c>
      <c r="C162" s="1">
        <v>2.2551949133264699</v>
      </c>
      <c r="D162" s="1">
        <v>0.42643896536595</v>
      </c>
      <c r="E162" s="1">
        <v>10.707738207309401</v>
      </c>
      <c r="F162" s="1">
        <v>1.5459310275904901</v>
      </c>
      <c r="G162" s="1">
        <v>1.05573373557329E-5</v>
      </c>
      <c r="Q162" s="1">
        <f t="shared" si="6"/>
        <v>45.294472257886056</v>
      </c>
      <c r="R162" s="1">
        <f t="shared" si="7"/>
        <v>0.50327191397651172</v>
      </c>
      <c r="S162" s="1">
        <f t="shared" si="8"/>
        <v>1.1260030119983933</v>
      </c>
    </row>
    <row r="163" spans="1:19">
      <c r="A163">
        <v>3</v>
      </c>
      <c r="B163">
        <v>11</v>
      </c>
      <c r="C163" s="1">
        <v>2.23401865313159</v>
      </c>
      <c r="D163" s="1">
        <v>0.43465948511005797</v>
      </c>
      <c r="E163" s="1">
        <v>11.010138209380999</v>
      </c>
      <c r="F163" s="1">
        <v>1.5663739020068199</v>
      </c>
      <c r="G163" s="1">
        <v>1.0838396858292001E-5</v>
      </c>
      <c r="Q163" s="1">
        <f t="shared" si="6"/>
        <v>46.421656915390415</v>
      </c>
      <c r="R163" s="1">
        <f t="shared" si="7"/>
        <v>0.51579618794878235</v>
      </c>
      <c r="S163" s="1">
        <f t="shared" si="8"/>
        <v>1.1408928989052947</v>
      </c>
    </row>
    <row r="164" spans="1:19">
      <c r="A164">
        <v>3</v>
      </c>
      <c r="B164">
        <v>12</v>
      </c>
      <c r="C164" s="1">
        <v>2.2123840497941099</v>
      </c>
      <c r="D164" s="1">
        <v>0.44273306372529803</v>
      </c>
      <c r="E164" s="1">
        <v>11.316313483009999</v>
      </c>
      <c r="F164" s="1">
        <v>1.58713588233766</v>
      </c>
      <c r="G164" s="1">
        <v>1.1127622724239901E-5</v>
      </c>
      <c r="Q164" s="1">
        <f t="shared" si="6"/>
        <v>47.551852307092524</v>
      </c>
      <c r="R164" s="1">
        <f t="shared" si="7"/>
        <v>0.52835391452325031</v>
      </c>
      <c r="S164" s="1">
        <f t="shared" si="8"/>
        <v>1.1560152115895901</v>
      </c>
    </row>
    <row r="165" spans="1:19">
      <c r="A165">
        <v>3</v>
      </c>
      <c r="B165">
        <v>13</v>
      </c>
      <c r="C165" s="1">
        <v>2.1903004423761301</v>
      </c>
      <c r="D165" s="1">
        <v>0.45065375335476299</v>
      </c>
      <c r="E165" s="1">
        <v>11.6263447881182</v>
      </c>
      <c r="F165" s="1">
        <v>1.60825612376909</v>
      </c>
      <c r="G165" s="1">
        <v>1.14257468993841E-5</v>
      </c>
      <c r="Q165" s="1">
        <f t="shared" si="6"/>
        <v>48.68484979127328</v>
      </c>
      <c r="R165" s="1">
        <f t="shared" si="7"/>
        <v>0.54094277545859204</v>
      </c>
      <c r="S165" s="1">
        <f t="shared" si="8"/>
        <v>1.1713984693426798</v>
      </c>
    </row>
    <row r="166" spans="1:19">
      <c r="A166">
        <v>3</v>
      </c>
      <c r="B166">
        <v>14</v>
      </c>
      <c r="C166" s="1">
        <v>2.16777779903143</v>
      </c>
      <c r="D166" s="1">
        <v>0.458415729521024</v>
      </c>
      <c r="E166" s="1">
        <v>11.9403152791284</v>
      </c>
      <c r="F166" s="1">
        <v>1.6297673755943001</v>
      </c>
      <c r="G166" s="1">
        <v>1.17334414838927E-5</v>
      </c>
      <c r="Q166" s="1">
        <f t="shared" si="6"/>
        <v>49.820437499765895</v>
      </c>
      <c r="R166" s="1">
        <f t="shared" si="7"/>
        <v>0.55356041666406552</v>
      </c>
      <c r="S166" s="1">
        <f t="shared" si="8"/>
        <v>1.187066525623816</v>
      </c>
    </row>
    <row r="167" spans="1:19">
      <c r="A167">
        <v>3</v>
      </c>
      <c r="B167">
        <v>15</v>
      </c>
      <c r="C167" s="1">
        <v>2.1448267046545202</v>
      </c>
      <c r="D167" s="1">
        <v>0.46601330421723303</v>
      </c>
      <c r="E167" s="1">
        <v>12.2583105905652</v>
      </c>
      <c r="F167" s="1">
        <v>1.6517059537044201</v>
      </c>
      <c r="G167" s="1">
        <v>1.2051459355958201E-5</v>
      </c>
      <c r="Q167" s="1">
        <f t="shared" si="6"/>
        <v>50.958400560339086</v>
      </c>
      <c r="R167" s="1">
        <f t="shared" si="7"/>
        <v>0.56620445067043434</v>
      </c>
      <c r="S167" s="1">
        <f t="shared" si="8"/>
        <v>1.2030458316795716</v>
      </c>
    </row>
    <row r="168" spans="1:19">
      <c r="A168">
        <v>3</v>
      </c>
      <c r="B168">
        <v>16</v>
      </c>
      <c r="C168" s="1">
        <v>2.12145834651123</v>
      </c>
      <c r="D168" s="1">
        <v>0.47344093876972798</v>
      </c>
      <c r="E168" s="1">
        <v>12.5804189259847</v>
      </c>
      <c r="F168" s="1">
        <v>1.6741096041951899</v>
      </c>
      <c r="G168" s="1">
        <v>1.23806072807831E-5</v>
      </c>
      <c r="Q168" s="1">
        <f t="shared" si="6"/>
        <v>52.09852132763006</v>
      </c>
      <c r="R168" s="1">
        <f t="shared" si="7"/>
        <v>0.57887245919588959</v>
      </c>
      <c r="S168" s="1">
        <f t="shared" si="8"/>
        <v>1.2193638804683875</v>
      </c>
    </row>
    <row r="169" spans="1:19">
      <c r="A169">
        <v>3</v>
      </c>
      <c r="B169">
        <v>17</v>
      </c>
      <c r="C169" s="1">
        <v>2.0976844978803202</v>
      </c>
      <c r="D169" s="1">
        <v>0.480693256414576</v>
      </c>
      <c r="E169" s="1">
        <v>12.9067311503558</v>
      </c>
      <c r="F169" s="1">
        <v>1.6970108286666601</v>
      </c>
      <c r="G169" s="1">
        <v>1.27216487129944E-5</v>
      </c>
      <c r="Q169" s="1">
        <f t="shared" si="6"/>
        <v>53.240579622041906</v>
      </c>
      <c r="R169" s="1">
        <f t="shared" si="7"/>
        <v>0.59156199580046565</v>
      </c>
      <c r="S169" s="1">
        <f t="shared" si="8"/>
        <v>1.2360443450383487</v>
      </c>
    </row>
    <row r="170" spans="1:19">
      <c r="A170">
        <v>3</v>
      </c>
      <c r="B170">
        <v>18</v>
      </c>
      <c r="C170" s="1">
        <v>2.0735174997468899</v>
      </c>
      <c r="D170" s="1">
        <v>0.48776505453111701</v>
      </c>
      <c r="E170" s="1">
        <v>13.23734088602</v>
      </c>
      <c r="F170" s="1">
        <v>1.7204376874838201</v>
      </c>
      <c r="G170" s="1">
        <v>1.3075312190429E-5</v>
      </c>
      <c r="Q170" s="1">
        <f t="shared" si="6"/>
        <v>54.384352975988108</v>
      </c>
      <c r="R170" s="1">
        <f t="shared" si="7"/>
        <v>0.60427058862209015</v>
      </c>
      <c r="S170" s="1">
        <f t="shared" si="8"/>
        <v>1.253107663594609</v>
      </c>
    </row>
    <row r="171" spans="1:19">
      <c r="A171">
        <v>3</v>
      </c>
      <c r="B171">
        <v>19</v>
      </c>
      <c r="C171" s="1">
        <v>2.0489702406000498</v>
      </c>
      <c r="D171" s="1">
        <v>0.49465131647664001</v>
      </c>
      <c r="E171" s="1">
        <v>13.572344612355201</v>
      </c>
      <c r="F171" s="1">
        <v>1.7444328489432901</v>
      </c>
      <c r="G171" s="1">
        <v>1.3442581687718E-5</v>
      </c>
      <c r="Q171" s="1">
        <f t="shared" si="6"/>
        <v>55.529616886824435</v>
      </c>
      <c r="R171" s="1">
        <f t="shared" si="7"/>
        <v>0.61699574318693817</v>
      </c>
      <c r="S171" s="1">
        <f t="shared" si="8"/>
        <v>1.2705849142575072</v>
      </c>
    </row>
    <row r="172" spans="1:19">
      <c r="A172">
        <v>3</v>
      </c>
      <c r="B172">
        <v>20</v>
      </c>
      <c r="C172" s="1">
        <v>2.0240561343989301</v>
      </c>
      <c r="D172" s="1">
        <v>0.501347222967788</v>
      </c>
      <c r="E172" s="1">
        <v>13.911841769274799</v>
      </c>
      <c r="F172" s="1">
        <v>1.7702907532152701</v>
      </c>
      <c r="G172" s="1">
        <v>1.38440568414404E-5</v>
      </c>
      <c r="Q172" s="1">
        <f t="shared" si="6"/>
        <v>56.676145075765163</v>
      </c>
      <c r="R172" s="1">
        <f t="shared" si="7"/>
        <v>0.6297349452862796</v>
      </c>
      <c r="S172" s="1">
        <f t="shared" si="8"/>
        <v>1.2894189227446753</v>
      </c>
    </row>
    <row r="173" spans="1:19">
      <c r="A173">
        <v>3</v>
      </c>
      <c r="B173">
        <v>21</v>
      </c>
      <c r="C173" s="1">
        <v>1.9987890967817901</v>
      </c>
      <c r="D173" s="1">
        <v>0.50784816295621105</v>
      </c>
      <c r="E173" s="1">
        <v>14.255934864692501</v>
      </c>
      <c r="F173" s="1">
        <v>1.7978604148792201</v>
      </c>
      <c r="G173" s="1">
        <v>1.42786159464302E-5</v>
      </c>
      <c r="Q173" s="1">
        <f t="shared" si="6"/>
        <v>57.823709752060196</v>
      </c>
      <c r="R173" s="1">
        <f t="shared" si="7"/>
        <v>0.64248566391177997</v>
      </c>
      <c r="S173" s="1">
        <f t="shared" si="8"/>
        <v>1.3094997164666107</v>
      </c>
    </row>
    <row r="174" spans="1:19">
      <c r="A174">
        <v>3</v>
      </c>
      <c r="B174">
        <v>22</v>
      </c>
      <c r="C174" s="1">
        <v>1.97318351960397</v>
      </c>
      <c r="D174" s="1">
        <v>0.51414974394824398</v>
      </c>
      <c r="E174" s="1">
        <v>14.6047295860846</v>
      </c>
      <c r="F174" s="1">
        <v>1.82586440317448</v>
      </c>
      <c r="G174" s="1">
        <v>1.47268958499493E-5</v>
      </c>
      <c r="Q174" s="1">
        <f t="shared" si="6"/>
        <v>58.972081881670626</v>
      </c>
      <c r="R174" s="1">
        <f t="shared" si="7"/>
        <v>0.65524535424078478</v>
      </c>
      <c r="S174" s="1">
        <f t="shared" si="8"/>
        <v>1.3298968587748141</v>
      </c>
    </row>
    <row r="175" spans="1:19">
      <c r="A175">
        <v>3</v>
      </c>
      <c r="B175">
        <v>23</v>
      </c>
      <c r="C175" s="1">
        <v>1.9472542439004401</v>
      </c>
      <c r="D175" s="1">
        <v>0.52024780172110197</v>
      </c>
      <c r="E175" s="1">
        <v>14.9583349162824</v>
      </c>
      <c r="F175" s="1">
        <v>1.85438725067818</v>
      </c>
      <c r="G175" s="1">
        <v>1.51906038285669E-5</v>
      </c>
      <c r="Q175" s="1">
        <f t="shared" si="6"/>
        <v>60.121031459660678</v>
      </c>
      <c r="R175" s="1">
        <f t="shared" si="7"/>
        <v>0.66801146066289641</v>
      </c>
      <c r="S175" s="1">
        <f t="shared" si="8"/>
        <v>1.3506719202922706</v>
      </c>
    </row>
    <row r="176" spans="1:19">
      <c r="A176">
        <v>3</v>
      </c>
      <c r="B176">
        <v>24</v>
      </c>
      <c r="C176" s="1">
        <v>1.9210165313783201</v>
      </c>
      <c r="D176" s="1">
        <v>0.52613840939116197</v>
      </c>
      <c r="E176" s="1">
        <v>15.316863253627901</v>
      </c>
      <c r="F176" s="1">
        <v>1.8835129771472301</v>
      </c>
      <c r="G176" s="1">
        <v>1.5671530256915799E-5</v>
      </c>
      <c r="Q176" s="1">
        <f t="shared" si="6"/>
        <v>61.270327785503746</v>
      </c>
      <c r="R176" s="1">
        <f t="shared" si="7"/>
        <v>0.68078141983893048</v>
      </c>
      <c r="S176" s="1">
        <f t="shared" si="8"/>
        <v>1.3718860981213472</v>
      </c>
    </row>
    <row r="177" spans="1:19">
      <c r="A177">
        <v>3</v>
      </c>
      <c r="B177">
        <v>25</v>
      </c>
      <c r="C177" s="1">
        <v>1.89448603455369</v>
      </c>
      <c r="D177" s="1">
        <v>0.53181788579322498</v>
      </c>
      <c r="E177" s="1">
        <v>15.6804305366219</v>
      </c>
      <c r="F177" s="1">
        <v>1.91333257757486</v>
      </c>
      <c r="G177" s="1">
        <v>1.6171678702390501E-5</v>
      </c>
      <c r="Q177" s="1">
        <f t="shared" si="6"/>
        <v>62.419739740477091</v>
      </c>
      <c r="R177" s="1">
        <f t="shared" si="7"/>
        <v>0.69355266378307878</v>
      </c>
      <c r="S177" s="1">
        <f t="shared" si="8"/>
        <v>1.3936056698867405</v>
      </c>
    </row>
    <row r="178" spans="1:19">
      <c r="A178">
        <v>3</v>
      </c>
      <c r="B178">
        <v>26</v>
      </c>
      <c r="C178" s="1">
        <v>1.8676787656549201</v>
      </c>
      <c r="D178" s="1">
        <v>0.53728280313346899</v>
      </c>
      <c r="E178" s="1">
        <v>16.049156373194801</v>
      </c>
      <c r="F178" s="1">
        <v>1.9439425070174801</v>
      </c>
      <c r="G178" s="1">
        <v>1.6693254117652299E-5</v>
      </c>
      <c r="Q178" s="1">
        <f t="shared" si="6"/>
        <v>63.569036066319917</v>
      </c>
      <c r="R178" s="1">
        <f t="shared" si="7"/>
        <v>0.70632262295911019</v>
      </c>
      <c r="S178" s="1">
        <f t="shared" si="8"/>
        <v>1.4159008901354531</v>
      </c>
    </row>
    <row r="179" spans="1:19">
      <c r="A179">
        <v>3</v>
      </c>
      <c r="B179">
        <v>27</v>
      </c>
      <c r="C179" s="1">
        <v>1.8406110644222</v>
      </c>
      <c r="D179" s="1">
        <v>0.54252999388270695</v>
      </c>
      <c r="E179" s="1">
        <v>16.423164174726399</v>
      </c>
      <c r="F179" s="1">
        <v>1.9754328559360801</v>
      </c>
      <c r="G179" s="1">
        <v>1.7238470005649099E-5</v>
      </c>
      <c r="Q179" s="1">
        <f t="shared" si="6"/>
        <v>64.717985644310104</v>
      </c>
      <c r="R179" s="1">
        <f t="shared" si="7"/>
        <v>0.71908872938122337</v>
      </c>
      <c r="S179" s="1">
        <f t="shared" si="8"/>
        <v>1.4388373776619952</v>
      </c>
    </row>
    <row r="180" spans="1:19">
      <c r="A180">
        <v>3</v>
      </c>
      <c r="B180">
        <v>28</v>
      </c>
      <c r="C180" s="1">
        <v>1.8132995649391701</v>
      </c>
      <c r="D180" s="1">
        <v>0.547556556880895</v>
      </c>
      <c r="E180" s="1">
        <v>16.8025812949342</v>
      </c>
      <c r="F180" s="1">
        <v>2.0078969113887601</v>
      </c>
      <c r="G180" s="1">
        <v>1.7809716049299601E-5</v>
      </c>
      <c r="Q180" s="1">
        <f t="shared" si="6"/>
        <v>65.866357773920384</v>
      </c>
      <c r="R180" s="1">
        <f t="shared" si="7"/>
        <v>0.73184841971022652</v>
      </c>
      <c r="S180" s="1">
        <f t="shared" si="8"/>
        <v>1.4624830795523152</v>
      </c>
    </row>
    <row r="181" spans="1:19">
      <c r="A181">
        <v>3</v>
      </c>
      <c r="B181">
        <v>29</v>
      </c>
      <c r="C181" s="1">
        <v>1.78576116163781</v>
      </c>
      <c r="D181" s="1">
        <v>0.55235986262822301</v>
      </c>
      <c r="E181" s="1">
        <v>17.187539173747901</v>
      </c>
      <c r="F181" s="1">
        <v>2.0414312675285902</v>
      </c>
      <c r="G181" s="1">
        <v>1.8409572205046101E-5</v>
      </c>
      <c r="Q181" s="1">
        <f t="shared" si="6"/>
        <v>67.013922450215489</v>
      </c>
      <c r="R181" s="1">
        <f t="shared" si="7"/>
        <v>0.74459913833572777</v>
      </c>
      <c r="S181" s="1">
        <f t="shared" si="8"/>
        <v>1.4869083516666399</v>
      </c>
    </row>
    <row r="182" spans="1:19">
      <c r="A182">
        <v>3</v>
      </c>
      <c r="B182">
        <v>30</v>
      </c>
      <c r="C182" s="1">
        <v>1.7580129746222299</v>
      </c>
      <c r="D182" s="1">
        <v>0.55693755774280096</v>
      </c>
      <c r="E182" s="1">
        <v>17.578173486275599</v>
      </c>
      <c r="F182" s="1">
        <v>2.0760549199830098</v>
      </c>
      <c r="G182" s="1">
        <v>1.9039338194247399E-5</v>
      </c>
      <c r="Q182" s="1">
        <f t="shared" si="6"/>
        <v>68.160450639156153</v>
      </c>
      <c r="R182" s="1">
        <f t="shared" si="7"/>
        <v>0.75733834043506842</v>
      </c>
      <c r="S182" s="1">
        <f t="shared" si="8"/>
        <v>1.5121270297669345</v>
      </c>
    </row>
    <row r="183" spans="1:19">
      <c r="A183">
        <v>3</v>
      </c>
      <c r="B183">
        <v>31</v>
      </c>
      <c r="C183" s="1">
        <v>1.7300723144600401</v>
      </c>
      <c r="D183" s="1">
        <v>0.56128756856968798</v>
      </c>
      <c r="E183" s="1">
        <v>17.9746242969624</v>
      </c>
      <c r="F183" s="1">
        <v>2.11194837418947</v>
      </c>
      <c r="G183" s="1">
        <v>1.97033815585913E-5</v>
      </c>
      <c r="Q183" s="1">
        <f t="shared" si="6"/>
        <v>69.305714549992388</v>
      </c>
      <c r="R183" s="1">
        <f t="shared" si="7"/>
        <v>0.77006349499991544</v>
      </c>
      <c r="S183" s="1">
        <f t="shared" si="8"/>
        <v>1.5382705878081322</v>
      </c>
    </row>
    <row r="184" spans="1:19">
      <c r="A184">
        <v>3</v>
      </c>
      <c r="B184">
        <v>32</v>
      </c>
      <c r="C184" s="1">
        <v>1.7019566465923299</v>
      </c>
      <c r="D184" s="1">
        <v>0.56540810393085095</v>
      </c>
      <c r="E184" s="1">
        <v>18.377036219025101</v>
      </c>
      <c r="F184" s="1">
        <v>2.1494326351055202</v>
      </c>
      <c r="G184" s="1">
        <v>2.04090057965998E-5</v>
      </c>
      <c r="Q184" s="1">
        <f t="shared" si="6"/>
        <v>70.449487903938845</v>
      </c>
      <c r="R184" s="1">
        <f t="shared" si="7"/>
        <v>0.78277208782154273</v>
      </c>
      <c r="S184" s="1">
        <f t="shared" si="8"/>
        <v>1.5655728347652886</v>
      </c>
    </row>
    <row r="185" spans="1:19">
      <c r="A185">
        <v>3</v>
      </c>
      <c r="B185">
        <v>33</v>
      </c>
      <c r="C185" s="1">
        <v>1.67368355551417</v>
      </c>
      <c r="D185" s="1">
        <v>0.56929765701051904</v>
      </c>
      <c r="E185" s="1">
        <v>18.7855585792372</v>
      </c>
      <c r="F185" s="1">
        <v>2.1887559510513199</v>
      </c>
      <c r="G185" s="1">
        <v>2.1162591641111399E-5</v>
      </c>
      <c r="Q185" s="1">
        <f t="shared" si="6"/>
        <v>71.591546198350471</v>
      </c>
      <c r="R185" s="1">
        <f t="shared" si="7"/>
        <v>0.79546162442611645</v>
      </c>
      <c r="S185" s="1">
        <f t="shared" si="8"/>
        <v>1.5942145861801287</v>
      </c>
    </row>
    <row r="186" spans="1:19">
      <c r="A186">
        <v>3</v>
      </c>
      <c r="B186">
        <v>34</v>
      </c>
      <c r="C186" s="1">
        <v>1.64527070887754</v>
      </c>
      <c r="D186" s="1">
        <v>0.57295500637528796</v>
      </c>
      <c r="E186" s="1">
        <v>19.200345588117202</v>
      </c>
      <c r="F186" s="1">
        <v>2.23017535680638</v>
      </c>
      <c r="G186" s="1">
        <v>2.1971120053965599E-5</v>
      </c>
      <c r="Q186" s="1">
        <f t="shared" si="6"/>
        <v>72.731666965641168</v>
      </c>
      <c r="R186" s="1">
        <f t="shared" si="7"/>
        <v>0.80812963295156859</v>
      </c>
      <c r="S186" s="1">
        <f t="shared" si="8"/>
        <v>1.6243830573492937</v>
      </c>
    </row>
    <row r="187" spans="1:19">
      <c r="A187">
        <v>3</v>
      </c>
      <c r="B187">
        <v>35</v>
      </c>
      <c r="C187" s="1">
        <v>1.6167358216674901</v>
      </c>
      <c r="D187" s="1">
        <v>0.57637921613314103</v>
      </c>
      <c r="E187" s="1">
        <v>19.621556515554801</v>
      </c>
      <c r="F187" s="1">
        <v>2.2739555632100399</v>
      </c>
      <c r="G187" s="1">
        <v>2.2842209961859401E-5</v>
      </c>
      <c r="Q187" s="1">
        <f t="shared" si="6"/>
        <v>73.869630026214722</v>
      </c>
      <c r="R187" s="1">
        <f t="shared" si="7"/>
        <v>0.82077366695794141</v>
      </c>
      <c r="S187" s="1">
        <f t="shared" si="8"/>
        <v>1.6562710545475041</v>
      </c>
    </row>
    <row r="188" spans="1:19">
      <c r="A188">
        <v>3</v>
      </c>
      <c r="B188">
        <v>36</v>
      </c>
      <c r="C188" s="1">
        <v>1.58809662060023</v>
      </c>
      <c r="D188" s="1">
        <v>0.57956963524030902</v>
      </c>
      <c r="E188" s="1">
        <v>20.049355871885101</v>
      </c>
      <c r="F188" s="1">
        <v>2.3203677272243102</v>
      </c>
      <c r="G188" s="1">
        <v>2.3784159293617201E-5</v>
      </c>
      <c r="Q188" s="1">
        <f t="shared" si="6"/>
        <v>75.005217734707017</v>
      </c>
      <c r="R188" s="1">
        <f t="shared" si="7"/>
        <v>0.83339130816341134</v>
      </c>
      <c r="S188" s="1">
        <f t="shared" si="8"/>
        <v>1.6900760791836196</v>
      </c>
    </row>
    <row r="189" spans="1:19">
      <c r="A189">
        <v>3</v>
      </c>
      <c r="B189">
        <v>37</v>
      </c>
      <c r="C189" s="1">
        <v>1.5593708088882301</v>
      </c>
      <c r="D189" s="1">
        <v>0.58252589596947402</v>
      </c>
      <c r="E189" s="1">
        <v>20.483913594389499</v>
      </c>
      <c r="F189" s="1">
        <v>2.3696925119692298</v>
      </c>
      <c r="G189" s="1">
        <v>2.48060813940174E-5</v>
      </c>
      <c r="Q189" s="1">
        <f t="shared" si="6"/>
        <v>76.13821521888768</v>
      </c>
      <c r="R189" s="1">
        <f t="shared" si="7"/>
        <v>0.84598016909875207</v>
      </c>
      <c r="S189" s="1">
        <f t="shared" si="8"/>
        <v>1.7260025566251891</v>
      </c>
    </row>
    <row r="190" spans="1:19">
      <c r="A190">
        <v>3</v>
      </c>
      <c r="B190">
        <v>38</v>
      </c>
      <c r="C190" s="1">
        <v>1.53057603151374</v>
      </c>
      <c r="D190" s="1">
        <v>0.58524791155729405</v>
      </c>
      <c r="E190" s="1">
        <v>20.925405239173202</v>
      </c>
      <c r="F190" s="1">
        <v>2.4222257443165298</v>
      </c>
      <c r="G190" s="1">
        <v>2.5918114448306201E-5</v>
      </c>
      <c r="Q190" s="1">
        <f t="shared" si="6"/>
        <v>77.268410610590152</v>
      </c>
      <c r="R190" s="1">
        <f t="shared" si="7"/>
        <v>0.85853789567322392</v>
      </c>
      <c r="S190" s="1">
        <f t="shared" si="8"/>
        <v>1.7642659569951702</v>
      </c>
    </row>
    <row r="191" spans="1:19">
      <c r="A191">
        <v>3</v>
      </c>
      <c r="B191">
        <v>39</v>
      </c>
      <c r="C191" s="1">
        <v>1.50172984114659</v>
      </c>
      <c r="D191" s="1">
        <v>0.58773587305341501</v>
      </c>
      <c r="E191" s="1">
        <v>21.374012178325501</v>
      </c>
      <c r="F191" s="1">
        <v>2.4782861103065099</v>
      </c>
      <c r="G191" s="1">
        <v>2.71317032064551E-5</v>
      </c>
      <c r="Q191" s="1">
        <f t="shared" si="6"/>
        <v>78.395595268094354</v>
      </c>
      <c r="R191" s="1">
        <f t="shared" si="7"/>
        <v>0.87106216964549288</v>
      </c>
      <c r="S191" s="1">
        <f t="shared" si="8"/>
        <v>1.8050984002490169</v>
      </c>
    </row>
    <row r="192" spans="1:19">
      <c r="A192">
        <v>3</v>
      </c>
      <c r="B192">
        <v>40</v>
      </c>
      <c r="C192" s="1">
        <v>1.47284966483619</v>
      </c>
      <c r="D192" s="1">
        <v>0.58999024539715905</v>
      </c>
      <c r="E192" s="1">
        <v>21.829921802225801</v>
      </c>
      <c r="F192" s="1">
        <v>2.5394818645292099</v>
      </c>
      <c r="G192" s="1">
        <v>2.8488160231302001E-5</v>
      </c>
      <c r="Q192" s="1">
        <f t="shared" si="6"/>
        <v>79.519563989430054</v>
      </c>
      <c r="R192" s="1">
        <f t="shared" si="7"/>
        <v>0.88355071099366733</v>
      </c>
      <c r="S192" s="1">
        <f t="shared" si="8"/>
        <v>1.8496712837389566</v>
      </c>
    </row>
    <row r="193" spans="1:19">
      <c r="A193">
        <v>3</v>
      </c>
      <c r="B193">
        <v>41</v>
      </c>
      <c r="C193" s="1">
        <v>1.44395277160111</v>
      </c>
      <c r="D193" s="1">
        <v>0.59201176275180201</v>
      </c>
      <c r="E193" s="1">
        <v>22.2933277268076</v>
      </c>
      <c r="F193" s="1">
        <v>2.6045848791778599</v>
      </c>
      <c r="G193" s="1">
        <v>2.99675474635252E-5</v>
      </c>
      <c r="Q193" s="1">
        <f t="shared" si="6"/>
        <v>80.640115216105187</v>
      </c>
      <c r="R193" s="1">
        <f t="shared" si="7"/>
        <v>0.89600128017894654</v>
      </c>
      <c r="S193" s="1">
        <f t="shared" si="8"/>
        <v>1.8970900813930871</v>
      </c>
    </row>
    <row r="194" spans="1:19">
      <c r="A194">
        <v>3</v>
      </c>
      <c r="B194">
        <v>42</v>
      </c>
      <c r="C194" s="1">
        <v>1.4150562410318199</v>
      </c>
      <c r="D194" s="1">
        <v>0.59380142312975004</v>
      </c>
      <c r="E194" s="1">
        <v>22.764430005529402</v>
      </c>
      <c r="F194" s="1">
        <v>2.6718444249576199</v>
      </c>
      <c r="G194" s="1">
        <v>3.1535266477529999E-5</v>
      </c>
      <c r="Q194" s="1">
        <f t="shared" si="6"/>
        <v>81.757051226823194</v>
      </c>
      <c r="R194" s="1">
        <f t="shared" si="7"/>
        <v>0.90841168029803554</v>
      </c>
      <c r="S194" s="1">
        <f t="shared" si="8"/>
        <v>1.946079622182429</v>
      </c>
    </row>
    <row r="195" spans="1:19">
      <c r="A195">
        <v>3</v>
      </c>
      <c r="B195">
        <v>43</v>
      </c>
      <c r="C195" s="1">
        <v>1.38617693301412</v>
      </c>
      <c r="D195" s="1">
        <v>0.595360482345064</v>
      </c>
      <c r="E195" s="1">
        <v>23.243435345734799</v>
      </c>
      <c r="F195" s="1">
        <v>2.7413474550097501</v>
      </c>
      <c r="G195" s="1">
        <v>3.3197267674128503E-5</v>
      </c>
      <c r="Q195" s="1">
        <f t="shared" ref="Q195:Q201" si="9">ATAN((D195)/((C195-$M$32)*$J$29))*180/PI()</f>
        <v>82.870178320799837</v>
      </c>
      <c r="R195" s="1">
        <f t="shared" ref="R195:R201" si="10">RADIANS(Q195)/PI()*2</f>
        <v>0.92077975911999832</v>
      </c>
      <c r="S195" s="1">
        <f t="shared" ref="S195:S201" si="11">F195/$J$33/SQRT(PI()*$M$30)</f>
        <v>1.9967032397856617</v>
      </c>
    </row>
    <row r="196" spans="1:19">
      <c r="A196">
        <v>3</v>
      </c>
      <c r="B196">
        <v>44</v>
      </c>
      <c r="C196" s="1">
        <v>1.35733145867226</v>
      </c>
      <c r="D196" s="1">
        <v>0.59669044733255405</v>
      </c>
      <c r="E196" s="1">
        <v>23.730557329006</v>
      </c>
      <c r="F196" s="1">
        <v>2.8131010537224399</v>
      </c>
      <c r="G196" s="1">
        <v>3.4957859999968101E-5</v>
      </c>
      <c r="Q196" s="1">
        <f t="shared" si="9"/>
        <v>83.97930699033634</v>
      </c>
      <c r="R196" s="1">
        <f t="shared" si="10"/>
        <v>0.93310341100373717</v>
      </c>
      <c r="S196" s="1">
        <f t="shared" si="11"/>
        <v>2.0489660942275836</v>
      </c>
    </row>
    <row r="197" spans="1:19">
      <c r="A197">
        <v>3</v>
      </c>
      <c r="B197">
        <v>45</v>
      </c>
      <c r="C197" s="1">
        <v>1.3285361526214601</v>
      </c>
      <c r="D197" s="1">
        <v>0.597793068875073</v>
      </c>
      <c r="E197" s="1">
        <v>24.226016635022098</v>
      </c>
      <c r="F197" s="1">
        <v>2.8870087459752898</v>
      </c>
      <c r="G197" s="1">
        <v>3.6818862836880699E-5</v>
      </c>
      <c r="Q197" s="1">
        <f t="shared" si="9"/>
        <v>85.084252082361928</v>
      </c>
      <c r="R197" s="1">
        <f t="shared" si="10"/>
        <v>0.94538057869291037</v>
      </c>
      <c r="S197" s="1">
        <f t="shared" si="11"/>
        <v>2.1027979163472725</v>
      </c>
    </row>
    <row r="198" spans="1:19">
      <c r="A198">
        <v>3</v>
      </c>
      <c r="B198">
        <v>46</v>
      </c>
      <c r="C198" s="1">
        <v>1.2998070466102301</v>
      </c>
      <c r="D198" s="1">
        <v>0.59867033378271295</v>
      </c>
      <c r="E198" s="1">
        <v>24.730041268335999</v>
      </c>
      <c r="F198" s="1">
        <v>2.96288634915819</v>
      </c>
      <c r="G198" s="1">
        <v>3.8779674375754501E-5</v>
      </c>
      <c r="Q198" s="1">
        <f t="shared" si="9"/>
        <v>86.184832948706259</v>
      </c>
      <c r="R198" s="1">
        <f t="shared" si="10"/>
        <v>0.9576092549856251</v>
      </c>
      <c r="S198" s="1">
        <f t="shared" si="11"/>
        <v>2.15806455386365</v>
      </c>
    </row>
    <row r="199" spans="1:19">
      <c r="A199">
        <v>3</v>
      </c>
      <c r="B199">
        <v>47</v>
      </c>
      <c r="C199" s="1">
        <v>1.27115984462291</v>
      </c>
      <c r="D199" s="1">
        <v>0.59932445656932198</v>
      </c>
      <c r="E199" s="1">
        <v>25.2428667873635</v>
      </c>
      <c r="F199" s="1">
        <v>3.0405012042084598</v>
      </c>
      <c r="G199" s="1">
        <v>4.0838006268163801E-5</v>
      </c>
      <c r="Q199" s="1">
        <f t="shared" si="9"/>
        <v>87.280873584921821</v>
      </c>
      <c r="R199" s="1">
        <f t="shared" si="10"/>
        <v>0.9697874842769092</v>
      </c>
      <c r="S199" s="1">
        <f t="shared" si="11"/>
        <v>2.2145965459141861</v>
      </c>
    </row>
    <row r="200" spans="1:19">
      <c r="A200">
        <v>3</v>
      </c>
      <c r="B200">
        <v>48</v>
      </c>
      <c r="C200" s="1">
        <v>1.2426098995034001</v>
      </c>
      <c r="D200" s="1">
        <v>0.59975787067306097</v>
      </c>
      <c r="E200" s="1">
        <v>25.764736534750799</v>
      </c>
      <c r="F200" s="1">
        <v>3.1196191007505001</v>
      </c>
      <c r="G200" s="1">
        <v>4.2990976862758903E-5</v>
      </c>
      <c r="Q200" s="1">
        <f t="shared" si="9"/>
        <v>88.372202757510564</v>
      </c>
      <c r="R200" s="1">
        <f t="shared" si="10"/>
        <v>0.98191336397233964</v>
      </c>
      <c r="S200" s="1">
        <f t="shared" si="11"/>
        <v>2.2722233017133546</v>
      </c>
    </row>
    <row r="201" spans="1:19">
      <c r="A201">
        <v>3</v>
      </c>
      <c r="B201">
        <v>49</v>
      </c>
      <c r="C201" s="1">
        <v>1.2141721911504999</v>
      </c>
      <c r="D201" s="1">
        <v>0.59997321926872105</v>
      </c>
      <c r="E201" s="1">
        <v>26.295901868135601</v>
      </c>
      <c r="F201" s="1">
        <v>3.20004388696099</v>
      </c>
      <c r="G201" s="1">
        <v>4.5236192230162803E-5</v>
      </c>
      <c r="Q201" s="1">
        <f t="shared" si="9"/>
        <v>89.458654119481523</v>
      </c>
      <c r="R201" s="1">
        <f t="shared" si="10"/>
        <v>0.99398504577201696</v>
      </c>
      <c r="S201" s="1">
        <f t="shared" si="11"/>
        <v>2.3308019510166709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1"/>
  <sheetViews>
    <sheetView topLeftCell="AB1" zoomScale="115" zoomScaleNormal="115" workbookViewId="0">
      <selection activeCell="AE12" sqref="AD1:AE12"/>
    </sheetView>
  </sheetViews>
  <sheetFormatPr defaultRowHeight="18"/>
  <cols>
    <col min="1" max="1" width="7.83203125" bestFit="1" customWidth="1"/>
    <col min="2" max="2" width="6.4140625" bestFit="1" customWidth="1"/>
    <col min="3" max="3" width="9.1640625" bestFit="1" customWidth="1"/>
    <col min="4" max="4" width="9.5" bestFit="1" customWidth="1"/>
    <col min="5" max="5" width="10" bestFit="1" customWidth="1"/>
    <col min="6" max="6" width="9.1640625" bestFit="1" customWidth="1"/>
    <col min="10" max="10" width="9.1640625" bestFit="1" customWidth="1"/>
    <col min="16" max="16" width="21.83203125" customWidth="1"/>
    <col min="17" max="17" width="10" bestFit="1" customWidth="1"/>
    <col min="18" max="18" width="9.5" bestFit="1" customWidth="1"/>
    <col min="19" max="19" width="11.1640625" customWidth="1"/>
    <col min="29" max="29" width="10.25" customWidth="1"/>
    <col min="30" max="30" width="9.33203125" customWidth="1"/>
    <col min="31" max="31" width="12.1640625" customWidth="1"/>
  </cols>
  <sheetData>
    <row r="1" spans="1:3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0</v>
      </c>
      <c r="P1" t="s">
        <v>16</v>
      </c>
      <c r="Q1" s="2" t="s">
        <v>1</v>
      </c>
      <c r="R1" t="s">
        <v>13</v>
      </c>
      <c r="S1" t="s">
        <v>14</v>
      </c>
      <c r="AC1" t="s">
        <v>15</v>
      </c>
      <c r="AD1" t="s">
        <v>13</v>
      </c>
      <c r="AE1" t="s">
        <v>14</v>
      </c>
    </row>
    <row r="2" spans="1:31">
      <c r="A2">
        <v>0</v>
      </c>
      <c r="B2">
        <v>0</v>
      </c>
      <c r="C2" s="1">
        <v>1.2141721911504899</v>
      </c>
      <c r="D2" s="1">
        <v>-0.59997321926872604</v>
      </c>
      <c r="E2" s="1">
        <v>-26.295901868135999</v>
      </c>
      <c r="F2" s="1">
        <v>3.2000438867497198</v>
      </c>
      <c r="G2" s="1">
        <v>4.5236192224189798E-5</v>
      </c>
      <c r="Q2" s="1">
        <f>ATAN((D2)/((C2-$M$32)*$J$29))*180/PI()</f>
        <v>-89.458654119481906</v>
      </c>
      <c r="R2" s="1">
        <f>RADIANS(Q2)/PI()*2</f>
        <v>-0.99398504577202118</v>
      </c>
      <c r="S2" s="1">
        <f>F2/$J$33/SQRT(PI()*$M$30)</f>
        <v>2.3308019508627886</v>
      </c>
      <c r="AD2">
        <v>0</v>
      </c>
      <c r="AE2">
        <v>0.75800000000000001</v>
      </c>
    </row>
    <row r="3" spans="1:31">
      <c r="A3">
        <v>0</v>
      </c>
      <c r="B3">
        <v>1</v>
      </c>
      <c r="C3" s="1">
        <v>1.2426098995033901</v>
      </c>
      <c r="D3" s="1">
        <v>-0.59975787067306496</v>
      </c>
      <c r="E3" s="1">
        <v>-25.764736534751201</v>
      </c>
      <c r="F3" s="1">
        <v>3.1196191007867</v>
      </c>
      <c r="G3" s="1">
        <v>4.29909768637566E-5</v>
      </c>
      <c r="Q3" s="1">
        <f t="shared" ref="Q3:Q66" si="0">ATAN((D3)/((C3-$M$32)*$J$29))*180/PI()</f>
        <v>-88.372202757510934</v>
      </c>
      <c r="R3" s="1">
        <f t="shared" ref="R3:R66" si="1">RADIANS(Q3)/PI()*2</f>
        <v>-0.98191336397234363</v>
      </c>
      <c r="S3" s="1">
        <f t="shared" ref="S3:S66" si="2">F3/$J$33/SQRT(PI()*$M$30)</f>
        <v>2.2722233017397215</v>
      </c>
      <c r="AD3">
        <v>0.125</v>
      </c>
      <c r="AE3">
        <v>0.79300000000000004</v>
      </c>
    </row>
    <row r="4" spans="1:31">
      <c r="A4">
        <v>0</v>
      </c>
      <c r="B4">
        <v>2</v>
      </c>
      <c r="C4" s="1">
        <v>1.2711598446229</v>
      </c>
      <c r="D4" s="1">
        <v>-0.59932445656932698</v>
      </c>
      <c r="E4" s="1">
        <v>-25.242866787363798</v>
      </c>
      <c r="F4" s="1">
        <v>3.0405012043349</v>
      </c>
      <c r="G4" s="1">
        <v>4.0838006271560302E-5</v>
      </c>
      <c r="Q4" s="1">
        <f t="shared" si="0"/>
        <v>-87.280873584922233</v>
      </c>
      <c r="R4" s="1">
        <f t="shared" si="1"/>
        <v>-0.96978748427691364</v>
      </c>
      <c r="S4" s="1">
        <f t="shared" si="2"/>
        <v>2.2145965460062809</v>
      </c>
      <c r="AD4">
        <v>0.25</v>
      </c>
      <c r="AE4">
        <v>0.875</v>
      </c>
    </row>
    <row r="5" spans="1:31">
      <c r="A5">
        <v>0</v>
      </c>
      <c r="B5">
        <v>3</v>
      </c>
      <c r="C5" s="1">
        <v>1.2998070466102201</v>
      </c>
      <c r="D5" s="1">
        <v>-0.59867033378271794</v>
      </c>
      <c r="E5" s="1">
        <v>-24.730041268336301</v>
      </c>
      <c r="F5" s="1">
        <v>2.9628863492669102</v>
      </c>
      <c r="G5" s="1">
        <v>3.8779674378600701E-5</v>
      </c>
      <c r="Q5" s="1">
        <f t="shared" si="0"/>
        <v>-86.184832948706656</v>
      </c>
      <c r="R5" s="1">
        <f t="shared" si="1"/>
        <v>-0.95760925498562954</v>
      </c>
      <c r="S5" s="1">
        <f t="shared" si="2"/>
        <v>2.1580645539428382</v>
      </c>
      <c r="AD5">
        <v>0.375</v>
      </c>
      <c r="AE5">
        <v>0.98299999999999998</v>
      </c>
    </row>
    <row r="6" spans="1:31">
      <c r="A6">
        <v>0</v>
      </c>
      <c r="B6">
        <v>4</v>
      </c>
      <c r="C6" s="1">
        <v>1.3285361526214601</v>
      </c>
      <c r="D6" s="1">
        <v>-0.59779306887507799</v>
      </c>
      <c r="E6" s="1">
        <v>-24.2260166350224</v>
      </c>
      <c r="F6" s="1">
        <v>2.8870087460015901</v>
      </c>
      <c r="G6" s="1">
        <v>3.6818862837551603E-5</v>
      </c>
      <c r="Q6" s="1">
        <f t="shared" si="0"/>
        <v>-85.084252082361957</v>
      </c>
      <c r="R6" s="1">
        <f t="shared" si="1"/>
        <v>-0.9453805786929107</v>
      </c>
      <c r="S6" s="1">
        <f t="shared" si="2"/>
        <v>2.1027979163664288</v>
      </c>
      <c r="AD6">
        <v>0.5</v>
      </c>
      <c r="AE6">
        <v>1.1080000000000001</v>
      </c>
    </row>
    <row r="7" spans="1:31">
      <c r="A7">
        <v>0</v>
      </c>
      <c r="B7">
        <v>5</v>
      </c>
      <c r="C7" s="1">
        <v>1.35733145867225</v>
      </c>
      <c r="D7" s="1">
        <v>-0.59669044733255905</v>
      </c>
      <c r="E7" s="1">
        <v>-23.730557329006199</v>
      </c>
      <c r="F7" s="1">
        <v>2.81310105363535</v>
      </c>
      <c r="G7" s="1">
        <v>3.4957859997803701E-5</v>
      </c>
      <c r="Q7" s="1">
        <f t="shared" si="0"/>
        <v>-83.979306990336781</v>
      </c>
      <c r="R7" s="1">
        <f t="shared" si="1"/>
        <v>-0.93310341100374206</v>
      </c>
      <c r="S7" s="1">
        <f t="shared" si="2"/>
        <v>2.0489660941641503</v>
      </c>
      <c r="AD7">
        <v>0.625</v>
      </c>
      <c r="AE7">
        <v>1.262</v>
      </c>
    </row>
    <row r="8" spans="1:31">
      <c r="A8">
        <v>0</v>
      </c>
      <c r="B8">
        <v>6</v>
      </c>
      <c r="C8" s="1">
        <v>1.38617693301412</v>
      </c>
      <c r="D8" s="1">
        <v>-0.595360482345068</v>
      </c>
      <c r="E8" s="1">
        <v>-23.243435345735001</v>
      </c>
      <c r="F8" s="1">
        <v>2.7413474548035999</v>
      </c>
      <c r="G8" s="1">
        <v>3.3197267669135602E-5</v>
      </c>
      <c r="Q8" s="1">
        <f t="shared" si="0"/>
        <v>-82.870178320799894</v>
      </c>
      <c r="R8" s="1">
        <f t="shared" si="1"/>
        <v>-0.92077975911999888</v>
      </c>
      <c r="S8" s="1">
        <f t="shared" si="2"/>
        <v>1.9967032396355089</v>
      </c>
      <c r="AD8">
        <v>0.75</v>
      </c>
      <c r="AE8">
        <v>1.4490000000000001</v>
      </c>
    </row>
    <row r="9" spans="1:31">
      <c r="A9">
        <v>0</v>
      </c>
      <c r="B9">
        <v>7</v>
      </c>
      <c r="C9" s="1">
        <v>1.4150562410318199</v>
      </c>
      <c r="D9" s="1">
        <v>-0.59380142312975503</v>
      </c>
      <c r="E9" s="1">
        <v>-22.764430005529601</v>
      </c>
      <c r="F9" s="1">
        <v>2.6718444246446298</v>
      </c>
      <c r="G9" s="1">
        <v>3.1535266470141602E-5</v>
      </c>
      <c r="Q9" s="1">
        <f t="shared" si="0"/>
        <v>-81.757051226823251</v>
      </c>
      <c r="R9" s="1">
        <f t="shared" si="1"/>
        <v>-0.90841168029803609</v>
      </c>
      <c r="S9" s="1">
        <f t="shared" si="2"/>
        <v>1.9460796219544578</v>
      </c>
      <c r="AD9">
        <v>0.83299999999999996</v>
      </c>
      <c r="AE9">
        <v>1.643</v>
      </c>
    </row>
    <row r="10" spans="1:31">
      <c r="A10">
        <v>0</v>
      </c>
      <c r="B10">
        <v>8</v>
      </c>
      <c r="C10" s="1">
        <v>1.44395277160111</v>
      </c>
      <c r="D10" s="1">
        <v>-0.592011762751807</v>
      </c>
      <c r="E10" s="1">
        <v>-22.293327726807799</v>
      </c>
      <c r="F10" s="1">
        <v>2.6045848787803498</v>
      </c>
      <c r="G10" s="1">
        <v>2.9967547454378E-5</v>
      </c>
      <c r="Q10" s="1">
        <f t="shared" si="0"/>
        <v>-80.640115216105272</v>
      </c>
      <c r="R10" s="1">
        <f t="shared" si="1"/>
        <v>-0.89600128017894753</v>
      </c>
      <c r="S10" s="1">
        <f t="shared" si="2"/>
        <v>1.8970900811035545</v>
      </c>
      <c r="AD10">
        <v>0.91700000000000004</v>
      </c>
      <c r="AE10">
        <v>1.861</v>
      </c>
    </row>
    <row r="11" spans="1:31">
      <c r="A11">
        <v>0</v>
      </c>
      <c r="B11">
        <v>9</v>
      </c>
      <c r="C11" s="1">
        <v>1.47284966483618</v>
      </c>
      <c r="D11" s="1">
        <v>-0.58999024539716305</v>
      </c>
      <c r="E11" s="1">
        <v>-21.829921802225901</v>
      </c>
      <c r="F11" s="1">
        <v>2.53948186407619</v>
      </c>
      <c r="G11" s="1">
        <v>2.84881602211381E-5</v>
      </c>
      <c r="Q11" s="1">
        <f t="shared" si="0"/>
        <v>-79.519563989430509</v>
      </c>
      <c r="R11" s="1">
        <f t="shared" si="1"/>
        <v>-0.88355071099367222</v>
      </c>
      <c r="S11" s="1">
        <f t="shared" si="2"/>
        <v>1.8496712834089926</v>
      </c>
      <c r="AD11">
        <v>0.95799999999999996</v>
      </c>
      <c r="AE11">
        <v>1.96</v>
      </c>
    </row>
    <row r="12" spans="1:31">
      <c r="A12">
        <v>0</v>
      </c>
      <c r="B12">
        <v>10</v>
      </c>
      <c r="C12" s="1">
        <v>1.50172984114659</v>
      </c>
      <c r="D12" s="1">
        <v>-0.58773587305341801</v>
      </c>
      <c r="E12" s="1">
        <v>-21.3740121783256</v>
      </c>
      <c r="F12" s="1">
        <v>2.47828610982888</v>
      </c>
      <c r="G12" s="1">
        <v>2.71317031959971E-5</v>
      </c>
      <c r="Q12" s="1">
        <f t="shared" si="0"/>
        <v>-78.395595268094425</v>
      </c>
      <c r="R12" s="1">
        <f t="shared" si="1"/>
        <v>-0.87106216964549366</v>
      </c>
      <c r="S12" s="1">
        <f t="shared" si="2"/>
        <v>1.8050983999011279</v>
      </c>
      <c r="AD12">
        <v>1</v>
      </c>
      <c r="AE12">
        <v>1.671</v>
      </c>
    </row>
    <row r="13" spans="1:31">
      <c r="A13">
        <v>0</v>
      </c>
      <c r="B13">
        <v>11</v>
      </c>
      <c r="C13" s="1">
        <v>1.53057603151374</v>
      </c>
      <c r="D13" s="1">
        <v>-0.58524791155729805</v>
      </c>
      <c r="E13" s="1">
        <v>-20.925405239173401</v>
      </c>
      <c r="F13" s="1">
        <v>2.4222257438312398</v>
      </c>
      <c r="G13" s="1">
        <v>2.5918114437921001E-5</v>
      </c>
      <c r="Q13" s="1">
        <f t="shared" si="0"/>
        <v>-77.268410610590237</v>
      </c>
      <c r="R13" s="1">
        <f t="shared" si="1"/>
        <v>-0.85853789567322492</v>
      </c>
      <c r="S13" s="1">
        <f t="shared" si="2"/>
        <v>1.7642659566417016</v>
      </c>
    </row>
    <row r="14" spans="1:31">
      <c r="A14">
        <v>0</v>
      </c>
      <c r="B14">
        <v>12</v>
      </c>
      <c r="C14" s="1">
        <v>1.5593708088882301</v>
      </c>
      <c r="D14" s="1">
        <v>-0.58252589596947801</v>
      </c>
      <c r="E14" s="1">
        <v>-20.483913594389598</v>
      </c>
      <c r="F14" s="1">
        <v>2.3696925114877398</v>
      </c>
      <c r="G14" s="1">
        <v>2.4806081383936898E-5</v>
      </c>
      <c r="Q14" s="1">
        <f t="shared" si="0"/>
        <v>-76.138215218887765</v>
      </c>
      <c r="R14" s="1">
        <f t="shared" si="1"/>
        <v>-0.84598016909875295</v>
      </c>
      <c r="S14" s="1">
        <f t="shared" si="2"/>
        <v>1.7260025562744883</v>
      </c>
    </row>
    <row r="15" spans="1:31">
      <c r="A15">
        <v>0</v>
      </c>
      <c r="B15">
        <v>13</v>
      </c>
      <c r="C15" s="1">
        <v>1.58809662060023</v>
      </c>
      <c r="D15" s="1">
        <v>-0.57956963524031202</v>
      </c>
      <c r="E15" s="1">
        <v>-20.049355871885201</v>
      </c>
      <c r="F15" s="1">
        <v>2.32036772675509</v>
      </c>
      <c r="G15" s="1">
        <v>2.3784159283998E-5</v>
      </c>
      <c r="Q15" s="1">
        <f t="shared" si="0"/>
        <v>-75.005217734707088</v>
      </c>
      <c r="R15" s="1">
        <f t="shared" si="1"/>
        <v>-0.833391308163412</v>
      </c>
      <c r="S15" s="1">
        <f t="shared" si="2"/>
        <v>1.6900760788418558</v>
      </c>
    </row>
    <row r="16" spans="1:31">
      <c r="A16">
        <v>0</v>
      </c>
      <c r="B16">
        <v>14</v>
      </c>
      <c r="C16" s="1">
        <v>1.6167358216674901</v>
      </c>
      <c r="D16" s="1">
        <v>-0.57637921613314402</v>
      </c>
      <c r="E16" s="1">
        <v>-19.6215565155549</v>
      </c>
      <c r="F16" s="1">
        <v>2.2739555627587902</v>
      </c>
      <c r="G16" s="1">
        <v>2.2842209952793699E-5</v>
      </c>
      <c r="Q16" s="1">
        <f t="shared" si="0"/>
        <v>-73.869630026214807</v>
      </c>
      <c r="R16" s="1">
        <f t="shared" si="1"/>
        <v>-0.82077366695794229</v>
      </c>
      <c r="S16" s="1">
        <f t="shared" si="2"/>
        <v>1.6562710542188295</v>
      </c>
    </row>
    <row r="17" spans="1:19">
      <c r="A17">
        <v>0</v>
      </c>
      <c r="B17">
        <v>15</v>
      </c>
      <c r="C17" s="1">
        <v>1.64527070887754</v>
      </c>
      <c r="D17" s="1">
        <v>-0.57295500637529095</v>
      </c>
      <c r="E17" s="1">
        <v>-19.200345588117301</v>
      </c>
      <c r="F17" s="1">
        <v>2.2301753563749198</v>
      </c>
      <c r="G17" s="1">
        <v>2.1971120045464201E-5</v>
      </c>
      <c r="Q17" s="1">
        <f t="shared" si="0"/>
        <v>-72.731666965641253</v>
      </c>
      <c r="R17" s="1">
        <f t="shared" si="1"/>
        <v>-0.80812963295156948</v>
      </c>
      <c r="S17" s="1">
        <f t="shared" si="2"/>
        <v>1.6243830570350328</v>
      </c>
    </row>
    <row r="18" spans="1:19">
      <c r="A18">
        <v>0</v>
      </c>
      <c r="B18">
        <v>16</v>
      </c>
      <c r="C18" s="1">
        <v>1.67368355551418</v>
      </c>
      <c r="D18" s="1">
        <v>-0.56929765701052204</v>
      </c>
      <c r="E18" s="1">
        <v>-18.7855585792373</v>
      </c>
      <c r="F18" s="1">
        <v>2.18875595063763</v>
      </c>
      <c r="G18" s="1">
        <v>2.11625916331116E-5</v>
      </c>
      <c r="Q18" s="1">
        <f t="shared" si="0"/>
        <v>-71.591546198350187</v>
      </c>
      <c r="R18" s="1">
        <f t="shared" si="1"/>
        <v>-0.79546162442611312</v>
      </c>
      <c r="S18" s="1">
        <f t="shared" si="2"/>
        <v>1.594214585878811</v>
      </c>
    </row>
    <row r="19" spans="1:19">
      <c r="A19">
        <v>0</v>
      </c>
      <c r="B19">
        <v>17</v>
      </c>
      <c r="C19" s="1">
        <v>1.7019566465923299</v>
      </c>
      <c r="D19" s="1">
        <v>-0.56540810393085394</v>
      </c>
      <c r="E19" s="1">
        <v>-18.3770362190252</v>
      </c>
      <c r="F19" s="1">
        <v>2.1494326347032402</v>
      </c>
      <c r="G19" s="1">
        <v>2.04090057889606E-5</v>
      </c>
      <c r="Q19" s="1">
        <f t="shared" si="0"/>
        <v>-70.44948790393893</v>
      </c>
      <c r="R19" s="1">
        <f t="shared" si="1"/>
        <v>-0.78277208782154373</v>
      </c>
      <c r="S19" s="1">
        <f t="shared" si="2"/>
        <v>1.5655728344722817</v>
      </c>
    </row>
    <row r="20" spans="1:19">
      <c r="A20">
        <v>0</v>
      </c>
      <c r="B20">
        <v>18</v>
      </c>
      <c r="C20" s="1">
        <v>1.7300723144600401</v>
      </c>
      <c r="D20" s="1">
        <v>-0.56128756856968998</v>
      </c>
      <c r="E20" s="1">
        <v>-17.974624296962499</v>
      </c>
      <c r="F20" s="1">
        <v>2.1119483737902098</v>
      </c>
      <c r="G20" s="1">
        <v>1.9703381551141499E-5</v>
      </c>
      <c r="Q20" s="1">
        <f t="shared" si="0"/>
        <v>-69.305714549992445</v>
      </c>
      <c r="R20" s="1">
        <f t="shared" si="1"/>
        <v>-0.77006349499991611</v>
      </c>
      <c r="S20" s="1">
        <f t="shared" si="2"/>
        <v>1.5382705875173248</v>
      </c>
    </row>
    <row r="21" spans="1:19">
      <c r="A21">
        <v>0</v>
      </c>
      <c r="B21">
        <v>19</v>
      </c>
      <c r="C21" s="1">
        <v>1.7580129746222299</v>
      </c>
      <c r="D21" s="1">
        <v>-0.55693755774280296</v>
      </c>
      <c r="E21" s="1">
        <v>-17.578173486275698</v>
      </c>
      <c r="F21" s="1">
        <v>2.0760549195757099</v>
      </c>
      <c r="G21" s="1">
        <v>1.9039338186776799E-5</v>
      </c>
      <c r="Q21" s="1">
        <f t="shared" si="0"/>
        <v>-68.16045063915621</v>
      </c>
      <c r="R21" s="1">
        <f t="shared" si="1"/>
        <v>-0.75733834043506898</v>
      </c>
      <c r="S21" s="1">
        <f t="shared" si="2"/>
        <v>1.5121270294702711</v>
      </c>
    </row>
    <row r="22" spans="1:19">
      <c r="A22">
        <v>0</v>
      </c>
      <c r="B22">
        <v>20</v>
      </c>
      <c r="C22" s="1">
        <v>1.7857611616378199</v>
      </c>
      <c r="D22" s="1">
        <v>-0.55235986262822501</v>
      </c>
      <c r="E22" s="1">
        <v>-17.187539173748</v>
      </c>
      <c r="F22" s="1">
        <v>2.04143126716352</v>
      </c>
      <c r="G22" s="1">
        <v>1.8409572198461599E-5</v>
      </c>
      <c r="Q22" s="1">
        <f t="shared" si="0"/>
        <v>-67.013922450215219</v>
      </c>
      <c r="R22" s="1">
        <f t="shared" si="1"/>
        <v>-0.74459913833572466</v>
      </c>
      <c r="S22" s="1">
        <f t="shared" si="2"/>
        <v>1.4869083514007353</v>
      </c>
    </row>
    <row r="23" spans="1:19">
      <c r="A23">
        <v>0</v>
      </c>
      <c r="B23">
        <v>21</v>
      </c>
      <c r="C23" s="1">
        <v>1.8132995649391801</v>
      </c>
      <c r="D23" s="1">
        <v>-0.54755655688089799</v>
      </c>
      <c r="E23" s="1">
        <v>-16.802581294934299</v>
      </c>
      <c r="F23" s="1">
        <v>2.0078969111181699</v>
      </c>
      <c r="G23" s="1">
        <v>1.7809716044499401E-5</v>
      </c>
      <c r="Q23" s="1">
        <f t="shared" si="0"/>
        <v>-65.866357773920143</v>
      </c>
      <c r="R23" s="1">
        <f t="shared" si="1"/>
        <v>-0.73184841971022385</v>
      </c>
      <c r="S23" s="1">
        <f t="shared" si="2"/>
        <v>1.4624830793552266</v>
      </c>
    </row>
    <row r="24" spans="1:19">
      <c r="A24">
        <v>0</v>
      </c>
      <c r="B24">
        <v>22</v>
      </c>
      <c r="C24" s="1">
        <v>1.84061106442221</v>
      </c>
      <c r="D24" s="1">
        <v>-0.54252999388270995</v>
      </c>
      <c r="E24" s="1">
        <v>-16.423164174726502</v>
      </c>
      <c r="F24" s="1">
        <v>1.9754328557541501</v>
      </c>
      <c r="G24" s="1">
        <v>1.7238470002473999E-5</v>
      </c>
      <c r="Q24" s="1">
        <f t="shared" si="0"/>
        <v>-64.717985644309891</v>
      </c>
      <c r="R24" s="1">
        <f t="shared" si="1"/>
        <v>-0.71908872938122104</v>
      </c>
      <c r="S24" s="1">
        <f t="shared" si="2"/>
        <v>1.4388373775294836</v>
      </c>
    </row>
    <row r="25" spans="1:19">
      <c r="A25">
        <v>0</v>
      </c>
      <c r="B25">
        <v>23</v>
      </c>
      <c r="C25" s="1">
        <v>1.8676787656549201</v>
      </c>
      <c r="D25" s="1">
        <v>-0.53728280313347099</v>
      </c>
      <c r="E25" s="1">
        <v>-16.049156373194901</v>
      </c>
      <c r="F25" s="1">
        <v>1.94394250692142</v>
      </c>
      <c r="G25" s="1">
        <v>1.6693254116002499E-5</v>
      </c>
      <c r="Q25" s="1">
        <f t="shared" si="0"/>
        <v>-63.569036066320002</v>
      </c>
      <c r="R25" s="1">
        <f t="shared" si="1"/>
        <v>-0.70632262295911119</v>
      </c>
      <c r="S25" s="1">
        <f t="shared" si="2"/>
        <v>1.4159008900654861</v>
      </c>
    </row>
    <row r="26" spans="1:19">
      <c r="A26">
        <v>0</v>
      </c>
      <c r="B26">
        <v>24</v>
      </c>
      <c r="C26" s="1">
        <v>1.8944860345537</v>
      </c>
      <c r="D26" s="1">
        <v>-0.53181788579322697</v>
      </c>
      <c r="E26" s="1">
        <v>-15.6804305366219</v>
      </c>
      <c r="F26" s="1">
        <v>1.91333257756649</v>
      </c>
      <c r="G26" s="1">
        <v>1.6171678702248999E-5</v>
      </c>
      <c r="Q26" s="1">
        <f t="shared" si="0"/>
        <v>-62.419739740476849</v>
      </c>
      <c r="R26" s="1">
        <f t="shared" si="1"/>
        <v>-0.69355266378307612</v>
      </c>
      <c r="S26" s="1">
        <f t="shared" si="2"/>
        <v>1.393605669880644</v>
      </c>
    </row>
    <row r="27" spans="1:19">
      <c r="A27">
        <v>0</v>
      </c>
      <c r="B27">
        <v>25</v>
      </c>
      <c r="C27" s="1">
        <v>1.9210165313783301</v>
      </c>
      <c r="D27" s="1">
        <v>-0.52613840939116396</v>
      </c>
      <c r="E27" s="1">
        <v>-15.316863253627901</v>
      </c>
      <c r="F27" s="1">
        <v>1.88351297723626</v>
      </c>
      <c r="G27" s="1">
        <v>1.5671530258397198E-5</v>
      </c>
      <c r="Q27" s="1">
        <f t="shared" si="0"/>
        <v>-61.270327785503504</v>
      </c>
      <c r="R27" s="1">
        <f t="shared" si="1"/>
        <v>-0.68078141983892781</v>
      </c>
      <c r="S27" s="1">
        <f t="shared" si="2"/>
        <v>1.3718860981861933</v>
      </c>
    </row>
    <row r="28" spans="1:19">
      <c r="A28">
        <v>0</v>
      </c>
      <c r="B28">
        <v>26</v>
      </c>
      <c r="C28" s="1">
        <v>1.9472542439004401</v>
      </c>
      <c r="D28" s="1">
        <v>-0.52024780172110396</v>
      </c>
      <c r="E28" s="1">
        <v>-14.9583349162824</v>
      </c>
      <c r="F28" s="1">
        <v>1.85438725087184</v>
      </c>
      <c r="G28" s="1">
        <v>1.5190603831739699E-5</v>
      </c>
      <c r="I28" t="s">
        <v>2</v>
      </c>
      <c r="J28">
        <v>1</v>
      </c>
      <c r="L28" t="s">
        <v>3</v>
      </c>
      <c r="M28">
        <v>13.5</v>
      </c>
      <c r="Q28" s="1">
        <f t="shared" si="0"/>
        <v>-60.121031459660777</v>
      </c>
      <c r="R28" s="1">
        <f t="shared" si="1"/>
        <v>-0.66801146066289752</v>
      </c>
      <c r="S28" s="1">
        <f t="shared" si="2"/>
        <v>1.3506719204333257</v>
      </c>
    </row>
    <row r="29" spans="1:19">
      <c r="A29">
        <v>0</v>
      </c>
      <c r="B29">
        <v>27</v>
      </c>
      <c r="C29" s="1">
        <v>1.97318351960398</v>
      </c>
      <c r="D29" s="1">
        <v>-0.51414974394824597</v>
      </c>
      <c r="E29" s="1">
        <v>-14.6047295860846</v>
      </c>
      <c r="F29" s="1">
        <v>1.8258644034815099</v>
      </c>
      <c r="G29" s="1">
        <v>1.4726895854901999E-5</v>
      </c>
      <c r="I29" t="s">
        <v>4</v>
      </c>
      <c r="J29">
        <v>0.4</v>
      </c>
      <c r="L29" t="s">
        <v>5</v>
      </c>
      <c r="M29">
        <v>1.2000000000000002</v>
      </c>
      <c r="Q29" s="1">
        <f t="shared" si="0"/>
        <v>-58.972081881670398</v>
      </c>
      <c r="R29" s="1">
        <f t="shared" si="1"/>
        <v>-0.65524535424078223</v>
      </c>
      <c r="S29" s="1">
        <f t="shared" si="2"/>
        <v>1.3298968589984441</v>
      </c>
    </row>
    <row r="30" spans="1:19">
      <c r="A30">
        <v>0</v>
      </c>
      <c r="B30">
        <v>28</v>
      </c>
      <c r="C30" s="1">
        <v>1.9987890967817901</v>
      </c>
      <c r="D30" s="1">
        <v>-0.50784816295621404</v>
      </c>
      <c r="E30" s="1">
        <v>-14.255934864692501</v>
      </c>
      <c r="F30" s="1">
        <v>1.79786041531797</v>
      </c>
      <c r="G30" s="1">
        <v>1.42786159533993E-5</v>
      </c>
      <c r="I30" t="s">
        <v>6</v>
      </c>
      <c r="J30">
        <v>0.5</v>
      </c>
      <c r="L30" t="s">
        <v>7</v>
      </c>
      <c r="M30">
        <v>0.60000000000000009</v>
      </c>
      <c r="Q30" s="1">
        <f t="shared" si="0"/>
        <v>-57.823709752060346</v>
      </c>
      <c r="R30" s="1">
        <f t="shared" si="1"/>
        <v>-0.64248566391178163</v>
      </c>
      <c r="S30" s="1">
        <f t="shared" si="2"/>
        <v>1.309499716786181</v>
      </c>
    </row>
    <row r="31" spans="1:19">
      <c r="A31">
        <v>0</v>
      </c>
      <c r="B31">
        <v>29</v>
      </c>
      <c r="C31" s="1">
        <v>2.0240561343989301</v>
      </c>
      <c r="D31" s="1">
        <v>-0.501347222967789</v>
      </c>
      <c r="E31" s="1">
        <v>-13.911841769274799</v>
      </c>
      <c r="F31" s="1">
        <v>1.7702907538080499</v>
      </c>
      <c r="G31" s="1">
        <v>1.3844056850711799E-5</v>
      </c>
      <c r="I31" t="s">
        <v>8</v>
      </c>
      <c r="J31">
        <v>2</v>
      </c>
      <c r="L31" t="s">
        <v>9</v>
      </c>
      <c r="M31">
        <v>1.5</v>
      </c>
      <c r="Q31" s="1">
        <f t="shared" si="0"/>
        <v>-56.676145075765206</v>
      </c>
      <c r="R31" s="1">
        <f t="shared" si="1"/>
        <v>-0.62973494528628005</v>
      </c>
      <c r="S31" s="1">
        <f t="shared" si="2"/>
        <v>1.2894189231764357</v>
      </c>
    </row>
    <row r="32" spans="1:19">
      <c r="A32">
        <v>0</v>
      </c>
      <c r="B32">
        <v>30</v>
      </c>
      <c r="C32" s="1">
        <v>2.0489702406000601</v>
      </c>
      <c r="D32" s="1">
        <v>-0.49465131647664101</v>
      </c>
      <c r="E32" s="1">
        <v>-13.572344612355201</v>
      </c>
      <c r="F32" s="1">
        <v>1.7444328496468899</v>
      </c>
      <c r="G32" s="1">
        <v>1.3442581698561801E-5</v>
      </c>
      <c r="I32" t="s">
        <v>10</v>
      </c>
      <c r="J32">
        <v>0.2</v>
      </c>
      <c r="L32" t="s">
        <v>11</v>
      </c>
      <c r="M32">
        <v>1.2000000000000002</v>
      </c>
      <c r="Q32" s="1">
        <f t="shared" si="0"/>
        <v>-55.529616886824172</v>
      </c>
      <c r="R32" s="1">
        <f t="shared" si="1"/>
        <v>-0.61699574318693529</v>
      </c>
      <c r="S32" s="1">
        <f t="shared" si="2"/>
        <v>1.2705849147699853</v>
      </c>
    </row>
    <row r="33" spans="1:19">
      <c r="A33">
        <v>0</v>
      </c>
      <c r="B33">
        <v>31</v>
      </c>
      <c r="C33" s="1">
        <v>2.0735174997469001</v>
      </c>
      <c r="D33" s="1">
        <v>-0.48776505453111901</v>
      </c>
      <c r="E33" s="1">
        <v>-13.23734088602</v>
      </c>
      <c r="F33" s="1">
        <v>1.72043768822562</v>
      </c>
      <c r="G33" s="1">
        <v>1.3075312201704301E-5</v>
      </c>
      <c r="I33" t="s">
        <v>17</v>
      </c>
      <c r="J33" s="1">
        <v>1</v>
      </c>
      <c r="L33" t="s">
        <v>12</v>
      </c>
      <c r="M33">
        <v>27</v>
      </c>
      <c r="Q33" s="1">
        <f t="shared" si="0"/>
        <v>-54.384352975987895</v>
      </c>
      <c r="R33" s="1">
        <f t="shared" si="1"/>
        <v>-0.60427058862208771</v>
      </c>
      <c r="S33" s="1">
        <f t="shared" si="2"/>
        <v>1.2531076641349106</v>
      </c>
    </row>
    <row r="34" spans="1:19">
      <c r="A34">
        <v>0</v>
      </c>
      <c r="B34">
        <v>32</v>
      </c>
      <c r="C34" s="1">
        <v>2.09768449788033</v>
      </c>
      <c r="D34" s="1">
        <v>-0.480693256414577</v>
      </c>
      <c r="E34" s="1">
        <v>-12.9067311503558</v>
      </c>
      <c r="F34" s="1">
        <v>1.6970108294525501</v>
      </c>
      <c r="G34" s="1">
        <v>1.2721648724777201E-5</v>
      </c>
      <c r="Q34" s="1">
        <f t="shared" si="0"/>
        <v>-53.240579622041665</v>
      </c>
      <c r="R34" s="1">
        <f t="shared" si="1"/>
        <v>-0.59156199580046298</v>
      </c>
      <c r="S34" s="1">
        <f t="shared" si="2"/>
        <v>1.2360443456107639</v>
      </c>
    </row>
    <row r="35" spans="1:19">
      <c r="A35">
        <v>0</v>
      </c>
      <c r="B35">
        <v>33</v>
      </c>
      <c r="C35" s="1">
        <v>2.12145834651123</v>
      </c>
      <c r="D35" s="1">
        <v>-0.47344093876972898</v>
      </c>
      <c r="E35" s="1">
        <v>-12.5804189259847</v>
      </c>
      <c r="F35" s="1">
        <v>1.6741096050029201</v>
      </c>
      <c r="G35" s="1">
        <v>1.238060729273E-5</v>
      </c>
      <c r="Q35" s="1">
        <f t="shared" si="0"/>
        <v>-52.098521327630124</v>
      </c>
      <c r="R35" s="1">
        <f t="shared" si="1"/>
        <v>-0.57887245919589025</v>
      </c>
      <c r="S35" s="1">
        <f t="shared" si="2"/>
        <v>1.2193638810567105</v>
      </c>
    </row>
    <row r="36" spans="1:19">
      <c r="A36">
        <v>0</v>
      </c>
      <c r="B36">
        <v>34</v>
      </c>
      <c r="C36" s="1">
        <v>2.1448267046545202</v>
      </c>
      <c r="D36" s="1">
        <v>-0.46601330421723403</v>
      </c>
      <c r="E36" s="1">
        <v>-12.2583105905652</v>
      </c>
      <c r="F36" s="1">
        <v>1.6517059545141499</v>
      </c>
      <c r="G36" s="1">
        <v>1.20514593677743E-5</v>
      </c>
      <c r="Q36" s="1">
        <f t="shared" si="0"/>
        <v>-50.958400560339143</v>
      </c>
      <c r="R36" s="1">
        <f t="shared" si="1"/>
        <v>-0.5662044506704349</v>
      </c>
      <c r="S36" s="1">
        <f t="shared" si="2"/>
        <v>1.2030458322693509</v>
      </c>
    </row>
    <row r="37" spans="1:19">
      <c r="A37">
        <v>0</v>
      </c>
      <c r="B37">
        <v>35</v>
      </c>
      <c r="C37" s="1">
        <v>2.1677777990314402</v>
      </c>
      <c r="D37" s="1">
        <v>-0.45841572952102499</v>
      </c>
      <c r="E37" s="1">
        <v>-11.9403152791284</v>
      </c>
      <c r="F37" s="1">
        <v>1.6297673763878699</v>
      </c>
      <c r="G37" s="1">
        <v>1.17334414953192E-5</v>
      </c>
      <c r="Q37" s="1">
        <f t="shared" si="0"/>
        <v>-49.82043749976566</v>
      </c>
      <c r="R37" s="1">
        <f t="shared" si="1"/>
        <v>-0.55356041666406286</v>
      </c>
      <c r="S37" s="1">
        <f t="shared" si="2"/>
        <v>1.187066526201825</v>
      </c>
    </row>
    <row r="38" spans="1:19">
      <c r="A38">
        <v>0</v>
      </c>
      <c r="B38">
        <v>36</v>
      </c>
      <c r="C38" s="1">
        <v>2.1903004423761301</v>
      </c>
      <c r="D38" s="1">
        <v>-0.45065375335476399</v>
      </c>
      <c r="E38" s="1">
        <v>-11.6263447881182</v>
      </c>
      <c r="F38" s="1">
        <v>1.60825612452336</v>
      </c>
      <c r="G38" s="1">
        <v>1.14257469101013E-5</v>
      </c>
      <c r="Q38" s="1">
        <f t="shared" si="0"/>
        <v>-48.684849791273336</v>
      </c>
      <c r="R38" s="1">
        <f t="shared" si="1"/>
        <v>-0.5409427754585926</v>
      </c>
      <c r="S38" s="1">
        <f t="shared" si="2"/>
        <v>1.1713984698920641</v>
      </c>
    </row>
    <row r="39" spans="1:19">
      <c r="A39">
        <v>0</v>
      </c>
      <c r="B39">
        <v>37</v>
      </c>
      <c r="C39" s="1">
        <v>2.2123840497941099</v>
      </c>
      <c r="D39" s="1">
        <v>-0.44273306372529903</v>
      </c>
      <c r="E39" s="1">
        <v>-11.316313483009999</v>
      </c>
      <c r="F39" s="1">
        <v>1.5871358830328599</v>
      </c>
      <c r="G39" s="1">
        <v>1.11276227339882E-5</v>
      </c>
      <c r="Q39" s="1">
        <f t="shared" si="0"/>
        <v>-47.551852307092588</v>
      </c>
      <c r="R39" s="1">
        <f t="shared" si="1"/>
        <v>-0.52835391452325098</v>
      </c>
      <c r="S39" s="1">
        <f t="shared" si="2"/>
        <v>1.1560152120959497</v>
      </c>
    </row>
    <row r="40" spans="1:19">
      <c r="A40">
        <v>0</v>
      </c>
      <c r="B40">
        <v>38</v>
      </c>
      <c r="C40" s="1">
        <v>2.2340186531316002</v>
      </c>
      <c r="D40" s="1">
        <v>-0.43465948511005897</v>
      </c>
      <c r="E40" s="1">
        <v>-11.010138209380999</v>
      </c>
      <c r="F40" s="1">
        <v>1.56637390263877</v>
      </c>
      <c r="G40" s="1">
        <v>1.0838396867037501E-5</v>
      </c>
      <c r="Q40" s="1">
        <f t="shared" si="0"/>
        <v>-46.421656915390201</v>
      </c>
      <c r="R40" s="1">
        <f t="shared" si="1"/>
        <v>-0.51579618794878002</v>
      </c>
      <c r="S40" s="1">
        <f t="shared" si="2"/>
        <v>1.1408928993655854</v>
      </c>
    </row>
    <row r="41" spans="1:19">
      <c r="A41">
        <v>0</v>
      </c>
      <c r="B41">
        <v>39</v>
      </c>
      <c r="C41" s="1">
        <v>2.2551949133264801</v>
      </c>
      <c r="D41" s="1">
        <v>-0.42643896536595199</v>
      </c>
      <c r="E41" s="1">
        <v>-10.707738207309401</v>
      </c>
      <c r="F41" s="1">
        <v>1.54593102815981</v>
      </c>
      <c r="G41" s="1">
        <v>1.05573373635087E-5</v>
      </c>
      <c r="Q41" s="1">
        <f t="shared" si="0"/>
        <v>-45.294472257885914</v>
      </c>
      <c r="R41" s="1">
        <f t="shared" si="1"/>
        <v>-0.50327191397651017</v>
      </c>
      <c r="S41" s="1">
        <f t="shared" si="2"/>
        <v>1.1260030124130664</v>
      </c>
    </row>
    <row r="42" spans="1:19">
      <c r="A42">
        <v>0</v>
      </c>
      <c r="B42">
        <v>40</v>
      </c>
      <c r="C42" s="1">
        <v>2.2759041307232701</v>
      </c>
      <c r="D42" s="1">
        <v>-0.41807756246755101</v>
      </c>
      <c r="E42" s="1">
        <v>-10.4090350289828</v>
      </c>
      <c r="F42" s="1">
        <v>1.52567289683211</v>
      </c>
      <c r="G42" s="1">
        <v>1.02824601320222E-5</v>
      </c>
      <c r="Q42" s="1">
        <f t="shared" si="0"/>
        <v>-44.170503536550285</v>
      </c>
      <c r="R42" s="1">
        <f t="shared" si="1"/>
        <v>-0.49078337262833649</v>
      </c>
      <c r="S42" s="1">
        <f t="shared" si="2"/>
        <v>1.1112476860205285</v>
      </c>
    </row>
    <row r="43" spans="1:19">
      <c r="A43">
        <v>0</v>
      </c>
      <c r="B43">
        <v>41</v>
      </c>
      <c r="C43" s="1">
        <v>2.2961382533459198</v>
      </c>
      <c r="D43" s="1">
        <v>-0.409581431132167</v>
      </c>
      <c r="E43" s="1">
        <v>-10.113952459398901</v>
      </c>
      <c r="F43" s="1">
        <v>1.5057060086998799</v>
      </c>
      <c r="G43" s="1">
        <v>1.0015082679698E-5</v>
      </c>
      <c r="Q43" s="1">
        <f t="shared" si="0"/>
        <v>-43.049952309875223</v>
      </c>
      <c r="R43" s="1">
        <f t="shared" si="1"/>
        <v>-0.47833280344305801</v>
      </c>
      <c r="S43" s="1">
        <f t="shared" si="2"/>
        <v>1.0967044911587447</v>
      </c>
    </row>
    <row r="44" spans="1:19">
      <c r="A44">
        <v>0</v>
      </c>
      <c r="B44">
        <v>42</v>
      </c>
      <c r="C44" s="1">
        <v>2.31588988313352</v>
      </c>
      <c r="D44" s="1">
        <v>-0.40095680938878298</v>
      </c>
      <c r="E44" s="1">
        <v>-9.8224164400427991</v>
      </c>
      <c r="F44" s="1">
        <v>1.4861570489368601</v>
      </c>
      <c r="G44" s="1">
        <v>9.7567141962879196E-6</v>
      </c>
      <c r="Q44" s="1">
        <f t="shared" si="0"/>
        <v>-41.93301629915733</v>
      </c>
      <c r="R44" s="1">
        <f t="shared" si="1"/>
        <v>-0.46592240332397034</v>
      </c>
      <c r="S44" s="1">
        <f t="shared" si="2"/>
        <v>1.0824657009528813</v>
      </c>
    </row>
    <row r="45" spans="1:19">
      <c r="A45">
        <v>0</v>
      </c>
      <c r="B45">
        <v>43</v>
      </c>
      <c r="C45" s="1">
        <v>2.33515228015527</v>
      </c>
      <c r="D45" s="1">
        <v>-0.39221000514688398</v>
      </c>
      <c r="E45" s="1">
        <v>-9.5343549954316398</v>
      </c>
      <c r="F45" s="1">
        <v>1.4669738145344</v>
      </c>
      <c r="G45" s="1">
        <v>9.5064615388444999E-6</v>
      </c>
      <c r="Q45" s="1">
        <f t="shared" si="0"/>
        <v>-40.819889205180566</v>
      </c>
      <c r="R45" s="1">
        <f t="shared" si="1"/>
        <v>-0.45355432450200628</v>
      </c>
      <c r="S45" s="1">
        <f t="shared" si="2"/>
        <v>1.0684932925261563</v>
      </c>
    </row>
    <row r="46" spans="1:19">
      <c r="A46">
        <v>0</v>
      </c>
      <c r="B46">
        <v>44</v>
      </c>
      <c r="C46" s="1">
        <v>2.35391936483117</v>
      </c>
      <c r="D46" s="1">
        <v>-0.38334738281983299</v>
      </c>
      <c r="E46" s="1">
        <v>-9.24969816241817</v>
      </c>
      <c r="F46" s="1">
        <v>1.4481063317293701</v>
      </c>
      <c r="G46" s="1">
        <v>9.2634993819183494E-6</v>
      </c>
      <c r="Q46" s="1">
        <f t="shared" si="0"/>
        <v>-39.710760535643772</v>
      </c>
      <c r="R46" s="1">
        <f t="shared" si="1"/>
        <v>-0.44123067261826415</v>
      </c>
      <c r="S46" s="1">
        <f t="shared" si="2"/>
        <v>1.054750866707584</v>
      </c>
    </row>
    <row r="47" spans="1:19">
      <c r="A47">
        <v>0</v>
      </c>
      <c r="B47">
        <v>45</v>
      </c>
      <c r="C47" s="1">
        <v>2.3721857181954</v>
      </c>
      <c r="D47" s="1">
        <v>-0.37437535005578498</v>
      </c>
      <c r="E47" s="1">
        <v>-8.9683779221483704</v>
      </c>
      <c r="F47" s="1">
        <v>1.4295151613958399</v>
      </c>
      <c r="G47" s="1">
        <v>9.0271717134035095E-6</v>
      </c>
      <c r="Q47" s="1">
        <f t="shared" si="0"/>
        <v>-38.60581544361839</v>
      </c>
      <c r="R47" s="1">
        <f t="shared" si="1"/>
        <v>-0.42895350492909323</v>
      </c>
      <c r="S47" s="1">
        <f t="shared" si="2"/>
        <v>1.0412096973937384</v>
      </c>
    </row>
    <row r="48" spans="1:19">
      <c r="A48">
        <v>0</v>
      </c>
      <c r="B48">
        <v>46</v>
      </c>
      <c r="C48" s="1">
        <v>2.3899465802487398</v>
      </c>
      <c r="D48" s="1">
        <v>-0.36530034462710897</v>
      </c>
      <c r="E48" s="1">
        <v>-8.6903281345724697</v>
      </c>
      <c r="F48" s="1">
        <v>1.4111593412230701</v>
      </c>
      <c r="G48" s="1">
        <v>8.7968316725836505E-6</v>
      </c>
      <c r="Q48" s="1">
        <f t="shared" si="0"/>
        <v>-37.505234577273853</v>
      </c>
      <c r="R48" s="1">
        <f t="shared" si="1"/>
        <v>-0.41672482863637617</v>
      </c>
      <c r="S48" s="1">
        <f t="shared" si="2"/>
        <v>1.0278399490457448</v>
      </c>
    </row>
    <row r="49" spans="1:19">
      <c r="A49">
        <v>0</v>
      </c>
      <c r="B49">
        <v>47</v>
      </c>
      <c r="C49" s="1">
        <v>2.4071978464552402</v>
      </c>
      <c r="D49" s="1">
        <v>-0.35612882152699499</v>
      </c>
      <c r="E49" s="1">
        <v>-8.4154844754112705</v>
      </c>
      <c r="F49" s="1">
        <v>1.39299773902352</v>
      </c>
      <c r="G49" s="1">
        <v>8.5718585332108505E-6</v>
      </c>
      <c r="Q49" s="1">
        <f t="shared" si="0"/>
        <v>-36.409193941058298</v>
      </c>
      <c r="R49" s="1">
        <f t="shared" si="1"/>
        <v>-0.40454659934509218</v>
      </c>
      <c r="S49" s="1">
        <f t="shared" si="2"/>
        <v>1.0146116623923076</v>
      </c>
    </row>
    <row r="50" spans="1:19">
      <c r="A50">
        <v>0</v>
      </c>
      <c r="B50">
        <v>48</v>
      </c>
      <c r="C50" s="1">
        <v>2.4239360624467201</v>
      </c>
      <c r="D50" s="1">
        <v>-0.34686724031937699</v>
      </c>
      <c r="E50" s="1">
        <v>-8.1437843754830901</v>
      </c>
      <c r="F50" s="1">
        <v>1.3749932115635</v>
      </c>
      <c r="G50" s="1">
        <v>8.3517075824252899E-6</v>
      </c>
      <c r="Q50" s="1">
        <f t="shared" si="0"/>
        <v>-35.317864768469363</v>
      </c>
      <c r="R50" s="1">
        <f t="shared" si="1"/>
        <v>-0.39242071964965958</v>
      </c>
      <c r="S50" s="1">
        <f t="shared" si="2"/>
        <v>1.0014977835789762</v>
      </c>
    </row>
    <row r="51" spans="1:19">
      <c r="A51">
        <v>0</v>
      </c>
      <c r="B51">
        <v>49</v>
      </c>
      <c r="C51" s="1">
        <v>2.44015841700628</v>
      </c>
      <c r="D51" s="1">
        <v>-0.337522052785517</v>
      </c>
      <c r="E51" s="1">
        <v>-7.8751669623000602</v>
      </c>
      <c r="F51" s="1">
        <v>1.3571147352507</v>
      </c>
      <c r="G51" s="1">
        <v>8.1359318845508496E-6</v>
      </c>
      <c r="Q51" s="1">
        <f t="shared" si="0"/>
        <v>-34.231413406498412</v>
      </c>
      <c r="R51" s="1">
        <f t="shared" si="1"/>
        <v>-0.38034903784998242</v>
      </c>
      <c r="S51" s="1">
        <f t="shared" si="2"/>
        <v>0.98847571608769147</v>
      </c>
    </row>
    <row r="52" spans="1:19">
      <c r="A52">
        <v>1</v>
      </c>
      <c r="B52">
        <v>0</v>
      </c>
      <c r="C52" s="1">
        <v>2.4528787915094501</v>
      </c>
      <c r="D52" s="1">
        <v>-0.32991992574823398</v>
      </c>
      <c r="E52" s="1">
        <v>-7.6604880940423303</v>
      </c>
      <c r="F52" s="1">
        <v>1.3448995063665099</v>
      </c>
      <c r="G52" s="1">
        <v>7.9901299069158008E-6</v>
      </c>
      <c r="Q52" s="1">
        <f t="shared" si="0"/>
        <v>-33.357857738005727</v>
      </c>
      <c r="R52" s="1">
        <f t="shared" si="1"/>
        <v>-0.37064286375561922</v>
      </c>
      <c r="S52" s="1">
        <f t="shared" si="2"/>
        <v>0.97957856332319482</v>
      </c>
    </row>
    <row r="53" spans="1:19">
      <c r="A53">
        <v>1</v>
      </c>
      <c r="B53">
        <v>1</v>
      </c>
      <c r="C53" s="1">
        <v>2.4623707647178001</v>
      </c>
      <c r="D53" s="1">
        <v>-0.324079015645443</v>
      </c>
      <c r="E53" s="1">
        <v>-7.4977529057006098</v>
      </c>
      <c r="F53" s="1">
        <v>1.33468451458791</v>
      </c>
      <c r="G53" s="1">
        <v>7.8692150760558508E-6</v>
      </c>
      <c r="Q53" s="1">
        <f t="shared" si="0"/>
        <v>-32.692604191122157</v>
      </c>
      <c r="R53" s="1">
        <f t="shared" si="1"/>
        <v>-0.36325115767913507</v>
      </c>
      <c r="S53" s="1">
        <f t="shared" si="2"/>
        <v>0.97213831449904797</v>
      </c>
    </row>
    <row r="54" spans="1:19">
      <c r="A54">
        <v>1</v>
      </c>
      <c r="B54">
        <v>2</v>
      </c>
      <c r="C54" s="1">
        <v>2.4717075069767098</v>
      </c>
      <c r="D54" s="1">
        <v>-0.31818485613216002</v>
      </c>
      <c r="E54" s="1">
        <v>-7.3353886454501804</v>
      </c>
      <c r="F54" s="1">
        <v>1.3245089830624699</v>
      </c>
      <c r="G54" s="1">
        <v>7.7496838934660397E-6</v>
      </c>
      <c r="Q54" s="1">
        <f t="shared" si="0"/>
        <v>-32.026273830686144</v>
      </c>
      <c r="R54" s="1">
        <f t="shared" si="1"/>
        <v>-0.35584748700762386</v>
      </c>
      <c r="S54" s="1">
        <f t="shared" si="2"/>
        <v>0.96472680716667469</v>
      </c>
    </row>
    <row r="55" spans="1:19">
      <c r="A55">
        <v>1</v>
      </c>
      <c r="B55">
        <v>3</v>
      </c>
      <c r="C55" s="1">
        <v>2.4808863450372001</v>
      </c>
      <c r="D55" s="1">
        <v>-0.31223841431756499</v>
      </c>
      <c r="E55" s="1">
        <v>-7.1733924369934803</v>
      </c>
      <c r="F55" s="1">
        <v>1.31437015925731</v>
      </c>
      <c r="G55" s="1">
        <v>7.6314937531404993E-6</v>
      </c>
      <c r="Q55" s="1">
        <f t="shared" si="0"/>
        <v>-31.35890920689852</v>
      </c>
      <c r="R55" s="1">
        <f t="shared" si="1"/>
        <v>-0.34843232452109463</v>
      </c>
      <c r="S55" s="1">
        <f t="shared" si="2"/>
        <v>0.95734203647575677</v>
      </c>
    </row>
    <row r="56" spans="1:19">
      <c r="A56">
        <v>1</v>
      </c>
      <c r="B56">
        <v>4</v>
      </c>
      <c r="C56" s="1">
        <v>2.4899046545197798</v>
      </c>
      <c r="D56" s="1">
        <v>-0.30624068501703899</v>
      </c>
      <c r="E56" s="1">
        <v>-7.0117614242880197</v>
      </c>
      <c r="F56" s="1">
        <v>1.30427007229585</v>
      </c>
      <c r="G56" s="1">
        <v>7.5146581725865497E-6</v>
      </c>
      <c r="Q56" s="1">
        <f t="shared" si="0"/>
        <v>-30.690553282752841</v>
      </c>
      <c r="R56" s="1">
        <f t="shared" si="1"/>
        <v>-0.34100614758614267</v>
      </c>
      <c r="S56" s="1">
        <f t="shared" si="2"/>
        <v>0.94998548037003228</v>
      </c>
    </row>
    <row r="57" spans="1:19">
      <c r="A57">
        <v>1</v>
      </c>
      <c r="B57">
        <v>5</v>
      </c>
      <c r="C57" s="1">
        <v>2.49875986210357</v>
      </c>
      <c r="D57" s="1">
        <v>-0.30019269027440398</v>
      </c>
      <c r="E57" s="1">
        <v>-6.8504927714762403</v>
      </c>
      <c r="F57" s="1">
        <v>1.2942089466125499</v>
      </c>
      <c r="G57" s="1">
        <v>7.3991693481441197E-6</v>
      </c>
      <c r="Q57" s="1">
        <f t="shared" si="0"/>
        <v>-30.021249418713847</v>
      </c>
      <c r="R57" s="1">
        <f t="shared" si="1"/>
        <v>-0.33356943798570943</v>
      </c>
      <c r="S57" s="1">
        <f t="shared" si="2"/>
        <v>0.94265730231984612</v>
      </c>
    </row>
    <row r="58" spans="1:19">
      <c r="A58">
        <v>1</v>
      </c>
      <c r="B58">
        <v>6</v>
      </c>
      <c r="C58" s="1">
        <v>2.5074494476820202</v>
      </c>
      <c r="D58" s="1">
        <v>-0.29409547885159598</v>
      </c>
      <c r="E58" s="1">
        <v>-6.6895836628138898</v>
      </c>
      <c r="F58" s="1">
        <v>1.2841894710305199</v>
      </c>
      <c r="G58" s="1">
        <v>7.2850473967482902E-6</v>
      </c>
      <c r="Q58" s="1">
        <f t="shared" si="0"/>
        <v>-29.351041357005901</v>
      </c>
      <c r="R58" s="1">
        <f t="shared" si="1"/>
        <v>-0.32612268174451003</v>
      </c>
      <c r="S58" s="1">
        <f t="shared" si="2"/>
        <v>0.93535946077151111</v>
      </c>
    </row>
    <row r="59" spans="1:19">
      <c r="A59">
        <v>1</v>
      </c>
      <c r="B59">
        <v>7</v>
      </c>
      <c r="C59" s="1">
        <v>2.5159709464814402</v>
      </c>
      <c r="D59" s="1">
        <v>-0.28795012568614797</v>
      </c>
      <c r="E59" s="1">
        <v>-6.5290313025970903</v>
      </c>
      <c r="F59" s="1">
        <v>1.27421406464772</v>
      </c>
      <c r="G59" s="1">
        <v>7.1723084908588398E-6</v>
      </c>
      <c r="Q59" s="1">
        <f t="shared" si="0"/>
        <v>-28.679973205527435</v>
      </c>
      <c r="R59" s="1">
        <f t="shared" si="1"/>
        <v>-0.31866636895030487</v>
      </c>
      <c r="S59" s="1">
        <f t="shared" si="2"/>
        <v>0.92809371771281368</v>
      </c>
    </row>
    <row r="60" spans="1:19">
      <c r="A60">
        <v>1</v>
      </c>
      <c r="B60">
        <v>8</v>
      </c>
      <c r="C60" s="1">
        <v>2.52432195113929</v>
      </c>
      <c r="D60" s="1">
        <v>-0.28175773131697901</v>
      </c>
      <c r="E60" s="1">
        <v>-6.3688329150880101</v>
      </c>
      <c r="F60" s="1">
        <v>1.2642853375807801</v>
      </c>
      <c r="G60" s="1">
        <v>7.0609701334359101E-6</v>
      </c>
      <c r="Q60" s="1">
        <f t="shared" si="0"/>
        <v>-28.008089421398527</v>
      </c>
      <c r="R60" s="1">
        <f t="shared" si="1"/>
        <v>-0.31120099357109476</v>
      </c>
      <c r="S60" s="1">
        <f t="shared" si="2"/>
        <v>0.92086197426297212</v>
      </c>
    </row>
    <row r="61" spans="1:19">
      <c r="A61">
        <v>1</v>
      </c>
      <c r="B61">
        <v>9</v>
      </c>
      <c r="C61" s="1">
        <v>2.5325001137383998</v>
      </c>
      <c r="D61" s="1">
        <v>-0.275519421279035</v>
      </c>
      <c r="E61" s="1">
        <v>-6.2089857444393504</v>
      </c>
      <c r="F61" s="1">
        <v>1.2544064190036699</v>
      </c>
      <c r="G61" s="1">
        <v>6.9510547197778896E-6</v>
      </c>
      <c r="Q61" s="1">
        <f t="shared" si="0"/>
        <v>-27.335434794164065</v>
      </c>
      <c r="R61" s="1">
        <f t="shared" si="1"/>
        <v>-0.30372705326848964</v>
      </c>
      <c r="S61" s="1">
        <f t="shared" si="2"/>
        <v>0.91366650960472628</v>
      </c>
    </row>
    <row r="62" spans="1:19">
      <c r="A62">
        <v>1</v>
      </c>
      <c r="B62">
        <v>10</v>
      </c>
      <c r="C62" s="1">
        <v>2.54050314779413</v>
      </c>
      <c r="D62" s="1">
        <v>-0.269236345467391</v>
      </c>
      <c r="E62" s="1">
        <v>-6.0494870546175203</v>
      </c>
      <c r="F62" s="1">
        <v>1.2446421909487999</v>
      </c>
      <c r="G62" s="1">
        <v>6.8432626552220699E-6</v>
      </c>
      <c r="Q62" s="1">
        <f t="shared" si="0"/>
        <v>-26.662054428660209</v>
      </c>
      <c r="R62" s="1">
        <f t="shared" si="1"/>
        <v>-0.29624504920733563</v>
      </c>
      <c r="S62" s="1">
        <f t="shared" si="2"/>
        <v>0.90655458157986546</v>
      </c>
    </row>
    <row r="63" spans="1:19">
      <c r="A63">
        <v>1</v>
      </c>
      <c r="B63">
        <v>11</v>
      </c>
      <c r="C63" s="1">
        <v>2.54832883019089</v>
      </c>
      <c r="D63" s="1">
        <v>-0.26290967747148303</v>
      </c>
      <c r="E63" s="1">
        <v>-5.8903341293248204</v>
      </c>
      <c r="F63" s="1">
        <v>1.2350188645255999</v>
      </c>
      <c r="G63" s="1">
        <v>6.7378502530002501E-6</v>
      </c>
      <c r="Q63" s="1">
        <f t="shared" si="0"/>
        <v>-25.987993727564053</v>
      </c>
      <c r="R63" s="1">
        <f t="shared" si="1"/>
        <v>-0.28875548586182281</v>
      </c>
      <c r="S63" s="1">
        <f t="shared" si="2"/>
        <v>0.89954528145937052</v>
      </c>
    </row>
    <row r="64" spans="1:19">
      <c r="A64">
        <v>1</v>
      </c>
      <c r="B64">
        <v>12</v>
      </c>
      <c r="C64" s="1">
        <v>2.5559750030650101</v>
      </c>
      <c r="D64" s="1">
        <v>-0.25654061388023303</v>
      </c>
      <c r="E64" s="1">
        <v>-5.7315242719203603</v>
      </c>
      <c r="F64" s="1">
        <v>1.22548725322986</v>
      </c>
      <c r="G64" s="1">
        <v>6.6342490151664203E-6</v>
      </c>
      <c r="Q64" s="1">
        <f t="shared" si="0"/>
        <v>-25.313298373640375</v>
      </c>
      <c r="R64" s="1">
        <f t="shared" si="1"/>
        <v>-0.28125887081822637</v>
      </c>
      <c r="S64" s="1">
        <f t="shared" si="2"/>
        <v>0.89260278348458755</v>
      </c>
    </row>
    <row r="65" spans="1:19">
      <c r="A65">
        <v>1</v>
      </c>
      <c r="B65">
        <v>13</v>
      </c>
      <c r="C65" s="1">
        <v>2.5634395756305501</v>
      </c>
      <c r="D65" s="1">
        <v>-0.25013037355885298</v>
      </c>
      <c r="E65" s="1">
        <v>-5.5730548053400701</v>
      </c>
      <c r="F65" s="1">
        <v>1.2160507870191399</v>
      </c>
      <c r="G65" s="1">
        <v>6.5324726219173996E-6</v>
      </c>
      <c r="Q65" s="1">
        <f t="shared" si="0"/>
        <v>-24.63801431170501</v>
      </c>
      <c r="R65" s="1">
        <f t="shared" si="1"/>
        <v>-0.2737557145745001</v>
      </c>
      <c r="S65" s="1">
        <f t="shared" si="2"/>
        <v>0.88572958591868256</v>
      </c>
    </row>
    <row r="66" spans="1:19">
      <c r="A66">
        <v>1</v>
      </c>
      <c r="B66">
        <v>14</v>
      </c>
      <c r="C66" s="1">
        <v>2.5707205259453101</v>
      </c>
      <c r="D66" s="1">
        <v>-0.243680196898198</v>
      </c>
      <c r="E66" s="1">
        <v>-5.4149230720155703</v>
      </c>
      <c r="F66" s="1">
        <v>1.20671339334504</v>
      </c>
      <c r="G66" s="1">
        <v>6.4325391478022296E-6</v>
      </c>
      <c r="Q66" s="1">
        <f t="shared" si="0"/>
        <v>-23.962187730316664</v>
      </c>
      <c r="R66" s="1">
        <f t="shared" si="1"/>
        <v>-0.26624653033685181</v>
      </c>
      <c r="S66" s="1">
        <f t="shared" si="2"/>
        <v>0.87892854938237708</v>
      </c>
    </row>
    <row r="67" spans="1:19">
      <c r="A67">
        <v>1</v>
      </c>
      <c r="B67">
        <v>15</v>
      </c>
      <c r="C67" s="1">
        <v>2.5778159026137102</v>
      </c>
      <c r="D67" s="1">
        <v>-0.23719134503761399</v>
      </c>
      <c r="E67" s="1">
        <v>-5.25712643379231</v>
      </c>
      <c r="F67" s="1">
        <v>1.19747952412914</v>
      </c>
      <c r="G67" s="1">
        <v>6.3344711735183897E-6</v>
      </c>
      <c r="Q67" s="1">
        <f t="shared" ref="Q67:Q130" si="3">ATAN((D67)/((C67-$M$32)*$J$29))*180/PI()</f>
        <v>-23.285865043222245</v>
      </c>
      <c r="R67" s="1">
        <f t="shared" ref="R67:R130" si="4">RADIANS(Q67)/PI()*2</f>
        <v>-0.2587318338135805</v>
      </c>
      <c r="S67" s="1">
        <f t="shared" ref="S67:S130" si="5">F67/$J$33/SQRT(PI()*$M$30)</f>
        <v>0.87220291650229442</v>
      </c>
    </row>
    <row r="68" spans="1:19">
      <c r="A68">
        <v>1</v>
      </c>
      <c r="B68">
        <v>16</v>
      </c>
      <c r="C68" s="1">
        <v>2.58472382642397</v>
      </c>
      <c r="D68" s="1">
        <v>-0.23066509906223501</v>
      </c>
      <c r="E68" s="1">
        <v>-5.0996622718465598</v>
      </c>
      <c r="F68" s="1">
        <v>1.1883541778231601</v>
      </c>
      <c r="G68" s="1">
        <v>6.2382958411373596E-6</v>
      </c>
      <c r="Q68" s="1">
        <f t="shared" si="3"/>
        <v>-22.609092870566506</v>
      </c>
      <c r="R68" s="1">
        <f t="shared" si="4"/>
        <v>-0.25121214300629452</v>
      </c>
      <c r="S68" s="1">
        <f t="shared" si="5"/>
        <v>0.86555632797882265</v>
      </c>
    </row>
    <row r="69" spans="1:19">
      <c r="A69">
        <v>1</v>
      </c>
      <c r="B69">
        <v>17</v>
      </c>
      <c r="C69" s="1">
        <v>2.5914424919166201</v>
      </c>
      <c r="D69" s="1">
        <v>-0.22410275917581099</v>
      </c>
      <c r="E69" s="1">
        <v>-4.94252798660174</v>
      </c>
      <c r="F69" s="1">
        <v>1.1793429157933</v>
      </c>
      <c r="G69" s="1">
        <v>6.1440448488299898E-6</v>
      </c>
      <c r="Q69" s="1">
        <f t="shared" si="3"/>
        <v>-21.93191801989099</v>
      </c>
      <c r="R69" s="1">
        <f t="shared" si="4"/>
        <v>-0.24368797799878877</v>
      </c>
      <c r="S69" s="1">
        <f t="shared" si="5"/>
        <v>0.85899283451990427</v>
      </c>
    </row>
    <row r="70" spans="1:19">
      <c r="A70">
        <v>1</v>
      </c>
      <c r="B70">
        <v>18</v>
      </c>
      <c r="C70" s="1">
        <v>2.59797016888177</v>
      </c>
      <c r="D70" s="1">
        <v>-0.217505643850124</v>
      </c>
      <c r="E70" s="1">
        <v>-4.78572099764384</v>
      </c>
      <c r="F70" s="1">
        <v>1.17045187220571</v>
      </c>
      <c r="G70" s="1">
        <v>6.0517543810018404E-6</v>
      </c>
      <c r="Q70" s="1">
        <f t="shared" si="3"/>
        <v>-21.254387466937082</v>
      </c>
      <c r="R70" s="1">
        <f t="shared" si="4"/>
        <v>-0.23615986074374537</v>
      </c>
      <c r="S70" s="1">
        <f t="shared" si="5"/>
        <v>0.85251690404127278</v>
      </c>
    </row>
    <row r="71" spans="1:19">
      <c r="A71">
        <v>1</v>
      </c>
      <c r="B71">
        <v>19</v>
      </c>
      <c r="C71" s="1">
        <v>2.6043052037827401</v>
      </c>
      <c r="D71" s="1">
        <v>-0.210875088952171</v>
      </c>
      <c r="E71" s="1">
        <v>-4.6292387436361402</v>
      </c>
      <c r="F71" s="1">
        <v>1.1616877565546599</v>
      </c>
      <c r="G71" s="1">
        <v>5.9614649698708599E-6</v>
      </c>
      <c r="Q71" s="1">
        <f t="shared" si="3"/>
        <v>-20.576548336273248</v>
      </c>
      <c r="R71" s="1">
        <f t="shared" si="4"/>
        <v>-0.22862831484748056</v>
      </c>
      <c r="S71" s="1">
        <f t="shared" si="5"/>
        <v>0.84613342350788456</v>
      </c>
    </row>
    <row r="72" spans="1:19">
      <c r="A72">
        <v>1</v>
      </c>
      <c r="B72">
        <v>20</v>
      </c>
      <c r="C72" s="1">
        <v>2.6104460211033498</v>
      </c>
      <c r="D72" s="1">
        <v>-0.20421244685029599</v>
      </c>
      <c r="E72" s="1">
        <v>-4.4730786822331501</v>
      </c>
      <c r="F72" s="1">
        <v>1.1529784152121201</v>
      </c>
      <c r="G72" s="1">
        <v>5.8724121146116997E-6</v>
      </c>
      <c r="Q72" s="1">
        <f t="shared" si="3"/>
        <v>-19.898447881769624</v>
      </c>
      <c r="R72" s="1">
        <f t="shared" si="4"/>
        <v>-0.22109386535299583</v>
      </c>
      <c r="S72" s="1">
        <f t="shared" si="5"/>
        <v>0.83978983869769619</v>
      </c>
    </row>
    <row r="73" spans="1:19">
      <c r="A73">
        <v>1</v>
      </c>
      <c r="B73">
        <v>21</v>
      </c>
      <c r="C73" s="1">
        <v>2.6163911246170399</v>
      </c>
      <c r="D73" s="1">
        <v>-0.197519085500522</v>
      </c>
      <c r="E73" s="1">
        <v>-4.3172382899939397</v>
      </c>
      <c r="F73" s="1">
        <v>1.14435959609662</v>
      </c>
      <c r="G73" s="1">
        <v>5.7849445898658999E-6</v>
      </c>
      <c r="Q73" s="1">
        <f t="shared" si="3"/>
        <v>-19.220133466934584</v>
      </c>
      <c r="R73" s="1">
        <f t="shared" si="4"/>
        <v>-0.21355703852149538</v>
      </c>
      <c r="S73" s="1">
        <f t="shared" si="5"/>
        <v>0.83351218716556508</v>
      </c>
    </row>
    <row r="74" spans="1:19">
      <c r="A74">
        <v>1</v>
      </c>
      <c r="B74">
        <v>22</v>
      </c>
      <c r="C74" s="1">
        <v>2.6221390985753201</v>
      </c>
      <c r="D74" s="1">
        <v>-0.19079638751436201</v>
      </c>
      <c r="E74" s="1">
        <v>-4.1617150622947197</v>
      </c>
      <c r="F74" s="1">
        <v>1.1359291275047401</v>
      </c>
      <c r="G74" s="1">
        <v>5.7000234673274597E-6</v>
      </c>
      <c r="Q74" s="1">
        <f t="shared" si="3"/>
        <v>-18.5416525451386</v>
      </c>
      <c r="R74" s="1">
        <f t="shared" si="4"/>
        <v>-0.20601836161265111</v>
      </c>
      <c r="S74" s="1">
        <f t="shared" si="5"/>
        <v>0.82737172367942224</v>
      </c>
    </row>
    <row r="75" spans="1:19">
      <c r="A75">
        <v>1</v>
      </c>
      <c r="B75">
        <v>23</v>
      </c>
      <c r="C75" s="1">
        <v>2.6276886088139202</v>
      </c>
      <c r="D75" s="1">
        <v>-0.18404574920945099</v>
      </c>
      <c r="E75" s="1">
        <v>-4.0065065132409998</v>
      </c>
      <c r="F75" s="1">
        <v>1.1276939340337599</v>
      </c>
      <c r="G75" s="1">
        <v>5.6176756507740898E-6</v>
      </c>
      <c r="Q75" s="1">
        <f t="shared" si="3"/>
        <v>-17.863052639742676</v>
      </c>
      <c r="R75" s="1">
        <f t="shared" si="4"/>
        <v>-0.19847836266380753</v>
      </c>
      <c r="S75" s="1">
        <f t="shared" si="5"/>
        <v>0.82137349187786135</v>
      </c>
    </row>
    <row r="76" spans="1:19">
      <c r="A76">
        <v>1</v>
      </c>
      <c r="B76">
        <v>24</v>
      </c>
      <c r="C76" s="1">
        <v>2.63303840377462</v>
      </c>
      <c r="D76" s="1">
        <v>-0.177268579644345</v>
      </c>
      <c r="E76" s="1">
        <v>-3.8516101755789598</v>
      </c>
      <c r="F76" s="1">
        <v>1.1196614946993999</v>
      </c>
      <c r="G76" s="1">
        <v>5.5379325003319604E-6</v>
      </c>
      <c r="Q76" s="1">
        <f t="shared" si="3"/>
        <v>-17.18438132415368</v>
      </c>
      <c r="R76" s="1">
        <f t="shared" si="4"/>
        <v>-0.19093757026837424</v>
      </c>
      <c r="S76" s="1">
        <f t="shared" si="5"/>
        <v>0.81552293921880725</v>
      </c>
    </row>
    <row r="77" spans="1:19">
      <c r="A77">
        <v>1</v>
      </c>
      <c r="B77">
        <v>25</v>
      </c>
      <c r="C77" s="1">
        <v>2.63818731544132</v>
      </c>
      <c r="D77" s="1">
        <v>-0.170466299638908</v>
      </c>
      <c r="E77" s="1">
        <v>-3.6970236006065198</v>
      </c>
      <c r="F77" s="1">
        <v>1.1118398502173401</v>
      </c>
      <c r="G77" s="1">
        <v>5.4608298339976002E-6</v>
      </c>
      <c r="Q77" s="1">
        <f t="shared" si="3"/>
        <v>-16.505686201826883</v>
      </c>
      <c r="R77" s="1">
        <f t="shared" si="4"/>
        <v>-0.18339651335363205</v>
      </c>
      <c r="S77" s="1">
        <f t="shared" si="5"/>
        <v>0.80982592228312478</v>
      </c>
    </row>
    <row r="78" spans="1:19">
      <c r="A78">
        <v>1</v>
      </c>
      <c r="B78">
        <v>26</v>
      </c>
      <c r="C78" s="1">
        <v>2.6431342601886501</v>
      </c>
      <c r="D78" s="1">
        <v>-0.16364034078169701</v>
      </c>
      <c r="E78" s="1">
        <v>-3.5427443580837399</v>
      </c>
      <c r="F78" s="1">
        <v>1.10423760187966</v>
      </c>
      <c r="G78" s="1">
        <v>5.3864078644587399E-6</v>
      </c>
      <c r="Q78" s="1">
        <f t="shared" si="3"/>
        <v>-15.827014886237924</v>
      </c>
      <c r="R78" s="1">
        <f t="shared" si="4"/>
        <v>-0.17585572095819918</v>
      </c>
      <c r="S78" s="1">
        <f t="shared" si="5"/>
        <v>0.80428870595625568</v>
      </c>
    </row>
    <row r="79" spans="1:19">
      <c r="A79">
        <v>1</v>
      </c>
      <c r="B79">
        <v>27</v>
      </c>
      <c r="C79" s="1">
        <v>2.6478782395421501</v>
      </c>
      <c r="D79" s="1">
        <v>-0.156792144425805</v>
      </c>
      <c r="E79" s="1">
        <v>-3.3887700361428799</v>
      </c>
      <c r="F79" s="1">
        <v>1.09686390121822</v>
      </c>
      <c r="G79" s="1">
        <v>5.3147110689031803E-6</v>
      </c>
      <c r="Q79" s="1">
        <f t="shared" si="3"/>
        <v>-15.148414980841881</v>
      </c>
      <c r="R79" s="1">
        <f t="shared" si="4"/>
        <v>-0.16831572200935424</v>
      </c>
      <c r="S79" s="1">
        <f t="shared" si="5"/>
        <v>0.79891795589938097</v>
      </c>
    </row>
    <row r="80" spans="1:19">
      <c r="A80">
        <v>1</v>
      </c>
      <c r="B80">
        <v>28</v>
      </c>
      <c r="C80" s="1">
        <v>2.6524183408485298</v>
      </c>
      <c r="D80" s="1">
        <v>-0.149923160674655</v>
      </c>
      <c r="E80" s="1">
        <v>-3.2350982411980098</v>
      </c>
      <c r="F80" s="1">
        <v>1.08972842968891</v>
      </c>
      <c r="G80" s="1">
        <v>5.2457879899503102E-6</v>
      </c>
      <c r="Q80" s="1">
        <f t="shared" si="3"/>
        <v>-14.469934059046007</v>
      </c>
      <c r="R80" s="1">
        <f t="shared" si="4"/>
        <v>-0.16077704510051122</v>
      </c>
      <c r="S80" s="1">
        <f t="shared" si="5"/>
        <v>0.79372072375212632</v>
      </c>
    </row>
    <row r="81" spans="1:19">
      <c r="A81">
        <v>1</v>
      </c>
      <c r="B81">
        <v>29</v>
      </c>
      <c r="C81" s="1">
        <v>2.6567537378554098</v>
      </c>
      <c r="D81" s="1">
        <v>-0.14303484735921701</v>
      </c>
      <c r="E81" s="1">
        <v>-3.0817265978541899</v>
      </c>
      <c r="F81" s="1">
        <v>1.08284136767936</v>
      </c>
      <c r="G81" s="1">
        <v>5.1796909663957602E-6</v>
      </c>
      <c r="Q81" s="1">
        <f t="shared" si="3"/>
        <v>-13.791619644211</v>
      </c>
      <c r="R81" s="1">
        <f t="shared" si="4"/>
        <v>-0.1532402182690111</v>
      </c>
      <c r="S81" s="1">
        <f t="shared" si="5"/>
        <v>0.78870442455884349</v>
      </c>
    </row>
    <row r="82" spans="1:19">
      <c r="A82">
        <v>1</v>
      </c>
      <c r="B82">
        <v>30</v>
      </c>
      <c r="C82" s="1">
        <v>2.6608836911995399</v>
      </c>
      <c r="D82" s="1">
        <v>-0.13612866900819301</v>
      </c>
      <c r="E82" s="1">
        <v>-2.9286527488163299</v>
      </c>
      <c r="F82" s="1">
        <v>1.0760002169459699</v>
      </c>
      <c r="G82" s="1">
        <v>5.1144494410178502E-6</v>
      </c>
      <c r="Q82" s="1">
        <f t="shared" si="3"/>
        <v>-13.113519189707302</v>
      </c>
      <c r="R82" s="1">
        <f t="shared" si="4"/>
        <v>-0.14570576877452557</v>
      </c>
      <c r="S82" s="1">
        <f t="shared" si="5"/>
        <v>0.78372156556070405</v>
      </c>
    </row>
    <row r="83" spans="1:19">
      <c r="A83">
        <v>1</v>
      </c>
      <c r="B83">
        <v>31</v>
      </c>
      <c r="C83" s="1">
        <v>2.6648075488030001</v>
      </c>
      <c r="D83" s="1">
        <v>-0.12920609581266401</v>
      </c>
      <c r="E83" s="1">
        <v>-2.77587435479774</v>
      </c>
      <c r="F83" s="1">
        <v>1.06924270353763</v>
      </c>
      <c r="G83" s="1">
        <v>5.0504114696714099E-6</v>
      </c>
      <c r="Q83" s="1">
        <f t="shared" si="3"/>
        <v>-12.435680059043447</v>
      </c>
      <c r="R83" s="1">
        <f t="shared" si="4"/>
        <v>-0.13817422287826053</v>
      </c>
      <c r="S83" s="1">
        <f t="shared" si="5"/>
        <v>0.77879962511471279</v>
      </c>
    </row>
    <row r="84" spans="1:19">
      <c r="A84">
        <v>1</v>
      </c>
      <c r="B84">
        <v>32</v>
      </c>
      <c r="C84" s="1">
        <v>2.6685247461769901</v>
      </c>
      <c r="D84" s="1">
        <v>-0.12226860258675799</v>
      </c>
      <c r="E84" s="1">
        <v>-2.6233890944283802</v>
      </c>
      <c r="F84" s="1">
        <v>1.0628017254317199</v>
      </c>
      <c r="G84" s="1">
        <v>4.9897486985359001E-6</v>
      </c>
      <c r="Q84" s="1">
        <f t="shared" si="3"/>
        <v>-11.758149506089445</v>
      </c>
      <c r="R84" s="1">
        <f t="shared" si="4"/>
        <v>-0.13064610562321607</v>
      </c>
      <c r="S84" s="1">
        <f t="shared" si="5"/>
        <v>0.77410823810065288</v>
      </c>
    </row>
    <row r="85" spans="1:19">
      <c r="A85">
        <v>1</v>
      </c>
      <c r="B85">
        <v>33</v>
      </c>
      <c r="C85" s="1">
        <v>2.67203480663302</v>
      </c>
      <c r="D85" s="1">
        <v>-0.115317667725858</v>
      </c>
      <c r="E85" s="1">
        <v>-2.47119466416276</v>
      </c>
      <c r="F85" s="1">
        <v>1.05668527770053</v>
      </c>
      <c r="G85" s="1">
        <v>4.9324817294137602E-6</v>
      </c>
      <c r="Q85" s="1">
        <f t="shared" si="3"/>
        <v>-11.080974655414062</v>
      </c>
      <c r="R85" s="1">
        <f t="shared" si="4"/>
        <v>-0.1231219406157118</v>
      </c>
      <c r="S85" s="1">
        <f t="shared" si="5"/>
        <v>0.76965322785431289</v>
      </c>
    </row>
    <row r="86" spans="1:19">
      <c r="A86">
        <v>1</v>
      </c>
      <c r="B86">
        <v>34</v>
      </c>
      <c r="C86" s="1">
        <v>2.67533734140132</v>
      </c>
      <c r="D86" s="1">
        <v>-0.10835477216389899</v>
      </c>
      <c r="E86" s="1">
        <v>-2.31928877818775</v>
      </c>
      <c r="F86" s="1">
        <v>1.0509016499100501</v>
      </c>
      <c r="G86" s="1">
        <v>4.8786349164230102E-6</v>
      </c>
      <c r="Q86" s="1">
        <f t="shared" si="3"/>
        <v>-10.404202482758357</v>
      </c>
      <c r="R86" s="1">
        <f t="shared" si="4"/>
        <v>-0.11560224980842621</v>
      </c>
      <c r="S86" s="1">
        <f t="shared" si="5"/>
        <v>0.7654406322105678</v>
      </c>
    </row>
    <row r="87" spans="1:19">
      <c r="A87">
        <v>1</v>
      </c>
      <c r="B87">
        <v>35</v>
      </c>
      <c r="C87" s="1">
        <v>2.6784320496567999</v>
      </c>
      <c r="D87" s="1">
        <v>-0.101381398331283</v>
      </c>
      <c r="E87" s="1">
        <v>-2.1676691683300402</v>
      </c>
      <c r="F87" s="1">
        <v>1.0454594151708301</v>
      </c>
      <c r="G87" s="1">
        <v>4.8282364261170002E-6</v>
      </c>
      <c r="Q87" s="1">
        <f t="shared" si="3"/>
        <v>-9.727879795663819</v>
      </c>
      <c r="R87" s="1">
        <f t="shared" si="4"/>
        <v>-0.10808755328515356</v>
      </c>
      <c r="S87" s="1">
        <f t="shared" si="5"/>
        <v>0.76147669552840214</v>
      </c>
    </row>
    <row r="88" spans="1:19">
      <c r="A88">
        <v>1</v>
      </c>
      <c r="B88">
        <v>36</v>
      </c>
      <c r="C88" s="1">
        <v>2.6813187184527201</v>
      </c>
      <c r="D88" s="1">
        <v>-9.43990291149336E-2</v>
      </c>
      <c r="E88" s="1">
        <v>-2.0163335839635201</v>
      </c>
      <c r="F88" s="1">
        <v>1.04036741116177</v>
      </c>
      <c r="G88" s="1">
        <v>4.7813182460620602E-6</v>
      </c>
      <c r="Q88" s="1">
        <f t="shared" si="3"/>
        <v>-9.0520532142756096</v>
      </c>
      <c r="R88" s="1">
        <f t="shared" si="4"/>
        <v>-0.10057836904750678</v>
      </c>
      <c r="S88" s="1">
        <f t="shared" si="5"/>
        <v>0.75776785486929066</v>
      </c>
    </row>
    <row r="89" spans="1:19">
      <c r="A89">
        <v>1</v>
      </c>
      <c r="B89">
        <v>37</v>
      </c>
      <c r="C89" s="1">
        <v>2.68399722256276</v>
      </c>
      <c r="D89" s="1">
        <v>-8.7409146822014505E-2</v>
      </c>
      <c r="E89" s="1">
        <v>-1.8652797919163899</v>
      </c>
      <c r="F89" s="1">
        <v>1.03563471295091</v>
      </c>
      <c r="G89" s="1">
        <v>4.7379161426636896E-6</v>
      </c>
      <c r="Q89" s="1">
        <f t="shared" si="3"/>
        <v>-8.3767691523400885</v>
      </c>
      <c r="R89" s="1">
        <f t="shared" si="4"/>
        <v>-9.3075212803778756E-2</v>
      </c>
      <c r="S89" s="1">
        <f t="shared" si="5"/>
        <v>0.75432072020079666</v>
      </c>
    </row>
    <row r="90" spans="1:19">
      <c r="A90">
        <v>1</v>
      </c>
      <c r="B90">
        <v>38</v>
      </c>
      <c r="C90" s="1">
        <v>2.6864675242318898</v>
      </c>
      <c r="D90" s="1">
        <v>-8.0413232148802194E-2</v>
      </c>
      <c r="E90" s="1">
        <v>-1.7145055763782799</v>
      </c>
      <c r="F90" s="1">
        <v>1.0312705975433201</v>
      </c>
      <c r="G90" s="1">
        <v>4.6980695692971298E-6</v>
      </c>
      <c r="Q90" s="1">
        <f t="shared" si="3"/>
        <v>-7.7020737984165883</v>
      </c>
      <c r="R90" s="1">
        <f t="shared" si="4"/>
        <v>-8.5578597760184311E-2</v>
      </c>
      <c r="S90" s="1">
        <f t="shared" si="5"/>
        <v>0.75114204857447331</v>
      </c>
    </row>
    <row r="91" spans="1:19">
      <c r="A91">
        <v>1</v>
      </c>
      <c r="B91">
        <v>39</v>
      </c>
      <c r="C91" s="1">
        <v>2.6887296728372201</v>
      </c>
      <c r="D91" s="1">
        <v>-7.3412763156195701E-2</v>
      </c>
      <c r="E91" s="1">
        <v>-1.56400873880709</v>
      </c>
      <c r="F91" s="1">
        <v>1.0272845002076401</v>
      </c>
      <c r="G91" s="1">
        <v>4.6618215260866196E-6</v>
      </c>
      <c r="Q91" s="1">
        <f t="shared" si="3"/>
        <v>-7.0280130973202919</v>
      </c>
      <c r="R91" s="1">
        <f t="shared" si="4"/>
        <v>-7.8089034414669911E-2</v>
      </c>
      <c r="S91" s="1">
        <f t="shared" si="5"/>
        <v>0.74823871231561701</v>
      </c>
    </row>
    <row r="92" spans="1:19">
      <c r="A92">
        <v>1</v>
      </c>
      <c r="B92">
        <v>40</v>
      </c>
      <c r="C92" s="1">
        <v>2.6907838044596</v>
      </c>
      <c r="D92" s="1">
        <v>-6.6409214253325799E-2</v>
      </c>
      <c r="E92" s="1">
        <v>-1.4137870978359199</v>
      </c>
      <c r="F92" s="1">
        <v>1.02344364078753</v>
      </c>
      <c r="G92" s="1">
        <v>4.6270270200984397E-6</v>
      </c>
      <c r="Q92" s="1">
        <f t="shared" si="3"/>
        <v>-6.3546327318163982</v>
      </c>
      <c r="R92" s="1">
        <f t="shared" si="4"/>
        <v>-7.0607030353515537E-2</v>
      </c>
      <c r="S92" s="1">
        <f t="shared" si="5"/>
        <v>0.74544116236123958</v>
      </c>
    </row>
    <row r="93" spans="1:19">
      <c r="A93">
        <v>1</v>
      </c>
      <c r="B93">
        <v>41</v>
      </c>
      <c r="C93" s="1">
        <v>2.69263014136726</v>
      </c>
      <c r="D93" s="1">
        <v>-5.9404055190688497E-2</v>
      </c>
      <c r="E93" s="1">
        <v>-1.26383848917979</v>
      </c>
      <c r="F93" s="1">
        <v>1.01977660853106</v>
      </c>
      <c r="G93" s="1">
        <v>4.5939288421819304E-6</v>
      </c>
      <c r="Q93" s="1">
        <f t="shared" si="3"/>
        <v>-5.6819781045819742</v>
      </c>
      <c r="R93" s="1">
        <f t="shared" si="4"/>
        <v>-6.313309005091082E-2</v>
      </c>
      <c r="S93" s="1">
        <f t="shared" si="5"/>
        <v>0.74277022213674837</v>
      </c>
    </row>
    <row r="94" spans="1:19">
      <c r="A94">
        <v>1</v>
      </c>
      <c r="B94">
        <v>42</v>
      </c>
      <c r="C94" s="1">
        <v>2.6942689914128901</v>
      </c>
      <c r="D94" s="1">
        <v>-5.2398750064210999E-2</v>
      </c>
      <c r="E94" s="1">
        <v>-1.11416076554236</v>
      </c>
      <c r="F94" s="1">
        <v>1.0165375963583201</v>
      </c>
      <c r="G94" s="1">
        <v>4.5647927338692003E-6</v>
      </c>
      <c r="Q94" s="1">
        <f t="shared" si="3"/>
        <v>-5.010094320453077</v>
      </c>
      <c r="R94" s="1">
        <f t="shared" si="4"/>
        <v>-5.5667714671700862E-2</v>
      </c>
      <c r="S94" s="1">
        <f t="shared" si="5"/>
        <v>0.74041103702608457</v>
      </c>
    </row>
    <row r="95" spans="1:19">
      <c r="A95">
        <v>1</v>
      </c>
      <c r="B95">
        <v>43</v>
      </c>
      <c r="C95" s="1">
        <v>2.6957007473455001</v>
      </c>
      <c r="D95" s="1">
        <v>-4.53947563316194E-2</v>
      </c>
      <c r="E95" s="1">
        <v>-0.96475179652270104</v>
      </c>
      <c r="F95" s="1">
        <v>1.01372911782894</v>
      </c>
      <c r="G95" s="1">
        <v>4.5396044618648796E-6</v>
      </c>
      <c r="Q95" s="1">
        <f t="shared" si="3"/>
        <v>-4.3390261689744181</v>
      </c>
      <c r="R95" s="1">
        <f t="shared" si="4"/>
        <v>-4.821140187749353E-2</v>
      </c>
      <c r="S95" s="1">
        <f t="shared" si="5"/>
        <v>0.73836543781966746</v>
      </c>
    </row>
    <row r="96" spans="1:19">
      <c r="A96">
        <v>1</v>
      </c>
      <c r="B96">
        <v>44</v>
      </c>
      <c r="C96" s="1">
        <v>2.69692588603893</v>
      </c>
      <c r="D96" s="1">
        <v>-3.8393523842440998E-2</v>
      </c>
      <c r="E96" s="1">
        <v>-0.81560946852194005</v>
      </c>
      <c r="F96" s="1">
        <v>1.0113535276402399</v>
      </c>
      <c r="G96" s="1">
        <v>4.5183530177768503E-6</v>
      </c>
      <c r="Q96" s="1">
        <f t="shared" si="3"/>
        <v>-3.6688181072666408</v>
      </c>
      <c r="R96" s="1">
        <f t="shared" si="4"/>
        <v>-4.0764645636296011E-2</v>
      </c>
      <c r="S96" s="1">
        <f t="shared" si="5"/>
        <v>0.73663513959807125</v>
      </c>
    </row>
    <row r="97" spans="1:19">
      <c r="A97">
        <v>1</v>
      </c>
      <c r="B97">
        <v>45</v>
      </c>
      <c r="C97" s="1">
        <v>2.69794496763868</v>
      </c>
      <c r="D97" s="1">
        <v>-3.1396493882938997E-2</v>
      </c>
      <c r="E97" s="1">
        <v>-0.66673168465001997</v>
      </c>
      <c r="F97" s="1">
        <v>1.0094130337150899</v>
      </c>
      <c r="G97" s="1">
        <v>4.5010308354216504E-6</v>
      </c>
      <c r="Q97" s="1">
        <f t="shared" si="3"/>
        <v>-2.9995142432275168</v>
      </c>
      <c r="R97" s="1">
        <f t="shared" si="4"/>
        <v>-3.3327936035861296E-2</v>
      </c>
      <c r="S97" s="1">
        <f t="shared" si="5"/>
        <v>0.73522175053640726</v>
      </c>
    </row>
    <row r="98" spans="1:19">
      <c r="A98">
        <v>1</v>
      </c>
      <c r="B98">
        <v>46</v>
      </c>
      <c r="C98" s="1">
        <v>2.69875863462905</v>
      </c>
      <c r="D98" s="1">
        <v>-2.4405098237235499E-2</v>
      </c>
      <c r="E98" s="1">
        <v>-0.51811636463246502</v>
      </c>
      <c r="F98" s="1">
        <v>1.0079097016495699</v>
      </c>
      <c r="G98" s="1">
        <v>4.4876339304766797E-6</v>
      </c>
      <c r="Q98" s="1">
        <f t="shared" si="3"/>
        <v>-2.3311583190818808</v>
      </c>
      <c r="R98" s="1">
        <f t="shared" si="4"/>
        <v>-2.5901759100909787E-2</v>
      </c>
      <c r="S98" s="1">
        <f t="shared" si="5"/>
        <v>0.7341267751438455</v>
      </c>
    </row>
    <row r="99" spans="1:19">
      <c r="A99">
        <v>1</v>
      </c>
      <c r="B99">
        <v>47</v>
      </c>
      <c r="C99" s="1">
        <v>2.6993676108226299</v>
      </c>
      <c r="D99" s="1">
        <v>-1.7420758265829402E-2</v>
      </c>
      <c r="E99" s="1">
        <v>-0.36976144471717398</v>
      </c>
      <c r="F99" s="1">
        <v>1.0068454511240299</v>
      </c>
      <c r="G99" s="1">
        <v>4.47816196033363E-6</v>
      </c>
      <c r="Q99" s="1">
        <f t="shared" si="3"/>
        <v>-1.6637936952942607</v>
      </c>
      <c r="R99" s="1">
        <f t="shared" si="4"/>
        <v>-1.8486596614380672E-2</v>
      </c>
      <c r="S99" s="1">
        <f t="shared" si="5"/>
        <v>0.73335161164955509</v>
      </c>
    </row>
    <row r="100" spans="1:19">
      <c r="A100">
        <v>1</v>
      </c>
      <c r="B100">
        <v>48</v>
      </c>
      <c r="C100" s="1">
        <v>2.6997727002744401</v>
      </c>
      <c r="D100" s="1">
        <v>-1.0444884002678E-2</v>
      </c>
      <c r="E100" s="1">
        <v>-0.221664877581327</v>
      </c>
      <c r="F100" s="1">
        <v>1.00622204407368</v>
      </c>
      <c r="G100" s="1">
        <v>4.4726182029205401E-6</v>
      </c>
      <c r="Q100" s="1">
        <f t="shared" si="3"/>
        <v>-0.99746333485811256</v>
      </c>
      <c r="R100" s="1">
        <f t="shared" si="4"/>
        <v>-1.1082925942867916E-2</v>
      </c>
      <c r="S100" s="1">
        <f t="shared" si="5"/>
        <v>0.73289754338656854</v>
      </c>
    </row>
    <row r="101" spans="1:19">
      <c r="A101">
        <v>1</v>
      </c>
      <c r="B101">
        <v>49</v>
      </c>
      <c r="C101" s="1">
        <v>2.6999747861229699</v>
      </c>
      <c r="D101" s="1">
        <v>-3.4788732719563602E-3</v>
      </c>
      <c r="E101" s="1">
        <v>-7.3824632238377097E-2</v>
      </c>
      <c r="F101" s="1">
        <v>1.0060410646251301</v>
      </c>
      <c r="G101" s="1">
        <v>4.4710094542620701E-6</v>
      </c>
      <c r="Q101" s="1">
        <f t="shared" si="3"/>
        <v>-0.3322097879746444</v>
      </c>
      <c r="R101" s="1">
        <f t="shared" si="4"/>
        <v>-3.6912198663849381E-3</v>
      </c>
      <c r="S101" s="1">
        <f t="shared" si="5"/>
        <v>0.73276572417824681</v>
      </c>
    </row>
    <row r="102" spans="1:19">
      <c r="A102">
        <v>2</v>
      </c>
      <c r="B102">
        <v>0</v>
      </c>
      <c r="C102" s="1">
        <v>2.6999747861229699</v>
      </c>
      <c r="D102" s="1">
        <v>3.47887327195487E-3</v>
      </c>
      <c r="E102" s="1">
        <v>7.38246322383454E-2</v>
      </c>
      <c r="F102" s="1">
        <v>1.0060410649234099</v>
      </c>
      <c r="G102" s="1">
        <v>4.4710094569132502E-6</v>
      </c>
      <c r="Q102" s="1">
        <f t="shared" si="3"/>
        <v>0.33220978797450212</v>
      </c>
      <c r="R102" s="1">
        <f t="shared" si="4"/>
        <v>3.6912198663833573E-3</v>
      </c>
      <c r="S102" s="1">
        <f t="shared" si="5"/>
        <v>0.73276572439550358</v>
      </c>
    </row>
    <row r="103" spans="1:19">
      <c r="A103">
        <v>2</v>
      </c>
      <c r="B103">
        <v>1</v>
      </c>
      <c r="C103" s="1">
        <v>2.6997727002744401</v>
      </c>
      <c r="D103" s="1">
        <v>1.04448840026766E-2</v>
      </c>
      <c r="E103" s="1">
        <v>0.22166487758129599</v>
      </c>
      <c r="F103" s="1">
        <v>1.00622204442144</v>
      </c>
      <c r="G103" s="1">
        <v>4.47261820601214E-6</v>
      </c>
      <c r="Q103" s="1">
        <f t="shared" si="3"/>
        <v>0.99746333485797911</v>
      </c>
      <c r="R103" s="1">
        <f t="shared" si="4"/>
        <v>1.1082925942866435E-2</v>
      </c>
      <c r="S103" s="1">
        <f t="shared" si="5"/>
        <v>0.73289754363986503</v>
      </c>
    </row>
    <row r="104" spans="1:19">
      <c r="A104">
        <v>2</v>
      </c>
      <c r="B104">
        <v>2</v>
      </c>
      <c r="C104" s="1">
        <v>2.6993676108226299</v>
      </c>
      <c r="D104" s="1">
        <v>1.74207582658275E-2</v>
      </c>
      <c r="E104" s="1">
        <v>0.36976144471713401</v>
      </c>
      <c r="F104" s="1">
        <v>1.00684545153953</v>
      </c>
      <c r="G104" s="1">
        <v>4.4781619640297599E-6</v>
      </c>
      <c r="Q104" s="1">
        <f t="shared" si="3"/>
        <v>1.6637936952940795</v>
      </c>
      <c r="R104" s="1">
        <f t="shared" si="4"/>
        <v>1.848659661437866E-2</v>
      </c>
      <c r="S104" s="1">
        <f t="shared" si="5"/>
        <v>0.73335161195219112</v>
      </c>
    </row>
    <row r="105" spans="1:19">
      <c r="A105">
        <v>2</v>
      </c>
      <c r="B105">
        <v>3</v>
      </c>
      <c r="C105" s="1">
        <v>2.69875863462905</v>
      </c>
      <c r="D105" s="1">
        <v>2.4405098237233601E-2</v>
      </c>
      <c r="E105" s="1">
        <v>0.51811636463242405</v>
      </c>
      <c r="F105" s="1">
        <v>1.0079097021438801</v>
      </c>
      <c r="G105" s="1">
        <v>4.4876339348784296E-6</v>
      </c>
      <c r="Q105" s="1">
        <f t="shared" si="3"/>
        <v>2.3311583190816996</v>
      </c>
      <c r="R105" s="1">
        <f t="shared" si="4"/>
        <v>2.5901759100907775E-2</v>
      </c>
      <c r="S105" s="1">
        <f t="shared" si="5"/>
        <v>0.73412677550388405</v>
      </c>
    </row>
    <row r="106" spans="1:19">
      <c r="A106">
        <v>2</v>
      </c>
      <c r="B106">
        <v>4</v>
      </c>
      <c r="C106" s="1">
        <v>2.69794496763868</v>
      </c>
      <c r="D106" s="1">
        <v>3.1396493882937103E-2</v>
      </c>
      <c r="E106" s="1">
        <v>0.66673168464998001</v>
      </c>
      <c r="F106" s="1">
        <v>1.0094130342923999</v>
      </c>
      <c r="G106" s="1">
        <v>4.5010308405701504E-6</v>
      </c>
      <c r="Q106" s="1">
        <f t="shared" si="3"/>
        <v>2.9995142432273365</v>
      </c>
      <c r="R106" s="1">
        <f t="shared" si="4"/>
        <v>3.3327936035859297E-2</v>
      </c>
      <c r="S106" s="1">
        <f t="shared" si="5"/>
        <v>0.73522175095690001</v>
      </c>
    </row>
    <row r="107" spans="1:19">
      <c r="A107">
        <v>2</v>
      </c>
      <c r="B107">
        <v>5</v>
      </c>
      <c r="C107" s="1">
        <v>2.69692588603893</v>
      </c>
      <c r="D107" s="1">
        <v>3.8393523842438798E-2</v>
      </c>
      <c r="E107" s="1">
        <v>0.81560946852189398</v>
      </c>
      <c r="F107" s="1">
        <v>1.0113535282986801</v>
      </c>
      <c r="G107" s="1">
        <v>4.5183530236601904E-6</v>
      </c>
      <c r="Q107" s="1">
        <f t="shared" si="3"/>
        <v>3.6688181072664308</v>
      </c>
      <c r="R107" s="1">
        <f t="shared" si="4"/>
        <v>4.0764645636293673E-2</v>
      </c>
      <c r="S107" s="1">
        <f t="shared" si="5"/>
        <v>0.73663514007765651</v>
      </c>
    </row>
    <row r="108" spans="1:19">
      <c r="A108">
        <v>2</v>
      </c>
      <c r="B108">
        <v>6</v>
      </c>
      <c r="C108" s="1">
        <v>2.6957007473455001</v>
      </c>
      <c r="D108" s="1">
        <v>4.5394756331617603E-2</v>
      </c>
      <c r="E108" s="1">
        <v>0.96475179652266196</v>
      </c>
      <c r="F108" s="1">
        <v>1.0137291185613699</v>
      </c>
      <c r="G108" s="1">
        <v>4.5396044684247E-6</v>
      </c>
      <c r="Q108" s="1">
        <f t="shared" si="3"/>
        <v>4.3390261689742458</v>
      </c>
      <c r="R108" s="1">
        <f t="shared" si="4"/>
        <v>4.8211401877491622E-2</v>
      </c>
      <c r="S108" s="1">
        <f t="shared" si="5"/>
        <v>0.73836543835314428</v>
      </c>
    </row>
    <row r="109" spans="1:19">
      <c r="A109">
        <v>2</v>
      </c>
      <c r="B109">
        <v>7</v>
      </c>
      <c r="C109" s="1">
        <v>2.6942689914128999</v>
      </c>
      <c r="D109" s="1">
        <v>5.2398750064209201E-2</v>
      </c>
      <c r="E109" s="1">
        <v>1.11416076554232</v>
      </c>
      <c r="F109" s="1">
        <v>1.01653759715245</v>
      </c>
      <c r="G109" s="1">
        <v>4.5647927410013804E-6</v>
      </c>
      <c r="Q109" s="1">
        <f t="shared" si="3"/>
        <v>5.0100943204528727</v>
      </c>
      <c r="R109" s="1">
        <f t="shared" si="4"/>
        <v>5.5667714671698586E-2</v>
      </c>
      <c r="S109" s="1">
        <f t="shared" si="5"/>
        <v>0.74041103760450155</v>
      </c>
    </row>
    <row r="110" spans="1:19">
      <c r="A110">
        <v>2</v>
      </c>
      <c r="B110">
        <v>8</v>
      </c>
      <c r="C110" s="1">
        <v>2.6926301413672702</v>
      </c>
      <c r="D110" s="1">
        <v>5.9404055190686499E-2</v>
      </c>
      <c r="E110" s="1">
        <v>1.2638384891797401</v>
      </c>
      <c r="F110" s="1">
        <v>1.0197766093702001</v>
      </c>
      <c r="G110" s="1">
        <v>4.59392884974235E-6</v>
      </c>
      <c r="Q110" s="1">
        <f t="shared" si="3"/>
        <v>5.6819781045817441</v>
      </c>
      <c r="R110" s="1">
        <f t="shared" si="4"/>
        <v>6.3133090050908267E-2</v>
      </c>
      <c r="S110" s="1">
        <f t="shared" si="5"/>
        <v>0.74277022274794913</v>
      </c>
    </row>
    <row r="111" spans="1:19">
      <c r="A111">
        <v>2</v>
      </c>
      <c r="B111">
        <v>9</v>
      </c>
      <c r="C111" s="1">
        <v>2.6907838044596</v>
      </c>
      <c r="D111" s="1">
        <v>6.6409214253323898E-2</v>
      </c>
      <c r="E111" s="1">
        <v>1.41378709783588</v>
      </c>
      <c r="F111" s="1">
        <v>1.02344364165098</v>
      </c>
      <c r="G111" s="1">
        <v>4.6270270279058304E-6</v>
      </c>
      <c r="Q111" s="1">
        <f t="shared" si="3"/>
        <v>6.3546327318162188</v>
      </c>
      <c r="R111" s="1">
        <f t="shared" si="4"/>
        <v>7.0607030353513553E-2</v>
      </c>
      <c r="S111" s="1">
        <f t="shared" si="5"/>
        <v>0.74544116299014695</v>
      </c>
    </row>
    <row r="112" spans="1:19">
      <c r="A112">
        <v>2</v>
      </c>
      <c r="B112">
        <v>10</v>
      </c>
      <c r="C112" s="1">
        <v>2.6887296728372201</v>
      </c>
      <c r="D112" s="1">
        <v>7.3412763156193606E-2</v>
      </c>
      <c r="E112" s="1">
        <v>1.5640087388070401</v>
      </c>
      <c r="F112" s="1">
        <v>1.0272845009413301</v>
      </c>
      <c r="G112" s="1">
        <v>4.6618215327456598E-6</v>
      </c>
      <c r="Q112" s="1">
        <f t="shared" si="3"/>
        <v>7.0280130973200929</v>
      </c>
      <c r="R112" s="1">
        <f t="shared" si="4"/>
        <v>7.8089034414667705E-2</v>
      </c>
      <c r="S112" s="1">
        <f t="shared" si="5"/>
        <v>0.74823871285001153</v>
      </c>
    </row>
    <row r="113" spans="1:19">
      <c r="A113">
        <v>2</v>
      </c>
      <c r="B113">
        <v>11</v>
      </c>
      <c r="C113" s="1">
        <v>2.6864675242318898</v>
      </c>
      <c r="D113" s="1">
        <v>8.0413232148800001E-2</v>
      </c>
      <c r="E113" s="1">
        <v>1.71450557637823</v>
      </c>
      <c r="F113" s="1">
        <v>1.0312705980215</v>
      </c>
      <c r="G113" s="1">
        <v>4.6980695736539099E-6</v>
      </c>
      <c r="Q113" s="1">
        <f t="shared" si="3"/>
        <v>7.7020737984163814</v>
      </c>
      <c r="R113" s="1">
        <f t="shared" si="4"/>
        <v>8.5578597760182021E-2</v>
      </c>
      <c r="S113" s="1">
        <f t="shared" si="5"/>
        <v>0.75114204892276315</v>
      </c>
    </row>
    <row r="114" spans="1:19">
      <c r="A114">
        <v>2</v>
      </c>
      <c r="B114">
        <v>12</v>
      </c>
      <c r="C114" s="1">
        <v>2.68399722256276</v>
      </c>
      <c r="D114" s="1">
        <v>8.7409146822012507E-2</v>
      </c>
      <c r="E114" s="1">
        <v>1.86527979191634</v>
      </c>
      <c r="F114" s="1">
        <v>1.03563471318848</v>
      </c>
      <c r="G114" s="1">
        <v>4.7379161448374099E-6</v>
      </c>
      <c r="Q114" s="1">
        <f t="shared" si="3"/>
        <v>8.3767691523399002</v>
      </c>
      <c r="R114" s="1">
        <f t="shared" si="4"/>
        <v>9.3075212803776675E-2</v>
      </c>
      <c r="S114" s="1">
        <f t="shared" si="5"/>
        <v>0.75432072037383446</v>
      </c>
    </row>
    <row r="115" spans="1:19">
      <c r="A115">
        <v>2</v>
      </c>
      <c r="B115">
        <v>13</v>
      </c>
      <c r="C115" s="1">
        <v>2.6813187184527298</v>
      </c>
      <c r="D115" s="1">
        <v>9.4399029114931601E-2</v>
      </c>
      <c r="E115" s="1">
        <v>2.01633358396347</v>
      </c>
      <c r="F115" s="1">
        <v>1.0403674111739301</v>
      </c>
      <c r="G115" s="1">
        <v>4.7813182461737898E-6</v>
      </c>
      <c r="Q115" s="1">
        <f t="shared" si="3"/>
        <v>9.0520532142753627</v>
      </c>
      <c r="R115" s="1">
        <f t="shared" si="4"/>
        <v>0.10057836904750403</v>
      </c>
      <c r="S115" s="1">
        <f t="shared" si="5"/>
        <v>0.75776785487814768</v>
      </c>
    </row>
    <row r="116" spans="1:19">
      <c r="A116">
        <v>2</v>
      </c>
      <c r="B116">
        <v>14</v>
      </c>
      <c r="C116" s="1">
        <v>2.6784320496567999</v>
      </c>
      <c r="D116" s="1">
        <v>0.10138139833128</v>
      </c>
      <c r="E116" s="1">
        <v>2.16766916832999</v>
      </c>
      <c r="F116" s="1">
        <v>1.04545941497401</v>
      </c>
      <c r="G116" s="1">
        <v>4.8282364242990998E-6</v>
      </c>
      <c r="Q116" s="1">
        <f t="shared" si="3"/>
        <v>9.7278797956635366</v>
      </c>
      <c r="R116" s="1">
        <f t="shared" si="4"/>
        <v>0.10808755328515041</v>
      </c>
      <c r="S116" s="1">
        <f t="shared" si="5"/>
        <v>0.76147669538504514</v>
      </c>
    </row>
    <row r="117" spans="1:19">
      <c r="A117">
        <v>2</v>
      </c>
      <c r="B117">
        <v>15</v>
      </c>
      <c r="C117" s="1">
        <v>2.6753373414013302</v>
      </c>
      <c r="D117" s="1">
        <v>0.108354772163897</v>
      </c>
      <c r="E117" s="1">
        <v>2.3192887781876999</v>
      </c>
      <c r="F117" s="1">
        <v>1.05090164952345</v>
      </c>
      <c r="G117" s="1">
        <v>4.8786349128335598E-6</v>
      </c>
      <c r="Q117" s="1">
        <f t="shared" si="3"/>
        <v>10.404202482758098</v>
      </c>
      <c r="R117" s="1">
        <f t="shared" si="4"/>
        <v>0.11560224980842332</v>
      </c>
      <c r="S117" s="1">
        <f t="shared" si="5"/>
        <v>0.7654406319289816</v>
      </c>
    </row>
    <row r="118" spans="1:19">
      <c r="A118">
        <v>2</v>
      </c>
      <c r="B118">
        <v>16</v>
      </c>
      <c r="C118" s="1">
        <v>2.67203480663302</v>
      </c>
      <c r="D118" s="1">
        <v>0.115317667725855</v>
      </c>
      <c r="E118" s="1">
        <v>2.4711946641627001</v>
      </c>
      <c r="F118" s="1">
        <v>1.0566852771472299</v>
      </c>
      <c r="G118" s="1">
        <v>4.9324817242483001E-6</v>
      </c>
      <c r="Q118" s="1">
        <f t="shared" si="3"/>
        <v>11.08097465541378</v>
      </c>
      <c r="R118" s="1">
        <f t="shared" si="4"/>
        <v>0.12312194061570868</v>
      </c>
      <c r="S118" s="1">
        <f t="shared" si="5"/>
        <v>0.76965322745130815</v>
      </c>
    </row>
    <row r="119" spans="1:19">
      <c r="A119">
        <v>2</v>
      </c>
      <c r="B119">
        <v>17</v>
      </c>
      <c r="C119" s="1">
        <v>2.6685247461769901</v>
      </c>
      <c r="D119" s="1">
        <v>0.122268602586756</v>
      </c>
      <c r="E119" s="1">
        <v>2.6233890944283198</v>
      </c>
      <c r="F119" s="1">
        <v>1.0628017247400401</v>
      </c>
      <c r="G119" s="1">
        <v>4.9897486920411597E-6</v>
      </c>
      <c r="Q119" s="1">
        <f t="shared" si="3"/>
        <v>11.758149506089261</v>
      </c>
      <c r="R119" s="1">
        <f t="shared" si="4"/>
        <v>0.13064610562321402</v>
      </c>
      <c r="S119" s="1">
        <f t="shared" si="5"/>
        <v>0.7741082375968571</v>
      </c>
    </row>
    <row r="120" spans="1:19">
      <c r="A120">
        <v>2</v>
      </c>
      <c r="B120">
        <v>18</v>
      </c>
      <c r="C120" s="1">
        <v>2.6648075488030001</v>
      </c>
      <c r="D120" s="1">
        <v>0.12920609581266099</v>
      </c>
      <c r="E120" s="1">
        <v>2.7758743547976801</v>
      </c>
      <c r="F120" s="1">
        <v>1.0692427027418601</v>
      </c>
      <c r="G120" s="1">
        <v>5.0504114621540103E-6</v>
      </c>
      <c r="Q120" s="1">
        <f t="shared" si="3"/>
        <v>12.435680059043165</v>
      </c>
      <c r="R120" s="1">
        <f t="shared" si="4"/>
        <v>0.1381742228782574</v>
      </c>
      <c r="S120" s="1">
        <f t="shared" si="5"/>
        <v>0.77879962453510143</v>
      </c>
    </row>
    <row r="121" spans="1:19">
      <c r="A121">
        <v>2</v>
      </c>
      <c r="B121">
        <v>19</v>
      </c>
      <c r="C121" s="1">
        <v>2.6608836911995501</v>
      </c>
      <c r="D121" s="1">
        <v>0.13612866900819001</v>
      </c>
      <c r="E121" s="1">
        <v>2.9286527488162601</v>
      </c>
      <c r="F121" s="1">
        <v>1.07600021608743</v>
      </c>
      <c r="G121" s="1">
        <v>5.1144494328562201E-6</v>
      </c>
      <c r="Q121" s="1">
        <f t="shared" si="3"/>
        <v>13.113519189706937</v>
      </c>
      <c r="R121" s="1">
        <f t="shared" si="4"/>
        <v>0.14570576877452152</v>
      </c>
      <c r="S121" s="1">
        <f t="shared" si="5"/>
        <v>0.78372156493537304</v>
      </c>
    </row>
    <row r="122" spans="1:19">
      <c r="A122">
        <v>2</v>
      </c>
      <c r="B122">
        <v>20</v>
      </c>
      <c r="C122" s="1">
        <v>2.65675373785542</v>
      </c>
      <c r="D122" s="1">
        <v>0.14303484735921501</v>
      </c>
      <c r="E122" s="1">
        <v>3.0817265978541299</v>
      </c>
      <c r="F122" s="1">
        <v>1.08284136695511</v>
      </c>
      <c r="G122" s="1">
        <v>5.1796909594669503E-6</v>
      </c>
      <c r="Q122" s="1">
        <f t="shared" si="3"/>
        <v>13.791619644210719</v>
      </c>
      <c r="R122" s="1">
        <f t="shared" si="4"/>
        <v>0.15324021826900799</v>
      </c>
      <c r="S122" s="1">
        <f t="shared" si="5"/>
        <v>0.78870442403132468</v>
      </c>
    </row>
    <row r="123" spans="1:19">
      <c r="A123">
        <v>2</v>
      </c>
      <c r="B123">
        <v>21</v>
      </c>
      <c r="C123" s="1">
        <v>2.65241834084854</v>
      </c>
      <c r="D123" s="1">
        <v>0.149923160674652</v>
      </c>
      <c r="E123" s="1">
        <v>3.2350982411979499</v>
      </c>
      <c r="F123" s="1">
        <v>1.08972842925888</v>
      </c>
      <c r="G123" s="1">
        <v>5.2457879858100902E-6</v>
      </c>
      <c r="Q123" s="1">
        <f t="shared" si="3"/>
        <v>14.469934059045633</v>
      </c>
      <c r="R123" s="1">
        <f t="shared" si="4"/>
        <v>0.16077704510050703</v>
      </c>
      <c r="S123" s="1">
        <f t="shared" si="5"/>
        <v>0.79372072343890721</v>
      </c>
    </row>
    <row r="124" spans="1:19">
      <c r="A124">
        <v>2</v>
      </c>
      <c r="B124">
        <v>22</v>
      </c>
      <c r="C124" s="1">
        <v>2.6478782395421501</v>
      </c>
      <c r="D124" s="1">
        <v>0.156792144425803</v>
      </c>
      <c r="E124" s="1">
        <v>3.3887700361428301</v>
      </c>
      <c r="F124" s="1">
        <v>1.0968639010774399</v>
      </c>
      <c r="G124" s="1">
        <v>5.3147110675389397E-6</v>
      </c>
      <c r="Q124" s="1">
        <f t="shared" si="3"/>
        <v>15.148414980841698</v>
      </c>
      <c r="R124" s="1">
        <f t="shared" si="4"/>
        <v>0.16831572200935219</v>
      </c>
      <c r="S124" s="1">
        <f t="shared" si="5"/>
        <v>0.79891795579684166</v>
      </c>
    </row>
    <row r="125" spans="1:19">
      <c r="A125">
        <v>2</v>
      </c>
      <c r="B125">
        <v>23</v>
      </c>
      <c r="C125" s="1">
        <v>2.6431342601886598</v>
      </c>
      <c r="D125" s="1">
        <v>0.16364034078169501</v>
      </c>
      <c r="E125" s="1">
        <v>3.5427443580836799</v>
      </c>
      <c r="F125" s="1">
        <v>1.10423760201887</v>
      </c>
      <c r="G125" s="1">
        <v>5.3864078658169199E-6</v>
      </c>
      <c r="Q125" s="1">
        <f t="shared" si="3"/>
        <v>15.82701488623764</v>
      </c>
      <c r="R125" s="1">
        <f t="shared" si="4"/>
        <v>0.17585572095819599</v>
      </c>
      <c r="S125" s="1">
        <f t="shared" si="5"/>
        <v>0.80428870605765146</v>
      </c>
    </row>
    <row r="126" spans="1:19">
      <c r="A126">
        <v>2</v>
      </c>
      <c r="B126">
        <v>24</v>
      </c>
      <c r="C126" s="1">
        <v>2.63818731544132</v>
      </c>
      <c r="D126" s="1">
        <v>0.170466299638906</v>
      </c>
      <c r="E126" s="1">
        <v>3.6970236006064598</v>
      </c>
      <c r="F126" s="1">
        <v>1.11183985062135</v>
      </c>
      <c r="G126" s="1">
        <v>5.4608298379662003E-6</v>
      </c>
      <c r="Q126" s="1">
        <f t="shared" si="3"/>
        <v>16.505686201826702</v>
      </c>
      <c r="R126" s="1">
        <f t="shared" si="4"/>
        <v>0.18339651335363003</v>
      </c>
      <c r="S126" s="1">
        <f t="shared" si="5"/>
        <v>0.80982592257739172</v>
      </c>
    </row>
    <row r="127" spans="1:19">
      <c r="A127">
        <v>2</v>
      </c>
      <c r="B127">
        <v>25</v>
      </c>
      <c r="C127" s="1">
        <v>2.6330384037746302</v>
      </c>
      <c r="D127" s="1">
        <v>0.17726857964434201</v>
      </c>
      <c r="E127" s="1">
        <v>3.8516101755788998</v>
      </c>
      <c r="F127" s="1">
        <v>1.11966149534411</v>
      </c>
      <c r="G127" s="1">
        <v>5.5379325067094603E-6</v>
      </c>
      <c r="Q127" s="1">
        <f t="shared" si="3"/>
        <v>17.184381324153296</v>
      </c>
      <c r="R127" s="1">
        <f t="shared" si="4"/>
        <v>0.19093757026836994</v>
      </c>
      <c r="S127" s="1">
        <f t="shared" si="5"/>
        <v>0.81552293968839185</v>
      </c>
    </row>
    <row r="128" spans="1:19">
      <c r="A128">
        <v>2</v>
      </c>
      <c r="B128">
        <v>26</v>
      </c>
      <c r="C128" s="1">
        <v>2.6276886088139202</v>
      </c>
      <c r="D128" s="1">
        <v>0.184045749209448</v>
      </c>
      <c r="E128" s="1">
        <v>4.0065065132409403</v>
      </c>
      <c r="F128" s="1">
        <v>1.12769393488437</v>
      </c>
      <c r="G128" s="1">
        <v>5.6176756592488002E-6</v>
      </c>
      <c r="Q128" s="1">
        <f t="shared" si="3"/>
        <v>17.863052639742403</v>
      </c>
      <c r="R128" s="1">
        <f t="shared" si="4"/>
        <v>0.1984783626638045</v>
      </c>
      <c r="S128" s="1">
        <f t="shared" si="5"/>
        <v>0.82137349249741642</v>
      </c>
    </row>
    <row r="129" spans="1:19">
      <c r="A129">
        <v>2</v>
      </c>
      <c r="B129">
        <v>27</v>
      </c>
      <c r="C129" s="1">
        <v>2.6221390985753201</v>
      </c>
      <c r="D129" s="1">
        <v>0.19079638751436001</v>
      </c>
      <c r="E129" s="1">
        <v>4.1617150622946699</v>
      </c>
      <c r="F129" s="1">
        <v>1.13592912851381</v>
      </c>
      <c r="G129" s="1">
        <v>5.70002347745439E-6</v>
      </c>
      <c r="Q129" s="1">
        <f t="shared" si="3"/>
        <v>18.541652545138419</v>
      </c>
      <c r="R129" s="1">
        <f t="shared" si="4"/>
        <v>0.20601836161264911</v>
      </c>
      <c r="S129" s="1">
        <f t="shared" si="5"/>
        <v>0.82737172441439411</v>
      </c>
    </row>
    <row r="130" spans="1:19">
      <c r="A130">
        <v>2</v>
      </c>
      <c r="B130">
        <v>28</v>
      </c>
      <c r="C130" s="1">
        <v>2.6163911246170399</v>
      </c>
      <c r="D130" s="1">
        <v>0.19751908550052</v>
      </c>
      <c r="E130" s="1">
        <v>4.3172382899938802</v>
      </c>
      <c r="F130" s="1">
        <v>1.1443595972015601</v>
      </c>
      <c r="G130" s="1">
        <v>5.7849446010371896E-6</v>
      </c>
      <c r="Q130" s="1">
        <f t="shared" si="3"/>
        <v>19.220133466934406</v>
      </c>
      <c r="R130" s="1">
        <f t="shared" si="4"/>
        <v>0.21355703852149341</v>
      </c>
      <c r="S130" s="1">
        <f t="shared" si="5"/>
        <v>0.83351218797036553</v>
      </c>
    </row>
    <row r="131" spans="1:19">
      <c r="A131">
        <v>2</v>
      </c>
      <c r="B131">
        <v>29</v>
      </c>
      <c r="C131" s="1">
        <v>2.61044602110336</v>
      </c>
      <c r="D131" s="1">
        <v>0.20421244685029399</v>
      </c>
      <c r="E131" s="1">
        <v>4.4730786822330897</v>
      </c>
      <c r="F131" s="1">
        <v>1.1529784163336001</v>
      </c>
      <c r="G131" s="1">
        <v>5.8724121260356898E-6</v>
      </c>
      <c r="Q131" s="1">
        <f t="shared" ref="Q131:Q194" si="6">ATAN((D131)/((C131-$M$32)*$J$29))*180/PI()</f>
        <v>19.898447881769311</v>
      </c>
      <c r="R131" s="1">
        <f t="shared" ref="R131:R194" si="7">RADIANS(Q131)/PI()*2</f>
        <v>0.22109386535299236</v>
      </c>
      <c r="S131" s="1">
        <f t="shared" ref="S131:S194" si="8">F131/$J$33/SQRT(PI()*$M$30)</f>
        <v>0.83978983951454367</v>
      </c>
    </row>
    <row r="132" spans="1:19">
      <c r="A132">
        <v>2</v>
      </c>
      <c r="B132">
        <v>30</v>
      </c>
      <c r="C132" s="1">
        <v>2.6043052037827401</v>
      </c>
      <c r="D132" s="1">
        <v>0.210875088952168</v>
      </c>
      <c r="E132" s="1">
        <v>4.62923874363607</v>
      </c>
      <c r="F132" s="1">
        <v>1.1616877574667701</v>
      </c>
      <c r="G132" s="1">
        <v>5.9614649792322799E-6</v>
      </c>
      <c r="Q132" s="1">
        <f t="shared" si="6"/>
        <v>20.576548336272982</v>
      </c>
      <c r="R132" s="1">
        <f t="shared" si="7"/>
        <v>0.22862831484747759</v>
      </c>
      <c r="S132" s="1">
        <f t="shared" si="8"/>
        <v>0.84613342417223425</v>
      </c>
    </row>
    <row r="133" spans="1:19">
      <c r="A133">
        <v>2</v>
      </c>
      <c r="B133">
        <v>31</v>
      </c>
      <c r="C133" s="1">
        <v>2.5979701688817798</v>
      </c>
      <c r="D133" s="1">
        <v>0.217505643850122</v>
      </c>
      <c r="E133" s="1">
        <v>4.7857209976437796</v>
      </c>
      <c r="F133" s="1">
        <v>1.17045187273744</v>
      </c>
      <c r="G133" s="1">
        <v>6.0517543865003302E-6</v>
      </c>
      <c r="Q133" s="1">
        <f t="shared" si="6"/>
        <v>21.25438746693677</v>
      </c>
      <c r="R133" s="1">
        <f t="shared" si="7"/>
        <v>0.23615986074374187</v>
      </c>
      <c r="S133" s="1">
        <f t="shared" si="8"/>
        <v>0.85251690442856665</v>
      </c>
    </row>
    <row r="134" spans="1:19">
      <c r="A134">
        <v>2</v>
      </c>
      <c r="B134">
        <v>32</v>
      </c>
      <c r="C134" s="1">
        <v>2.5914424919166201</v>
      </c>
      <c r="D134" s="1">
        <v>0.22410275917580899</v>
      </c>
      <c r="E134" s="1">
        <v>4.9425279866016698</v>
      </c>
      <c r="F134" s="1">
        <v>1.1793429159451101</v>
      </c>
      <c r="G134" s="1">
        <v>6.1440448504118103E-6</v>
      </c>
      <c r="Q134" s="1">
        <f t="shared" si="6"/>
        <v>21.931918019890816</v>
      </c>
      <c r="R134" s="1">
        <f t="shared" si="7"/>
        <v>0.24368797799878683</v>
      </c>
      <c r="S134" s="1">
        <f t="shared" si="8"/>
        <v>0.85899283463047749</v>
      </c>
    </row>
    <row r="135" spans="1:19">
      <c r="A135">
        <v>2</v>
      </c>
      <c r="B135">
        <v>33</v>
      </c>
      <c r="C135" s="1">
        <v>2.5847238264239798</v>
      </c>
      <c r="D135" s="1">
        <v>0.23066509906223301</v>
      </c>
      <c r="E135" s="1">
        <v>5.0996622718465003</v>
      </c>
      <c r="F135" s="1">
        <v>1.1883541776181701</v>
      </c>
      <c r="G135" s="1">
        <v>6.23829583898517E-6</v>
      </c>
      <c r="Q135" s="1">
        <f t="shared" si="6"/>
        <v>22.609092870566183</v>
      </c>
      <c r="R135" s="1">
        <f t="shared" si="7"/>
        <v>0.25121214300629091</v>
      </c>
      <c r="S135" s="1">
        <f t="shared" si="8"/>
        <v>0.86555632782951497</v>
      </c>
    </row>
    <row r="136" spans="1:19">
      <c r="A136">
        <v>2</v>
      </c>
      <c r="B136">
        <v>34</v>
      </c>
      <c r="C136" s="1">
        <v>2.57781590261372</v>
      </c>
      <c r="D136" s="1">
        <v>0.237191345037611</v>
      </c>
      <c r="E136" s="1">
        <v>5.2571264337922496</v>
      </c>
      <c r="F136" s="1">
        <v>1.1974795236166</v>
      </c>
      <c r="G136" s="1">
        <v>6.3344711680959101E-6</v>
      </c>
      <c r="Q136" s="1">
        <f t="shared" si="6"/>
        <v>23.285865043221836</v>
      </c>
      <c r="R136" s="1">
        <f t="shared" si="7"/>
        <v>0.25873183381357595</v>
      </c>
      <c r="S136" s="1">
        <f t="shared" si="8"/>
        <v>0.87220291612897793</v>
      </c>
    </row>
    <row r="137" spans="1:19">
      <c r="A137">
        <v>2</v>
      </c>
      <c r="B137">
        <v>35</v>
      </c>
      <c r="C137" s="1">
        <v>2.5707205259453101</v>
      </c>
      <c r="D137" s="1">
        <v>0.24368019689819601</v>
      </c>
      <c r="E137" s="1">
        <v>5.4149230720155099</v>
      </c>
      <c r="F137" s="1">
        <v>1.2067133926015801</v>
      </c>
      <c r="G137" s="1">
        <v>6.4325391398760002E-6</v>
      </c>
      <c r="Q137" s="1">
        <f t="shared" si="6"/>
        <v>23.962187730316487</v>
      </c>
      <c r="R137" s="1">
        <f t="shared" si="7"/>
        <v>0.26624653033684986</v>
      </c>
      <c r="S137" s="1">
        <f t="shared" si="8"/>
        <v>0.87892854884086646</v>
      </c>
    </row>
    <row r="138" spans="1:19">
      <c r="A138">
        <v>2</v>
      </c>
      <c r="B138">
        <v>36</v>
      </c>
      <c r="C138" s="1">
        <v>2.5634395756305599</v>
      </c>
      <c r="D138" s="1">
        <v>0.25013037355885098</v>
      </c>
      <c r="E138" s="1">
        <v>5.5730548053400097</v>
      </c>
      <c r="F138" s="1">
        <v>1.2160507861511201</v>
      </c>
      <c r="G138" s="1">
        <v>6.5324726125916804E-6</v>
      </c>
      <c r="Q138" s="1">
        <f t="shared" si="6"/>
        <v>24.638014311704683</v>
      </c>
      <c r="R138" s="1">
        <f t="shared" si="7"/>
        <v>0.27375571457449649</v>
      </c>
      <c r="S138" s="1">
        <f t="shared" si="8"/>
        <v>0.88572958528644674</v>
      </c>
    </row>
    <row r="139" spans="1:19">
      <c r="A139">
        <v>2</v>
      </c>
      <c r="B139">
        <v>37</v>
      </c>
      <c r="C139" s="1">
        <v>2.5559750030650101</v>
      </c>
      <c r="D139" s="1">
        <v>0.25654061388023103</v>
      </c>
      <c r="E139" s="1">
        <v>5.7315242719203097</v>
      </c>
      <c r="F139" s="1">
        <v>1.22548725237558</v>
      </c>
      <c r="G139" s="1">
        <v>6.6342490059170196E-6</v>
      </c>
      <c r="Q139" s="1">
        <f t="shared" si="6"/>
        <v>25.313298373640198</v>
      </c>
      <c r="R139" s="1">
        <f t="shared" si="7"/>
        <v>0.28125887081822443</v>
      </c>
      <c r="S139" s="1">
        <f t="shared" si="8"/>
        <v>0.89260278286235939</v>
      </c>
    </row>
    <row r="140" spans="1:19">
      <c r="A140">
        <v>2</v>
      </c>
      <c r="B140">
        <v>38</v>
      </c>
      <c r="C140" s="1">
        <v>2.5483288301909002</v>
      </c>
      <c r="D140" s="1">
        <v>0.26290967747147997</v>
      </c>
      <c r="E140" s="1">
        <v>5.89033412932476</v>
      </c>
      <c r="F140" s="1">
        <v>1.2350188638558099</v>
      </c>
      <c r="G140" s="1">
        <v>6.73785024569186E-6</v>
      </c>
      <c r="Q140" s="1">
        <f t="shared" si="6"/>
        <v>25.987993727563623</v>
      </c>
      <c r="R140" s="1">
        <f t="shared" si="7"/>
        <v>0.28875548586181804</v>
      </c>
      <c r="S140" s="1">
        <f t="shared" si="8"/>
        <v>0.89954528097151842</v>
      </c>
    </row>
    <row r="141" spans="1:19">
      <c r="A141">
        <v>2</v>
      </c>
      <c r="B141">
        <v>39</v>
      </c>
      <c r="C141" s="1">
        <v>2.54050314779413</v>
      </c>
      <c r="D141" s="1">
        <v>0.26923634546738801</v>
      </c>
      <c r="E141" s="1">
        <v>6.0494870546174697</v>
      </c>
      <c r="F141" s="1">
        <v>1.24464219066948</v>
      </c>
      <c r="G141" s="1">
        <v>6.8432626521506099E-6</v>
      </c>
      <c r="Q141" s="1">
        <f t="shared" si="6"/>
        <v>26.662054428659957</v>
      </c>
      <c r="R141" s="1">
        <f t="shared" si="7"/>
        <v>0.29624504920733286</v>
      </c>
      <c r="S141" s="1">
        <f t="shared" si="8"/>
        <v>0.90655458137641842</v>
      </c>
    </row>
    <row r="142" spans="1:19">
      <c r="A142">
        <v>2</v>
      </c>
      <c r="B142">
        <v>40</v>
      </c>
      <c r="C142" s="1">
        <v>2.53250011373841</v>
      </c>
      <c r="D142" s="1">
        <v>0.27551942127903301</v>
      </c>
      <c r="E142" s="1">
        <v>6.20898574443929</v>
      </c>
      <c r="F142" s="1">
        <v>1.2544064191972299</v>
      </c>
      <c r="G142" s="1">
        <v>6.9510547219229701E-6</v>
      </c>
      <c r="Q142" s="1">
        <f t="shared" si="6"/>
        <v>27.335434794163717</v>
      </c>
      <c r="R142" s="1">
        <f t="shared" si="7"/>
        <v>0.30372705326848576</v>
      </c>
      <c r="S142" s="1">
        <f t="shared" si="8"/>
        <v>0.91366650974570884</v>
      </c>
    </row>
    <row r="143" spans="1:19">
      <c r="A143">
        <v>2</v>
      </c>
      <c r="B143">
        <v>41</v>
      </c>
      <c r="C143" s="1">
        <v>2.52432195113929</v>
      </c>
      <c r="D143" s="1">
        <v>0.28175773131697701</v>
      </c>
      <c r="E143" s="1">
        <v>6.3688329150879603</v>
      </c>
      <c r="F143" s="1">
        <v>1.2642853381991299</v>
      </c>
      <c r="G143" s="1">
        <v>7.0609701403428098E-6</v>
      </c>
      <c r="Q143" s="1">
        <f t="shared" si="6"/>
        <v>28.00808942139836</v>
      </c>
      <c r="R143" s="1">
        <f t="shared" si="7"/>
        <v>0.31120099357109288</v>
      </c>
      <c r="S143" s="1">
        <f t="shared" si="8"/>
        <v>0.92086197471335685</v>
      </c>
    </row>
    <row r="144" spans="1:19">
      <c r="A144">
        <v>2</v>
      </c>
      <c r="B144">
        <v>42</v>
      </c>
      <c r="C144" s="1">
        <v>2.5159709464814499</v>
      </c>
      <c r="D144" s="1">
        <v>0.28795012568614597</v>
      </c>
      <c r="E144" s="1">
        <v>6.5290313025970299</v>
      </c>
      <c r="F144" s="1">
        <v>1.2742140656704</v>
      </c>
      <c r="G144" s="1">
        <v>7.1723085023717599E-6</v>
      </c>
      <c r="Q144" s="1">
        <f t="shared" si="6"/>
        <v>28.679973205527091</v>
      </c>
      <c r="R144" s="1">
        <f t="shared" si="7"/>
        <v>0.31866636895030104</v>
      </c>
      <c r="S144" s="1">
        <f t="shared" si="8"/>
        <v>0.9280937184576985</v>
      </c>
    </row>
    <row r="145" spans="1:19">
      <c r="A145">
        <v>2</v>
      </c>
      <c r="B145">
        <v>43</v>
      </c>
      <c r="C145" s="1">
        <v>2.5074494476820202</v>
      </c>
      <c r="D145" s="1">
        <v>0.29409547885159498</v>
      </c>
      <c r="E145" s="1">
        <v>6.6895836628138499</v>
      </c>
      <c r="F145" s="1">
        <v>1.2841894723470499</v>
      </c>
      <c r="G145" s="1">
        <v>7.2850474116853503E-6</v>
      </c>
      <c r="Q145" s="1">
        <f t="shared" si="6"/>
        <v>29.351041357005819</v>
      </c>
      <c r="R145" s="1">
        <f t="shared" si="7"/>
        <v>0.32612268174450909</v>
      </c>
      <c r="S145" s="1">
        <f t="shared" si="8"/>
        <v>0.93535946173042639</v>
      </c>
    </row>
    <row r="146" spans="1:19">
      <c r="A146">
        <v>2</v>
      </c>
      <c r="B146">
        <v>44</v>
      </c>
      <c r="C146" s="1">
        <v>2.4987598621035798</v>
      </c>
      <c r="D146" s="1">
        <v>0.30019269027440199</v>
      </c>
      <c r="E146" s="1">
        <v>6.8504927714762003</v>
      </c>
      <c r="F146" s="1">
        <v>1.2942089480154</v>
      </c>
      <c r="G146" s="1">
        <v>7.3991693641847197E-6</v>
      </c>
      <c r="Q146" s="1">
        <f t="shared" si="6"/>
        <v>30.021249418713492</v>
      </c>
      <c r="R146" s="1">
        <f t="shared" si="7"/>
        <v>0.33356943798570543</v>
      </c>
      <c r="S146" s="1">
        <f t="shared" si="8"/>
        <v>0.94265730334163389</v>
      </c>
    </row>
    <row r="147" spans="1:19">
      <c r="A147">
        <v>2</v>
      </c>
      <c r="B147">
        <v>45</v>
      </c>
      <c r="C147" s="1">
        <v>2.4899046545197798</v>
      </c>
      <c r="D147" s="1">
        <v>0.306240685017037</v>
      </c>
      <c r="E147" s="1">
        <v>7.0117614242879904</v>
      </c>
      <c r="F147" s="1">
        <v>1.30427007346824</v>
      </c>
      <c r="G147" s="1">
        <v>7.5146581860961704E-6</v>
      </c>
      <c r="Q147" s="1">
        <f t="shared" si="6"/>
        <v>30.690553282752685</v>
      </c>
      <c r="R147" s="1">
        <f t="shared" si="7"/>
        <v>0.3410061475861409</v>
      </c>
      <c r="S147" s="1">
        <f t="shared" si="8"/>
        <v>0.94998548122396087</v>
      </c>
    </row>
    <row r="148" spans="1:19">
      <c r="A148">
        <v>2</v>
      </c>
      <c r="B148">
        <v>46</v>
      </c>
      <c r="C148" s="1">
        <v>2.4808863450372098</v>
      </c>
      <c r="D148" s="1">
        <v>0.31223841431756399</v>
      </c>
      <c r="E148" s="1">
        <v>7.1733924369934403</v>
      </c>
      <c r="F148" s="1">
        <v>1.3143701597431301</v>
      </c>
      <c r="G148" s="1">
        <v>7.6314937587820199E-6</v>
      </c>
      <c r="Q148" s="1">
        <f t="shared" si="6"/>
        <v>31.358909206898243</v>
      </c>
      <c r="R148" s="1">
        <f t="shared" si="7"/>
        <v>0.34843232452109163</v>
      </c>
      <c r="S148" s="1">
        <f t="shared" si="8"/>
        <v>0.95734203682961139</v>
      </c>
    </row>
    <row r="149" spans="1:19">
      <c r="A149">
        <v>2</v>
      </c>
      <c r="B149">
        <v>47</v>
      </c>
      <c r="C149" s="1">
        <v>2.4717075069767098</v>
      </c>
      <c r="D149" s="1">
        <v>0.31818485613215802</v>
      </c>
      <c r="E149" s="1">
        <v>7.3353886454501396</v>
      </c>
      <c r="F149" s="1">
        <v>1.32450898226943</v>
      </c>
      <c r="G149" s="1">
        <v>7.7496838841859399E-6</v>
      </c>
      <c r="Q149" s="1">
        <f t="shared" si="6"/>
        <v>32.02627383068598</v>
      </c>
      <c r="R149" s="1">
        <f t="shared" si="7"/>
        <v>0.35584748700762203</v>
      </c>
      <c r="S149" s="1">
        <f t="shared" si="8"/>
        <v>0.96472680658905174</v>
      </c>
    </row>
    <row r="150" spans="1:19">
      <c r="A150">
        <v>2</v>
      </c>
      <c r="B150">
        <v>48</v>
      </c>
      <c r="C150" s="1">
        <v>2.4623707647178001</v>
      </c>
      <c r="D150" s="1">
        <v>0.324079015645442</v>
      </c>
      <c r="E150" s="1">
        <v>7.4977529057005796</v>
      </c>
      <c r="F150" s="1">
        <v>1.33468451176735</v>
      </c>
      <c r="G150" s="1">
        <v>7.8692150427961603E-6</v>
      </c>
      <c r="Q150" s="1">
        <f t="shared" si="6"/>
        <v>32.692604191122086</v>
      </c>
      <c r="R150" s="1">
        <f t="shared" si="7"/>
        <v>0.3632511576791343</v>
      </c>
      <c r="S150" s="1">
        <f t="shared" si="8"/>
        <v>0.97213831244464899</v>
      </c>
    </row>
    <row r="151" spans="1:19">
      <c r="A151">
        <v>2</v>
      </c>
      <c r="B151">
        <v>49</v>
      </c>
      <c r="C151" s="1">
        <v>2.4528787915094501</v>
      </c>
      <c r="D151" s="1">
        <v>0.32991992574823298</v>
      </c>
      <c r="E151" s="1">
        <v>7.6604880940423099</v>
      </c>
      <c r="F151" s="1">
        <v>1.3448995006520701</v>
      </c>
      <c r="G151" s="1">
        <v>7.9901298390161693E-6</v>
      </c>
      <c r="Q151" s="1">
        <f t="shared" si="6"/>
        <v>33.357857738005649</v>
      </c>
      <c r="R151" s="1">
        <f t="shared" si="7"/>
        <v>0.37064286375561833</v>
      </c>
      <c r="S151" s="1">
        <f t="shared" si="8"/>
        <v>0.97957855916099335</v>
      </c>
    </row>
    <row r="152" spans="1:19">
      <c r="A152">
        <v>3</v>
      </c>
      <c r="B152">
        <v>0</v>
      </c>
      <c r="C152" s="1">
        <v>2.44015841700628</v>
      </c>
      <c r="D152" s="1">
        <v>0.337522052785516</v>
      </c>
      <c r="E152" s="1">
        <v>7.8751669623000398</v>
      </c>
      <c r="F152" s="1">
        <v>1.3571147284690399</v>
      </c>
      <c r="G152" s="1">
        <v>8.1359318032384107E-6</v>
      </c>
      <c r="Q152" s="1">
        <f t="shared" si="6"/>
        <v>34.231413406498326</v>
      </c>
      <c r="R152" s="1">
        <f t="shared" si="7"/>
        <v>0.38034903784998142</v>
      </c>
      <c r="S152" s="1">
        <f t="shared" si="8"/>
        <v>0.98847571114816335</v>
      </c>
    </row>
    <row r="153" spans="1:19">
      <c r="A153">
        <v>3</v>
      </c>
      <c r="B153">
        <v>1</v>
      </c>
      <c r="C153" s="1">
        <v>2.4239360624467099</v>
      </c>
      <c r="D153" s="1">
        <v>0.34686724031937599</v>
      </c>
      <c r="E153" s="1">
        <v>8.1437843754830705</v>
      </c>
      <c r="F153" s="1">
        <v>1.37499320800282</v>
      </c>
      <c r="G153" s="1">
        <v>8.3517075391701193E-6</v>
      </c>
      <c r="Q153" s="1">
        <f t="shared" si="6"/>
        <v>35.317864768469505</v>
      </c>
      <c r="R153" s="1">
        <f t="shared" si="7"/>
        <v>0.39242071964966119</v>
      </c>
      <c r="S153" s="1">
        <f t="shared" si="8"/>
        <v>1.0014977809854995</v>
      </c>
    </row>
    <row r="154" spans="1:19">
      <c r="A154">
        <v>3</v>
      </c>
      <c r="B154">
        <v>2</v>
      </c>
      <c r="C154" s="1">
        <v>2.4071978464552402</v>
      </c>
      <c r="D154" s="1">
        <v>0.35612882152699299</v>
      </c>
      <c r="E154" s="1">
        <v>8.4154844754112403</v>
      </c>
      <c r="F154" s="1">
        <v>1.39299773795675</v>
      </c>
      <c r="G154" s="1">
        <v>8.5718585200820804E-6</v>
      </c>
      <c r="Q154" s="1">
        <f t="shared" si="6"/>
        <v>36.409193941058142</v>
      </c>
      <c r="R154" s="1">
        <f t="shared" si="7"/>
        <v>0.40454659934509052</v>
      </c>
      <c r="S154" s="1">
        <f t="shared" si="8"/>
        <v>1.0146116616153089</v>
      </c>
    </row>
    <row r="155" spans="1:19">
      <c r="A155">
        <v>3</v>
      </c>
      <c r="B155">
        <v>3</v>
      </c>
      <c r="C155" s="1">
        <v>2.3899465802487398</v>
      </c>
      <c r="D155" s="1">
        <v>0.36530034462710798</v>
      </c>
      <c r="E155" s="1">
        <v>8.6903281345724501</v>
      </c>
      <c r="F155" s="1">
        <v>1.4111593419450299</v>
      </c>
      <c r="G155" s="1">
        <v>8.7968316815847393E-6</v>
      </c>
      <c r="Q155" s="1">
        <f t="shared" si="6"/>
        <v>37.505234577273782</v>
      </c>
      <c r="R155" s="1">
        <f t="shared" si="7"/>
        <v>0.41672482863637539</v>
      </c>
      <c r="S155" s="1">
        <f t="shared" si="8"/>
        <v>1.0278399495715955</v>
      </c>
    </row>
    <row r="156" spans="1:19">
      <c r="A156">
        <v>3</v>
      </c>
      <c r="B156">
        <v>4</v>
      </c>
      <c r="C156" s="1">
        <v>2.3721857181953898</v>
      </c>
      <c r="D156" s="1">
        <v>0.37437535005578398</v>
      </c>
      <c r="E156" s="1">
        <v>8.9683779221483597</v>
      </c>
      <c r="F156" s="1">
        <v>1.42951516323834</v>
      </c>
      <c r="G156" s="1">
        <v>9.0271717366737898E-6</v>
      </c>
      <c r="Q156" s="1">
        <f t="shared" si="6"/>
        <v>38.60581544361856</v>
      </c>
      <c r="R156" s="1">
        <f t="shared" si="7"/>
        <v>0.42895350492909506</v>
      </c>
      <c r="S156" s="1">
        <f t="shared" si="8"/>
        <v>1.041209698735752</v>
      </c>
    </row>
    <row r="157" spans="1:19">
      <c r="A157">
        <v>3</v>
      </c>
      <c r="B157">
        <v>5</v>
      </c>
      <c r="C157" s="1">
        <v>2.3539193648311598</v>
      </c>
      <c r="D157" s="1">
        <v>0.38334738281983199</v>
      </c>
      <c r="E157" s="1">
        <v>9.2496981624181593</v>
      </c>
      <c r="F157" s="1">
        <v>1.44810633408311</v>
      </c>
      <c r="G157" s="1">
        <v>9.2634994120319902E-6</v>
      </c>
      <c r="Q157" s="1">
        <f t="shared" si="6"/>
        <v>39.710760535643956</v>
      </c>
      <c r="R157" s="1">
        <f t="shared" si="7"/>
        <v>0.44123067261826621</v>
      </c>
      <c r="S157" s="1">
        <f t="shared" si="8"/>
        <v>1.0547508684219671</v>
      </c>
    </row>
    <row r="158" spans="1:19">
      <c r="A158">
        <v>3</v>
      </c>
      <c r="B158">
        <v>6</v>
      </c>
      <c r="C158" s="1">
        <v>2.33515228015527</v>
      </c>
      <c r="D158" s="1">
        <v>0.39221000514688298</v>
      </c>
      <c r="E158" s="1">
        <v>9.5343549954316291</v>
      </c>
      <c r="F158" s="1">
        <v>1.4669738168589499</v>
      </c>
      <c r="G158" s="1">
        <v>9.5064615689720405E-6</v>
      </c>
      <c r="Q158" s="1">
        <f t="shared" si="6"/>
        <v>40.819889205180495</v>
      </c>
      <c r="R158" s="1">
        <f t="shared" si="7"/>
        <v>0.4535543245020055</v>
      </c>
      <c r="S158" s="1">
        <f t="shared" si="8"/>
        <v>1.0684932942192784</v>
      </c>
    </row>
    <row r="159" spans="1:19">
      <c r="A159">
        <v>3</v>
      </c>
      <c r="B159">
        <v>7</v>
      </c>
      <c r="C159" s="1">
        <v>2.31588988313352</v>
      </c>
      <c r="D159" s="1">
        <v>0.40095680938878198</v>
      </c>
      <c r="E159" s="1">
        <v>9.8224164400427902</v>
      </c>
      <c r="F159" s="1">
        <v>1.4861570507722199</v>
      </c>
      <c r="G159" s="1">
        <v>9.7567142203863999E-6</v>
      </c>
      <c r="Q159" s="1">
        <f t="shared" si="6"/>
        <v>41.933016299157252</v>
      </c>
      <c r="R159" s="1">
        <f t="shared" si="7"/>
        <v>0.4659224033239695</v>
      </c>
      <c r="S159" s="1">
        <f t="shared" si="8"/>
        <v>1.0824657022896944</v>
      </c>
    </row>
    <row r="160" spans="1:19">
      <c r="A160">
        <v>3</v>
      </c>
      <c r="B160">
        <v>8</v>
      </c>
      <c r="C160" s="1">
        <v>2.2961382533459198</v>
      </c>
      <c r="D160" s="1">
        <v>0.409581431132166</v>
      </c>
      <c r="E160" s="1">
        <v>10.113952459398901</v>
      </c>
      <c r="F160" s="1">
        <v>1.50570600970711</v>
      </c>
      <c r="G160" s="1">
        <v>1.00150826930971E-5</v>
      </c>
      <c r="Q160" s="1">
        <f t="shared" si="6"/>
        <v>43.049952309875145</v>
      </c>
      <c r="R160" s="1">
        <f t="shared" si="7"/>
        <v>0.47833280344305718</v>
      </c>
      <c r="S160" s="1">
        <f t="shared" si="8"/>
        <v>1.0967044918923765</v>
      </c>
    </row>
    <row r="161" spans="1:19">
      <c r="A161">
        <v>3</v>
      </c>
      <c r="B161">
        <v>9</v>
      </c>
      <c r="C161" s="1">
        <v>2.2759041307232701</v>
      </c>
      <c r="D161" s="1">
        <v>0.41807756246754901</v>
      </c>
      <c r="E161" s="1">
        <v>10.4090350289828</v>
      </c>
      <c r="F161" s="1">
        <v>1.5256728968240201</v>
      </c>
      <c r="G161" s="1">
        <v>1.0282460131913E-5</v>
      </c>
      <c r="Q161" s="1">
        <f t="shared" si="6"/>
        <v>44.170503536550136</v>
      </c>
      <c r="R161" s="1">
        <f t="shared" si="7"/>
        <v>0.49078337262833488</v>
      </c>
      <c r="S161" s="1">
        <f t="shared" si="8"/>
        <v>1.1112476860146361</v>
      </c>
    </row>
    <row r="162" spans="1:19">
      <c r="A162">
        <v>3</v>
      </c>
      <c r="B162">
        <v>10</v>
      </c>
      <c r="C162" s="1">
        <v>2.2551949133264699</v>
      </c>
      <c r="D162" s="1">
        <v>0.42643896536595</v>
      </c>
      <c r="E162" s="1">
        <v>10.707738207309401</v>
      </c>
      <c r="F162" s="1">
        <v>1.5459310275904901</v>
      </c>
      <c r="G162" s="1">
        <v>1.05573373557329E-5</v>
      </c>
      <c r="Q162" s="1">
        <f t="shared" si="6"/>
        <v>45.294472257886056</v>
      </c>
      <c r="R162" s="1">
        <f t="shared" si="7"/>
        <v>0.50327191397651172</v>
      </c>
      <c r="S162" s="1">
        <f t="shared" si="8"/>
        <v>1.1260030119983933</v>
      </c>
    </row>
    <row r="163" spans="1:19">
      <c r="A163">
        <v>3</v>
      </c>
      <c r="B163">
        <v>11</v>
      </c>
      <c r="C163" s="1">
        <v>2.23401865313159</v>
      </c>
      <c r="D163" s="1">
        <v>0.43465948511005797</v>
      </c>
      <c r="E163" s="1">
        <v>11.010138209380999</v>
      </c>
      <c r="F163" s="1">
        <v>1.5663739020068199</v>
      </c>
      <c r="G163" s="1">
        <v>1.0838396858292001E-5</v>
      </c>
      <c r="Q163" s="1">
        <f t="shared" si="6"/>
        <v>46.421656915390415</v>
      </c>
      <c r="R163" s="1">
        <f t="shared" si="7"/>
        <v>0.51579618794878235</v>
      </c>
      <c r="S163" s="1">
        <f t="shared" si="8"/>
        <v>1.1408928989052947</v>
      </c>
    </row>
    <row r="164" spans="1:19">
      <c r="A164">
        <v>3</v>
      </c>
      <c r="B164">
        <v>12</v>
      </c>
      <c r="C164" s="1">
        <v>2.2123840497941099</v>
      </c>
      <c r="D164" s="1">
        <v>0.44273306372529803</v>
      </c>
      <c r="E164" s="1">
        <v>11.316313483009999</v>
      </c>
      <c r="F164" s="1">
        <v>1.58713588233766</v>
      </c>
      <c r="G164" s="1">
        <v>1.1127622724239901E-5</v>
      </c>
      <c r="Q164" s="1">
        <f t="shared" si="6"/>
        <v>47.551852307092524</v>
      </c>
      <c r="R164" s="1">
        <f t="shared" si="7"/>
        <v>0.52835391452325031</v>
      </c>
      <c r="S164" s="1">
        <f t="shared" si="8"/>
        <v>1.1560152115895901</v>
      </c>
    </row>
    <row r="165" spans="1:19">
      <c r="A165">
        <v>3</v>
      </c>
      <c r="B165">
        <v>13</v>
      </c>
      <c r="C165" s="1">
        <v>2.1903004423761301</v>
      </c>
      <c r="D165" s="1">
        <v>0.45065375335476299</v>
      </c>
      <c r="E165" s="1">
        <v>11.6263447881182</v>
      </c>
      <c r="F165" s="1">
        <v>1.60825612376909</v>
      </c>
      <c r="G165" s="1">
        <v>1.14257468993841E-5</v>
      </c>
      <c r="Q165" s="1">
        <f t="shared" si="6"/>
        <v>48.68484979127328</v>
      </c>
      <c r="R165" s="1">
        <f t="shared" si="7"/>
        <v>0.54094277545859204</v>
      </c>
      <c r="S165" s="1">
        <f t="shared" si="8"/>
        <v>1.1713984693426798</v>
      </c>
    </row>
    <row r="166" spans="1:19">
      <c r="A166">
        <v>3</v>
      </c>
      <c r="B166">
        <v>14</v>
      </c>
      <c r="C166" s="1">
        <v>2.16777779903143</v>
      </c>
      <c r="D166" s="1">
        <v>0.458415729521024</v>
      </c>
      <c r="E166" s="1">
        <v>11.9403152791284</v>
      </c>
      <c r="F166" s="1">
        <v>1.6297673755943001</v>
      </c>
      <c r="G166" s="1">
        <v>1.17334414838927E-5</v>
      </c>
      <c r="Q166" s="1">
        <f t="shared" si="6"/>
        <v>49.820437499765895</v>
      </c>
      <c r="R166" s="1">
        <f t="shared" si="7"/>
        <v>0.55356041666406552</v>
      </c>
      <c r="S166" s="1">
        <f t="shared" si="8"/>
        <v>1.187066525623816</v>
      </c>
    </row>
    <row r="167" spans="1:19">
      <c r="A167">
        <v>3</v>
      </c>
      <c r="B167">
        <v>15</v>
      </c>
      <c r="C167" s="1">
        <v>2.1448267046545202</v>
      </c>
      <c r="D167" s="1">
        <v>0.46601330421723303</v>
      </c>
      <c r="E167" s="1">
        <v>12.2583105905652</v>
      </c>
      <c r="F167" s="1">
        <v>1.6517059537044201</v>
      </c>
      <c r="G167" s="1">
        <v>1.2051459355958201E-5</v>
      </c>
      <c r="Q167" s="1">
        <f t="shared" si="6"/>
        <v>50.958400560339086</v>
      </c>
      <c r="R167" s="1">
        <f t="shared" si="7"/>
        <v>0.56620445067043434</v>
      </c>
      <c r="S167" s="1">
        <f t="shared" si="8"/>
        <v>1.2030458316795716</v>
      </c>
    </row>
    <row r="168" spans="1:19">
      <c r="A168">
        <v>3</v>
      </c>
      <c r="B168">
        <v>16</v>
      </c>
      <c r="C168" s="1">
        <v>2.12145834651123</v>
      </c>
      <c r="D168" s="1">
        <v>0.47344093876972798</v>
      </c>
      <c r="E168" s="1">
        <v>12.5804189259847</v>
      </c>
      <c r="F168" s="1">
        <v>1.6741096041951899</v>
      </c>
      <c r="G168" s="1">
        <v>1.23806072807831E-5</v>
      </c>
      <c r="Q168" s="1">
        <f t="shared" si="6"/>
        <v>52.09852132763006</v>
      </c>
      <c r="R168" s="1">
        <f t="shared" si="7"/>
        <v>0.57887245919588959</v>
      </c>
      <c r="S168" s="1">
        <f t="shared" si="8"/>
        <v>1.2193638804683875</v>
      </c>
    </row>
    <row r="169" spans="1:19">
      <c r="A169">
        <v>3</v>
      </c>
      <c r="B169">
        <v>17</v>
      </c>
      <c r="C169" s="1">
        <v>2.0976844978803202</v>
      </c>
      <c r="D169" s="1">
        <v>0.480693256414576</v>
      </c>
      <c r="E169" s="1">
        <v>12.9067311503558</v>
      </c>
      <c r="F169" s="1">
        <v>1.6970108286666601</v>
      </c>
      <c r="G169" s="1">
        <v>1.27216487129944E-5</v>
      </c>
      <c r="Q169" s="1">
        <f t="shared" si="6"/>
        <v>53.240579622041906</v>
      </c>
      <c r="R169" s="1">
        <f t="shared" si="7"/>
        <v>0.59156199580046565</v>
      </c>
      <c r="S169" s="1">
        <f t="shared" si="8"/>
        <v>1.2360443450383487</v>
      </c>
    </row>
    <row r="170" spans="1:19">
      <c r="A170">
        <v>3</v>
      </c>
      <c r="B170">
        <v>18</v>
      </c>
      <c r="C170" s="1">
        <v>2.0735174997468899</v>
      </c>
      <c r="D170" s="1">
        <v>0.48776505453111701</v>
      </c>
      <c r="E170" s="1">
        <v>13.23734088602</v>
      </c>
      <c r="F170" s="1">
        <v>1.7204376874838201</v>
      </c>
      <c r="G170" s="1">
        <v>1.3075312190429E-5</v>
      </c>
      <c r="Q170" s="1">
        <f t="shared" si="6"/>
        <v>54.384352975988108</v>
      </c>
      <c r="R170" s="1">
        <f t="shared" si="7"/>
        <v>0.60427058862209015</v>
      </c>
      <c r="S170" s="1">
        <f t="shared" si="8"/>
        <v>1.253107663594609</v>
      </c>
    </row>
    <row r="171" spans="1:19">
      <c r="A171">
        <v>3</v>
      </c>
      <c r="B171">
        <v>19</v>
      </c>
      <c r="C171" s="1">
        <v>2.0489702406000498</v>
      </c>
      <c r="D171" s="1">
        <v>0.49465131647664001</v>
      </c>
      <c r="E171" s="1">
        <v>13.572344612355201</v>
      </c>
      <c r="F171" s="1">
        <v>1.7444328489432901</v>
      </c>
      <c r="G171" s="1">
        <v>1.3442581687718E-5</v>
      </c>
      <c r="Q171" s="1">
        <f t="shared" si="6"/>
        <v>55.529616886824435</v>
      </c>
      <c r="R171" s="1">
        <f t="shared" si="7"/>
        <v>0.61699574318693817</v>
      </c>
      <c r="S171" s="1">
        <f t="shared" si="8"/>
        <v>1.2705849142575072</v>
      </c>
    </row>
    <row r="172" spans="1:19">
      <c r="A172">
        <v>3</v>
      </c>
      <c r="B172">
        <v>20</v>
      </c>
      <c r="C172" s="1">
        <v>2.0240561343989301</v>
      </c>
      <c r="D172" s="1">
        <v>0.501347222967788</v>
      </c>
      <c r="E172" s="1">
        <v>13.911841769274799</v>
      </c>
      <c r="F172" s="1">
        <v>1.7702907532152701</v>
      </c>
      <c r="G172" s="1">
        <v>1.38440568414404E-5</v>
      </c>
      <c r="Q172" s="1">
        <f t="shared" si="6"/>
        <v>56.676145075765163</v>
      </c>
      <c r="R172" s="1">
        <f t="shared" si="7"/>
        <v>0.6297349452862796</v>
      </c>
      <c r="S172" s="1">
        <f t="shared" si="8"/>
        <v>1.2894189227446753</v>
      </c>
    </row>
    <row r="173" spans="1:19">
      <c r="A173">
        <v>3</v>
      </c>
      <c r="B173">
        <v>21</v>
      </c>
      <c r="C173" s="1">
        <v>1.9987890967817901</v>
      </c>
      <c r="D173" s="1">
        <v>0.50784816295621105</v>
      </c>
      <c r="E173" s="1">
        <v>14.255934864692501</v>
      </c>
      <c r="F173" s="1">
        <v>1.7978604148792201</v>
      </c>
      <c r="G173" s="1">
        <v>1.42786159464302E-5</v>
      </c>
      <c r="Q173" s="1">
        <f t="shared" si="6"/>
        <v>57.823709752060196</v>
      </c>
      <c r="R173" s="1">
        <f t="shared" si="7"/>
        <v>0.64248566391177997</v>
      </c>
      <c r="S173" s="1">
        <f t="shared" si="8"/>
        <v>1.3094997164666107</v>
      </c>
    </row>
    <row r="174" spans="1:19">
      <c r="A174">
        <v>3</v>
      </c>
      <c r="B174">
        <v>22</v>
      </c>
      <c r="C174" s="1">
        <v>1.97318351960397</v>
      </c>
      <c r="D174" s="1">
        <v>0.51414974394824398</v>
      </c>
      <c r="E174" s="1">
        <v>14.6047295860846</v>
      </c>
      <c r="F174" s="1">
        <v>1.82586440317448</v>
      </c>
      <c r="G174" s="1">
        <v>1.47268958499493E-5</v>
      </c>
      <c r="Q174" s="1">
        <f t="shared" si="6"/>
        <v>58.972081881670626</v>
      </c>
      <c r="R174" s="1">
        <f t="shared" si="7"/>
        <v>0.65524535424078478</v>
      </c>
      <c r="S174" s="1">
        <f t="shared" si="8"/>
        <v>1.3298968587748141</v>
      </c>
    </row>
    <row r="175" spans="1:19">
      <c r="A175">
        <v>3</v>
      </c>
      <c r="B175">
        <v>23</v>
      </c>
      <c r="C175" s="1">
        <v>1.9472542439004401</v>
      </c>
      <c r="D175" s="1">
        <v>0.52024780172110197</v>
      </c>
      <c r="E175" s="1">
        <v>14.9583349162824</v>
      </c>
      <c r="F175" s="1">
        <v>1.85438725067818</v>
      </c>
      <c r="G175" s="1">
        <v>1.51906038285669E-5</v>
      </c>
      <c r="Q175" s="1">
        <f t="shared" si="6"/>
        <v>60.121031459660678</v>
      </c>
      <c r="R175" s="1">
        <f t="shared" si="7"/>
        <v>0.66801146066289641</v>
      </c>
      <c r="S175" s="1">
        <f t="shared" si="8"/>
        <v>1.3506719202922706</v>
      </c>
    </row>
    <row r="176" spans="1:19">
      <c r="A176">
        <v>3</v>
      </c>
      <c r="B176">
        <v>24</v>
      </c>
      <c r="C176" s="1">
        <v>1.9210165313783201</v>
      </c>
      <c r="D176" s="1">
        <v>0.52613840939116197</v>
      </c>
      <c r="E176" s="1">
        <v>15.316863253627901</v>
      </c>
      <c r="F176" s="1">
        <v>1.8835129771472301</v>
      </c>
      <c r="G176" s="1">
        <v>1.5671530256915799E-5</v>
      </c>
      <c r="Q176" s="1">
        <f t="shared" si="6"/>
        <v>61.270327785503746</v>
      </c>
      <c r="R176" s="1">
        <f t="shared" si="7"/>
        <v>0.68078141983893048</v>
      </c>
      <c r="S176" s="1">
        <f t="shared" si="8"/>
        <v>1.3718860981213472</v>
      </c>
    </row>
    <row r="177" spans="1:19">
      <c r="A177">
        <v>3</v>
      </c>
      <c r="B177">
        <v>25</v>
      </c>
      <c r="C177" s="1">
        <v>1.89448603455369</v>
      </c>
      <c r="D177" s="1">
        <v>0.53181788579322498</v>
      </c>
      <c r="E177" s="1">
        <v>15.6804305366219</v>
      </c>
      <c r="F177" s="1">
        <v>1.91333257757486</v>
      </c>
      <c r="G177" s="1">
        <v>1.6171678702390501E-5</v>
      </c>
      <c r="Q177" s="1">
        <f t="shared" si="6"/>
        <v>62.419739740477091</v>
      </c>
      <c r="R177" s="1">
        <f t="shared" si="7"/>
        <v>0.69355266378307878</v>
      </c>
      <c r="S177" s="1">
        <f t="shared" si="8"/>
        <v>1.3936056698867405</v>
      </c>
    </row>
    <row r="178" spans="1:19">
      <c r="A178">
        <v>3</v>
      </c>
      <c r="B178">
        <v>26</v>
      </c>
      <c r="C178" s="1">
        <v>1.8676787656549201</v>
      </c>
      <c r="D178" s="1">
        <v>0.53728280313346899</v>
      </c>
      <c r="E178" s="1">
        <v>16.049156373194801</v>
      </c>
      <c r="F178" s="1">
        <v>1.9439425070174801</v>
      </c>
      <c r="G178" s="1">
        <v>1.6693254117652299E-5</v>
      </c>
      <c r="Q178" s="1">
        <f t="shared" si="6"/>
        <v>63.569036066319917</v>
      </c>
      <c r="R178" s="1">
        <f t="shared" si="7"/>
        <v>0.70632262295911019</v>
      </c>
      <c r="S178" s="1">
        <f t="shared" si="8"/>
        <v>1.4159008901354531</v>
      </c>
    </row>
    <row r="179" spans="1:19">
      <c r="A179">
        <v>3</v>
      </c>
      <c r="B179">
        <v>27</v>
      </c>
      <c r="C179" s="1">
        <v>1.8406110644222</v>
      </c>
      <c r="D179" s="1">
        <v>0.54252999388270695</v>
      </c>
      <c r="E179" s="1">
        <v>16.423164174726399</v>
      </c>
      <c r="F179" s="1">
        <v>1.9754328559360801</v>
      </c>
      <c r="G179" s="1">
        <v>1.7238470005649099E-5</v>
      </c>
      <c r="Q179" s="1">
        <f t="shared" si="6"/>
        <v>64.717985644310104</v>
      </c>
      <c r="R179" s="1">
        <f t="shared" si="7"/>
        <v>0.71908872938122337</v>
      </c>
      <c r="S179" s="1">
        <f t="shared" si="8"/>
        <v>1.4388373776619952</v>
      </c>
    </row>
    <row r="180" spans="1:19">
      <c r="A180">
        <v>3</v>
      </c>
      <c r="B180">
        <v>28</v>
      </c>
      <c r="C180" s="1">
        <v>1.8132995649391701</v>
      </c>
      <c r="D180" s="1">
        <v>0.547556556880895</v>
      </c>
      <c r="E180" s="1">
        <v>16.8025812949342</v>
      </c>
      <c r="F180" s="1">
        <v>2.0078969113887601</v>
      </c>
      <c r="G180" s="1">
        <v>1.7809716049299601E-5</v>
      </c>
      <c r="Q180" s="1">
        <f t="shared" si="6"/>
        <v>65.866357773920384</v>
      </c>
      <c r="R180" s="1">
        <f t="shared" si="7"/>
        <v>0.73184841971022652</v>
      </c>
      <c r="S180" s="1">
        <f t="shared" si="8"/>
        <v>1.4624830795523152</v>
      </c>
    </row>
    <row r="181" spans="1:19">
      <c r="A181">
        <v>3</v>
      </c>
      <c r="B181">
        <v>29</v>
      </c>
      <c r="C181" s="1">
        <v>1.78576116163781</v>
      </c>
      <c r="D181" s="1">
        <v>0.55235986262822301</v>
      </c>
      <c r="E181" s="1">
        <v>17.187539173747901</v>
      </c>
      <c r="F181" s="1">
        <v>2.0414312675285902</v>
      </c>
      <c r="G181" s="1">
        <v>1.8409572205046101E-5</v>
      </c>
      <c r="Q181" s="1">
        <f t="shared" si="6"/>
        <v>67.013922450215489</v>
      </c>
      <c r="R181" s="1">
        <f t="shared" si="7"/>
        <v>0.74459913833572777</v>
      </c>
      <c r="S181" s="1">
        <f t="shared" si="8"/>
        <v>1.4869083516666399</v>
      </c>
    </row>
    <row r="182" spans="1:19">
      <c r="A182">
        <v>3</v>
      </c>
      <c r="B182">
        <v>30</v>
      </c>
      <c r="C182" s="1">
        <v>1.7580129746222299</v>
      </c>
      <c r="D182" s="1">
        <v>0.55693755774280096</v>
      </c>
      <c r="E182" s="1">
        <v>17.578173486275599</v>
      </c>
      <c r="F182" s="1">
        <v>2.0760549199830098</v>
      </c>
      <c r="G182" s="1">
        <v>1.9039338194247399E-5</v>
      </c>
      <c r="Q182" s="1">
        <f t="shared" si="6"/>
        <v>68.160450639156153</v>
      </c>
      <c r="R182" s="1">
        <f t="shared" si="7"/>
        <v>0.75733834043506842</v>
      </c>
      <c r="S182" s="1">
        <f t="shared" si="8"/>
        <v>1.5121270297669345</v>
      </c>
    </row>
    <row r="183" spans="1:19">
      <c r="A183">
        <v>3</v>
      </c>
      <c r="B183">
        <v>31</v>
      </c>
      <c r="C183" s="1">
        <v>1.7300723144600401</v>
      </c>
      <c r="D183" s="1">
        <v>0.56128756856968798</v>
      </c>
      <c r="E183" s="1">
        <v>17.9746242969624</v>
      </c>
      <c r="F183" s="1">
        <v>2.11194837418947</v>
      </c>
      <c r="G183" s="1">
        <v>1.97033815585913E-5</v>
      </c>
      <c r="Q183" s="1">
        <f t="shared" si="6"/>
        <v>69.305714549992388</v>
      </c>
      <c r="R183" s="1">
        <f t="shared" si="7"/>
        <v>0.77006349499991544</v>
      </c>
      <c r="S183" s="1">
        <f t="shared" si="8"/>
        <v>1.5382705878081322</v>
      </c>
    </row>
    <row r="184" spans="1:19">
      <c r="A184">
        <v>3</v>
      </c>
      <c r="B184">
        <v>32</v>
      </c>
      <c r="C184" s="1">
        <v>1.7019566465923299</v>
      </c>
      <c r="D184" s="1">
        <v>0.56540810393085095</v>
      </c>
      <c r="E184" s="1">
        <v>18.377036219025101</v>
      </c>
      <c r="F184" s="1">
        <v>2.1494326351055202</v>
      </c>
      <c r="G184" s="1">
        <v>2.04090057965998E-5</v>
      </c>
      <c r="Q184" s="1">
        <f t="shared" si="6"/>
        <v>70.449487903938845</v>
      </c>
      <c r="R184" s="1">
        <f t="shared" si="7"/>
        <v>0.78277208782154273</v>
      </c>
      <c r="S184" s="1">
        <f t="shared" si="8"/>
        <v>1.5655728347652886</v>
      </c>
    </row>
    <row r="185" spans="1:19">
      <c r="A185">
        <v>3</v>
      </c>
      <c r="B185">
        <v>33</v>
      </c>
      <c r="C185" s="1">
        <v>1.67368355551417</v>
      </c>
      <c r="D185" s="1">
        <v>0.56929765701051904</v>
      </c>
      <c r="E185" s="1">
        <v>18.7855585792372</v>
      </c>
      <c r="F185" s="1">
        <v>2.1887559510513199</v>
      </c>
      <c r="G185" s="1">
        <v>2.1162591641111399E-5</v>
      </c>
      <c r="Q185" s="1">
        <f t="shared" si="6"/>
        <v>71.591546198350471</v>
      </c>
      <c r="R185" s="1">
        <f t="shared" si="7"/>
        <v>0.79546162442611645</v>
      </c>
      <c r="S185" s="1">
        <f t="shared" si="8"/>
        <v>1.5942145861801287</v>
      </c>
    </row>
    <row r="186" spans="1:19">
      <c r="A186">
        <v>3</v>
      </c>
      <c r="B186">
        <v>34</v>
      </c>
      <c r="C186" s="1">
        <v>1.64527070887754</v>
      </c>
      <c r="D186" s="1">
        <v>0.57295500637528796</v>
      </c>
      <c r="E186" s="1">
        <v>19.200345588117202</v>
      </c>
      <c r="F186" s="1">
        <v>2.23017535680638</v>
      </c>
      <c r="G186" s="1">
        <v>2.1971120053965599E-5</v>
      </c>
      <c r="Q186" s="1">
        <f t="shared" si="6"/>
        <v>72.731666965641168</v>
      </c>
      <c r="R186" s="1">
        <f t="shared" si="7"/>
        <v>0.80812963295156859</v>
      </c>
      <c r="S186" s="1">
        <f t="shared" si="8"/>
        <v>1.6243830573492937</v>
      </c>
    </row>
    <row r="187" spans="1:19">
      <c r="A187">
        <v>3</v>
      </c>
      <c r="B187">
        <v>35</v>
      </c>
      <c r="C187" s="1">
        <v>1.6167358216674901</v>
      </c>
      <c r="D187" s="1">
        <v>0.57637921613314103</v>
      </c>
      <c r="E187" s="1">
        <v>19.621556515554801</v>
      </c>
      <c r="F187" s="1">
        <v>2.2739555632100399</v>
      </c>
      <c r="G187" s="1">
        <v>2.2842209961859401E-5</v>
      </c>
      <c r="Q187" s="1">
        <f t="shared" si="6"/>
        <v>73.869630026214722</v>
      </c>
      <c r="R187" s="1">
        <f t="shared" si="7"/>
        <v>0.82077366695794141</v>
      </c>
      <c r="S187" s="1">
        <f t="shared" si="8"/>
        <v>1.6562710545475041</v>
      </c>
    </row>
    <row r="188" spans="1:19">
      <c r="A188">
        <v>3</v>
      </c>
      <c r="B188">
        <v>36</v>
      </c>
      <c r="C188" s="1">
        <v>1.58809662060023</v>
      </c>
      <c r="D188" s="1">
        <v>0.57956963524030902</v>
      </c>
      <c r="E188" s="1">
        <v>20.049355871885101</v>
      </c>
      <c r="F188" s="1">
        <v>2.3203677272243102</v>
      </c>
      <c r="G188" s="1">
        <v>2.3784159293617201E-5</v>
      </c>
      <c r="Q188" s="1">
        <f t="shared" si="6"/>
        <v>75.005217734707017</v>
      </c>
      <c r="R188" s="1">
        <f t="shared" si="7"/>
        <v>0.83339130816341134</v>
      </c>
      <c r="S188" s="1">
        <f t="shared" si="8"/>
        <v>1.6900760791836196</v>
      </c>
    </row>
    <row r="189" spans="1:19">
      <c r="A189">
        <v>3</v>
      </c>
      <c r="B189">
        <v>37</v>
      </c>
      <c r="C189" s="1">
        <v>1.5593708088882301</v>
      </c>
      <c r="D189" s="1">
        <v>0.58252589596947402</v>
      </c>
      <c r="E189" s="1">
        <v>20.483913594389499</v>
      </c>
      <c r="F189" s="1">
        <v>2.3696925119692298</v>
      </c>
      <c r="G189" s="1">
        <v>2.48060813940174E-5</v>
      </c>
      <c r="Q189" s="1">
        <f t="shared" si="6"/>
        <v>76.13821521888768</v>
      </c>
      <c r="R189" s="1">
        <f t="shared" si="7"/>
        <v>0.84598016909875207</v>
      </c>
      <c r="S189" s="1">
        <f t="shared" si="8"/>
        <v>1.7260025566251891</v>
      </c>
    </row>
    <row r="190" spans="1:19">
      <c r="A190">
        <v>3</v>
      </c>
      <c r="B190">
        <v>38</v>
      </c>
      <c r="C190" s="1">
        <v>1.53057603151374</v>
      </c>
      <c r="D190" s="1">
        <v>0.58524791155729405</v>
      </c>
      <c r="E190" s="1">
        <v>20.925405239173202</v>
      </c>
      <c r="F190" s="1">
        <v>2.4222257443165298</v>
      </c>
      <c r="G190" s="1">
        <v>2.5918114448306201E-5</v>
      </c>
      <c r="Q190" s="1">
        <f t="shared" si="6"/>
        <v>77.268410610590152</v>
      </c>
      <c r="R190" s="1">
        <f t="shared" si="7"/>
        <v>0.85853789567322392</v>
      </c>
      <c r="S190" s="1">
        <f t="shared" si="8"/>
        <v>1.7642659569951702</v>
      </c>
    </row>
    <row r="191" spans="1:19">
      <c r="A191">
        <v>3</v>
      </c>
      <c r="B191">
        <v>39</v>
      </c>
      <c r="C191" s="1">
        <v>1.50172984114659</v>
      </c>
      <c r="D191" s="1">
        <v>0.58773587305341501</v>
      </c>
      <c r="E191" s="1">
        <v>21.374012178325501</v>
      </c>
      <c r="F191" s="1">
        <v>2.4782861103065099</v>
      </c>
      <c r="G191" s="1">
        <v>2.71317032064551E-5</v>
      </c>
      <c r="Q191" s="1">
        <f t="shared" si="6"/>
        <v>78.395595268094354</v>
      </c>
      <c r="R191" s="1">
        <f t="shared" si="7"/>
        <v>0.87106216964549288</v>
      </c>
      <c r="S191" s="1">
        <f t="shared" si="8"/>
        <v>1.8050984002490169</v>
      </c>
    </row>
    <row r="192" spans="1:19">
      <c r="A192">
        <v>3</v>
      </c>
      <c r="B192">
        <v>40</v>
      </c>
      <c r="C192" s="1">
        <v>1.47284966483619</v>
      </c>
      <c r="D192" s="1">
        <v>0.58999024539715905</v>
      </c>
      <c r="E192" s="1">
        <v>21.829921802225801</v>
      </c>
      <c r="F192" s="1">
        <v>2.5394818645292099</v>
      </c>
      <c r="G192" s="1">
        <v>2.8488160231302001E-5</v>
      </c>
      <c r="Q192" s="1">
        <f t="shared" si="6"/>
        <v>79.519563989430054</v>
      </c>
      <c r="R192" s="1">
        <f t="shared" si="7"/>
        <v>0.88355071099366733</v>
      </c>
      <c r="S192" s="1">
        <f t="shared" si="8"/>
        <v>1.8496712837389566</v>
      </c>
    </row>
    <row r="193" spans="1:19">
      <c r="A193">
        <v>3</v>
      </c>
      <c r="B193">
        <v>41</v>
      </c>
      <c r="C193" s="1">
        <v>1.44395277160111</v>
      </c>
      <c r="D193" s="1">
        <v>0.59201176275180201</v>
      </c>
      <c r="E193" s="1">
        <v>22.2933277268076</v>
      </c>
      <c r="F193" s="1">
        <v>2.6045848791778599</v>
      </c>
      <c r="G193" s="1">
        <v>2.99675474635252E-5</v>
      </c>
      <c r="Q193" s="1">
        <f t="shared" si="6"/>
        <v>80.640115216105187</v>
      </c>
      <c r="R193" s="1">
        <f t="shared" si="7"/>
        <v>0.89600128017894654</v>
      </c>
      <c r="S193" s="1">
        <f t="shared" si="8"/>
        <v>1.8970900813930871</v>
      </c>
    </row>
    <row r="194" spans="1:19">
      <c r="A194">
        <v>3</v>
      </c>
      <c r="B194">
        <v>42</v>
      </c>
      <c r="C194" s="1">
        <v>1.4150562410318199</v>
      </c>
      <c r="D194" s="1">
        <v>0.59380142312975004</v>
      </c>
      <c r="E194" s="1">
        <v>22.764430005529402</v>
      </c>
      <c r="F194" s="1">
        <v>2.6718444249576199</v>
      </c>
      <c r="G194" s="1">
        <v>3.1535266477529999E-5</v>
      </c>
      <c r="Q194" s="1">
        <f t="shared" si="6"/>
        <v>81.757051226823194</v>
      </c>
      <c r="R194" s="1">
        <f t="shared" si="7"/>
        <v>0.90841168029803554</v>
      </c>
      <c r="S194" s="1">
        <f t="shared" si="8"/>
        <v>1.946079622182429</v>
      </c>
    </row>
    <row r="195" spans="1:19">
      <c r="A195">
        <v>3</v>
      </c>
      <c r="B195">
        <v>43</v>
      </c>
      <c r="C195" s="1">
        <v>1.38617693301412</v>
      </c>
      <c r="D195" s="1">
        <v>0.595360482345064</v>
      </c>
      <c r="E195" s="1">
        <v>23.243435345734799</v>
      </c>
      <c r="F195" s="1">
        <v>2.7413474550097501</v>
      </c>
      <c r="G195" s="1">
        <v>3.3197267674128503E-5</v>
      </c>
      <c r="Q195" s="1">
        <f t="shared" ref="Q195:Q201" si="9">ATAN((D195)/((C195-$M$32)*$J$29))*180/PI()</f>
        <v>82.870178320799837</v>
      </c>
      <c r="R195" s="1">
        <f t="shared" ref="R195:R201" si="10">RADIANS(Q195)/PI()*2</f>
        <v>0.92077975911999832</v>
      </c>
      <c r="S195" s="1">
        <f t="shared" ref="S195:S201" si="11">F195/$J$33/SQRT(PI()*$M$30)</f>
        <v>1.9967032397856617</v>
      </c>
    </row>
    <row r="196" spans="1:19">
      <c r="A196">
        <v>3</v>
      </c>
      <c r="B196">
        <v>44</v>
      </c>
      <c r="C196" s="1">
        <v>1.35733145867226</v>
      </c>
      <c r="D196" s="1">
        <v>0.59669044733255405</v>
      </c>
      <c r="E196" s="1">
        <v>23.730557329006</v>
      </c>
      <c r="F196" s="1">
        <v>2.8131010537224399</v>
      </c>
      <c r="G196" s="1">
        <v>3.4957859999968101E-5</v>
      </c>
      <c r="Q196" s="1">
        <f t="shared" si="9"/>
        <v>83.97930699033634</v>
      </c>
      <c r="R196" s="1">
        <f t="shared" si="10"/>
        <v>0.93310341100373717</v>
      </c>
      <c r="S196" s="1">
        <f t="shared" si="11"/>
        <v>2.0489660942275836</v>
      </c>
    </row>
    <row r="197" spans="1:19">
      <c r="A197">
        <v>3</v>
      </c>
      <c r="B197">
        <v>45</v>
      </c>
      <c r="C197" s="1">
        <v>1.3285361526214601</v>
      </c>
      <c r="D197" s="1">
        <v>0.597793068875073</v>
      </c>
      <c r="E197" s="1">
        <v>24.226016635022098</v>
      </c>
      <c r="F197" s="1">
        <v>2.8870087459752898</v>
      </c>
      <c r="G197" s="1">
        <v>3.6818862836880699E-5</v>
      </c>
      <c r="Q197" s="1">
        <f t="shared" si="9"/>
        <v>85.084252082361928</v>
      </c>
      <c r="R197" s="1">
        <f t="shared" si="10"/>
        <v>0.94538057869291037</v>
      </c>
      <c r="S197" s="1">
        <f t="shared" si="11"/>
        <v>2.1027979163472725</v>
      </c>
    </row>
    <row r="198" spans="1:19">
      <c r="A198">
        <v>3</v>
      </c>
      <c r="B198">
        <v>46</v>
      </c>
      <c r="C198" s="1">
        <v>1.2998070466102301</v>
      </c>
      <c r="D198" s="1">
        <v>0.59867033378271295</v>
      </c>
      <c r="E198" s="1">
        <v>24.730041268335999</v>
      </c>
      <c r="F198" s="1">
        <v>2.96288634915819</v>
      </c>
      <c r="G198" s="1">
        <v>3.8779674375754501E-5</v>
      </c>
      <c r="Q198" s="1">
        <f t="shared" si="9"/>
        <v>86.184832948706259</v>
      </c>
      <c r="R198" s="1">
        <f t="shared" si="10"/>
        <v>0.9576092549856251</v>
      </c>
      <c r="S198" s="1">
        <f t="shared" si="11"/>
        <v>2.15806455386365</v>
      </c>
    </row>
    <row r="199" spans="1:19">
      <c r="A199">
        <v>3</v>
      </c>
      <c r="B199">
        <v>47</v>
      </c>
      <c r="C199" s="1">
        <v>1.27115984462291</v>
      </c>
      <c r="D199" s="1">
        <v>0.59932445656932198</v>
      </c>
      <c r="E199" s="1">
        <v>25.2428667873635</v>
      </c>
      <c r="F199" s="1">
        <v>3.0405012042084598</v>
      </c>
      <c r="G199" s="1">
        <v>4.0838006268163801E-5</v>
      </c>
      <c r="Q199" s="1">
        <f t="shared" si="9"/>
        <v>87.280873584921821</v>
      </c>
      <c r="R199" s="1">
        <f t="shared" si="10"/>
        <v>0.9697874842769092</v>
      </c>
      <c r="S199" s="1">
        <f t="shared" si="11"/>
        <v>2.2145965459141861</v>
      </c>
    </row>
    <row r="200" spans="1:19">
      <c r="A200">
        <v>3</v>
      </c>
      <c r="B200">
        <v>48</v>
      </c>
      <c r="C200" s="1">
        <v>1.2426098995034001</v>
      </c>
      <c r="D200" s="1">
        <v>0.59975787067306097</v>
      </c>
      <c r="E200" s="1">
        <v>25.764736534750799</v>
      </c>
      <c r="F200" s="1">
        <v>3.1196191007505001</v>
      </c>
      <c r="G200" s="1">
        <v>4.2990976862758903E-5</v>
      </c>
      <c r="Q200" s="1">
        <f t="shared" si="9"/>
        <v>88.372202757510564</v>
      </c>
      <c r="R200" s="1">
        <f t="shared" si="10"/>
        <v>0.98191336397233964</v>
      </c>
      <c r="S200" s="1">
        <f t="shared" si="11"/>
        <v>2.2722233017133546</v>
      </c>
    </row>
    <row r="201" spans="1:19">
      <c r="A201">
        <v>3</v>
      </c>
      <c r="B201">
        <v>49</v>
      </c>
      <c r="C201" s="1">
        <v>1.2141721911504999</v>
      </c>
      <c r="D201" s="1">
        <v>0.59997321926872105</v>
      </c>
      <c r="E201" s="1">
        <v>26.295901868135601</v>
      </c>
      <c r="F201" s="1">
        <v>3.20004388696099</v>
      </c>
      <c r="G201" s="1">
        <v>4.5236192230162803E-5</v>
      </c>
      <c r="Q201" s="1">
        <f t="shared" si="9"/>
        <v>89.458654119481523</v>
      </c>
      <c r="R201" s="1">
        <f t="shared" si="10"/>
        <v>0.99398504577201696</v>
      </c>
      <c r="S201" s="1">
        <f t="shared" si="11"/>
        <v>2.3308019510166709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B116-FA10-4F09-93C7-0898B98BC6C5}">
  <dimension ref="A1:AU443"/>
  <sheetViews>
    <sheetView workbookViewId="0">
      <selection activeCell="J24" sqref="J24"/>
    </sheetView>
  </sheetViews>
  <sheetFormatPr defaultRowHeight="18"/>
  <cols>
    <col min="1" max="1" width="13.33203125" bestFit="1" customWidth="1"/>
    <col min="2" max="2" width="11.6640625" bestFit="1" customWidth="1"/>
    <col min="3" max="3" width="14.25" bestFit="1" customWidth="1"/>
    <col min="5" max="5" width="10" bestFit="1" customWidth="1"/>
    <col min="6" max="6" width="9.9140625" bestFit="1" customWidth="1"/>
    <col min="7" max="7" width="9.1640625" bestFit="1" customWidth="1"/>
    <col min="8" max="8" width="10.75" bestFit="1" customWidth="1"/>
    <col min="11" max="11" width="11.25" style="3" customWidth="1"/>
    <col min="12" max="12" width="13.6640625" customWidth="1"/>
    <col min="13" max="13" width="10.4140625" customWidth="1"/>
    <col min="29" max="29" width="11.4140625" customWidth="1"/>
    <col min="46" max="46" width="7.08203125" customWidth="1"/>
    <col min="47" max="47" width="11" bestFit="1" customWidth="1"/>
  </cols>
  <sheetData>
    <row r="1" spans="1:47">
      <c r="A1" t="s">
        <v>27</v>
      </c>
      <c r="B1" t="s">
        <v>28</v>
      </c>
    </row>
    <row r="3" spans="1:47">
      <c r="M3" s="6" t="s">
        <v>43</v>
      </c>
      <c r="N3" s="6"/>
      <c r="O3" s="6"/>
      <c r="P3" s="6"/>
      <c r="Q3" s="6"/>
    </row>
    <row r="4" spans="1:47">
      <c r="A4" t="s">
        <v>29</v>
      </c>
      <c r="B4" t="s">
        <v>30</v>
      </c>
      <c r="C4" t="s">
        <v>31</v>
      </c>
      <c r="D4" t="s">
        <v>32</v>
      </c>
      <c r="M4">
        <v>1</v>
      </c>
      <c r="N4">
        <v>2</v>
      </c>
      <c r="O4" s="5">
        <v>3</v>
      </c>
      <c r="P4">
        <v>4</v>
      </c>
      <c r="Q4">
        <v>5</v>
      </c>
      <c r="AA4" t="s">
        <v>45</v>
      </c>
      <c r="AB4" t="s">
        <v>42</v>
      </c>
      <c r="AC4" t="s">
        <v>44</v>
      </c>
    </row>
    <row r="5" spans="1:47">
      <c r="A5" t="s">
        <v>33</v>
      </c>
      <c r="B5" t="s">
        <v>34</v>
      </c>
      <c r="C5" t="s">
        <v>35</v>
      </c>
      <c r="E5" t="s">
        <v>36</v>
      </c>
      <c r="F5" t="s">
        <v>37</v>
      </c>
      <c r="H5" t="s">
        <v>38</v>
      </c>
      <c r="K5" s="3" t="s">
        <v>41</v>
      </c>
      <c r="L5" t="s">
        <v>40</v>
      </c>
      <c r="M5" s="6" t="s">
        <v>39</v>
      </c>
      <c r="N5" s="6"/>
      <c r="O5" s="6"/>
      <c r="P5" s="6"/>
      <c r="Q5" s="6"/>
    </row>
    <row r="7" spans="1:47">
      <c r="A7">
        <v>19</v>
      </c>
      <c r="B7" s="1">
        <v>2.3209E-2</v>
      </c>
      <c r="C7" s="1">
        <v>4.1247999999999996E-3</v>
      </c>
      <c r="E7">
        <v>1</v>
      </c>
      <c r="F7">
        <v>19</v>
      </c>
      <c r="G7" s="1">
        <v>0</v>
      </c>
      <c r="H7" s="1">
        <v>0.99995999999999996</v>
      </c>
      <c r="I7" s="1">
        <v>0</v>
      </c>
      <c r="K7" s="3">
        <v>0</v>
      </c>
      <c r="L7" s="4">
        <f>K7/72</f>
        <v>0</v>
      </c>
      <c r="M7" cm="1">
        <f t="array" ref="M7">INDEX(C:C, 11 + (ROW(A1)-1)*6)</f>
        <v>4.1722E-3</v>
      </c>
      <c r="N7" cm="1">
        <f t="array" ref="N7">INDEX($C:$C, 10 + (ROW($A1)-1)*6)</f>
        <v>4.1738000000000001E-3</v>
      </c>
      <c r="O7" cm="1">
        <f t="array" ref="O7">INDEX($C:$C, 9 + (ROW($A1)-1)*6)</f>
        <v>4.1694000000000002E-3</v>
      </c>
      <c r="P7" cm="1">
        <f t="array" ref="P7">INDEX($C:$C, 8 + (ROW($A1)-1)*6)</f>
        <v>4.1606999999999998E-3</v>
      </c>
      <c r="Q7" cm="1">
        <f t="array" ref="Q7">INDEX($C:$C, 7 + (ROW($A1)-1)*6)</f>
        <v>4.1247999999999996E-3</v>
      </c>
      <c r="AA7">
        <f t="shared" ref="AA7:AA38" si="0">(72-K7)/72</f>
        <v>1</v>
      </c>
      <c r="AB7">
        <f t="shared" ref="AB7:AB38" si="1">SQRT(O7*206000/(1-0.3^2))</f>
        <v>30.722014872110812</v>
      </c>
      <c r="AC7">
        <f>AB7/10/SQRT(PI()*0.6)</f>
        <v>2.2376859422100783</v>
      </c>
      <c r="AT7" t="s">
        <v>13</v>
      </c>
      <c r="AU7" t="s">
        <v>14</v>
      </c>
    </row>
    <row r="8" spans="1:47">
      <c r="A8">
        <v>19</v>
      </c>
      <c r="B8" s="1">
        <v>4.6415999999999999E-2</v>
      </c>
      <c r="C8" s="1">
        <v>4.1606999999999998E-3</v>
      </c>
      <c r="E8">
        <v>2</v>
      </c>
      <c r="F8">
        <v>19</v>
      </c>
      <c r="G8" s="1">
        <v>0</v>
      </c>
      <c r="H8" s="1">
        <v>0.99995999999999996</v>
      </c>
      <c r="I8" s="1">
        <v>0</v>
      </c>
      <c r="K8" s="3">
        <v>1</v>
      </c>
      <c r="L8" s="4">
        <f t="shared" ref="L8:L71" si="2">K8/72</f>
        <v>1.3888888888888888E-2</v>
      </c>
      <c r="M8" cm="1">
        <f t="array" ref="M8">INDEX(C:C, 11 + (ROW(A2)-1)*6)</f>
        <v>4.2268999999999996E-3</v>
      </c>
      <c r="N8" cm="1">
        <f t="array" ref="N8">INDEX($C:$C, 10 + (ROW($A2)-1)*6)</f>
        <v>4.2239000000000001E-3</v>
      </c>
      <c r="O8" cm="1">
        <f t="array" ref="O8">INDEX($C:$C, 9 + (ROW($A2)-1)*6)</f>
        <v>4.2183000000000003E-3</v>
      </c>
      <c r="P8" cm="1">
        <f t="array" ref="P8">INDEX($C:$C, 8 + (ROW($A2)-1)*6)</f>
        <v>4.2123999999999998E-3</v>
      </c>
      <c r="Q8" cm="1">
        <f t="array" ref="Q8">INDEX($C:$C, 7 + (ROW($A2)-1)*6)</f>
        <v>4.1878000000000002E-3</v>
      </c>
      <c r="AA8">
        <f t="shared" si="0"/>
        <v>0.98611111111111116</v>
      </c>
      <c r="AB8">
        <f t="shared" si="1"/>
        <v>30.901648307685274</v>
      </c>
      <c r="AC8">
        <f t="shared" ref="AC8:AC71" si="3">AB8/10/SQRT(PI()*0.6)</f>
        <v>2.2507698240846614</v>
      </c>
      <c r="AT8">
        <v>0</v>
      </c>
      <c r="AU8">
        <v>0.75800000000000001</v>
      </c>
    </row>
    <row r="9" spans="1:47">
      <c r="A9">
        <v>19</v>
      </c>
      <c r="B9" s="1">
        <v>6.9620000000000001E-2</v>
      </c>
      <c r="C9" s="1">
        <v>4.1694000000000002E-3</v>
      </c>
      <c r="E9">
        <v>3</v>
      </c>
      <c r="F9">
        <v>19</v>
      </c>
      <c r="G9" s="1">
        <v>0</v>
      </c>
      <c r="H9" s="1">
        <v>0.99995999999999996</v>
      </c>
      <c r="I9" s="1">
        <v>0</v>
      </c>
      <c r="K9" s="3">
        <v>2</v>
      </c>
      <c r="L9" s="4">
        <f t="shared" si="2"/>
        <v>2.7777777777777776E-2</v>
      </c>
      <c r="M9" cm="1">
        <f t="array" ref="M9">INDEX(C:C, 11 + (ROW(A3)-1)*6)</f>
        <v>4.0242999999999998E-3</v>
      </c>
      <c r="N9" cm="1">
        <f t="array" ref="N9">INDEX($C:$C, 10 + (ROW($A3)-1)*6)</f>
        <v>4.0242999999999998E-3</v>
      </c>
      <c r="O9" cm="1">
        <f t="array" ref="O9">INDEX($C:$C, 9 + (ROW($A3)-1)*6)</f>
        <v>4.0226000000000003E-3</v>
      </c>
      <c r="P9" cm="1">
        <f t="array" ref="P9">INDEX($C:$C, 8 + (ROW($A3)-1)*6)</f>
        <v>4.0187E-3</v>
      </c>
      <c r="Q9" cm="1">
        <f t="array" ref="Q9">INDEX($C:$C, 7 + (ROW($A3)-1)*6)</f>
        <v>3.9899999999999996E-3</v>
      </c>
      <c r="AA9">
        <f t="shared" si="0"/>
        <v>0.97222222222222221</v>
      </c>
      <c r="AB9">
        <f t="shared" si="1"/>
        <v>30.176324319746922</v>
      </c>
      <c r="AC9">
        <f t="shared" si="3"/>
        <v>2.1979397184384726</v>
      </c>
      <c r="AT9">
        <v>0.125</v>
      </c>
      <c r="AU9">
        <v>0.79300000000000004</v>
      </c>
    </row>
    <row r="10" spans="1:47">
      <c r="A10">
        <v>19</v>
      </c>
      <c r="B10" s="1">
        <v>9.282E-2</v>
      </c>
      <c r="C10" s="1">
        <v>4.1738000000000001E-3</v>
      </c>
      <c r="E10">
        <v>4</v>
      </c>
      <c r="F10">
        <v>19</v>
      </c>
      <c r="G10" s="1">
        <v>0</v>
      </c>
      <c r="H10" s="1">
        <v>0.99995999999999996</v>
      </c>
      <c r="I10" s="1">
        <v>0</v>
      </c>
      <c r="K10" s="3">
        <v>3</v>
      </c>
      <c r="L10" s="4">
        <f t="shared" si="2"/>
        <v>4.1666666666666664E-2</v>
      </c>
      <c r="M10" cm="1">
        <f t="array" ref="M10">INDEX(C:C, 11 + (ROW(A4)-1)*6)</f>
        <v>3.7835999999999998E-3</v>
      </c>
      <c r="N10" cm="1">
        <f t="array" ref="N10">INDEX($C:$C, 10 + (ROW($A4)-1)*6)</f>
        <v>3.7831000000000002E-3</v>
      </c>
      <c r="O10" cm="1">
        <f t="array" ref="O10">INDEX($C:$C, 9 + (ROW($A4)-1)*6)</f>
        <v>3.7805999999999998E-3</v>
      </c>
      <c r="P10" cm="1">
        <f t="array" ref="P10">INDEX($C:$C, 8 + (ROW($A4)-1)*6)</f>
        <v>3.7751999999999998E-3</v>
      </c>
      <c r="Q10" cm="1">
        <f t="array" ref="Q10">INDEX($C:$C, 7 + (ROW($A4)-1)*6)</f>
        <v>3.7488E-3</v>
      </c>
      <c r="AA10">
        <f t="shared" si="0"/>
        <v>0.95833333333333337</v>
      </c>
      <c r="AB10">
        <f t="shared" si="1"/>
        <v>29.254540363303125</v>
      </c>
      <c r="AC10">
        <f t="shared" si="3"/>
        <v>2.130800144107964</v>
      </c>
      <c r="AT10">
        <v>0.25</v>
      </c>
      <c r="AU10">
        <v>0.875</v>
      </c>
    </row>
    <row r="11" spans="1:47">
      <c r="A11">
        <v>19</v>
      </c>
      <c r="B11" s="1">
        <v>0.11944</v>
      </c>
      <c r="C11" s="1">
        <v>4.1722E-3</v>
      </c>
      <c r="E11">
        <v>5</v>
      </c>
      <c r="F11">
        <v>19</v>
      </c>
      <c r="G11" s="1">
        <v>0</v>
      </c>
      <c r="H11" s="1">
        <v>0.99995999999999996</v>
      </c>
      <c r="I11" s="1">
        <v>0</v>
      </c>
      <c r="K11" s="3">
        <v>4</v>
      </c>
      <c r="L11" s="4">
        <f t="shared" si="2"/>
        <v>5.5555555555555552E-2</v>
      </c>
      <c r="M11" cm="1">
        <f t="array" ref="M11">INDEX(C:C, 11 + (ROW(A5)-1)*6)</f>
        <v>3.5550999999999998E-3</v>
      </c>
      <c r="N11" cm="1">
        <f t="array" ref="N11">INDEX($C:$C, 10 + (ROW($A5)-1)*6)</f>
        <v>3.5544000000000001E-3</v>
      </c>
      <c r="O11" cm="1">
        <f t="array" ref="O11">INDEX($C:$C, 9 + (ROW($A5)-1)*6)</f>
        <v>3.5515E-3</v>
      </c>
      <c r="P11" cm="1">
        <f t="array" ref="P11">INDEX($C:$C, 8 + (ROW($A5)-1)*6)</f>
        <v>3.5465000000000002E-3</v>
      </c>
      <c r="Q11" cm="1">
        <f t="array" ref="Q11">INDEX($C:$C, 7 + (ROW($A5)-1)*6)</f>
        <v>3.5224000000000002E-3</v>
      </c>
      <c r="AA11">
        <f t="shared" si="0"/>
        <v>0.94444444444444442</v>
      </c>
      <c r="AB11">
        <f t="shared" si="1"/>
        <v>28.354293044721359</v>
      </c>
      <c r="AC11">
        <f t="shared" si="3"/>
        <v>2.065229224437215</v>
      </c>
      <c r="AT11">
        <v>0.375</v>
      </c>
      <c r="AU11">
        <v>0.98299999999999998</v>
      </c>
    </row>
    <row r="12" spans="1:47">
      <c r="K12" s="3">
        <v>5</v>
      </c>
      <c r="L12" s="4">
        <f t="shared" si="2"/>
        <v>6.9444444444444448E-2</v>
      </c>
      <c r="M12" cm="1">
        <f t="array" ref="M12">INDEX(C:C, 11 + (ROW(A6)-1)*6)</f>
        <v>3.3552999999999999E-3</v>
      </c>
      <c r="N12" cm="1">
        <f t="array" ref="N12">INDEX($C:$C, 10 + (ROW($A6)-1)*6)</f>
        <v>3.3544E-3</v>
      </c>
      <c r="O12" cm="1">
        <f t="array" ref="O12">INDEX($C:$C, 9 + (ROW($A6)-1)*6)</f>
        <v>3.3522999999999999E-3</v>
      </c>
      <c r="P12" cm="1">
        <f t="array" ref="P12">INDEX($C:$C, 8 + (ROW($A6)-1)*6)</f>
        <v>3.3476999999999999E-3</v>
      </c>
      <c r="Q12" cm="1">
        <f t="array" ref="Q12">INDEX($C:$C, 7 + (ROW($A6)-1)*6)</f>
        <v>3.3241E-3</v>
      </c>
      <c r="AA12">
        <f t="shared" si="0"/>
        <v>0.93055555555555558</v>
      </c>
      <c r="AB12">
        <f t="shared" si="1"/>
        <v>27.547637061866261</v>
      </c>
      <c r="AC12">
        <f t="shared" si="3"/>
        <v>2.0064751758974784</v>
      </c>
      <c r="AT12">
        <v>0.5</v>
      </c>
      <c r="AU12">
        <v>1.1080000000000001</v>
      </c>
    </row>
    <row r="13" spans="1:47">
      <c r="A13">
        <v>3895</v>
      </c>
      <c r="B13" s="1">
        <v>2.3836E-2</v>
      </c>
      <c r="C13" s="1">
        <v>4.1878000000000002E-3</v>
      </c>
      <c r="E13">
        <v>6</v>
      </c>
      <c r="F13">
        <v>3895</v>
      </c>
      <c r="G13" s="1">
        <v>8.6534999999999997E-3</v>
      </c>
      <c r="H13" s="1">
        <v>0.99995999999999996</v>
      </c>
      <c r="I13" s="1">
        <v>0</v>
      </c>
      <c r="K13" s="3">
        <v>6</v>
      </c>
      <c r="L13" s="4">
        <f t="shared" si="2"/>
        <v>8.3333333333333329E-2</v>
      </c>
      <c r="M13" cm="1">
        <f t="array" ref="M13">INDEX(C:C, 11 + (ROW(A7)-1)*6)</f>
        <v>3.1676E-3</v>
      </c>
      <c r="N13" cm="1">
        <f t="array" ref="N13">INDEX($C:$C, 10 + (ROW($A7)-1)*6)</f>
        <v>3.1668E-3</v>
      </c>
      <c r="O13" cm="1">
        <f t="array" ref="O13">INDEX($C:$C, 9 + (ROW($A7)-1)*6)</f>
        <v>3.1649999999999998E-3</v>
      </c>
      <c r="P13" cm="1">
        <f t="array" ref="P13">INDEX($C:$C, 8 + (ROW($A7)-1)*6)</f>
        <v>3.1610000000000002E-3</v>
      </c>
      <c r="Q13" cm="1">
        <f t="array" ref="Q13">INDEX($C:$C, 7 + (ROW($A7)-1)*6)</f>
        <v>3.1378999999999999E-3</v>
      </c>
      <c r="AA13">
        <f t="shared" si="0"/>
        <v>0.91666666666666663</v>
      </c>
      <c r="AB13">
        <f t="shared" si="1"/>
        <v>26.767004454599089</v>
      </c>
      <c r="AC13">
        <f t="shared" si="3"/>
        <v>1.9496165805682282</v>
      </c>
      <c r="AT13">
        <v>0.625</v>
      </c>
      <c r="AU13">
        <v>1.262</v>
      </c>
    </row>
    <row r="14" spans="1:47">
      <c r="A14">
        <v>3895</v>
      </c>
      <c r="B14" s="1">
        <v>4.7605000000000001E-2</v>
      </c>
      <c r="C14" s="1">
        <v>4.2123999999999998E-3</v>
      </c>
      <c r="E14">
        <v>7</v>
      </c>
      <c r="F14">
        <v>3895</v>
      </c>
      <c r="G14" s="1">
        <v>8.6534999999999997E-3</v>
      </c>
      <c r="H14" s="1">
        <v>0.99995999999999996</v>
      </c>
      <c r="I14" s="1">
        <v>0</v>
      </c>
      <c r="K14" s="3">
        <v>7</v>
      </c>
      <c r="L14" s="4">
        <f t="shared" si="2"/>
        <v>9.7222222222222224E-2</v>
      </c>
      <c r="M14" cm="1">
        <f t="array" ref="M14">INDEX(C:C, 11 + (ROW(A8)-1)*6)</f>
        <v>2.9976999999999998E-3</v>
      </c>
      <c r="N14" cm="1">
        <f t="array" ref="N14">INDEX($C:$C, 10 + (ROW($A8)-1)*6)</f>
        <v>2.9968999999999998E-3</v>
      </c>
      <c r="O14" cm="1">
        <f t="array" ref="O14">INDEX($C:$C, 9 + (ROW($A8)-1)*6)</f>
        <v>2.9951999999999999E-3</v>
      </c>
      <c r="P14" cm="1">
        <f t="array" ref="P14">INDEX($C:$C, 8 + (ROW($A8)-1)*6)</f>
        <v>2.9911999999999998E-3</v>
      </c>
      <c r="Q14" cm="1">
        <f t="array" ref="Q14">INDEX($C:$C, 7 + (ROW($A8)-1)*6)</f>
        <v>2.9697E-3</v>
      </c>
      <c r="AA14">
        <f t="shared" si="0"/>
        <v>0.90277777777777779</v>
      </c>
      <c r="AB14">
        <f t="shared" si="1"/>
        <v>26.039091491722321</v>
      </c>
      <c r="AC14">
        <f t="shared" si="3"/>
        <v>1.8965979028883186</v>
      </c>
      <c r="AT14">
        <v>0.75</v>
      </c>
      <c r="AU14">
        <v>1.4490000000000001</v>
      </c>
    </row>
    <row r="15" spans="1:47">
      <c r="A15">
        <v>3895</v>
      </c>
      <c r="B15" s="1">
        <v>7.1244000000000002E-2</v>
      </c>
      <c r="C15" s="1">
        <v>4.2183000000000003E-3</v>
      </c>
      <c r="E15">
        <v>8</v>
      </c>
      <c r="F15">
        <v>3895</v>
      </c>
      <c r="G15" s="1">
        <v>8.6534999999999997E-3</v>
      </c>
      <c r="H15" s="1">
        <v>0.99995999999999996</v>
      </c>
      <c r="I15" s="1">
        <v>0</v>
      </c>
      <c r="K15" s="3">
        <v>8</v>
      </c>
      <c r="L15" s="4">
        <f t="shared" si="2"/>
        <v>0.1111111111111111</v>
      </c>
      <c r="M15" cm="1">
        <f t="array" ref="M15">INDEX(C:C, 11 + (ROW(A9)-1)*6)</f>
        <v>2.8387E-3</v>
      </c>
      <c r="N15" cm="1">
        <f t="array" ref="N15">INDEX($C:$C, 10 + (ROW($A9)-1)*6)</f>
        <v>2.8381000000000001E-3</v>
      </c>
      <c r="O15" cm="1">
        <f t="array" ref="O15">INDEX($C:$C, 9 + (ROW($A9)-1)*6)</f>
        <v>2.836E-3</v>
      </c>
      <c r="P15" cm="1">
        <f t="array" ref="P15">INDEX($C:$C, 8 + (ROW($A9)-1)*6)</f>
        <v>2.8322E-3</v>
      </c>
      <c r="Q15" cm="1">
        <f t="array" ref="Q15">INDEX($C:$C, 7 + (ROW($A9)-1)*6)</f>
        <v>2.8121999999999999E-3</v>
      </c>
      <c r="AA15">
        <f t="shared" si="0"/>
        <v>0.88888888888888884</v>
      </c>
      <c r="AB15">
        <f t="shared" si="1"/>
        <v>25.337632178157538</v>
      </c>
      <c r="AC15">
        <f t="shared" si="3"/>
        <v>1.8455060180776921</v>
      </c>
      <c r="AT15">
        <v>0.83299999999999996</v>
      </c>
      <c r="AU15">
        <v>1.643</v>
      </c>
    </row>
    <row r="16" spans="1:47">
      <c r="A16">
        <v>3895</v>
      </c>
      <c r="B16" s="1">
        <v>9.4948000000000005E-2</v>
      </c>
      <c r="C16" s="1">
        <v>4.2239000000000001E-3</v>
      </c>
      <c r="E16">
        <v>9</v>
      </c>
      <c r="F16">
        <v>3895</v>
      </c>
      <c r="G16" s="1">
        <v>8.6534999999999997E-3</v>
      </c>
      <c r="H16" s="1">
        <v>0.99995999999999996</v>
      </c>
      <c r="I16" s="1">
        <v>0</v>
      </c>
      <c r="K16" s="3">
        <v>9</v>
      </c>
      <c r="L16" s="4">
        <f t="shared" si="2"/>
        <v>0.125</v>
      </c>
      <c r="M16" cm="1">
        <f t="array" ref="M16">INDEX(C:C, 11 + (ROW(A10)-1)*6)</f>
        <v>2.702E-3</v>
      </c>
      <c r="N16" cm="1">
        <f t="array" ref="N16">INDEX($C:$C, 10 + (ROW($A10)-1)*6)</f>
        <v>2.7012999999999998E-3</v>
      </c>
      <c r="O16" cm="1">
        <f t="array" ref="O16">INDEX($C:$C, 9 + (ROW($A10)-1)*6)</f>
        <v>2.6997000000000002E-3</v>
      </c>
      <c r="P16" cm="1">
        <f t="array" ref="P16">INDEX($C:$C, 8 + (ROW($A10)-1)*6)</f>
        <v>2.6960999999999999E-3</v>
      </c>
      <c r="Q16" cm="1">
        <f t="array" ref="Q16">INDEX($C:$C, 7 + (ROW($A10)-1)*6)</f>
        <v>2.6762000000000001E-3</v>
      </c>
      <c r="AA16">
        <f t="shared" si="0"/>
        <v>0.875</v>
      </c>
      <c r="AB16">
        <f t="shared" si="1"/>
        <v>24.721263703963011</v>
      </c>
      <c r="AC16">
        <f t="shared" si="3"/>
        <v>1.8006118574678476</v>
      </c>
      <c r="AT16">
        <v>0.91700000000000004</v>
      </c>
      <c r="AU16">
        <v>1.861</v>
      </c>
    </row>
    <row r="17" spans="1:47">
      <c r="A17">
        <v>3895</v>
      </c>
      <c r="B17" s="1">
        <v>0.12174</v>
      </c>
      <c r="C17" s="1">
        <v>4.2268999999999996E-3</v>
      </c>
      <c r="E17">
        <v>10</v>
      </c>
      <c r="F17">
        <v>3895</v>
      </c>
      <c r="G17" s="1">
        <v>8.6534999999999997E-3</v>
      </c>
      <c r="H17" s="1">
        <v>0.99995999999999996</v>
      </c>
      <c r="I17" s="1">
        <v>0</v>
      </c>
      <c r="K17" s="3">
        <v>10</v>
      </c>
      <c r="L17" s="4">
        <f t="shared" si="2"/>
        <v>0.1388888888888889</v>
      </c>
      <c r="M17" cm="1">
        <f t="array" ref="M17">INDEX(C:C, 11 + (ROW(A11)-1)*6)</f>
        <v>2.5723E-3</v>
      </c>
      <c r="N17" cm="1">
        <f t="array" ref="N17">INDEX($C:$C, 10 + (ROW($A11)-1)*6)</f>
        <v>2.5717000000000001E-3</v>
      </c>
      <c r="O17" cm="1">
        <f t="array" ref="O17">INDEX($C:$C, 9 + (ROW($A11)-1)*6)</f>
        <v>2.5701999999999999E-3</v>
      </c>
      <c r="P17" cm="1">
        <f t="array" ref="P17">INDEX($C:$C, 8 + (ROW($A11)-1)*6)</f>
        <v>2.5669999999999998E-3</v>
      </c>
      <c r="Q17" cm="1">
        <f t="array" ref="Q17">INDEX($C:$C, 7 + (ROW($A11)-1)*6)</f>
        <v>2.5473000000000002E-3</v>
      </c>
      <c r="AA17">
        <f t="shared" si="0"/>
        <v>0.86111111111111116</v>
      </c>
      <c r="AB17">
        <f t="shared" si="1"/>
        <v>24.121059149744948</v>
      </c>
      <c r="AC17">
        <f t="shared" si="3"/>
        <v>1.75689502121817</v>
      </c>
      <c r="AT17">
        <v>0.95799999999999996</v>
      </c>
      <c r="AU17">
        <v>1.96</v>
      </c>
    </row>
    <row r="18" spans="1:47">
      <c r="K18" s="3">
        <v>11</v>
      </c>
      <c r="L18" s="4">
        <f t="shared" si="2"/>
        <v>0.15277777777777779</v>
      </c>
      <c r="M18" cm="1">
        <f t="array" ref="M18">INDEX(C:C, 11 + (ROW(A12)-1)*6)</f>
        <v>2.4543999999999998E-3</v>
      </c>
      <c r="N18" cm="1">
        <f t="array" ref="N18">INDEX($C:$C, 10 + (ROW($A12)-1)*6)</f>
        <v>2.4537999999999999E-3</v>
      </c>
      <c r="O18" cm="1">
        <f t="array" ref="O18">INDEX($C:$C, 9 + (ROW($A12)-1)*6)</f>
        <v>2.4521999999999999E-3</v>
      </c>
      <c r="P18" cm="1">
        <f t="array" ref="P18">INDEX($C:$C, 8 + (ROW($A12)-1)*6)</f>
        <v>2.4488999999999999E-3</v>
      </c>
      <c r="Q18" cm="1">
        <f t="array" ref="Q18">INDEX($C:$C, 7 + (ROW($A12)-1)*6)</f>
        <v>2.4304000000000001E-3</v>
      </c>
      <c r="AA18">
        <f t="shared" si="0"/>
        <v>0.84722222222222221</v>
      </c>
      <c r="AB18">
        <f t="shared" si="1"/>
        <v>23.56084477673512</v>
      </c>
      <c r="AC18">
        <f t="shared" si="3"/>
        <v>1.7160909322830358</v>
      </c>
      <c r="AT18">
        <v>1</v>
      </c>
      <c r="AU18">
        <v>1.671</v>
      </c>
    </row>
    <row r="19" spans="1:47">
      <c r="A19">
        <v>619</v>
      </c>
      <c r="B19" s="1">
        <v>2.4355999999999999E-2</v>
      </c>
      <c r="C19" s="1">
        <v>3.9899999999999996E-3</v>
      </c>
      <c r="E19">
        <v>11</v>
      </c>
      <c r="F19">
        <v>619</v>
      </c>
      <c r="G19" s="1">
        <v>1.7350999999999998E-2</v>
      </c>
      <c r="H19" s="1">
        <v>0.99985000000000002</v>
      </c>
      <c r="I19" s="1">
        <v>0</v>
      </c>
      <c r="K19" s="3">
        <v>12</v>
      </c>
      <c r="L19" s="4">
        <f t="shared" si="2"/>
        <v>0.16666666666666666</v>
      </c>
      <c r="M19" cm="1">
        <f t="array" ref="M19">INDEX(C:C, 11 + (ROW(A13)-1)*6)</f>
        <v>2.3408000000000001E-3</v>
      </c>
      <c r="N19" cm="1">
        <f t="array" ref="N19">INDEX($C:$C, 10 + (ROW($A13)-1)*6)</f>
        <v>2.3403999999999999E-3</v>
      </c>
      <c r="O19" cm="1">
        <f t="array" ref="O19">INDEX($C:$C, 9 + (ROW($A13)-1)*6)</f>
        <v>2.3384E-3</v>
      </c>
      <c r="P19" cm="1">
        <f t="array" ref="P19">INDEX($C:$C, 8 + (ROW($A13)-1)*6)</f>
        <v>2.3352999999999998E-3</v>
      </c>
      <c r="Q19" cm="1">
        <f t="array" ref="Q19">INDEX($C:$C, 7 + (ROW($A13)-1)*6)</f>
        <v>2.3180000000000002E-3</v>
      </c>
      <c r="AA19">
        <f t="shared" si="0"/>
        <v>0.83333333333333337</v>
      </c>
      <c r="AB19">
        <f t="shared" si="1"/>
        <v>23.007652811881698</v>
      </c>
      <c r="AC19">
        <f t="shared" si="3"/>
        <v>1.6757983314152523</v>
      </c>
    </row>
    <row r="20" spans="1:47">
      <c r="A20">
        <v>619</v>
      </c>
      <c r="B20" s="1">
        <v>4.8697999999999998E-2</v>
      </c>
      <c r="C20" s="1">
        <v>4.0187E-3</v>
      </c>
      <c r="E20">
        <v>12</v>
      </c>
      <c r="F20">
        <v>619</v>
      </c>
      <c r="G20" s="1">
        <v>1.7350999999999998E-2</v>
      </c>
      <c r="H20" s="1">
        <v>0.99985000000000002</v>
      </c>
      <c r="I20" s="1">
        <v>0</v>
      </c>
      <c r="K20" s="3">
        <v>13</v>
      </c>
      <c r="L20" s="4">
        <f t="shared" si="2"/>
        <v>0.18055555555555555</v>
      </c>
      <c r="M20" cm="1">
        <f t="array" ref="M20">INDEX(C:C, 11 + (ROW(A14)-1)*6)</f>
        <v>2.2434999999999998E-3</v>
      </c>
      <c r="N20" cm="1">
        <f t="array" ref="N20">INDEX($C:$C, 10 + (ROW($A14)-1)*6)</f>
        <v>2.2430000000000002E-3</v>
      </c>
      <c r="O20" cm="1">
        <f t="array" ref="O20">INDEX($C:$C, 9 + (ROW($A14)-1)*6)</f>
        <v>2.2412E-3</v>
      </c>
      <c r="P20" cm="1">
        <f t="array" ref="P20">INDEX($C:$C, 8 + (ROW($A14)-1)*6)</f>
        <v>2.2382000000000001E-3</v>
      </c>
      <c r="Q20" cm="1">
        <f t="array" ref="Q20">INDEX($C:$C, 7 + (ROW($A14)-1)*6)</f>
        <v>2.2209999999999999E-3</v>
      </c>
      <c r="AA20">
        <f t="shared" si="0"/>
        <v>0.81944444444444442</v>
      </c>
      <c r="AB20">
        <f t="shared" si="1"/>
        <v>22.524399468766564</v>
      </c>
      <c r="AC20">
        <f t="shared" si="3"/>
        <v>1.6405998193086646</v>
      </c>
    </row>
    <row r="21" spans="1:47">
      <c r="A21">
        <v>619</v>
      </c>
      <c r="B21" s="1">
        <v>7.2794999999999999E-2</v>
      </c>
      <c r="C21" s="1">
        <v>4.0226000000000003E-3</v>
      </c>
      <c r="E21">
        <v>13</v>
      </c>
      <c r="F21">
        <v>619</v>
      </c>
      <c r="G21" s="1">
        <v>1.7350999999999998E-2</v>
      </c>
      <c r="H21" s="1">
        <v>0.99985000000000002</v>
      </c>
      <c r="I21" s="1">
        <v>0</v>
      </c>
      <c r="K21" s="3">
        <v>14</v>
      </c>
      <c r="L21" s="4">
        <f t="shared" si="2"/>
        <v>0.19444444444444445</v>
      </c>
      <c r="M21" cm="1">
        <f t="array" ref="M21">INDEX(C:C, 11 + (ROW(A15)-1)*6)</f>
        <v>2.1497E-3</v>
      </c>
      <c r="N21" cm="1">
        <f t="array" ref="N21">INDEX($C:$C, 10 + (ROW($A15)-1)*6)</f>
        <v>2.1492999999999998E-3</v>
      </c>
      <c r="O21" cm="1">
        <f t="array" ref="O21">INDEX($C:$C, 9 + (ROW($A15)-1)*6)</f>
        <v>2.1475000000000001E-3</v>
      </c>
      <c r="P21" cm="1">
        <f t="array" ref="P21">INDEX($C:$C, 8 + (ROW($A15)-1)*6)</f>
        <v>2.1448000000000001E-3</v>
      </c>
      <c r="Q21" cm="1">
        <f t="array" ref="Q21">INDEX($C:$C, 7 + (ROW($A15)-1)*6)</f>
        <v>2.1277000000000002E-3</v>
      </c>
      <c r="AA21">
        <f t="shared" si="0"/>
        <v>0.80555555555555558</v>
      </c>
      <c r="AB21">
        <f t="shared" si="1"/>
        <v>22.048522912824858</v>
      </c>
      <c r="AC21">
        <f t="shared" si="3"/>
        <v>1.6059386070186863</v>
      </c>
    </row>
    <row r="22" spans="1:47">
      <c r="A22">
        <v>619</v>
      </c>
      <c r="B22" s="1">
        <v>9.7143999999999994E-2</v>
      </c>
      <c r="C22" s="1">
        <v>4.0242999999999998E-3</v>
      </c>
      <c r="E22">
        <v>14</v>
      </c>
      <c r="F22">
        <v>619</v>
      </c>
      <c r="G22" s="1">
        <v>1.7350999999999998E-2</v>
      </c>
      <c r="H22" s="1">
        <v>0.99985000000000002</v>
      </c>
      <c r="I22" s="1">
        <v>0</v>
      </c>
      <c r="K22" s="3">
        <v>15</v>
      </c>
      <c r="L22" s="4">
        <f t="shared" si="2"/>
        <v>0.20833333333333334</v>
      </c>
      <c r="M22" cm="1">
        <f t="array" ref="M22">INDEX(C:C, 11 + (ROW(A16)-1)*6)</f>
        <v>2.0641000000000001E-3</v>
      </c>
      <c r="N22" cm="1">
        <f t="array" ref="N22">INDEX($C:$C, 10 + (ROW($A16)-1)*6)</f>
        <v>2.0636999999999999E-3</v>
      </c>
      <c r="O22" cm="1">
        <f t="array" ref="O22">INDEX($C:$C, 9 + (ROW($A16)-1)*6)</f>
        <v>2.0617999999999999E-3</v>
      </c>
      <c r="P22" cm="1">
        <f t="array" ref="P22">INDEX($C:$C, 8 + (ROW($A16)-1)*6)</f>
        <v>2.0590000000000001E-3</v>
      </c>
      <c r="Q22" cm="1">
        <f t="array" ref="Q22">INDEX($C:$C, 7 + (ROW($A16)-1)*6)</f>
        <v>2.0428E-3</v>
      </c>
      <c r="AA22">
        <f t="shared" si="0"/>
        <v>0.79166666666666663</v>
      </c>
      <c r="AB22">
        <f t="shared" si="1"/>
        <v>21.604100139953591</v>
      </c>
      <c r="AC22">
        <f t="shared" si="3"/>
        <v>1.5735683801506941</v>
      </c>
    </row>
    <row r="23" spans="1:47">
      <c r="A23">
        <v>619</v>
      </c>
      <c r="B23" s="1">
        <v>0.12429999999999999</v>
      </c>
      <c r="C23" s="1">
        <v>4.0242999999999998E-3</v>
      </c>
      <c r="E23">
        <v>15</v>
      </c>
      <c r="F23">
        <v>619</v>
      </c>
      <c r="G23" s="1">
        <v>1.7350999999999998E-2</v>
      </c>
      <c r="H23" s="1">
        <v>0.99985000000000002</v>
      </c>
      <c r="I23" s="1">
        <v>0</v>
      </c>
      <c r="K23" s="3">
        <v>16</v>
      </c>
      <c r="L23" s="4">
        <f t="shared" si="2"/>
        <v>0.22222222222222221</v>
      </c>
      <c r="M23" cm="1">
        <f t="array" ref="M23">INDEX(C:C, 11 + (ROW(A17)-1)*6)</f>
        <v>1.9788000000000002E-3</v>
      </c>
      <c r="N23" cm="1">
        <f t="array" ref="N23">INDEX($C:$C, 10 + (ROW($A17)-1)*6)</f>
        <v>1.9786000000000001E-3</v>
      </c>
      <c r="O23" cm="1">
        <f t="array" ref="O23">INDEX($C:$C, 9 + (ROW($A17)-1)*6)</f>
        <v>1.9762E-3</v>
      </c>
      <c r="P23" cm="1">
        <f t="array" ref="P23">INDEX($C:$C, 8 + (ROW($A17)-1)*6)</f>
        <v>1.9735999999999998E-3</v>
      </c>
      <c r="Q23" cm="1">
        <f t="array" ref="Q23">INDEX($C:$C, 7 + (ROW($A17)-1)*6)</f>
        <v>1.9583999999999999E-3</v>
      </c>
      <c r="AA23">
        <f t="shared" si="0"/>
        <v>0.77777777777777779</v>
      </c>
      <c r="AB23">
        <f t="shared" si="1"/>
        <v>21.150876115176896</v>
      </c>
      <c r="AC23">
        <f t="shared" si="3"/>
        <v>1.5405571003522673</v>
      </c>
    </row>
    <row r="24" spans="1:47">
      <c r="K24" s="3">
        <v>17</v>
      </c>
      <c r="L24" s="4">
        <f t="shared" si="2"/>
        <v>0.2361111111111111</v>
      </c>
      <c r="M24" cm="1">
        <f t="array" ref="M24">INDEX(C:C, 11 + (ROW(A18)-1)*6)</f>
        <v>1.9063999999999999E-3</v>
      </c>
      <c r="N24" cm="1">
        <f t="array" ref="N24">INDEX($C:$C, 10 + (ROW($A18)-1)*6)</f>
        <v>1.9061E-3</v>
      </c>
      <c r="O24" cm="1">
        <f t="array" ref="O24">INDEX($C:$C, 9 + (ROW($A18)-1)*6)</f>
        <v>1.9039E-3</v>
      </c>
      <c r="P24" cm="1">
        <f t="array" ref="P24">INDEX($C:$C, 8 + (ROW($A18)-1)*6)</f>
        <v>1.9013000000000001E-3</v>
      </c>
      <c r="Q24" cm="1">
        <f t="array" ref="Q24">INDEX($C:$C, 7 + (ROW($A18)-1)*6)</f>
        <v>1.8862E-3</v>
      </c>
      <c r="AA24">
        <f t="shared" si="0"/>
        <v>0.76388888888888884</v>
      </c>
      <c r="AB24">
        <f t="shared" si="1"/>
        <v>20.760364815020647</v>
      </c>
      <c r="AC24">
        <f t="shared" si="3"/>
        <v>1.5121135998113218</v>
      </c>
    </row>
    <row r="25" spans="1:47">
      <c r="A25">
        <v>3913</v>
      </c>
      <c r="B25" s="1">
        <v>2.4895E-2</v>
      </c>
      <c r="C25" s="1">
        <v>3.7488E-3</v>
      </c>
      <c r="E25">
        <v>16</v>
      </c>
      <c r="F25">
        <v>3913</v>
      </c>
      <c r="G25" s="1">
        <v>2.6136E-2</v>
      </c>
      <c r="H25" s="1">
        <v>0.99965999999999999</v>
      </c>
      <c r="I25" s="1">
        <v>0</v>
      </c>
      <c r="K25" s="3">
        <v>18</v>
      </c>
      <c r="L25" s="4">
        <f t="shared" si="2"/>
        <v>0.25</v>
      </c>
      <c r="M25" cm="1">
        <f t="array" ref="M25">INDEX(C:C, 11 + (ROW(A19)-1)*6)</f>
        <v>1.8354999999999999E-3</v>
      </c>
      <c r="N25" cm="1">
        <f t="array" ref="N25">INDEX($C:$C, 10 + (ROW($A19)-1)*6)</f>
        <v>1.8351999999999999E-3</v>
      </c>
      <c r="O25" cm="1">
        <f t="array" ref="O25">INDEX($C:$C, 9 + (ROW($A19)-1)*6)</f>
        <v>1.833E-3</v>
      </c>
      <c r="P25" cm="1">
        <f t="array" ref="P25">INDEX($C:$C, 8 + (ROW($A19)-1)*6)</f>
        <v>1.8307E-3</v>
      </c>
      <c r="Q25" cm="1">
        <f t="array" ref="Q25">INDEX($C:$C, 7 + (ROW($A19)-1)*6)</f>
        <v>1.8155999999999999E-3</v>
      </c>
      <c r="AA25">
        <f t="shared" si="0"/>
        <v>0.75</v>
      </c>
      <c r="AB25">
        <f t="shared" si="1"/>
        <v>20.370146222913007</v>
      </c>
      <c r="AC25">
        <f t="shared" si="3"/>
        <v>1.4836914191183184</v>
      </c>
    </row>
    <row r="26" spans="1:47">
      <c r="A26">
        <v>3913</v>
      </c>
      <c r="B26" s="1">
        <v>4.9709000000000003E-2</v>
      </c>
      <c r="C26" s="1">
        <v>3.7751999999999998E-3</v>
      </c>
      <c r="E26">
        <v>17</v>
      </c>
      <c r="F26">
        <v>3913</v>
      </c>
      <c r="G26" s="1">
        <v>2.6136E-2</v>
      </c>
      <c r="H26" s="1">
        <v>0.99965999999999999</v>
      </c>
      <c r="I26" s="1">
        <v>0</v>
      </c>
      <c r="K26" s="3">
        <v>19</v>
      </c>
      <c r="L26" s="4">
        <f t="shared" si="2"/>
        <v>0.2638888888888889</v>
      </c>
      <c r="M26" cm="1">
        <f t="array" ref="M26">INDEX(C:C, 11 + (ROW(A20)-1)*6)</f>
        <v>1.7708999999999999E-3</v>
      </c>
      <c r="N26" cm="1">
        <f t="array" ref="N26">INDEX($C:$C, 10 + (ROW($A20)-1)*6)</f>
        <v>1.7706E-3</v>
      </c>
      <c r="O26" cm="1">
        <f t="array" ref="O26">INDEX($C:$C, 9 + (ROW($A20)-1)*6)</f>
        <v>1.7681999999999999E-3</v>
      </c>
      <c r="P26" cm="1">
        <f t="array" ref="P26">INDEX($C:$C, 8 + (ROW($A20)-1)*6)</f>
        <v>1.7658000000000001E-3</v>
      </c>
      <c r="Q26" cm="1">
        <f t="array" ref="Q26">INDEX($C:$C, 7 + (ROW($A20)-1)*6)</f>
        <v>1.7515E-3</v>
      </c>
      <c r="AA26">
        <f t="shared" si="0"/>
        <v>0.73611111111111116</v>
      </c>
      <c r="AB26">
        <f t="shared" si="1"/>
        <v>20.006844982501516</v>
      </c>
      <c r="AC26">
        <f t="shared" si="3"/>
        <v>1.4572298057820694</v>
      </c>
    </row>
    <row r="27" spans="1:47">
      <c r="A27">
        <v>3913</v>
      </c>
      <c r="B27" s="1">
        <v>7.4418999999999999E-2</v>
      </c>
      <c r="C27" s="1">
        <v>3.7805999999999998E-3</v>
      </c>
      <c r="E27">
        <v>18</v>
      </c>
      <c r="F27">
        <v>3913</v>
      </c>
      <c r="G27" s="1">
        <v>2.6136E-2</v>
      </c>
      <c r="H27" s="1">
        <v>0.99965999999999999</v>
      </c>
      <c r="I27" s="1">
        <v>0</v>
      </c>
      <c r="K27" s="3">
        <v>20</v>
      </c>
      <c r="L27" s="4">
        <f t="shared" si="2"/>
        <v>0.27777777777777779</v>
      </c>
      <c r="M27" cm="1">
        <f t="array" ref="M27">INDEX(C:C, 11 + (ROW(A21)-1)*6)</f>
        <v>1.7038999999999999E-3</v>
      </c>
      <c r="N27" cm="1">
        <f t="array" ref="N27">INDEX($C:$C, 10 + (ROW($A21)-1)*6)</f>
        <v>1.7038000000000001E-3</v>
      </c>
      <c r="O27" cm="1">
        <f t="array" ref="O27">INDEX($C:$C, 9 + (ROW($A21)-1)*6)</f>
        <v>1.7011000000000001E-3</v>
      </c>
      <c r="P27" cm="1">
        <f t="array" ref="P27">INDEX($C:$C, 8 + (ROW($A21)-1)*6)</f>
        <v>1.6988000000000001E-3</v>
      </c>
      <c r="Q27" cm="1">
        <f t="array" ref="Q27">INDEX($C:$C, 7 + (ROW($A21)-1)*6)</f>
        <v>1.6854000000000001E-3</v>
      </c>
      <c r="AA27">
        <f t="shared" si="0"/>
        <v>0.72222222222222221</v>
      </c>
      <c r="AB27">
        <f t="shared" si="1"/>
        <v>19.623561751735483</v>
      </c>
      <c r="AC27">
        <f t="shared" si="3"/>
        <v>1.42931277296569</v>
      </c>
    </row>
    <row r="28" spans="1:47">
      <c r="A28">
        <v>3913</v>
      </c>
      <c r="B28" s="1">
        <v>9.9404000000000006E-2</v>
      </c>
      <c r="C28" s="1">
        <v>3.7831000000000002E-3</v>
      </c>
      <c r="E28">
        <v>19</v>
      </c>
      <c r="F28">
        <v>3913</v>
      </c>
      <c r="G28" s="1">
        <v>2.6136E-2</v>
      </c>
      <c r="H28" s="1">
        <v>0.99965999999999999</v>
      </c>
      <c r="I28" s="1">
        <v>0</v>
      </c>
      <c r="K28" s="3">
        <v>21</v>
      </c>
      <c r="L28" s="4">
        <f t="shared" si="2"/>
        <v>0.29166666666666669</v>
      </c>
      <c r="M28" cm="1">
        <f t="array" ref="M28">INDEX(C:C, 11 + (ROW(A22)-1)*6)</f>
        <v>1.6479000000000001E-3</v>
      </c>
      <c r="N28" cm="1">
        <f t="array" ref="N28">INDEX($C:$C, 10 + (ROW($A22)-1)*6)</f>
        <v>1.6477E-3</v>
      </c>
      <c r="O28" cm="1">
        <f t="array" ref="O28">INDEX($C:$C, 9 + (ROW($A22)-1)*6)</f>
        <v>1.6452000000000001E-3</v>
      </c>
      <c r="P28" cm="1">
        <f t="array" ref="P28">INDEX($C:$C, 8 + (ROW($A22)-1)*6)</f>
        <v>1.6429000000000001E-3</v>
      </c>
      <c r="Q28" cm="1">
        <f t="array" ref="Q28">INDEX($C:$C, 7 + (ROW($A22)-1)*6)</f>
        <v>1.6295000000000001E-3</v>
      </c>
      <c r="AA28">
        <f t="shared" si="0"/>
        <v>0.70833333333333337</v>
      </c>
      <c r="AB28">
        <f t="shared" si="1"/>
        <v>19.298442686131182</v>
      </c>
      <c r="AC28">
        <f t="shared" si="3"/>
        <v>1.4056322179735872</v>
      </c>
    </row>
    <row r="29" spans="1:47">
      <c r="A29">
        <v>3913</v>
      </c>
      <c r="B29" s="1">
        <v>0.12695000000000001</v>
      </c>
      <c r="C29" s="1">
        <v>3.7835999999999998E-3</v>
      </c>
      <c r="E29">
        <v>20</v>
      </c>
      <c r="F29">
        <v>3913</v>
      </c>
      <c r="G29" s="1">
        <v>2.6136E-2</v>
      </c>
      <c r="H29" s="1">
        <v>0.99965999999999999</v>
      </c>
      <c r="I29" s="1">
        <v>0</v>
      </c>
      <c r="K29" s="3">
        <v>22</v>
      </c>
      <c r="L29" s="4">
        <f t="shared" si="2"/>
        <v>0.30555555555555558</v>
      </c>
      <c r="M29" cm="1">
        <f t="array" ref="M29">INDEX(C:C, 11 + (ROW(A23)-1)*6)</f>
        <v>1.5920999999999999E-3</v>
      </c>
      <c r="N29" cm="1">
        <f t="array" ref="N29">INDEX($C:$C, 10 + (ROW($A23)-1)*6)</f>
        <v>1.5919E-3</v>
      </c>
      <c r="O29" cm="1">
        <f t="array" ref="O29">INDEX($C:$C, 9 + (ROW($A23)-1)*6)</f>
        <v>1.5895E-3</v>
      </c>
      <c r="P29" cm="1">
        <f t="array" ref="P29">INDEX($C:$C, 8 + (ROW($A23)-1)*6)</f>
        <v>1.5874999999999999E-3</v>
      </c>
      <c r="Q29" cm="1">
        <f t="array" ref="Q29">INDEX($C:$C, 7 + (ROW($A23)-1)*6)</f>
        <v>1.5740999999999999E-3</v>
      </c>
      <c r="AA29">
        <f t="shared" si="0"/>
        <v>0.69444444444444442</v>
      </c>
      <c r="AB29">
        <f t="shared" si="1"/>
        <v>18.968945124093725</v>
      </c>
      <c r="AC29">
        <f t="shared" si="3"/>
        <v>1.3816327483543913</v>
      </c>
    </row>
    <row r="30" spans="1:47">
      <c r="K30" s="3">
        <v>23</v>
      </c>
      <c r="L30" s="4">
        <f t="shared" si="2"/>
        <v>0.31944444444444442</v>
      </c>
      <c r="M30" cm="1">
        <f t="array" ref="M30">INDEX(C:C, 11 + (ROW(A24)-1)*6)</f>
        <v>1.5418000000000001E-3</v>
      </c>
      <c r="N30" cm="1">
        <f t="array" ref="N30">INDEX($C:$C, 10 + (ROW($A24)-1)*6)</f>
        <v>1.5414000000000001E-3</v>
      </c>
      <c r="O30" cm="1">
        <f t="array" ref="O30">INDEX($C:$C, 9 + (ROW($A24)-1)*6)</f>
        <v>1.5391000000000001E-3</v>
      </c>
      <c r="P30" cm="1">
        <f t="array" ref="P30">INDEX($C:$C, 8 + (ROW($A24)-1)*6)</f>
        <v>1.537E-3</v>
      </c>
      <c r="Q30" cm="1">
        <f t="array" ref="Q30">INDEX($C:$C, 7 + (ROW($A24)-1)*6)</f>
        <v>1.5242000000000001E-3</v>
      </c>
      <c r="AA30">
        <f t="shared" si="0"/>
        <v>0.68055555555555558</v>
      </c>
      <c r="AB30">
        <f t="shared" si="1"/>
        <v>18.665788179223732</v>
      </c>
      <c r="AC30">
        <f t="shared" si="3"/>
        <v>1.3595518387316714</v>
      </c>
    </row>
    <row r="31" spans="1:47">
      <c r="A31">
        <v>18</v>
      </c>
      <c r="B31" s="1">
        <v>2.5381999999999998E-2</v>
      </c>
      <c r="C31" s="1">
        <v>3.5224000000000002E-3</v>
      </c>
      <c r="E31">
        <v>21</v>
      </c>
      <c r="F31">
        <v>18</v>
      </c>
      <c r="G31" s="1">
        <v>3.4868999999999997E-2</v>
      </c>
      <c r="H31" s="1">
        <v>0.99939</v>
      </c>
      <c r="I31" s="1">
        <v>0</v>
      </c>
      <c r="K31" s="3">
        <v>24</v>
      </c>
      <c r="L31" s="4">
        <f t="shared" si="2"/>
        <v>0.33333333333333331</v>
      </c>
      <c r="M31" cm="1">
        <f t="array" ref="M31">INDEX(C:C, 11 + (ROW(A25)-1)*6)</f>
        <v>1.4859999999999999E-3</v>
      </c>
      <c r="N31" cm="1">
        <f t="array" ref="N31">INDEX($C:$C, 10 + (ROW($A25)-1)*6)</f>
        <v>1.4865E-3</v>
      </c>
      <c r="O31" cm="1">
        <f t="array" ref="O31">INDEX($C:$C, 9 + (ROW($A25)-1)*6)</f>
        <v>1.4844000000000001E-3</v>
      </c>
      <c r="P31" cm="1">
        <f t="array" ref="P31">INDEX($C:$C, 8 + (ROW($A25)-1)*6)</f>
        <v>1.4825000000000001E-3</v>
      </c>
      <c r="Q31" cm="1">
        <f t="array" ref="Q31">INDEX($C:$C, 7 + (ROW($A25)-1)*6)</f>
        <v>1.4706000000000001E-3</v>
      </c>
      <c r="AA31">
        <f t="shared" si="0"/>
        <v>0.66666666666666663</v>
      </c>
      <c r="AB31">
        <f t="shared" si="1"/>
        <v>18.331094102344547</v>
      </c>
      <c r="AC31">
        <f t="shared" si="3"/>
        <v>1.3351738728368168</v>
      </c>
    </row>
    <row r="32" spans="1:47">
      <c r="A32">
        <v>18</v>
      </c>
      <c r="B32" s="1">
        <v>5.0798000000000003E-2</v>
      </c>
      <c r="C32" s="1">
        <v>3.5465000000000002E-3</v>
      </c>
      <c r="E32">
        <v>22</v>
      </c>
      <c r="F32">
        <v>18</v>
      </c>
      <c r="G32" s="1">
        <v>3.4868999999999997E-2</v>
      </c>
      <c r="H32" s="1">
        <v>0.99939</v>
      </c>
      <c r="I32" s="1">
        <v>0</v>
      </c>
      <c r="K32" s="3">
        <v>25</v>
      </c>
      <c r="L32" s="4">
        <f t="shared" si="2"/>
        <v>0.34722222222222221</v>
      </c>
      <c r="M32" cm="1">
        <f t="array" ref="M32">INDEX(C:C, 11 + (ROW(A26)-1)*6)</f>
        <v>1.4408999999999999E-3</v>
      </c>
      <c r="N32" cm="1">
        <f t="array" ref="N32">INDEX($C:$C, 10 + (ROW($A26)-1)*6)</f>
        <v>1.4411000000000001E-3</v>
      </c>
      <c r="O32" cm="1">
        <f t="array" ref="O32">INDEX($C:$C, 9 + (ROW($A26)-1)*6)</f>
        <v>1.4400999999999999E-3</v>
      </c>
      <c r="P32" cm="1">
        <f t="array" ref="P32">INDEX($C:$C, 8 + (ROW($A26)-1)*6)</f>
        <v>1.4381000000000001E-3</v>
      </c>
      <c r="Q32" cm="1">
        <f t="array" ref="Q32">INDEX($C:$C, 7 + (ROW($A26)-1)*6)</f>
        <v>1.4261E-3</v>
      </c>
      <c r="AA32">
        <f t="shared" si="0"/>
        <v>0.65277777777777779</v>
      </c>
      <c r="AB32">
        <f t="shared" si="1"/>
        <v>18.055488344009401</v>
      </c>
      <c r="AC32">
        <f t="shared" si="3"/>
        <v>1.315099696921403</v>
      </c>
    </row>
    <row r="33" spans="1:29">
      <c r="A33">
        <v>18</v>
      </c>
      <c r="B33" s="1">
        <v>7.6245999999999994E-2</v>
      </c>
      <c r="C33" s="1">
        <v>3.5515E-3</v>
      </c>
      <c r="E33">
        <v>23</v>
      </c>
      <c r="F33">
        <v>18</v>
      </c>
      <c r="G33" s="1">
        <v>3.4868999999999997E-2</v>
      </c>
      <c r="H33" s="1">
        <v>0.99939</v>
      </c>
      <c r="I33" s="1">
        <v>0</v>
      </c>
      <c r="K33" s="3">
        <v>26</v>
      </c>
      <c r="L33" s="4">
        <f t="shared" si="2"/>
        <v>0.3611111111111111</v>
      </c>
      <c r="M33" cm="1">
        <f t="array" ref="M33">INDEX(C:C, 11 + (ROW(A27)-1)*6)</f>
        <v>1.3954E-3</v>
      </c>
      <c r="N33" cm="1">
        <f t="array" ref="N33">INDEX($C:$C, 10 + (ROW($A27)-1)*6)</f>
        <v>1.3956000000000001E-3</v>
      </c>
      <c r="O33" cm="1">
        <f t="array" ref="O33">INDEX($C:$C, 9 + (ROW($A27)-1)*6)</f>
        <v>1.395E-3</v>
      </c>
      <c r="P33" cm="1">
        <f t="array" ref="P33">INDEX($C:$C, 8 + (ROW($A27)-1)*6)</f>
        <v>1.3932E-3</v>
      </c>
      <c r="Q33" cm="1">
        <f t="array" ref="Q33">INDEX($C:$C, 7 + (ROW($A27)-1)*6)</f>
        <v>1.3813E-3</v>
      </c>
      <c r="AA33">
        <f t="shared" si="0"/>
        <v>0.63888888888888884</v>
      </c>
      <c r="AB33">
        <f t="shared" si="1"/>
        <v>17.770515152668164</v>
      </c>
      <c r="AC33">
        <f t="shared" si="3"/>
        <v>1.2943432293906909</v>
      </c>
    </row>
    <row r="34" spans="1:29">
      <c r="A34">
        <v>18</v>
      </c>
      <c r="B34" s="1">
        <v>0.10172</v>
      </c>
      <c r="C34" s="1">
        <v>3.5544000000000001E-3</v>
      </c>
      <c r="E34">
        <v>24</v>
      </c>
      <c r="F34">
        <v>18</v>
      </c>
      <c r="G34" s="1">
        <v>3.4868999999999997E-2</v>
      </c>
      <c r="H34" s="1">
        <v>0.99939</v>
      </c>
      <c r="I34" s="1">
        <v>0</v>
      </c>
      <c r="K34" s="3">
        <v>27</v>
      </c>
      <c r="L34" s="4">
        <f t="shared" si="2"/>
        <v>0.375</v>
      </c>
      <c r="M34" cm="1">
        <f t="array" ref="M34">INDEX(C:C, 11 + (ROW(A28)-1)*6)</f>
        <v>1.3546999999999999E-3</v>
      </c>
      <c r="N34" cm="1">
        <f t="array" ref="N34">INDEX($C:$C, 10 + (ROW($A28)-1)*6)</f>
        <v>1.3546000000000001E-3</v>
      </c>
      <c r="O34" cm="1">
        <f t="array" ref="O34">INDEX($C:$C, 9 + (ROW($A28)-1)*6)</f>
        <v>1.3544E-3</v>
      </c>
      <c r="P34" cm="1">
        <f t="array" ref="P34">INDEX($C:$C, 8 + (ROW($A28)-1)*6)</f>
        <v>1.3525E-3</v>
      </c>
      <c r="Q34" cm="1">
        <f t="array" ref="Q34">INDEX($C:$C, 7 + (ROW($A28)-1)*6)</f>
        <v>1.3411E-3</v>
      </c>
      <c r="AA34">
        <f t="shared" si="0"/>
        <v>0.625</v>
      </c>
      <c r="AB34">
        <f t="shared" si="1"/>
        <v>17.510009696183481</v>
      </c>
      <c r="AC34">
        <f t="shared" si="3"/>
        <v>1.2753689075478234</v>
      </c>
    </row>
    <row r="35" spans="1:29">
      <c r="A35">
        <v>18</v>
      </c>
      <c r="B35" s="1">
        <v>0.12981000000000001</v>
      </c>
      <c r="C35" s="1">
        <v>3.5550999999999998E-3</v>
      </c>
      <c r="E35">
        <v>25</v>
      </c>
      <c r="F35">
        <v>18</v>
      </c>
      <c r="G35" s="1">
        <v>3.4868999999999997E-2</v>
      </c>
      <c r="H35" s="1">
        <v>0.99939</v>
      </c>
      <c r="I35" s="1">
        <v>0</v>
      </c>
      <c r="K35" s="3">
        <v>28</v>
      </c>
      <c r="L35" s="4">
        <f t="shared" si="2"/>
        <v>0.3888888888888889</v>
      </c>
      <c r="M35" cm="1">
        <f t="array" ref="M35">INDEX(C:C, 11 + (ROW(A29)-1)*6)</f>
        <v>1.3082E-3</v>
      </c>
      <c r="N35" cm="1">
        <f t="array" ref="N35">INDEX($C:$C, 10 + (ROW($A29)-1)*6)</f>
        <v>1.3079000000000001E-3</v>
      </c>
      <c r="O35" cm="1">
        <f t="array" ref="O35">INDEX($C:$C, 9 + (ROW($A29)-1)*6)</f>
        <v>1.3078E-3</v>
      </c>
      <c r="P35" cm="1">
        <f t="array" ref="P35">INDEX($C:$C, 8 + (ROW($A29)-1)*6)</f>
        <v>1.3060000000000001E-3</v>
      </c>
      <c r="Q35" cm="1">
        <f t="array" ref="Q35">INDEX($C:$C, 7 + (ROW($A29)-1)*6)</f>
        <v>1.2955E-3</v>
      </c>
      <c r="AA35">
        <f t="shared" si="0"/>
        <v>0.61111111111111116</v>
      </c>
      <c r="AB35">
        <f t="shared" si="1"/>
        <v>17.206145081668602</v>
      </c>
      <c r="AC35">
        <f t="shared" si="3"/>
        <v>1.25323645370111</v>
      </c>
    </row>
    <row r="36" spans="1:29">
      <c r="K36" s="3">
        <v>29</v>
      </c>
      <c r="L36" s="4">
        <f t="shared" si="2"/>
        <v>0.40277777777777779</v>
      </c>
      <c r="M36" cm="1">
        <f t="array" ref="M36">INDEX(C:C, 11 + (ROW(A30)-1)*6)</f>
        <v>1.2712999999999999E-3</v>
      </c>
      <c r="N36" cm="1">
        <f t="array" ref="N36">INDEX($C:$C, 10 + (ROW($A30)-1)*6)</f>
        <v>1.2708000000000001E-3</v>
      </c>
      <c r="O36" cm="1">
        <f t="array" ref="O36">INDEX($C:$C, 9 + (ROW($A30)-1)*6)</f>
        <v>1.2707E-3</v>
      </c>
      <c r="P36" cm="1">
        <f t="array" ref="P36">INDEX($C:$C, 8 + (ROW($A30)-1)*6)</f>
        <v>1.2689999999999999E-3</v>
      </c>
      <c r="Q36" cm="1">
        <f t="array" ref="Q36">INDEX($C:$C, 7 + (ROW($A30)-1)*6)</f>
        <v>1.2583E-3</v>
      </c>
      <c r="AA36">
        <f t="shared" si="0"/>
        <v>0.59722222222222221</v>
      </c>
      <c r="AB36">
        <f t="shared" si="1"/>
        <v>16.96033510968952</v>
      </c>
      <c r="AC36">
        <f t="shared" si="3"/>
        <v>1.2353325004271347</v>
      </c>
    </row>
    <row r="37" spans="1:29">
      <c r="A37">
        <v>3866</v>
      </c>
      <c r="B37" s="1">
        <v>2.5998E-2</v>
      </c>
      <c r="C37" s="1">
        <v>3.3241E-3</v>
      </c>
      <c r="E37">
        <v>26</v>
      </c>
      <c r="F37">
        <v>3866</v>
      </c>
      <c r="G37" s="1">
        <v>4.3700999999999997E-2</v>
      </c>
      <c r="H37" s="1">
        <v>0.99904000000000004</v>
      </c>
      <c r="I37" s="1">
        <v>0</v>
      </c>
      <c r="K37" s="3">
        <v>30</v>
      </c>
      <c r="L37" s="4">
        <f t="shared" si="2"/>
        <v>0.41666666666666669</v>
      </c>
      <c r="M37" cm="1">
        <f t="array" ref="M37">INDEX(C:C, 11 + (ROW(A31)-1)*6)</f>
        <v>1.2329000000000001E-3</v>
      </c>
      <c r="N37" cm="1">
        <f t="array" ref="N37">INDEX($C:$C, 10 + (ROW($A31)-1)*6)</f>
        <v>1.2325000000000001E-3</v>
      </c>
      <c r="O37" cm="1">
        <f t="array" ref="O37">INDEX($C:$C, 9 + (ROW($A31)-1)*6)</f>
        <v>1.2323E-3</v>
      </c>
      <c r="P37" cm="1">
        <f t="array" ref="P37">INDEX($C:$C, 8 + (ROW($A31)-1)*6)</f>
        <v>1.2306999999999999E-3</v>
      </c>
      <c r="Q37" cm="1">
        <f t="array" ref="Q37">INDEX($C:$C, 7 + (ROW($A31)-1)*6)</f>
        <v>1.2201E-3</v>
      </c>
      <c r="AA37">
        <f t="shared" si="0"/>
        <v>0.58333333333333337</v>
      </c>
      <c r="AB37">
        <f t="shared" si="1"/>
        <v>16.702102256309526</v>
      </c>
      <c r="AC37">
        <f t="shared" si="3"/>
        <v>1.2165237071812929</v>
      </c>
    </row>
    <row r="38" spans="1:29">
      <c r="A38">
        <v>3866</v>
      </c>
      <c r="B38" s="1">
        <v>5.1903999999999999E-2</v>
      </c>
      <c r="C38" s="1">
        <v>3.3476999999999999E-3</v>
      </c>
      <c r="E38">
        <v>27</v>
      </c>
      <c r="F38">
        <v>3866</v>
      </c>
      <c r="G38" s="1">
        <v>4.3700999999999997E-2</v>
      </c>
      <c r="H38" s="1">
        <v>0.99904000000000004</v>
      </c>
      <c r="I38" s="1">
        <v>0</v>
      </c>
      <c r="K38" s="3">
        <v>31</v>
      </c>
      <c r="L38" s="4">
        <f t="shared" si="2"/>
        <v>0.43055555555555558</v>
      </c>
      <c r="M38" cm="1">
        <f t="array" ref="M38">INDEX(C:C, 11 + (ROW(A32)-1)*6)</f>
        <v>1.199E-3</v>
      </c>
      <c r="N38" cm="1">
        <f t="array" ref="N38">INDEX($C:$C, 10 + (ROW($A32)-1)*6)</f>
        <v>1.1984999999999999E-3</v>
      </c>
      <c r="O38" cm="1">
        <f t="array" ref="O38">INDEX($C:$C, 9 + (ROW($A32)-1)*6)</f>
        <v>1.1982E-3</v>
      </c>
      <c r="P38" cm="1">
        <f t="array" ref="P38">INDEX($C:$C, 8 + (ROW($A32)-1)*6)</f>
        <v>1.1965000000000001E-3</v>
      </c>
      <c r="Q38" cm="1">
        <f t="array" ref="Q38">INDEX($C:$C, 7 + (ROW($A32)-1)*6)</f>
        <v>1.1864E-3</v>
      </c>
      <c r="AA38">
        <f t="shared" si="0"/>
        <v>0.56944444444444442</v>
      </c>
      <c r="AB38">
        <f t="shared" si="1"/>
        <v>16.46939219039</v>
      </c>
      <c r="AC38">
        <f t="shared" si="3"/>
        <v>1.1995739060277357</v>
      </c>
    </row>
    <row r="39" spans="1:29">
      <c r="A39">
        <v>3866</v>
      </c>
      <c r="B39" s="1">
        <v>7.7865000000000004E-2</v>
      </c>
      <c r="C39" s="1">
        <v>3.3522999999999999E-3</v>
      </c>
      <c r="E39">
        <v>28</v>
      </c>
      <c r="F39">
        <v>3866</v>
      </c>
      <c r="G39" s="1">
        <v>4.3700999999999997E-2</v>
      </c>
      <c r="H39" s="1">
        <v>0.99904000000000004</v>
      </c>
      <c r="I39" s="1">
        <v>0</v>
      </c>
      <c r="K39" s="3">
        <v>32</v>
      </c>
      <c r="L39" s="4">
        <f t="shared" si="2"/>
        <v>0.44444444444444442</v>
      </c>
      <c r="M39" cm="1">
        <f t="array" ref="M39">INDEX(C:C, 11 + (ROW(A33)-1)*6)</f>
        <v>1.1578999999999999E-3</v>
      </c>
      <c r="N39" cm="1">
        <f t="array" ref="N39">INDEX($C:$C, 10 + (ROW($A33)-1)*6)</f>
        <v>1.1575999999999999E-3</v>
      </c>
      <c r="O39" cm="1">
        <f t="array" ref="O39">INDEX($C:$C, 9 + (ROW($A33)-1)*6)</f>
        <v>1.1571000000000001E-3</v>
      </c>
      <c r="P39" cm="1">
        <f t="array" ref="P39">INDEX($C:$C, 8 + (ROW($A33)-1)*6)</f>
        <v>1.1555000000000001E-3</v>
      </c>
      <c r="Q39" cm="1">
        <f t="array" ref="Q39">INDEX($C:$C, 7 + (ROW($A33)-1)*6)</f>
        <v>1.1463000000000001E-3</v>
      </c>
      <c r="AA39">
        <f t="shared" ref="AA39:AA70" si="4">(72-K39)/72</f>
        <v>0.55555555555555558</v>
      </c>
      <c r="AB39">
        <f t="shared" ref="AB39:AB70" si="5">SQRT(O39*206000/(1-0.3^2))</f>
        <v>16.184465486290335</v>
      </c>
      <c r="AC39">
        <f t="shared" si="3"/>
        <v>1.1788208244678784</v>
      </c>
    </row>
    <row r="40" spans="1:29">
      <c r="A40">
        <v>3866</v>
      </c>
      <c r="B40" s="1">
        <v>0.10403</v>
      </c>
      <c r="C40" s="1">
        <v>3.3544E-3</v>
      </c>
      <c r="E40">
        <v>29</v>
      </c>
      <c r="F40">
        <v>3866</v>
      </c>
      <c r="G40" s="1">
        <v>4.3700999999999997E-2</v>
      </c>
      <c r="H40" s="1">
        <v>0.99904000000000004</v>
      </c>
      <c r="I40" s="1">
        <v>0</v>
      </c>
      <c r="K40" s="3">
        <v>33</v>
      </c>
      <c r="L40" s="4">
        <f t="shared" si="2"/>
        <v>0.45833333333333331</v>
      </c>
      <c r="M40" cm="1">
        <f t="array" ref="M40">INDEX(C:C, 11 + (ROW(A34)-1)*6)</f>
        <v>1.1267E-3</v>
      </c>
      <c r="N40" cm="1">
        <f t="array" ref="N40">INDEX($C:$C, 10 + (ROW($A34)-1)*6)</f>
        <v>1.1263E-3</v>
      </c>
      <c r="O40" cm="1">
        <f t="array" ref="O40">INDEX($C:$C, 9 + (ROW($A34)-1)*6)</f>
        <v>1.1257999999999999E-3</v>
      </c>
      <c r="P40" cm="1">
        <f t="array" ref="P40">INDEX($C:$C, 8 + (ROW($A34)-1)*6)</f>
        <v>1.1241999999999999E-3</v>
      </c>
      <c r="Q40" cm="1">
        <f t="array" ref="Q40">INDEX($C:$C, 7 + (ROW($A34)-1)*6)</f>
        <v>1.1148E-3</v>
      </c>
      <c r="AA40">
        <f t="shared" si="4"/>
        <v>0.54166666666666663</v>
      </c>
      <c r="AB40">
        <f t="shared" si="5"/>
        <v>15.964066793001981</v>
      </c>
      <c r="AC40">
        <f t="shared" si="3"/>
        <v>1.1627677413707627</v>
      </c>
    </row>
    <row r="41" spans="1:29">
      <c r="A41">
        <v>3866</v>
      </c>
      <c r="B41" s="1">
        <v>0.13255</v>
      </c>
      <c r="C41" s="1">
        <v>3.3552999999999999E-3</v>
      </c>
      <c r="E41">
        <v>30</v>
      </c>
      <c r="F41">
        <v>3866</v>
      </c>
      <c r="G41" s="1">
        <v>4.3700999999999997E-2</v>
      </c>
      <c r="H41" s="1">
        <v>0.99904000000000004</v>
      </c>
      <c r="I41" s="1">
        <v>0</v>
      </c>
      <c r="K41" s="3">
        <v>34</v>
      </c>
      <c r="L41" s="4">
        <f t="shared" si="2"/>
        <v>0.47222222222222221</v>
      </c>
      <c r="M41" cm="1">
        <f t="array" ref="M41">INDEX(C:C, 11 + (ROW(A35)-1)*6)</f>
        <v>1.0937E-3</v>
      </c>
      <c r="N41" cm="1">
        <f t="array" ref="N41">INDEX($C:$C, 10 + (ROW($A35)-1)*6)</f>
        <v>1.0934E-3</v>
      </c>
      <c r="O41" cm="1">
        <f t="array" ref="O41">INDEX($C:$C, 9 + (ROW($A35)-1)*6)</f>
        <v>1.0927000000000001E-3</v>
      </c>
      <c r="P41" cm="1">
        <f t="array" ref="P41">INDEX($C:$C, 8 + (ROW($A35)-1)*6)</f>
        <v>1.0912999999999999E-3</v>
      </c>
      <c r="Q41" cm="1">
        <f t="array" ref="Q41">INDEX($C:$C, 7 + (ROW($A35)-1)*6)</f>
        <v>1.0819E-3</v>
      </c>
      <c r="AA41">
        <f t="shared" si="4"/>
        <v>0.52777777777777779</v>
      </c>
      <c r="AB41">
        <f t="shared" si="5"/>
        <v>15.72763369164165</v>
      </c>
      <c r="AC41">
        <f t="shared" si="3"/>
        <v>1.1455467671153461</v>
      </c>
    </row>
    <row r="42" spans="1:29">
      <c r="K42" s="3">
        <v>35</v>
      </c>
      <c r="L42" s="4">
        <f t="shared" si="2"/>
        <v>0.4861111111111111</v>
      </c>
      <c r="M42" cm="1">
        <f t="array" ref="M42">INDEX(C:C, 11 + (ROW(A36)-1)*6)</f>
        <v>1.0651E-3</v>
      </c>
      <c r="N42" cm="1">
        <f t="array" ref="N42">INDEX($C:$C, 10 + (ROW($A36)-1)*6)</f>
        <v>1.0648000000000001E-3</v>
      </c>
      <c r="O42" cm="1">
        <f t="array" ref="O42">INDEX($C:$C, 9 + (ROW($A36)-1)*6)</f>
        <v>1.0640000000000001E-3</v>
      </c>
      <c r="P42" cm="1">
        <f t="array" ref="P42">INDEX($C:$C, 8 + (ROW($A36)-1)*6)</f>
        <v>1.0624E-3</v>
      </c>
      <c r="Q42" cm="1">
        <f t="array" ref="Q42">INDEX($C:$C, 7 + (ROW($A36)-1)*6)</f>
        <v>1.0535E-3</v>
      </c>
      <c r="AA42">
        <f t="shared" si="4"/>
        <v>0.51388888888888884</v>
      </c>
      <c r="AB42">
        <f t="shared" si="5"/>
        <v>15.519714509666036</v>
      </c>
      <c r="AC42">
        <f t="shared" si="3"/>
        <v>1.1304026487181831</v>
      </c>
    </row>
    <row r="43" spans="1:29">
      <c r="A43">
        <v>608</v>
      </c>
      <c r="B43" s="1">
        <v>2.6561000000000001E-2</v>
      </c>
      <c r="C43" s="1">
        <v>3.1378999999999999E-3</v>
      </c>
      <c r="E43">
        <v>31</v>
      </c>
      <c r="F43">
        <v>608</v>
      </c>
      <c r="G43" s="1">
        <v>5.2489000000000001E-2</v>
      </c>
      <c r="H43" s="1">
        <v>0.99861999999999995</v>
      </c>
      <c r="I43" s="1">
        <v>0</v>
      </c>
      <c r="K43" s="3">
        <v>36</v>
      </c>
      <c r="L43" s="4">
        <f t="shared" si="2"/>
        <v>0.5</v>
      </c>
      <c r="M43" cm="1">
        <f t="array" ref="M43">INDEX(C:C, 11 + (ROW(A37)-1)*6)</f>
        <v>1.0281999999999999E-3</v>
      </c>
      <c r="N43" cm="1">
        <f t="array" ref="N43">INDEX($C:$C, 10 + (ROW($A37)-1)*6)</f>
        <v>1.0281000000000001E-3</v>
      </c>
      <c r="O43" cm="1">
        <f t="array" ref="O43">INDEX($C:$C, 9 + (ROW($A37)-1)*6)</f>
        <v>1.0269999999999999E-3</v>
      </c>
      <c r="P43" cm="1">
        <f t="array" ref="P43">INDEX($C:$C, 8 + (ROW($A37)-1)*6)</f>
        <v>1.0257E-3</v>
      </c>
      <c r="Q43" cm="1">
        <f t="array" ref="Q43">INDEX($C:$C, 7 + (ROW($A37)-1)*6)</f>
        <v>1.0176E-3</v>
      </c>
      <c r="AA43">
        <f t="shared" si="4"/>
        <v>0.5</v>
      </c>
      <c r="AB43">
        <f t="shared" si="5"/>
        <v>15.247482227755318</v>
      </c>
      <c r="AC43">
        <f t="shared" si="3"/>
        <v>1.1105741852276461</v>
      </c>
    </row>
    <row r="44" spans="1:29">
      <c r="A44">
        <v>608</v>
      </c>
      <c r="B44" s="1">
        <v>5.3068999999999998E-2</v>
      </c>
      <c r="C44" s="1">
        <v>3.1610000000000002E-3</v>
      </c>
      <c r="E44">
        <v>32</v>
      </c>
      <c r="F44">
        <v>608</v>
      </c>
      <c r="G44" s="1">
        <v>5.2489000000000001E-2</v>
      </c>
      <c r="H44" s="1">
        <v>0.99861999999999995</v>
      </c>
      <c r="I44" s="1">
        <v>0</v>
      </c>
      <c r="K44" s="3">
        <v>37</v>
      </c>
      <c r="L44" s="4">
        <f t="shared" si="2"/>
        <v>0.51388888888888884</v>
      </c>
      <c r="M44" cm="1">
        <f t="array" ref="M44">INDEX(C:C, 11 + (ROW(A38)-1)*6)</f>
        <v>1.0015E-3</v>
      </c>
      <c r="N44" cm="1">
        <f t="array" ref="N44">INDEX($C:$C, 10 + (ROW($A38)-1)*6)</f>
        <v>1.0013000000000001E-3</v>
      </c>
      <c r="O44" cm="1">
        <f t="array" ref="O44">INDEX($C:$C, 9 + (ROW($A38)-1)*6)</f>
        <v>1.0004E-3</v>
      </c>
      <c r="P44" cm="1">
        <f t="array" ref="P44">INDEX($C:$C, 8 + (ROW($A38)-1)*6)</f>
        <v>9.9894999999999997E-4</v>
      </c>
      <c r="Q44" cm="1">
        <f t="array" ref="Q44">INDEX($C:$C, 7 + (ROW($A38)-1)*6)</f>
        <v>9.9068000000000008E-4</v>
      </c>
      <c r="AA44">
        <f t="shared" si="4"/>
        <v>0.4861111111111111</v>
      </c>
      <c r="AB44">
        <f t="shared" si="5"/>
        <v>15.04872671770525</v>
      </c>
      <c r="AC44">
        <f t="shared" si="3"/>
        <v>1.0960975171891973</v>
      </c>
    </row>
    <row r="45" spans="1:29">
      <c r="A45">
        <v>608</v>
      </c>
      <c r="B45" s="1">
        <v>7.9618999999999995E-2</v>
      </c>
      <c r="C45" s="1">
        <v>3.1649999999999998E-3</v>
      </c>
      <c r="E45">
        <v>33</v>
      </c>
      <c r="F45">
        <v>608</v>
      </c>
      <c r="G45" s="1">
        <v>5.2489000000000001E-2</v>
      </c>
      <c r="H45" s="1">
        <v>0.99861999999999995</v>
      </c>
      <c r="I45" s="1">
        <v>0</v>
      </c>
      <c r="K45" s="3">
        <v>38</v>
      </c>
      <c r="L45" s="4">
        <f t="shared" si="2"/>
        <v>0.52777777777777779</v>
      </c>
      <c r="M45" cm="1">
        <f t="array" ref="M45">INDEX(C:C, 11 + (ROW(A39)-1)*6)</f>
        <v>9.7252000000000005E-4</v>
      </c>
      <c r="N45" cm="1">
        <f t="array" ref="N45">INDEX($C:$C, 10 + (ROW($A39)-1)*6)</f>
        <v>9.7236999999999996E-4</v>
      </c>
      <c r="O45" cm="1">
        <f t="array" ref="O45">INDEX($C:$C, 9 + (ROW($A39)-1)*6)</f>
        <v>9.7146000000000005E-4</v>
      </c>
      <c r="P45" cm="1">
        <f t="array" ref="P45">INDEX($C:$C, 8 + (ROW($A39)-1)*6)</f>
        <v>9.7017999999999996E-4</v>
      </c>
      <c r="Q45" cm="1">
        <f t="array" ref="Q45">INDEX($C:$C, 7 + (ROW($A39)-1)*6)</f>
        <v>9.6190999999999996E-4</v>
      </c>
      <c r="AA45">
        <f t="shared" si="4"/>
        <v>0.47222222222222221</v>
      </c>
      <c r="AB45">
        <f t="shared" si="5"/>
        <v>14.829461321198524</v>
      </c>
      <c r="AC45">
        <f t="shared" si="3"/>
        <v>1.0801269795334258</v>
      </c>
    </row>
    <row r="46" spans="1:29">
      <c r="A46">
        <v>608</v>
      </c>
      <c r="B46" s="1">
        <v>0.10638</v>
      </c>
      <c r="C46" s="1">
        <v>3.1668E-3</v>
      </c>
      <c r="E46">
        <v>34</v>
      </c>
      <c r="F46">
        <v>608</v>
      </c>
      <c r="G46" s="1">
        <v>5.2489000000000001E-2</v>
      </c>
      <c r="H46" s="1">
        <v>0.99861999999999995</v>
      </c>
      <c r="I46" s="1">
        <v>0</v>
      </c>
      <c r="K46" s="3">
        <v>39</v>
      </c>
      <c r="L46" s="4">
        <f t="shared" si="2"/>
        <v>0.54166666666666663</v>
      </c>
      <c r="M46" cm="1">
        <f t="array" ref="M46">INDEX(C:C, 11 + (ROW(A40)-1)*6)</f>
        <v>9.4806000000000003E-4</v>
      </c>
      <c r="N46" cm="1">
        <f t="array" ref="N46">INDEX($C:$C, 10 + (ROW($A40)-1)*6)</f>
        <v>9.4782999999999998E-4</v>
      </c>
      <c r="O46" cm="1">
        <f t="array" ref="O46">INDEX($C:$C, 9 + (ROW($A40)-1)*6)</f>
        <v>9.4693999999999996E-4</v>
      </c>
      <c r="P46" cm="1">
        <f t="array" ref="P46">INDEX($C:$C, 8 + (ROW($A40)-1)*6)</f>
        <v>9.4554000000000003E-4</v>
      </c>
      <c r="Q46" cm="1">
        <f t="array" ref="Q46">INDEX($C:$C, 7 + (ROW($A40)-1)*6)</f>
        <v>9.3764E-4</v>
      </c>
      <c r="AA46">
        <f t="shared" si="4"/>
        <v>0.45833333333333331</v>
      </c>
      <c r="AB46">
        <f t="shared" si="5"/>
        <v>14.641114771705116</v>
      </c>
      <c r="AC46">
        <f t="shared" si="3"/>
        <v>1.0664084643963285</v>
      </c>
    </row>
    <row r="47" spans="1:29">
      <c r="A47">
        <v>608</v>
      </c>
      <c r="B47" s="1">
        <v>0.13547999999999999</v>
      </c>
      <c r="C47" s="1">
        <v>3.1676E-3</v>
      </c>
      <c r="E47">
        <v>35</v>
      </c>
      <c r="F47">
        <v>608</v>
      </c>
      <c r="G47" s="1">
        <v>5.2489000000000001E-2</v>
      </c>
      <c r="H47" s="1">
        <v>0.99861999999999995</v>
      </c>
      <c r="I47" s="1">
        <v>0</v>
      </c>
      <c r="K47" s="3">
        <v>40</v>
      </c>
      <c r="L47" s="4">
        <f t="shared" si="2"/>
        <v>0.55555555555555558</v>
      </c>
      <c r="M47" cm="1">
        <f t="array" ref="M47">INDEX(C:C, 11 + (ROW(A41)-1)*6)</f>
        <v>9.1405999999999996E-4</v>
      </c>
      <c r="N47" cm="1">
        <f t="array" ref="N47">INDEX($C:$C, 10 + (ROW($A41)-1)*6)</f>
        <v>9.1399000000000005E-4</v>
      </c>
      <c r="O47" cm="1">
        <f t="array" ref="O47">INDEX($C:$C, 9 + (ROW($A41)-1)*6)</f>
        <v>9.1295999999999999E-4</v>
      </c>
      <c r="P47" cm="1">
        <f t="array" ref="P47">INDEX($C:$C, 8 + (ROW($A41)-1)*6)</f>
        <v>9.1177999999999995E-4</v>
      </c>
      <c r="Q47" cm="1">
        <f t="array" ref="Q47">INDEX($C:$C, 7 + (ROW($A41)-1)*6)</f>
        <v>9.0477999999999999E-4</v>
      </c>
      <c r="AA47">
        <f t="shared" si="4"/>
        <v>0.44444444444444442</v>
      </c>
      <c r="AB47">
        <f t="shared" si="5"/>
        <v>14.376023996017324</v>
      </c>
      <c r="AC47">
        <f t="shared" si="3"/>
        <v>1.0471001636668531</v>
      </c>
    </row>
    <row r="48" spans="1:29">
      <c r="K48" s="3">
        <v>41</v>
      </c>
      <c r="L48" s="4">
        <f t="shared" si="2"/>
        <v>0.56944444444444442</v>
      </c>
      <c r="M48" cm="1">
        <f t="array" ref="M48">INDEX(C:C, 11 + (ROW(A42)-1)*6)</f>
        <v>8.9112000000000002E-4</v>
      </c>
      <c r="N48" cm="1">
        <f t="array" ref="N48">INDEX($C:$C, 10 + (ROW($A42)-1)*6)</f>
        <v>8.9092000000000001E-4</v>
      </c>
      <c r="O48" cm="1">
        <f t="array" ref="O48">INDEX($C:$C, 9 + (ROW($A42)-1)*6)</f>
        <v>8.9004000000000004E-4</v>
      </c>
      <c r="P48" cm="1">
        <f t="array" ref="P48">INDEX($C:$C, 8 + (ROW($A42)-1)*6)</f>
        <v>8.8873000000000001E-4</v>
      </c>
      <c r="Q48" cm="1">
        <f t="array" ref="Q48">INDEX($C:$C, 7 + (ROW($A42)-1)*6)</f>
        <v>8.8150999999999995E-4</v>
      </c>
      <c r="AA48">
        <f t="shared" si="4"/>
        <v>0.43055555555555558</v>
      </c>
      <c r="AB48">
        <f t="shared" si="5"/>
        <v>14.194420820082177</v>
      </c>
      <c r="AC48">
        <f t="shared" si="3"/>
        <v>1.0338728126762875</v>
      </c>
    </row>
    <row r="49" spans="1:29">
      <c r="A49">
        <v>3848</v>
      </c>
      <c r="B49" s="1">
        <v>2.7136E-2</v>
      </c>
      <c r="C49" s="1">
        <v>2.9697E-3</v>
      </c>
      <c r="E49">
        <v>36</v>
      </c>
      <c r="F49">
        <v>3848</v>
      </c>
      <c r="G49" s="1">
        <v>6.1385000000000002E-2</v>
      </c>
      <c r="H49" s="1">
        <v>0.99811000000000005</v>
      </c>
      <c r="I49" s="1">
        <v>0</v>
      </c>
      <c r="K49" s="3">
        <v>42</v>
      </c>
      <c r="L49" s="4">
        <f t="shared" si="2"/>
        <v>0.58333333333333337</v>
      </c>
      <c r="M49" cm="1">
        <f t="array" ref="M49">INDEX(C:C, 11 + (ROW(A43)-1)*6)</f>
        <v>8.6534999999999997E-4</v>
      </c>
      <c r="N49" cm="1">
        <f t="array" ref="N49">INDEX($C:$C, 10 + (ROW($A43)-1)*6)</f>
        <v>8.6523000000000004E-4</v>
      </c>
      <c r="O49" cm="1">
        <f t="array" ref="O49">INDEX($C:$C, 9 + (ROW($A43)-1)*6)</f>
        <v>8.6432000000000002E-4</v>
      </c>
      <c r="P49" cm="1">
        <f t="array" ref="P49">INDEX($C:$C, 8 + (ROW($A43)-1)*6)</f>
        <v>8.6317999999999996E-4</v>
      </c>
      <c r="Q49" cm="1">
        <f t="array" ref="Q49">INDEX($C:$C, 7 + (ROW($A43)-1)*6)</f>
        <v>8.5594999999999996E-4</v>
      </c>
      <c r="AA49">
        <f t="shared" si="4"/>
        <v>0.41666666666666669</v>
      </c>
      <c r="AB49">
        <f t="shared" si="5"/>
        <v>13.987825161448535</v>
      </c>
      <c r="AC49">
        <f t="shared" si="3"/>
        <v>1.0188250951691327</v>
      </c>
    </row>
    <row r="50" spans="1:29">
      <c r="A50">
        <v>3848</v>
      </c>
      <c r="B50" s="1">
        <v>5.4163000000000003E-2</v>
      </c>
      <c r="C50" s="1">
        <v>2.9911999999999998E-3</v>
      </c>
      <c r="E50">
        <v>37</v>
      </c>
      <c r="F50">
        <v>3848</v>
      </c>
      <c r="G50" s="1">
        <v>6.1385000000000002E-2</v>
      </c>
      <c r="H50" s="1">
        <v>0.99811000000000005</v>
      </c>
      <c r="I50" s="1">
        <v>0</v>
      </c>
      <c r="K50" s="3">
        <v>43</v>
      </c>
      <c r="L50" s="4">
        <f t="shared" si="2"/>
        <v>0.59722222222222221</v>
      </c>
      <c r="M50" cm="1">
        <f t="array" ref="M50">INDEX(C:C, 11 + (ROW(A44)-1)*6)</f>
        <v>8.4418000000000004E-4</v>
      </c>
      <c r="N50" cm="1">
        <f t="array" ref="N50">INDEX($C:$C, 10 + (ROW($A44)-1)*6)</f>
        <v>8.4398000000000003E-4</v>
      </c>
      <c r="O50" cm="1">
        <f t="array" ref="O50">INDEX($C:$C, 9 + (ROW($A44)-1)*6)</f>
        <v>8.4307000000000002E-4</v>
      </c>
      <c r="P50" cm="1">
        <f t="array" ref="P50">INDEX($C:$C, 8 + (ROW($A44)-1)*6)</f>
        <v>8.4179999999999997E-4</v>
      </c>
      <c r="Q50" cm="1">
        <f t="array" ref="Q50">INDEX($C:$C, 7 + (ROW($A44)-1)*6)</f>
        <v>8.3491000000000001E-4</v>
      </c>
      <c r="AA50">
        <f t="shared" si="4"/>
        <v>0.40277777777777779</v>
      </c>
      <c r="AB50">
        <f t="shared" si="5"/>
        <v>13.81480413132279</v>
      </c>
      <c r="AC50">
        <f t="shared" si="3"/>
        <v>1.0062228381742455</v>
      </c>
    </row>
    <row r="51" spans="1:29">
      <c r="A51">
        <v>3848</v>
      </c>
      <c r="B51" s="1">
        <v>8.1406000000000006E-2</v>
      </c>
      <c r="C51" s="1">
        <v>2.9951999999999999E-3</v>
      </c>
      <c r="E51">
        <v>38</v>
      </c>
      <c r="F51">
        <v>3848</v>
      </c>
      <c r="G51" s="1">
        <v>6.1385000000000002E-2</v>
      </c>
      <c r="H51" s="1">
        <v>0.99811000000000005</v>
      </c>
      <c r="I51" s="1">
        <v>0</v>
      </c>
      <c r="K51" s="3">
        <v>44</v>
      </c>
      <c r="L51" s="4">
        <f t="shared" si="2"/>
        <v>0.61111111111111116</v>
      </c>
      <c r="M51" cm="1">
        <f t="array" ref="M51">INDEX(C:C, 11 + (ROW(A45)-1)*6)</f>
        <v>8.1238999999999997E-4</v>
      </c>
      <c r="N51" cm="1">
        <f t="array" ref="N51">INDEX($C:$C, 10 + (ROW($A45)-1)*6)</f>
        <v>8.1238999999999997E-4</v>
      </c>
      <c r="O51" cm="1">
        <f t="array" ref="O51">INDEX($C:$C, 9 + (ROW($A45)-1)*6)</f>
        <v>8.1130999999999998E-4</v>
      </c>
      <c r="P51" cm="1">
        <f t="array" ref="P51">INDEX($C:$C, 8 + (ROW($A45)-1)*6)</f>
        <v>8.1028000000000003E-4</v>
      </c>
      <c r="Q51" cm="1">
        <f t="array" ref="Q51">INDEX($C:$C, 7 + (ROW($A45)-1)*6)</f>
        <v>8.0433000000000002E-4</v>
      </c>
      <c r="AA51">
        <f t="shared" si="4"/>
        <v>0.3888888888888889</v>
      </c>
      <c r="AB51">
        <f t="shared" si="5"/>
        <v>13.552091602892403</v>
      </c>
      <c r="AC51">
        <f t="shared" si="3"/>
        <v>0.98708776079867933</v>
      </c>
    </row>
    <row r="52" spans="1:29">
      <c r="A52">
        <v>3848</v>
      </c>
      <c r="B52" s="1">
        <v>0.10877000000000001</v>
      </c>
      <c r="C52" s="1">
        <v>2.9968999999999998E-3</v>
      </c>
      <c r="E52">
        <v>39</v>
      </c>
      <c r="F52">
        <v>3848</v>
      </c>
      <c r="G52" s="1">
        <v>6.1385000000000002E-2</v>
      </c>
      <c r="H52" s="1">
        <v>0.99811000000000005</v>
      </c>
      <c r="I52" s="1">
        <v>0</v>
      </c>
      <c r="K52" s="3">
        <v>45</v>
      </c>
      <c r="L52" s="4">
        <f t="shared" si="2"/>
        <v>0.625</v>
      </c>
      <c r="M52" cm="1">
        <f t="array" ref="M52">INDEX(C:C, 11 + (ROW(A46)-1)*6)</f>
        <v>7.9281000000000002E-4</v>
      </c>
      <c r="N52" cm="1">
        <f t="array" ref="N52">INDEX($C:$C, 10 + (ROW($A46)-1)*6)</f>
        <v>7.9263000000000001E-4</v>
      </c>
      <c r="O52" cm="1">
        <f t="array" ref="O52">INDEX($C:$C, 9 + (ROW($A46)-1)*6)</f>
        <v>7.9166999999999996E-4</v>
      </c>
      <c r="P52" cm="1">
        <f t="array" ref="P52">INDEX($C:$C, 8 + (ROW($A46)-1)*6)</f>
        <v>7.9049000000000003E-4</v>
      </c>
      <c r="Q52" cm="1">
        <f t="array" ref="Q52">INDEX($C:$C, 7 + (ROW($A46)-1)*6)</f>
        <v>7.8425000000000001E-4</v>
      </c>
      <c r="AA52">
        <f t="shared" si="4"/>
        <v>0.375</v>
      </c>
      <c r="AB52">
        <f t="shared" si="5"/>
        <v>13.387053775615035</v>
      </c>
      <c r="AC52">
        <f t="shared" si="3"/>
        <v>0.97506697285333144</v>
      </c>
    </row>
    <row r="53" spans="1:29">
      <c r="A53">
        <v>3848</v>
      </c>
      <c r="B53" s="1">
        <v>0.13849</v>
      </c>
      <c r="C53" s="1">
        <v>2.9976999999999998E-3</v>
      </c>
      <c r="E53">
        <v>40</v>
      </c>
      <c r="F53">
        <v>3848</v>
      </c>
      <c r="G53" s="1">
        <v>6.1385000000000002E-2</v>
      </c>
      <c r="H53" s="1">
        <v>0.99811000000000005</v>
      </c>
      <c r="I53" s="1">
        <v>0</v>
      </c>
      <c r="K53" s="3">
        <v>46</v>
      </c>
      <c r="L53" s="4">
        <f t="shared" si="2"/>
        <v>0.63888888888888884</v>
      </c>
      <c r="M53" cm="1">
        <f t="array" ref="M53">INDEX(C:C, 11 + (ROW(A47)-1)*6)</f>
        <v>7.6970000000000001E-4</v>
      </c>
      <c r="N53" cm="1">
        <f t="array" ref="N53">INDEX($C:$C, 10 + (ROW($A47)-1)*6)</f>
        <v>7.6962999999999999E-4</v>
      </c>
      <c r="O53" cm="1">
        <f t="array" ref="O53">INDEX($C:$C, 9 + (ROW($A47)-1)*6)</f>
        <v>7.6862000000000002E-4</v>
      </c>
      <c r="P53" cm="1">
        <f t="array" ref="P53">INDEX($C:$C, 8 + (ROW($A47)-1)*6)</f>
        <v>7.6758999999999996E-4</v>
      </c>
      <c r="Q53" cm="1">
        <f t="array" ref="Q53">INDEX($C:$C, 7 + (ROW($A47)-1)*6)</f>
        <v>7.6135000000000005E-4</v>
      </c>
      <c r="AA53">
        <f t="shared" si="4"/>
        <v>0.3611111111111111</v>
      </c>
      <c r="AB53">
        <f t="shared" si="5"/>
        <v>13.190727679066713</v>
      </c>
      <c r="AC53">
        <f t="shared" si="3"/>
        <v>0.96076725494212234</v>
      </c>
    </row>
    <row r="54" spans="1:29">
      <c r="K54" s="3">
        <v>47</v>
      </c>
      <c r="L54" s="4">
        <f t="shared" si="2"/>
        <v>0.65277777777777779</v>
      </c>
      <c r="M54" cm="1">
        <f t="array" ref="M54">INDEX(C:C, 11 + (ROW(A48)-1)*6)</f>
        <v>7.5137999999999995E-4</v>
      </c>
      <c r="N54" cm="1">
        <f t="array" ref="N54">INDEX($C:$C, 10 + (ROW($A48)-1)*6)</f>
        <v>7.5122000000000003E-4</v>
      </c>
      <c r="O54" cm="1">
        <f t="array" ref="O54">INDEX($C:$C, 9 + (ROW($A48)-1)*6)</f>
        <v>7.5018999999999997E-4</v>
      </c>
      <c r="P54" cm="1">
        <f t="array" ref="P54">INDEX($C:$C, 8 + (ROW($A48)-1)*6)</f>
        <v>7.4903000000000003E-4</v>
      </c>
      <c r="Q54" cm="1">
        <f t="array" ref="Q54">INDEX($C:$C, 7 + (ROW($A48)-1)*6)</f>
        <v>7.4308999999999996E-4</v>
      </c>
      <c r="AA54">
        <f t="shared" si="4"/>
        <v>0.34722222222222221</v>
      </c>
      <c r="AB54">
        <f t="shared" si="5"/>
        <v>13.031624256754442</v>
      </c>
      <c r="AC54">
        <f t="shared" si="3"/>
        <v>0.94917870865218223</v>
      </c>
    </row>
    <row r="55" spans="1:29">
      <c r="A55">
        <v>17</v>
      </c>
      <c r="B55" s="1">
        <v>2.7702000000000001E-2</v>
      </c>
      <c r="C55" s="1">
        <v>2.8121999999999999E-3</v>
      </c>
      <c r="E55">
        <v>41</v>
      </c>
      <c r="F55">
        <v>17</v>
      </c>
      <c r="G55" s="1">
        <v>7.0263000000000006E-2</v>
      </c>
      <c r="H55" s="1">
        <v>0.99753000000000003</v>
      </c>
      <c r="I55" s="1">
        <v>0</v>
      </c>
      <c r="K55" s="3">
        <v>48</v>
      </c>
      <c r="L55" s="4">
        <f t="shared" si="2"/>
        <v>0.66666666666666663</v>
      </c>
      <c r="M55" cm="1">
        <f t="array" ref="M55">INDEX(C:C, 11 + (ROW(A49)-1)*6)</f>
        <v>7.2132999999999995E-4</v>
      </c>
      <c r="N55" cm="1">
        <f t="array" ref="N55">INDEX($C:$C, 10 + (ROW($A49)-1)*6)</f>
        <v>7.2143000000000001E-4</v>
      </c>
      <c r="O55" cm="1">
        <f t="array" ref="O55">INDEX($C:$C, 9 + (ROW($A49)-1)*6)</f>
        <v>7.2022999999999998E-4</v>
      </c>
      <c r="P55" cm="1">
        <f t="array" ref="P55">INDEX($C:$C, 8 + (ROW($A49)-1)*6)</f>
        <v>7.1935E-4</v>
      </c>
      <c r="Q55" cm="1">
        <f t="array" ref="Q55">INDEX($C:$C, 7 + (ROW($A49)-1)*6)</f>
        <v>7.1440999999999996E-4</v>
      </c>
      <c r="AA55">
        <f t="shared" si="4"/>
        <v>0.33333333333333331</v>
      </c>
      <c r="AB55">
        <f t="shared" si="5"/>
        <v>12.768753929928986</v>
      </c>
      <c r="AC55">
        <f t="shared" si="3"/>
        <v>0.93003213778402372</v>
      </c>
    </row>
    <row r="56" spans="1:29">
      <c r="A56">
        <v>17</v>
      </c>
      <c r="B56" s="1">
        <v>5.5473000000000001E-2</v>
      </c>
      <c r="C56" s="1">
        <v>2.8322E-3</v>
      </c>
      <c r="E56">
        <v>42</v>
      </c>
      <c r="F56">
        <v>17</v>
      </c>
      <c r="G56" s="1">
        <v>7.0263000000000006E-2</v>
      </c>
      <c r="H56" s="1">
        <v>0.99753000000000003</v>
      </c>
      <c r="I56" s="1">
        <v>0</v>
      </c>
      <c r="K56" s="3">
        <v>49</v>
      </c>
      <c r="L56" s="4">
        <f t="shared" si="2"/>
        <v>0.68055555555555558</v>
      </c>
      <c r="M56" cm="1">
        <f t="array" ref="M56">INDEX(C:C, 11 + (ROW(A50)-1)*6)</f>
        <v>7.0502E-4</v>
      </c>
      <c r="N56" cm="1">
        <f t="array" ref="N56">INDEX($C:$C, 10 + (ROW($A50)-1)*6)</f>
        <v>7.0487999999999996E-4</v>
      </c>
      <c r="O56" cm="1">
        <f t="array" ref="O56">INDEX($C:$C, 9 + (ROW($A50)-1)*6)</f>
        <v>7.0381000000000003E-4</v>
      </c>
      <c r="P56" cm="1">
        <f t="array" ref="P56">INDEX($C:$C, 8 + (ROW($A50)-1)*6)</f>
        <v>7.0273999999999998E-4</v>
      </c>
      <c r="Q56" cm="1">
        <f t="array" ref="Q56">INDEX($C:$C, 7 + (ROW($A50)-1)*6)</f>
        <v>6.9742000000000003E-4</v>
      </c>
      <c r="AA56">
        <f t="shared" si="4"/>
        <v>0.31944444444444442</v>
      </c>
      <c r="AB56">
        <f t="shared" si="5"/>
        <v>12.622361980945641</v>
      </c>
      <c r="AC56">
        <f t="shared" si="3"/>
        <v>0.91936945150981897</v>
      </c>
    </row>
    <row r="57" spans="1:29">
      <c r="A57">
        <v>17</v>
      </c>
      <c r="B57" s="1">
        <v>8.3310999999999996E-2</v>
      </c>
      <c r="C57" s="1">
        <v>2.836E-3</v>
      </c>
      <c r="E57">
        <v>43</v>
      </c>
      <c r="F57">
        <v>17</v>
      </c>
      <c r="G57" s="1">
        <v>7.0263000000000006E-2</v>
      </c>
      <c r="H57" s="1">
        <v>0.99753000000000003</v>
      </c>
      <c r="I57" s="1">
        <v>0</v>
      </c>
      <c r="K57" s="3">
        <v>50</v>
      </c>
      <c r="L57" s="4">
        <f t="shared" si="2"/>
        <v>0.69444444444444442</v>
      </c>
      <c r="M57" cm="1">
        <f t="array" ref="M57">INDEX(C:C, 11 + (ROW(A51)-1)*6)</f>
        <v>6.8431000000000004E-4</v>
      </c>
      <c r="N57" cm="1">
        <f t="array" ref="N57">INDEX($C:$C, 10 + (ROW($A51)-1)*6)</f>
        <v>6.8429000000000005E-4</v>
      </c>
      <c r="O57" cm="1">
        <f t="array" ref="O57">INDEX($C:$C, 9 + (ROW($A51)-1)*6)</f>
        <v>6.8318000000000003E-4</v>
      </c>
      <c r="P57" cm="1">
        <f t="array" ref="P57">INDEX($C:$C, 8 + (ROW($A51)-1)*6)</f>
        <v>6.8227999999999995E-4</v>
      </c>
      <c r="Q57" cm="1">
        <f t="array" ref="Q57">INDEX($C:$C, 7 + (ROW($A51)-1)*6)</f>
        <v>6.7696E-4</v>
      </c>
      <c r="AA57">
        <f t="shared" si="4"/>
        <v>0.30555555555555558</v>
      </c>
      <c r="AB57">
        <f t="shared" si="5"/>
        <v>12.435993489300888</v>
      </c>
      <c r="AC57">
        <f t="shared" si="3"/>
        <v>0.90579501130593321</v>
      </c>
    </row>
    <row r="58" spans="1:29">
      <c r="A58">
        <v>17</v>
      </c>
      <c r="B58" s="1">
        <v>0.11121</v>
      </c>
      <c r="C58" s="1">
        <v>2.8381000000000001E-3</v>
      </c>
      <c r="E58">
        <v>44</v>
      </c>
      <c r="F58">
        <v>17</v>
      </c>
      <c r="G58" s="1">
        <v>7.0263000000000006E-2</v>
      </c>
      <c r="H58" s="1">
        <v>0.99753000000000003</v>
      </c>
      <c r="I58" s="1">
        <v>0</v>
      </c>
      <c r="K58" s="3">
        <v>51</v>
      </c>
      <c r="L58" s="4">
        <f t="shared" si="2"/>
        <v>0.70833333333333337</v>
      </c>
      <c r="M58" cm="1">
        <f t="array" ref="M58">INDEX(C:C, 11 + (ROW(A52)-1)*6)</f>
        <v>6.6863999999999997E-4</v>
      </c>
      <c r="N58" cm="1">
        <f t="array" ref="N58">INDEX($C:$C, 10 + (ROW($A52)-1)*6)</f>
        <v>6.6848999999999999E-4</v>
      </c>
      <c r="O58" cm="1">
        <f t="array" ref="O58">INDEX($C:$C, 9 + (ROW($A52)-1)*6)</f>
        <v>6.6739999999999996E-4</v>
      </c>
      <c r="P58" cm="1">
        <f t="array" ref="P58">INDEX($C:$C, 8 + (ROW($A52)-1)*6)</f>
        <v>6.6635000000000002E-4</v>
      </c>
      <c r="Q58" cm="1">
        <f t="array" ref="Q58">INDEX($C:$C, 7 + (ROW($A52)-1)*6)</f>
        <v>6.6131000000000002E-4</v>
      </c>
      <c r="AA58">
        <f t="shared" si="4"/>
        <v>0.29166666666666669</v>
      </c>
      <c r="AB58">
        <f t="shared" si="5"/>
        <v>12.291531972938044</v>
      </c>
      <c r="AC58">
        <f t="shared" si="3"/>
        <v>0.89527293110705475</v>
      </c>
    </row>
    <row r="59" spans="1:29">
      <c r="A59">
        <v>17</v>
      </c>
      <c r="B59" s="1">
        <v>0.14166000000000001</v>
      </c>
      <c r="C59" s="1">
        <v>2.8387E-3</v>
      </c>
      <c r="E59">
        <v>45</v>
      </c>
      <c r="F59">
        <v>17</v>
      </c>
      <c r="G59" s="1">
        <v>7.0263000000000006E-2</v>
      </c>
      <c r="H59" s="1">
        <v>0.99753000000000003</v>
      </c>
      <c r="I59" s="1">
        <v>0</v>
      </c>
      <c r="K59" s="3">
        <v>52</v>
      </c>
      <c r="L59" s="4">
        <f t="shared" si="2"/>
        <v>0.72222222222222221</v>
      </c>
      <c r="M59" cm="1">
        <f t="array" ref="M59">INDEX(C:C, 11 + (ROW(A53)-1)*6)</f>
        <v>6.4006000000000002E-4</v>
      </c>
      <c r="N59" cm="1">
        <f t="array" ref="N59">INDEX($C:$C, 10 + (ROW($A53)-1)*6)</f>
        <v>6.4039000000000001E-4</v>
      </c>
      <c r="O59" cm="1">
        <f t="array" ref="O59">INDEX($C:$C, 9 + (ROW($A53)-1)*6)</f>
        <v>6.3918999999999998E-4</v>
      </c>
      <c r="P59" cm="1">
        <f t="array" ref="P59">INDEX($C:$C, 8 + (ROW($A53)-1)*6)</f>
        <v>6.3847000000000003E-4</v>
      </c>
      <c r="Q59" cm="1">
        <f t="array" ref="Q59">INDEX($C:$C, 7 + (ROW($A53)-1)*6)</f>
        <v>6.3447999999999998E-4</v>
      </c>
      <c r="AA59">
        <f t="shared" si="4"/>
        <v>0.27777777777777779</v>
      </c>
      <c r="AB59">
        <f t="shared" si="5"/>
        <v>12.028954993753956</v>
      </c>
      <c r="AC59">
        <f t="shared" si="3"/>
        <v>0.87614772667257568</v>
      </c>
    </row>
    <row r="60" spans="1:29">
      <c r="K60" s="3">
        <v>53</v>
      </c>
      <c r="L60" s="4">
        <f t="shared" si="2"/>
        <v>0.73611111111111116</v>
      </c>
      <c r="M60" cm="1">
        <f t="array" ref="M60">INDEX(C:C, 11 + (ROW(A54)-1)*6)</f>
        <v>6.2708999999999996E-4</v>
      </c>
      <c r="N60" cm="1">
        <f t="array" ref="N60">INDEX($C:$C, 10 + (ROW($A54)-1)*6)</f>
        <v>6.2704999999999998E-4</v>
      </c>
      <c r="O60" cm="1">
        <f t="array" ref="O60">INDEX($C:$C, 9 + (ROW($A54)-1)*6)</f>
        <v>6.2609000000000004E-4</v>
      </c>
      <c r="P60" cm="1">
        <f t="array" ref="P60">INDEX($C:$C, 8 + (ROW($A54)-1)*6)</f>
        <v>6.2514000000000005E-4</v>
      </c>
      <c r="Q60" cm="1">
        <f t="array" ref="Q60">INDEX($C:$C, 7 + (ROW($A54)-1)*6)</f>
        <v>6.2067000000000003E-4</v>
      </c>
      <c r="AA60">
        <f t="shared" si="4"/>
        <v>0.2638888888888889</v>
      </c>
      <c r="AB60">
        <f t="shared" si="5"/>
        <v>11.905052025768882</v>
      </c>
      <c r="AC60">
        <f t="shared" si="3"/>
        <v>0.86712306045805609</v>
      </c>
    </row>
    <row r="61" spans="1:29">
      <c r="A61">
        <v>3830</v>
      </c>
      <c r="B61" s="1">
        <v>2.8306999999999999E-2</v>
      </c>
      <c r="C61" s="1">
        <v>2.6762000000000001E-3</v>
      </c>
      <c r="E61">
        <v>46</v>
      </c>
      <c r="F61">
        <v>3830</v>
      </c>
      <c r="G61" s="1">
        <v>7.9258999999999996E-2</v>
      </c>
      <c r="H61" s="1">
        <v>0.99685000000000001</v>
      </c>
      <c r="I61" s="1">
        <v>0</v>
      </c>
      <c r="K61" s="3">
        <v>54</v>
      </c>
      <c r="L61" s="4">
        <f t="shared" si="2"/>
        <v>0.75</v>
      </c>
      <c r="M61" cm="1">
        <f t="array" ref="M61">INDEX(C:C, 11 + (ROW(A55)-1)*6)</f>
        <v>6.0873999999999998E-4</v>
      </c>
      <c r="N61" cm="1">
        <f t="array" ref="N61">INDEX($C:$C, 10 + (ROW($A55)-1)*6)</f>
        <v>6.0880000000000005E-4</v>
      </c>
      <c r="O61" cm="1">
        <f t="array" ref="O61">INDEX($C:$C, 9 + (ROW($A55)-1)*6)</f>
        <v>6.0789000000000004E-4</v>
      </c>
      <c r="P61" cm="1">
        <f t="array" ref="P61">INDEX($C:$C, 8 + (ROW($A55)-1)*6)</f>
        <v>6.0713E-4</v>
      </c>
      <c r="Q61" cm="1">
        <f t="array" ref="Q61">INDEX($C:$C, 7 + (ROW($A55)-1)*6)</f>
        <v>6.0265999999999998E-4</v>
      </c>
      <c r="AA61">
        <f t="shared" si="4"/>
        <v>0.25</v>
      </c>
      <c r="AB61">
        <f t="shared" si="5"/>
        <v>11.730740118861373</v>
      </c>
      <c r="AC61">
        <f t="shared" si="3"/>
        <v>0.85442678043636888</v>
      </c>
    </row>
    <row r="62" spans="1:29">
      <c r="A62">
        <v>3830</v>
      </c>
      <c r="B62" s="1">
        <v>5.6522999999999997E-2</v>
      </c>
      <c r="C62" s="1">
        <v>2.6960999999999999E-3</v>
      </c>
      <c r="E62">
        <v>47</v>
      </c>
      <c r="F62">
        <v>3830</v>
      </c>
      <c r="G62" s="1">
        <v>7.9258999999999996E-2</v>
      </c>
      <c r="H62" s="1">
        <v>0.99685000000000001</v>
      </c>
      <c r="I62" s="1">
        <v>0</v>
      </c>
      <c r="K62" s="3">
        <v>55</v>
      </c>
      <c r="L62" s="4">
        <f t="shared" si="2"/>
        <v>0.76388888888888884</v>
      </c>
      <c r="M62" cm="1">
        <f t="array" ref="M62">INDEX(C:C, 11 + (ROW(A56)-1)*6)</f>
        <v>5.9566000000000003E-4</v>
      </c>
      <c r="N62" cm="1">
        <f t="array" ref="N62">INDEX($C:$C, 10 + (ROW($A56)-1)*6)</f>
        <v>5.9557999999999996E-4</v>
      </c>
      <c r="O62" cm="1">
        <f t="array" ref="O62">INDEX($C:$C, 9 + (ROW($A56)-1)*6)</f>
        <v>5.9475999999999995E-4</v>
      </c>
      <c r="P62" cm="1">
        <f t="array" ref="P62">INDEX($C:$C, 8 + (ROW($A56)-1)*6)</f>
        <v>5.9383999999999999E-4</v>
      </c>
      <c r="Q62" cm="1">
        <f t="array" ref="Q62">INDEX($C:$C, 7 + (ROW($A56)-1)*6)</f>
        <v>5.8962000000000001E-4</v>
      </c>
      <c r="AA62">
        <f t="shared" si="4"/>
        <v>0.2361111111111111</v>
      </c>
      <c r="AB62">
        <f t="shared" si="5"/>
        <v>11.603360634832393</v>
      </c>
      <c r="AC62">
        <f t="shared" si="3"/>
        <v>0.84514889674533611</v>
      </c>
    </row>
    <row r="63" spans="1:29">
      <c r="A63">
        <v>3830</v>
      </c>
      <c r="B63" s="1">
        <v>8.5014999999999993E-2</v>
      </c>
      <c r="C63" s="1">
        <v>2.6997000000000002E-3</v>
      </c>
      <c r="E63">
        <v>48</v>
      </c>
      <c r="F63">
        <v>3830</v>
      </c>
      <c r="G63" s="1">
        <v>7.9258999999999996E-2</v>
      </c>
      <c r="H63" s="1">
        <v>0.99685000000000001</v>
      </c>
      <c r="I63" s="1">
        <v>0</v>
      </c>
      <c r="K63" s="3">
        <v>56</v>
      </c>
      <c r="L63" s="4">
        <f t="shared" si="2"/>
        <v>0.77777777777777779</v>
      </c>
      <c r="M63" cm="1">
        <f t="array" ref="M63">INDEX(C:C, 11 + (ROW(A57)-1)*6)</f>
        <v>5.6906999999999997E-4</v>
      </c>
      <c r="N63" cm="1">
        <f t="array" ref="N63">INDEX($C:$C, 10 + (ROW($A57)-1)*6)</f>
        <v>5.6933999999999999E-4</v>
      </c>
      <c r="O63" cm="1">
        <f t="array" ref="O63">INDEX($C:$C, 9 + (ROW($A57)-1)*6)</f>
        <v>5.6846999999999996E-4</v>
      </c>
      <c r="P63" cm="1">
        <f t="array" ref="P63">INDEX($C:$C, 8 + (ROW($A57)-1)*6)</f>
        <v>5.6793000000000002E-4</v>
      </c>
      <c r="Q63" cm="1">
        <f t="array" ref="Q63">INDEX($C:$C, 7 + (ROW($A57)-1)*6)</f>
        <v>5.6481999999999995E-4</v>
      </c>
      <c r="AA63">
        <f t="shared" si="4"/>
        <v>0.22222222222222221</v>
      </c>
      <c r="AB63">
        <f t="shared" si="5"/>
        <v>11.344012314195334</v>
      </c>
      <c r="AC63">
        <f t="shared" si="3"/>
        <v>0.82625885669942201</v>
      </c>
    </row>
    <row r="64" spans="1:29">
      <c r="A64">
        <v>3830</v>
      </c>
      <c r="B64" s="1">
        <v>0.11362</v>
      </c>
      <c r="C64" s="1">
        <v>2.7012999999999998E-3</v>
      </c>
      <c r="E64">
        <v>49</v>
      </c>
      <c r="F64">
        <v>3830</v>
      </c>
      <c r="G64" s="1">
        <v>7.9258999999999996E-2</v>
      </c>
      <c r="H64" s="1">
        <v>0.99685000000000001</v>
      </c>
      <c r="I64" s="1">
        <v>0</v>
      </c>
      <c r="K64" s="3">
        <v>57</v>
      </c>
      <c r="L64" s="4">
        <f t="shared" si="2"/>
        <v>0.79166666666666663</v>
      </c>
      <c r="M64" cm="1">
        <f t="array" ref="M64">INDEX(C:C, 11 + (ROW(A58)-1)*6)</f>
        <v>5.5975999999999997E-4</v>
      </c>
      <c r="N64" cm="1">
        <f t="array" ref="N64">INDEX($C:$C, 10 + (ROW($A58)-1)*6)</f>
        <v>5.5968999999999995E-4</v>
      </c>
      <c r="O64" cm="1">
        <f t="array" ref="O64">INDEX($C:$C, 9 + (ROW($A58)-1)*6)</f>
        <v>5.5902999999999997E-4</v>
      </c>
      <c r="P64" cm="1">
        <f t="array" ref="P64">INDEX($C:$C, 8 + (ROW($A58)-1)*6)</f>
        <v>5.5822000000000001E-4</v>
      </c>
      <c r="Q64" cm="1">
        <f t="array" ref="Q64">INDEX($C:$C, 7 + (ROW($A58)-1)*6)</f>
        <v>5.5451000000000003E-4</v>
      </c>
      <c r="AA64">
        <f t="shared" si="4"/>
        <v>0.20833333333333334</v>
      </c>
      <c r="AB64">
        <f t="shared" si="5"/>
        <v>11.249428801128008</v>
      </c>
      <c r="AC64">
        <f t="shared" si="3"/>
        <v>0.8193697187819825</v>
      </c>
    </row>
    <row r="65" spans="1:29">
      <c r="A65">
        <v>3830</v>
      </c>
      <c r="B65" s="1">
        <v>0.14471999999999999</v>
      </c>
      <c r="C65" s="1">
        <v>2.702E-3</v>
      </c>
      <c r="E65">
        <v>50</v>
      </c>
      <c r="F65">
        <v>3830</v>
      </c>
      <c r="G65" s="1">
        <v>7.9258999999999996E-2</v>
      </c>
      <c r="H65" s="1">
        <v>0.99685000000000001</v>
      </c>
      <c r="I65" s="1">
        <v>0</v>
      </c>
      <c r="K65" s="3">
        <v>58</v>
      </c>
      <c r="L65" s="4">
        <f t="shared" si="2"/>
        <v>0.80555555555555558</v>
      </c>
      <c r="M65" cm="1">
        <f t="array" ref="M65">INDEX(C:C, 11 + (ROW(A59)-1)*6)</f>
        <v>5.4398000000000001E-4</v>
      </c>
      <c r="N65" cm="1">
        <f t="array" ref="N65">INDEX($C:$C, 10 + (ROW($A59)-1)*6)</f>
        <v>5.4401999999999999E-4</v>
      </c>
      <c r="O65" cm="1">
        <f t="array" ref="O65">INDEX($C:$C, 9 + (ROW($A59)-1)*6)</f>
        <v>5.4341000000000003E-4</v>
      </c>
      <c r="P65" cm="1">
        <f t="array" ref="P65">INDEX($C:$C, 8 + (ROW($A59)-1)*6)</f>
        <v>5.4279999999999997E-4</v>
      </c>
      <c r="Q65" cm="1">
        <f t="array" ref="Q65">INDEX($C:$C, 7 + (ROW($A59)-1)*6)</f>
        <v>5.3910000000000004E-4</v>
      </c>
      <c r="AA65">
        <f t="shared" si="4"/>
        <v>0.19444444444444445</v>
      </c>
      <c r="AB65">
        <f t="shared" si="5"/>
        <v>11.0911537861348</v>
      </c>
      <c r="AC65">
        <f t="shared" si="3"/>
        <v>0.80784151083313138</v>
      </c>
    </row>
    <row r="66" spans="1:29">
      <c r="K66" s="3">
        <v>59</v>
      </c>
      <c r="L66" s="4">
        <f t="shared" si="2"/>
        <v>0.81944444444444442</v>
      </c>
      <c r="M66" cm="1">
        <f t="array" ref="M66">INDEX(C:C, 11 + (ROW(A60)-1)*6)</f>
        <v>5.3375999999999999E-4</v>
      </c>
      <c r="N66" cm="1">
        <f t="array" ref="N66">INDEX($C:$C, 10 + (ROW($A60)-1)*6)</f>
        <v>5.3364000000000005E-4</v>
      </c>
      <c r="O66" cm="1">
        <f t="array" ref="O66">INDEX($C:$C, 9 + (ROW($A60)-1)*6)</f>
        <v>5.3313000000000004E-4</v>
      </c>
      <c r="P66" cm="1">
        <f t="array" ref="P66">INDEX($C:$C, 8 + (ROW($A60)-1)*6)</f>
        <v>5.3235999999999995E-4</v>
      </c>
      <c r="Q66" cm="1">
        <f t="array" ref="Q66">INDEX($C:$C, 7 + (ROW($A60)-1)*6)</f>
        <v>5.2888000000000002E-4</v>
      </c>
      <c r="AA66">
        <f t="shared" si="4"/>
        <v>0.18055555555555555</v>
      </c>
      <c r="AB66">
        <f t="shared" si="5"/>
        <v>10.98574400887675</v>
      </c>
      <c r="AC66">
        <f t="shared" si="3"/>
        <v>0.80016382505230854</v>
      </c>
    </row>
    <row r="67" spans="1:29">
      <c r="A67">
        <v>599</v>
      </c>
      <c r="B67" s="1">
        <v>2.8895000000000001E-2</v>
      </c>
      <c r="C67" s="1">
        <v>2.5473000000000002E-3</v>
      </c>
      <c r="E67">
        <v>51</v>
      </c>
      <c r="F67">
        <v>599</v>
      </c>
      <c r="G67" s="1">
        <v>8.8245000000000004E-2</v>
      </c>
      <c r="H67" s="1">
        <v>0.99609999999999999</v>
      </c>
      <c r="I67" s="1">
        <v>0</v>
      </c>
      <c r="K67" s="3">
        <v>60</v>
      </c>
      <c r="L67" s="4">
        <f t="shared" si="2"/>
        <v>0.83333333333333337</v>
      </c>
      <c r="M67" cm="1">
        <f t="array" ref="M67">INDEX(C:C, 11 + (ROW(A61)-1)*6)</f>
        <v>5.0951000000000002E-4</v>
      </c>
      <c r="N67" cm="1">
        <f t="array" ref="N67">INDEX($C:$C, 10 + (ROW($A61)-1)*6)</f>
        <v>5.0978000000000004E-4</v>
      </c>
      <c r="O67" cm="1">
        <f t="array" ref="O67">INDEX($C:$C, 9 + (ROW($A61)-1)*6)</f>
        <v>5.0927000000000004E-4</v>
      </c>
      <c r="P67" cm="1">
        <f t="array" ref="P67">INDEX($C:$C, 8 + (ROW($A61)-1)*6)</f>
        <v>5.0891E-4</v>
      </c>
      <c r="Q67" cm="1">
        <f t="array" ref="Q67">INDEX($C:$C, 7 + (ROW($A61)-1)*6)</f>
        <v>5.0659000000000001E-4</v>
      </c>
      <c r="AA67">
        <f t="shared" si="4"/>
        <v>0.16666666666666666</v>
      </c>
      <c r="AB67">
        <f t="shared" si="5"/>
        <v>10.73709908230788</v>
      </c>
      <c r="AC67">
        <f t="shared" si="3"/>
        <v>0.7820533834324751</v>
      </c>
    </row>
    <row r="68" spans="1:29">
      <c r="A68">
        <v>599</v>
      </c>
      <c r="B68" s="1">
        <v>5.7702999999999997E-2</v>
      </c>
      <c r="C68" s="1">
        <v>2.5669999999999998E-3</v>
      </c>
      <c r="E68">
        <v>52</v>
      </c>
      <c r="F68">
        <v>599</v>
      </c>
      <c r="G68" s="1">
        <v>8.8245000000000004E-2</v>
      </c>
      <c r="H68" s="1">
        <v>0.99609999999999999</v>
      </c>
      <c r="I68" s="1">
        <v>0</v>
      </c>
      <c r="K68" s="3">
        <v>61</v>
      </c>
      <c r="L68" s="4">
        <f t="shared" si="2"/>
        <v>0.84722222222222221</v>
      </c>
      <c r="M68" cm="1">
        <f t="array" ref="M68">INDEX(C:C, 11 + (ROW(A62)-1)*6)</f>
        <v>5.0434999999999998E-4</v>
      </c>
      <c r="N68" cm="1">
        <f t="array" ref="N68">INDEX($C:$C, 10 + (ROW($A62)-1)*6)</f>
        <v>5.0427999999999996E-4</v>
      </c>
      <c r="O68" cm="1">
        <f t="array" ref="O68">INDEX($C:$C, 9 + (ROW($A62)-1)*6)</f>
        <v>5.0398000000000001E-4</v>
      </c>
      <c r="P68" cm="1">
        <f t="array" ref="P68">INDEX($C:$C, 8 + (ROW($A62)-1)*6)</f>
        <v>5.0330999999999998E-4</v>
      </c>
      <c r="Q68" cm="1">
        <f t="array" ref="Q68">INDEX($C:$C, 7 + (ROW($A62)-1)*6)</f>
        <v>5.0025999999999998E-4</v>
      </c>
      <c r="AA68">
        <f t="shared" si="4"/>
        <v>0.15277777777777779</v>
      </c>
      <c r="AB68">
        <f t="shared" si="5"/>
        <v>10.681188146446079</v>
      </c>
      <c r="AC68">
        <f t="shared" si="3"/>
        <v>0.77798102308389205</v>
      </c>
    </row>
    <row r="69" spans="1:29">
      <c r="A69">
        <v>599</v>
      </c>
      <c r="B69" s="1">
        <v>8.6836999999999998E-2</v>
      </c>
      <c r="C69" s="1">
        <v>2.5701999999999999E-3</v>
      </c>
      <c r="E69">
        <v>53</v>
      </c>
      <c r="F69">
        <v>599</v>
      </c>
      <c r="G69" s="1">
        <v>8.8245000000000004E-2</v>
      </c>
      <c r="H69" s="1">
        <v>0.99609999999999999</v>
      </c>
      <c r="I69" s="1">
        <v>0</v>
      </c>
      <c r="K69" s="3">
        <v>62</v>
      </c>
      <c r="L69" s="4">
        <f t="shared" si="2"/>
        <v>0.86111111111111116</v>
      </c>
      <c r="M69" cm="1">
        <f t="array" ref="M69">INDEX(C:C, 11 + (ROW(A63)-1)*6)</f>
        <v>4.9156999999999998E-4</v>
      </c>
      <c r="N69" cm="1">
        <f t="array" ref="N69">INDEX($C:$C, 10 + (ROW($A63)-1)*6)</f>
        <v>4.9160999999999996E-4</v>
      </c>
      <c r="O69" cm="1">
        <f t="array" ref="O69">INDEX($C:$C, 9 + (ROW($A63)-1)*6)</f>
        <v>4.9136000000000004E-4</v>
      </c>
      <c r="P69" cm="1">
        <f t="array" ref="P69">INDEX($C:$C, 8 + (ROW($A63)-1)*6)</f>
        <v>4.9089999999999995E-4</v>
      </c>
      <c r="Q69" cm="1">
        <f t="array" ref="Q69">INDEX($C:$C, 7 + (ROW($A63)-1)*6)</f>
        <v>4.8786000000000001E-4</v>
      </c>
      <c r="AA69">
        <f t="shared" si="4"/>
        <v>0.1388888888888889</v>
      </c>
      <c r="AB69">
        <f t="shared" si="5"/>
        <v>10.546608225156799</v>
      </c>
      <c r="AC69">
        <f t="shared" si="3"/>
        <v>0.76817868429763825</v>
      </c>
    </row>
    <row r="70" spans="1:29">
      <c r="A70">
        <v>599</v>
      </c>
      <c r="B70" s="1">
        <v>0.11607000000000001</v>
      </c>
      <c r="C70" s="1">
        <v>2.5717000000000001E-3</v>
      </c>
      <c r="E70">
        <v>54</v>
      </c>
      <c r="F70">
        <v>599</v>
      </c>
      <c r="G70" s="1">
        <v>8.8245000000000004E-2</v>
      </c>
      <c r="H70" s="1">
        <v>0.99609999999999999</v>
      </c>
      <c r="I70" s="1">
        <v>0</v>
      </c>
      <c r="K70" s="3">
        <v>63</v>
      </c>
      <c r="L70" s="4">
        <f t="shared" si="2"/>
        <v>0.875</v>
      </c>
      <c r="M70" cm="1">
        <f t="array" ref="M70">INDEX(C:C, 11 + (ROW(A64)-1)*6)</f>
        <v>4.8458000000000003E-4</v>
      </c>
      <c r="N70" cm="1">
        <f t="array" ref="N70">INDEX($C:$C, 10 + (ROW($A64)-1)*6)</f>
        <v>4.8449000000000002E-4</v>
      </c>
      <c r="O70" cm="1">
        <f t="array" ref="O70">INDEX($C:$C, 9 + (ROW($A64)-1)*6)</f>
        <v>4.8432E-4</v>
      </c>
      <c r="P70" cm="1">
        <f t="array" ref="P70">INDEX($C:$C, 8 + (ROW($A64)-1)*6)</f>
        <v>4.8369E-4</v>
      </c>
      <c r="Q70" cm="1">
        <f t="array" ref="Q70">INDEX($C:$C, 7 + (ROW($A64)-1)*6)</f>
        <v>4.8085000000000001E-4</v>
      </c>
      <c r="AA70">
        <f t="shared" si="4"/>
        <v>0.125</v>
      </c>
      <c r="AB70">
        <f t="shared" si="5"/>
        <v>10.470781953859737</v>
      </c>
      <c r="AC70">
        <f t="shared" si="3"/>
        <v>0.76265575938408781</v>
      </c>
    </row>
    <row r="71" spans="1:29">
      <c r="A71">
        <v>599</v>
      </c>
      <c r="B71" s="1">
        <v>0.14795</v>
      </c>
      <c r="C71" s="1">
        <v>2.5723E-3</v>
      </c>
      <c r="E71">
        <v>55</v>
      </c>
      <c r="F71">
        <v>599</v>
      </c>
      <c r="G71" s="1">
        <v>8.8245000000000004E-2</v>
      </c>
      <c r="H71" s="1">
        <v>0.99609999999999999</v>
      </c>
      <c r="I71" s="1">
        <v>0</v>
      </c>
      <c r="K71" s="3">
        <v>64</v>
      </c>
      <c r="L71" s="4">
        <f t="shared" si="2"/>
        <v>0.88888888888888884</v>
      </c>
      <c r="M71" cm="1">
        <f t="array" ref="M71">INDEX(C:C, 11 + (ROW(A65)-1)*6)</f>
        <v>4.6382999999999998E-4</v>
      </c>
      <c r="N71" cm="1">
        <f t="array" ref="N71">INDEX($C:$C, 10 + (ROW($A65)-1)*6)</f>
        <v>4.6391999999999999E-4</v>
      </c>
      <c r="O71" cm="1">
        <f t="array" ref="O71">INDEX($C:$C, 9 + (ROW($A65)-1)*6)</f>
        <v>4.6375000000000002E-4</v>
      </c>
      <c r="P71" cm="1">
        <f t="array" ref="P71">INDEX($C:$C, 8 + (ROW($A65)-1)*6)</f>
        <v>4.6355000000000002E-4</v>
      </c>
      <c r="Q71" cm="1">
        <f t="array" ref="Q71">INDEX($C:$C, 7 + (ROW($A65)-1)*6)</f>
        <v>4.6187000000000002E-4</v>
      </c>
      <c r="AA71">
        <f t="shared" ref="AA71:AA79" si="6">(72-K71)/72</f>
        <v>0.1111111111111111</v>
      </c>
      <c r="AB71">
        <f t="shared" ref="AB71:AB79" si="7">SQRT(O71*206000/(1-0.3^2))</f>
        <v>10.246012357535454</v>
      </c>
      <c r="AC71">
        <f t="shared" si="3"/>
        <v>0.74628431473682721</v>
      </c>
    </row>
    <row r="72" spans="1:29">
      <c r="K72" s="3">
        <v>65</v>
      </c>
      <c r="L72" s="4">
        <f t="shared" ref="L72:L79" si="8">K72/72</f>
        <v>0.90277777777777779</v>
      </c>
      <c r="M72" cm="1">
        <f t="array" ref="M72">INDEX(C:C, 11 + (ROW(A66)-1)*6)</f>
        <v>4.6344000000000002E-4</v>
      </c>
      <c r="N72" cm="1">
        <f t="array" ref="N72">INDEX($C:$C, 10 + (ROW($A66)-1)*6)</f>
        <v>4.6331999999999998E-4</v>
      </c>
      <c r="O72" cm="1">
        <f t="array" ref="O72">INDEX($C:$C, 9 + (ROW($A66)-1)*6)</f>
        <v>4.6320999999999998E-4</v>
      </c>
      <c r="P72" cm="1">
        <f t="array" ref="P72">INDEX($C:$C, 8 + (ROW($A66)-1)*6)</f>
        <v>4.6267999999999998E-4</v>
      </c>
      <c r="Q72" cm="1">
        <f t="array" ref="Q72">INDEX($C:$C, 7 + (ROW($A66)-1)*6)</f>
        <v>4.6015999999999999E-4</v>
      </c>
      <c r="AA72">
        <f t="shared" si="6"/>
        <v>9.7222222222222224E-2</v>
      </c>
      <c r="AB72">
        <f t="shared" si="7"/>
        <v>10.240045286644364</v>
      </c>
      <c r="AC72">
        <f t="shared" ref="AC72:AC79" si="9">AB72/10/SQRT(PI()*0.6)</f>
        <v>0.74584969380767441</v>
      </c>
    </row>
    <row r="73" spans="1:29">
      <c r="A73">
        <v>3812</v>
      </c>
      <c r="B73" s="1">
        <v>2.9492999999999998E-2</v>
      </c>
      <c r="C73" s="1">
        <v>2.4304000000000001E-3</v>
      </c>
      <c r="E73">
        <v>56</v>
      </c>
      <c r="F73">
        <v>3812</v>
      </c>
      <c r="G73" s="1">
        <v>9.7358E-2</v>
      </c>
      <c r="H73" s="1">
        <v>0.99524999999999997</v>
      </c>
      <c r="I73" s="1">
        <v>0</v>
      </c>
      <c r="K73" s="3">
        <v>66</v>
      </c>
      <c r="L73" s="4">
        <f t="shared" si="8"/>
        <v>0.91666666666666663</v>
      </c>
      <c r="M73" cm="1">
        <f t="array" ref="M73">INDEX(C:C, 11 + (ROW(A67)-1)*6)</f>
        <v>4.5430999999999998E-4</v>
      </c>
      <c r="N73" cm="1">
        <f t="array" ref="N73">INDEX($C:$C, 10 + (ROW($A67)-1)*6)</f>
        <v>4.5430999999999998E-4</v>
      </c>
      <c r="O73" cm="1">
        <f t="array" ref="O73">INDEX($C:$C, 9 + (ROW($A67)-1)*6)</f>
        <v>4.5419999999999998E-4</v>
      </c>
      <c r="P73" cm="1">
        <f t="array" ref="P73">INDEX($C:$C, 8 + (ROW($A67)-1)*6)</f>
        <v>4.5386999999999999E-4</v>
      </c>
      <c r="Q73" cm="1">
        <f t="array" ref="Q73">INDEX($C:$C, 7 + (ROW($A67)-1)*6)</f>
        <v>4.5134E-4</v>
      </c>
      <c r="AA73">
        <f t="shared" si="6"/>
        <v>8.3333333333333329E-2</v>
      </c>
      <c r="AB73">
        <f t="shared" si="7"/>
        <v>10.139965537362594</v>
      </c>
      <c r="AC73">
        <f t="shared" si="9"/>
        <v>0.738560228940218</v>
      </c>
    </row>
    <row r="74" spans="1:29">
      <c r="A74">
        <v>3812</v>
      </c>
      <c r="B74" s="1">
        <v>5.8952999999999998E-2</v>
      </c>
      <c r="C74" s="1">
        <v>2.4488999999999999E-3</v>
      </c>
      <c r="E74">
        <v>57</v>
      </c>
      <c r="F74">
        <v>3812</v>
      </c>
      <c r="G74" s="1">
        <v>9.7358E-2</v>
      </c>
      <c r="H74" s="1">
        <v>0.99524999999999997</v>
      </c>
      <c r="I74" s="1">
        <v>0</v>
      </c>
      <c r="K74" s="3">
        <v>67</v>
      </c>
      <c r="L74" s="4">
        <f t="shared" si="8"/>
        <v>0.93055555555555558</v>
      </c>
      <c r="M74" cm="1">
        <f t="array" ref="M74">INDEX(C:C, 11 + (ROW(A68)-1)*6)</f>
        <v>4.5113999999999999E-4</v>
      </c>
      <c r="N74" cm="1">
        <f t="array" ref="N74">INDEX($C:$C, 10 + (ROW($A68)-1)*6)</f>
        <v>4.5103999999999999E-4</v>
      </c>
      <c r="O74" cm="1">
        <f t="array" ref="O74">INDEX($C:$C, 9 + (ROW($A68)-1)*6)</f>
        <v>4.5094999999999998E-4</v>
      </c>
      <c r="P74" cm="1">
        <f t="array" ref="P74">INDEX($C:$C, 8 + (ROW($A68)-1)*6)</f>
        <v>4.5043999999999998E-4</v>
      </c>
      <c r="Q74" cm="1">
        <f t="array" ref="Q74">INDEX($C:$C, 7 + (ROW($A68)-1)*6)</f>
        <v>4.4806000000000002E-4</v>
      </c>
      <c r="AA74">
        <f t="shared" si="6"/>
        <v>6.9444444444444448E-2</v>
      </c>
      <c r="AB74">
        <f t="shared" si="7"/>
        <v>10.103622459949046</v>
      </c>
      <c r="AC74">
        <f t="shared" si="9"/>
        <v>0.73591312412748078</v>
      </c>
    </row>
    <row r="75" spans="1:29">
      <c r="A75">
        <v>3812</v>
      </c>
      <c r="B75" s="1">
        <v>8.8678999999999994E-2</v>
      </c>
      <c r="C75" s="1">
        <v>2.4521999999999999E-3</v>
      </c>
      <c r="E75">
        <v>58</v>
      </c>
      <c r="F75">
        <v>3812</v>
      </c>
      <c r="G75" s="1">
        <v>9.7358E-2</v>
      </c>
      <c r="H75" s="1">
        <v>0.99524999999999997</v>
      </c>
      <c r="I75" s="1">
        <v>0</v>
      </c>
      <c r="K75" s="3">
        <v>68</v>
      </c>
      <c r="L75" s="4">
        <f t="shared" si="8"/>
        <v>0.94444444444444442</v>
      </c>
      <c r="M75" cm="1">
        <f t="array" ref="M75">INDEX(C:C, 11 + (ROW(A69)-1)*6)</f>
        <v>4.3470999999999999E-4</v>
      </c>
      <c r="N75" cm="1">
        <f t="array" ref="N75">INDEX($C:$C, 10 + (ROW($A69)-1)*6)</f>
        <v>4.3486000000000002E-4</v>
      </c>
      <c r="O75" cm="1">
        <f t="array" ref="O75">INDEX($C:$C, 9 + (ROW($A69)-1)*6)</f>
        <v>4.3471999999999998E-4</v>
      </c>
      <c r="P75" cm="1">
        <f t="array" ref="P75">INDEX($C:$C, 8 + (ROW($A69)-1)*6)</f>
        <v>4.3464000000000003E-4</v>
      </c>
      <c r="Q75" cm="1">
        <f t="array" ref="Q75">INDEX($C:$C, 7 + (ROW($A69)-1)*6)</f>
        <v>4.3339000000000002E-4</v>
      </c>
      <c r="AA75">
        <f t="shared" si="6"/>
        <v>5.5555555555555552E-2</v>
      </c>
      <c r="AB75">
        <f t="shared" si="7"/>
        <v>9.9201382478845961</v>
      </c>
      <c r="AC75">
        <f t="shared" si="9"/>
        <v>0.72254876493218478</v>
      </c>
    </row>
    <row r="76" spans="1:29">
      <c r="A76">
        <v>3812</v>
      </c>
      <c r="B76" s="1">
        <v>0.11854000000000001</v>
      </c>
      <c r="C76" s="1">
        <v>2.4537999999999999E-3</v>
      </c>
      <c r="E76">
        <v>59</v>
      </c>
      <c r="F76">
        <v>3812</v>
      </c>
      <c r="G76" s="1">
        <v>9.7358E-2</v>
      </c>
      <c r="H76" s="1">
        <v>0.99524999999999997</v>
      </c>
      <c r="I76" s="1">
        <v>0</v>
      </c>
      <c r="K76" s="3">
        <v>69</v>
      </c>
      <c r="L76" s="4">
        <f t="shared" si="8"/>
        <v>0.95833333333333337</v>
      </c>
      <c r="M76" cm="1">
        <f t="array" ref="M76">INDEX(C:C, 11 + (ROW(A70)-1)*6)</f>
        <v>4.3972E-4</v>
      </c>
      <c r="N76" cm="1">
        <f t="array" ref="N76">INDEX($C:$C, 10 + (ROW($A70)-1)*6)</f>
        <v>4.3962999999999999E-4</v>
      </c>
      <c r="O76" cm="1">
        <f t="array" ref="O76">INDEX($C:$C, 9 + (ROW($A70)-1)*6)</f>
        <v>4.3951999999999999E-4</v>
      </c>
      <c r="P76" cm="1">
        <f t="array" ref="P76">INDEX($C:$C, 8 + (ROW($A70)-1)*6)</f>
        <v>4.3906000000000001E-4</v>
      </c>
      <c r="Q76" cm="1">
        <f t="array" ref="Q76">INDEX($C:$C, 7 + (ROW($A70)-1)*6)</f>
        <v>4.3687000000000001E-4</v>
      </c>
      <c r="AA76">
        <f t="shared" si="6"/>
        <v>4.1666666666666664E-2</v>
      </c>
      <c r="AB76">
        <f t="shared" si="7"/>
        <v>9.9747549475531603</v>
      </c>
      <c r="AC76">
        <f t="shared" si="9"/>
        <v>0.72652685756598545</v>
      </c>
    </row>
    <row r="77" spans="1:29">
      <c r="A77">
        <v>3812</v>
      </c>
      <c r="B77" s="1">
        <v>0.15124000000000001</v>
      </c>
      <c r="C77" s="1">
        <v>2.4543999999999998E-3</v>
      </c>
      <c r="E77">
        <v>60</v>
      </c>
      <c r="F77">
        <v>3812</v>
      </c>
      <c r="G77" s="1">
        <v>9.7358E-2</v>
      </c>
      <c r="H77" s="1">
        <v>0.99524999999999997</v>
      </c>
      <c r="I77" s="1">
        <v>0</v>
      </c>
      <c r="K77" s="3">
        <v>70</v>
      </c>
      <c r="L77" s="4">
        <f t="shared" si="8"/>
        <v>0.97222222222222221</v>
      </c>
      <c r="M77" cm="1">
        <f t="array" ref="M77">INDEX(C:C, 11 + (ROW(A71)-1)*6)</f>
        <v>4.3479E-4</v>
      </c>
      <c r="N77" cm="1">
        <f t="array" ref="N77">INDEX($C:$C, 10 + (ROW($A71)-1)*6)</f>
        <v>4.3481999999999999E-4</v>
      </c>
      <c r="O77" cm="1">
        <f t="array" ref="O77">INDEX($C:$C, 9 + (ROW($A71)-1)*6)</f>
        <v>4.3468000000000001E-4</v>
      </c>
      <c r="P77" cm="1">
        <f t="array" ref="P77">INDEX($C:$C, 8 + (ROW($A71)-1)*6)</f>
        <v>4.3441999999999998E-4</v>
      </c>
      <c r="Q77" cm="1">
        <f t="array" ref="Q77">INDEX($C:$C, 7 + (ROW($A71)-1)*6)</f>
        <v>4.3217E-4</v>
      </c>
      <c r="AA77">
        <f t="shared" si="6"/>
        <v>2.7777777777777776E-2</v>
      </c>
      <c r="AB77">
        <f t="shared" si="7"/>
        <v>9.9196818453057212</v>
      </c>
      <c r="AC77">
        <f t="shared" si="9"/>
        <v>0.72251552213743364</v>
      </c>
    </row>
    <row r="78" spans="1:29">
      <c r="K78" s="3">
        <v>71</v>
      </c>
      <c r="L78" s="4">
        <f t="shared" si="8"/>
        <v>0.98611111111111116</v>
      </c>
      <c r="M78" cm="1">
        <f t="array" ref="M78">INDEX(C:C, 11 + (ROW(A72)-1)*6)</f>
        <v>4.3586999999999999E-4</v>
      </c>
      <c r="N78" cm="1">
        <f t="array" ref="N78">INDEX($C:$C, 10 + (ROW($A72)-1)*6)</f>
        <v>4.3580000000000002E-4</v>
      </c>
      <c r="O78" cm="1">
        <f t="array" ref="O78">INDEX($C:$C, 9 + (ROW($A72)-1)*6)</f>
        <v>4.3564E-4</v>
      </c>
      <c r="P78" cm="1">
        <f t="array" ref="P78">INDEX($C:$C, 8 + (ROW($A72)-1)*6)</f>
        <v>4.3518000000000002E-4</v>
      </c>
      <c r="Q78" cm="1">
        <f t="array" ref="Q78">INDEX($C:$C, 7 + (ROW($A72)-1)*6)</f>
        <v>4.3302999999999999E-4</v>
      </c>
      <c r="AA78">
        <f t="shared" si="6"/>
        <v>1.3888888888888888E-2</v>
      </c>
      <c r="AB78">
        <f t="shared" si="7"/>
        <v>9.9306297178681771</v>
      </c>
      <c r="AC78">
        <f t="shared" si="9"/>
        <v>0.7233129275365292</v>
      </c>
    </row>
    <row r="79" spans="1:29">
      <c r="A79">
        <v>16</v>
      </c>
      <c r="B79" s="1">
        <v>3.0109E-2</v>
      </c>
      <c r="C79" s="1">
        <v>2.3180000000000002E-3</v>
      </c>
      <c r="E79">
        <v>61</v>
      </c>
      <c r="F79">
        <v>16</v>
      </c>
      <c r="G79" s="1">
        <v>0.10649</v>
      </c>
      <c r="H79" s="1">
        <v>0.99431000000000003</v>
      </c>
      <c r="I79" s="1">
        <v>0</v>
      </c>
      <c r="K79" s="3">
        <v>72</v>
      </c>
      <c r="L79" s="4">
        <f t="shared" si="8"/>
        <v>1</v>
      </c>
      <c r="M79" cm="1">
        <f t="array" ref="M79">INDEX(C:C, 11 + (ROW(A73)-1)*6)</f>
        <v>4.2502000000000002E-4</v>
      </c>
      <c r="N79" cm="1">
        <f t="array" ref="N79">INDEX($C:$C, 10 + (ROW($A73)-1)*6)</f>
        <v>4.2547E-4</v>
      </c>
      <c r="O79" cm="1">
        <f t="array" ref="O79">INDEX($C:$C, 9 + (ROW($A73)-1)*6)</f>
        <v>4.2517999999999999E-4</v>
      </c>
      <c r="P79" cm="1">
        <f t="array" ref="P79">INDEX($C:$C, 8 + (ROW($A73)-1)*6)</f>
        <v>4.2514000000000001E-4</v>
      </c>
      <c r="Q79" cm="1">
        <f t="array" ref="Q79">INDEX($C:$C, 7 + (ROW($A73)-1)*6)</f>
        <v>4.2404999999999998E-4</v>
      </c>
      <c r="AA79">
        <f t="shared" si="6"/>
        <v>0</v>
      </c>
      <c r="AB79">
        <f t="shared" si="7"/>
        <v>9.8106849129680267</v>
      </c>
      <c r="AC79">
        <f t="shared" si="9"/>
        <v>0.71457656031310701</v>
      </c>
    </row>
    <row r="80" spans="1:29">
      <c r="A80">
        <v>16</v>
      </c>
      <c r="B80" s="1">
        <v>6.0321E-2</v>
      </c>
      <c r="C80" s="1">
        <v>2.3352999999999998E-3</v>
      </c>
      <c r="E80">
        <v>62</v>
      </c>
      <c r="F80">
        <v>16</v>
      </c>
      <c r="G80" s="1">
        <v>0.10649</v>
      </c>
      <c r="H80" s="1">
        <v>0.99431000000000003</v>
      </c>
      <c r="I80" s="1">
        <v>0</v>
      </c>
    </row>
    <row r="81" spans="1:9">
      <c r="A81">
        <v>16</v>
      </c>
      <c r="B81" s="1">
        <v>9.0634000000000006E-2</v>
      </c>
      <c r="C81" s="1">
        <v>2.3384E-3</v>
      </c>
      <c r="E81">
        <v>63</v>
      </c>
      <c r="F81">
        <v>16</v>
      </c>
      <c r="G81" s="1">
        <v>0.10649</v>
      </c>
      <c r="H81" s="1">
        <v>0.99431000000000003</v>
      </c>
      <c r="I81" s="1">
        <v>0</v>
      </c>
    </row>
    <row r="82" spans="1:9">
      <c r="A82">
        <v>16</v>
      </c>
      <c r="B82" s="1">
        <v>0.12105</v>
      </c>
      <c r="C82" s="1">
        <v>2.3403999999999999E-3</v>
      </c>
      <c r="E82">
        <v>64</v>
      </c>
      <c r="F82">
        <v>16</v>
      </c>
      <c r="G82" s="1">
        <v>0.10649</v>
      </c>
      <c r="H82" s="1">
        <v>0.99431000000000003</v>
      </c>
      <c r="I82" s="1">
        <v>0</v>
      </c>
    </row>
    <row r="83" spans="1:9">
      <c r="A83">
        <v>16</v>
      </c>
      <c r="B83" s="1">
        <v>0.15468000000000001</v>
      </c>
      <c r="C83" s="1">
        <v>2.3408000000000001E-3</v>
      </c>
      <c r="E83">
        <v>65</v>
      </c>
      <c r="F83">
        <v>16</v>
      </c>
      <c r="G83" s="1">
        <v>0.10649</v>
      </c>
      <c r="H83" s="1">
        <v>0.99431000000000003</v>
      </c>
      <c r="I83" s="1">
        <v>0</v>
      </c>
    </row>
    <row r="85" spans="1:9">
      <c r="A85">
        <v>3794</v>
      </c>
      <c r="B85" s="1">
        <v>3.0700999999999999E-2</v>
      </c>
      <c r="C85" s="1">
        <v>2.2209999999999999E-3</v>
      </c>
      <c r="E85">
        <v>66</v>
      </c>
      <c r="F85">
        <v>3794</v>
      </c>
      <c r="G85" s="1">
        <v>0.11576</v>
      </c>
      <c r="H85" s="1">
        <v>0.99328000000000005</v>
      </c>
      <c r="I85" s="1">
        <v>0</v>
      </c>
    </row>
    <row r="86" spans="1:9">
      <c r="A86">
        <v>3794</v>
      </c>
      <c r="B86" s="1">
        <v>6.1385000000000002E-2</v>
      </c>
      <c r="C86" s="1">
        <v>2.2382000000000001E-3</v>
      </c>
      <c r="E86">
        <v>67</v>
      </c>
      <c r="F86">
        <v>3794</v>
      </c>
      <c r="G86" s="1">
        <v>0.11576</v>
      </c>
      <c r="H86" s="1">
        <v>0.99328000000000005</v>
      </c>
      <c r="I86" s="1">
        <v>0</v>
      </c>
    </row>
    <row r="87" spans="1:9">
      <c r="A87">
        <v>3794</v>
      </c>
      <c r="B87" s="1">
        <v>9.2369999999999994E-2</v>
      </c>
      <c r="C87" s="1">
        <v>2.2412E-3</v>
      </c>
      <c r="E87">
        <v>68</v>
      </c>
      <c r="F87">
        <v>3794</v>
      </c>
      <c r="G87" s="1">
        <v>0.11576</v>
      </c>
      <c r="H87" s="1">
        <v>0.99328000000000005</v>
      </c>
      <c r="I87" s="1">
        <v>0</v>
      </c>
    </row>
    <row r="88" spans="1:9">
      <c r="A88">
        <v>3794</v>
      </c>
      <c r="B88" s="1">
        <v>0.12350999999999999</v>
      </c>
      <c r="C88" s="1">
        <v>2.2430000000000002E-3</v>
      </c>
      <c r="E88">
        <v>69</v>
      </c>
      <c r="F88">
        <v>3794</v>
      </c>
      <c r="G88" s="1">
        <v>0.11576</v>
      </c>
      <c r="H88" s="1">
        <v>0.99328000000000005</v>
      </c>
      <c r="I88" s="1">
        <v>0</v>
      </c>
    </row>
    <row r="89" spans="1:9">
      <c r="A89">
        <v>3794</v>
      </c>
      <c r="B89" s="1">
        <v>0.15804000000000001</v>
      </c>
      <c r="C89" s="1">
        <v>2.2434999999999998E-3</v>
      </c>
      <c r="E89">
        <v>70</v>
      </c>
      <c r="F89">
        <v>3794</v>
      </c>
      <c r="G89" s="1">
        <v>0.11576</v>
      </c>
      <c r="H89" s="1">
        <v>0.99328000000000005</v>
      </c>
      <c r="I89" s="1">
        <v>0</v>
      </c>
    </row>
    <row r="91" spans="1:9">
      <c r="A91">
        <v>590</v>
      </c>
      <c r="B91" s="1">
        <v>3.1302999999999997E-2</v>
      </c>
      <c r="C91" s="1">
        <v>2.1277000000000002E-3</v>
      </c>
      <c r="E91">
        <v>71</v>
      </c>
      <c r="F91">
        <v>590</v>
      </c>
      <c r="G91" s="1">
        <v>0.12504999999999999</v>
      </c>
      <c r="H91" s="1">
        <v>0.99214999999999998</v>
      </c>
      <c r="I91" s="1">
        <v>0</v>
      </c>
    </row>
    <row r="92" spans="1:9">
      <c r="A92">
        <v>590</v>
      </c>
      <c r="B92" s="1">
        <v>6.2559000000000003E-2</v>
      </c>
      <c r="C92" s="1">
        <v>2.1448000000000001E-3</v>
      </c>
      <c r="E92">
        <v>72</v>
      </c>
      <c r="F92">
        <v>590</v>
      </c>
      <c r="G92" s="1">
        <v>0.12504999999999999</v>
      </c>
      <c r="H92" s="1">
        <v>0.99214999999999998</v>
      </c>
      <c r="I92" s="1">
        <v>0</v>
      </c>
    </row>
    <row r="93" spans="1:9">
      <c r="A93">
        <v>590</v>
      </c>
      <c r="B93" s="1">
        <v>9.4220999999999999E-2</v>
      </c>
      <c r="C93" s="1">
        <v>2.1475000000000001E-3</v>
      </c>
      <c r="E93">
        <v>73</v>
      </c>
      <c r="F93">
        <v>590</v>
      </c>
      <c r="G93" s="1">
        <v>0.12504999999999999</v>
      </c>
      <c r="H93" s="1">
        <v>0.99214999999999998</v>
      </c>
      <c r="I93" s="1">
        <v>0</v>
      </c>
    </row>
    <row r="94" spans="1:9">
      <c r="A94">
        <v>590</v>
      </c>
      <c r="B94" s="1">
        <v>0.126</v>
      </c>
      <c r="C94" s="1">
        <v>2.1492999999999998E-3</v>
      </c>
      <c r="E94">
        <v>74</v>
      </c>
      <c r="F94">
        <v>590</v>
      </c>
      <c r="G94" s="1">
        <v>0.12504999999999999</v>
      </c>
      <c r="H94" s="1">
        <v>0.99214999999999998</v>
      </c>
      <c r="I94" s="1">
        <v>0</v>
      </c>
    </row>
    <row r="95" spans="1:9">
      <c r="A95">
        <v>590</v>
      </c>
      <c r="B95" s="1">
        <v>0.16156999999999999</v>
      </c>
      <c r="C95" s="1">
        <v>2.1497E-3</v>
      </c>
      <c r="E95">
        <v>75</v>
      </c>
      <c r="F95">
        <v>590</v>
      </c>
      <c r="G95" s="1">
        <v>0.12504999999999999</v>
      </c>
      <c r="H95" s="1">
        <v>0.99214999999999998</v>
      </c>
      <c r="I95" s="1">
        <v>0</v>
      </c>
    </row>
    <row r="97" spans="1:9">
      <c r="A97">
        <v>3776</v>
      </c>
      <c r="B97" s="1">
        <v>3.1911000000000002E-2</v>
      </c>
      <c r="C97" s="1">
        <v>2.0428E-3</v>
      </c>
      <c r="E97">
        <v>76</v>
      </c>
      <c r="F97">
        <v>3776</v>
      </c>
      <c r="G97" s="1">
        <v>0.13450000000000001</v>
      </c>
      <c r="H97" s="1">
        <v>0.99090999999999996</v>
      </c>
      <c r="I97" s="1">
        <v>0</v>
      </c>
    </row>
    <row r="98" spans="1:9">
      <c r="A98">
        <v>3776</v>
      </c>
      <c r="B98" s="1">
        <v>6.3842999999999997E-2</v>
      </c>
      <c r="C98" s="1">
        <v>2.0590000000000001E-3</v>
      </c>
      <c r="E98">
        <v>77</v>
      </c>
      <c r="F98">
        <v>3776</v>
      </c>
      <c r="G98" s="1">
        <v>0.13450000000000001</v>
      </c>
      <c r="H98" s="1">
        <v>0.99090999999999996</v>
      </c>
      <c r="I98" s="1">
        <v>0</v>
      </c>
    </row>
    <row r="99" spans="1:9">
      <c r="A99">
        <v>3776</v>
      </c>
      <c r="B99" s="1">
        <v>9.6081E-2</v>
      </c>
      <c r="C99" s="1">
        <v>2.0617999999999999E-3</v>
      </c>
      <c r="E99">
        <v>78</v>
      </c>
      <c r="F99">
        <v>3776</v>
      </c>
      <c r="G99" s="1">
        <v>0.13450000000000001</v>
      </c>
      <c r="H99" s="1">
        <v>0.99090999999999996</v>
      </c>
      <c r="I99" s="1">
        <v>0</v>
      </c>
    </row>
    <row r="100" spans="1:9">
      <c r="A100">
        <v>3776</v>
      </c>
      <c r="B100" s="1">
        <v>0.1285</v>
      </c>
      <c r="C100" s="1">
        <v>2.0636999999999999E-3</v>
      </c>
      <c r="E100">
        <v>79</v>
      </c>
      <c r="F100">
        <v>3776</v>
      </c>
      <c r="G100" s="1">
        <v>0.13450000000000001</v>
      </c>
      <c r="H100" s="1">
        <v>0.99090999999999996</v>
      </c>
      <c r="I100" s="1">
        <v>0</v>
      </c>
    </row>
    <row r="101" spans="1:9">
      <c r="A101">
        <v>3776</v>
      </c>
      <c r="B101" s="1">
        <v>0.16514000000000001</v>
      </c>
      <c r="C101" s="1">
        <v>2.0641000000000001E-3</v>
      </c>
      <c r="E101">
        <v>80</v>
      </c>
      <c r="F101">
        <v>3776</v>
      </c>
      <c r="G101" s="1">
        <v>0.13450000000000001</v>
      </c>
      <c r="H101" s="1">
        <v>0.99090999999999996</v>
      </c>
      <c r="I101" s="1">
        <v>0</v>
      </c>
    </row>
    <row r="103" spans="1:9">
      <c r="A103">
        <v>15</v>
      </c>
      <c r="B103" s="1">
        <v>3.2550999999999997E-2</v>
      </c>
      <c r="C103" s="1">
        <v>1.9583999999999999E-3</v>
      </c>
      <c r="E103">
        <v>81</v>
      </c>
      <c r="F103">
        <v>15</v>
      </c>
      <c r="G103" s="1">
        <v>0.14399999999999999</v>
      </c>
      <c r="H103" s="1">
        <v>0.98958000000000002</v>
      </c>
      <c r="I103" s="1">
        <v>0</v>
      </c>
    </row>
    <row r="104" spans="1:9">
      <c r="A104">
        <v>15</v>
      </c>
      <c r="B104" s="1">
        <v>6.5240000000000006E-2</v>
      </c>
      <c r="C104" s="1">
        <v>1.9735999999999998E-3</v>
      </c>
      <c r="E104">
        <v>82</v>
      </c>
      <c r="F104">
        <v>15</v>
      </c>
      <c r="G104" s="1">
        <v>0.14399999999999999</v>
      </c>
      <c r="H104" s="1">
        <v>0.98958000000000002</v>
      </c>
      <c r="I104" s="1">
        <v>0</v>
      </c>
    </row>
    <row r="105" spans="1:9">
      <c r="A105">
        <v>15</v>
      </c>
      <c r="B105" s="1">
        <v>9.8059999999999994E-2</v>
      </c>
      <c r="C105" s="1">
        <v>1.9762E-3</v>
      </c>
      <c r="E105">
        <v>83</v>
      </c>
      <c r="F105">
        <v>15</v>
      </c>
      <c r="G105" s="1">
        <v>0.14399999999999999</v>
      </c>
      <c r="H105" s="1">
        <v>0.98958000000000002</v>
      </c>
      <c r="I105" s="1">
        <v>0</v>
      </c>
    </row>
    <row r="106" spans="1:9">
      <c r="A106">
        <v>15</v>
      </c>
      <c r="B106" s="1">
        <v>0.13100999999999999</v>
      </c>
      <c r="C106" s="1">
        <v>1.9786000000000001E-3</v>
      </c>
      <c r="E106">
        <v>84</v>
      </c>
      <c r="F106">
        <v>15</v>
      </c>
      <c r="G106" s="1">
        <v>0.14399999999999999</v>
      </c>
      <c r="H106" s="1">
        <v>0.98958000000000002</v>
      </c>
      <c r="I106" s="1">
        <v>0</v>
      </c>
    </row>
    <row r="107" spans="1:9">
      <c r="A107">
        <v>15</v>
      </c>
      <c r="B107" s="1">
        <v>0.16889000000000001</v>
      </c>
      <c r="C107" s="1">
        <v>1.9788000000000002E-3</v>
      </c>
      <c r="E107">
        <v>85</v>
      </c>
      <c r="F107">
        <v>15</v>
      </c>
      <c r="G107" s="1">
        <v>0.14399999999999999</v>
      </c>
      <c r="H107" s="1">
        <v>0.98958000000000002</v>
      </c>
      <c r="I107" s="1">
        <v>0</v>
      </c>
    </row>
    <row r="109" spans="1:9">
      <c r="A109">
        <v>3758</v>
      </c>
      <c r="B109" s="1">
        <v>3.313E-2</v>
      </c>
      <c r="C109" s="1">
        <v>1.8862E-3</v>
      </c>
      <c r="E109">
        <v>86</v>
      </c>
      <c r="F109">
        <v>3758</v>
      </c>
      <c r="G109" s="1">
        <v>0.15365999999999999</v>
      </c>
      <c r="H109" s="1">
        <v>0.98812</v>
      </c>
      <c r="I109" s="1">
        <v>0</v>
      </c>
    </row>
    <row r="110" spans="1:9">
      <c r="A110">
        <v>3758</v>
      </c>
      <c r="B110" s="1">
        <v>6.6280000000000006E-2</v>
      </c>
      <c r="C110" s="1">
        <v>1.9013000000000001E-3</v>
      </c>
      <c r="E110">
        <v>87</v>
      </c>
      <c r="F110">
        <v>3758</v>
      </c>
      <c r="G110" s="1">
        <v>0.15365999999999999</v>
      </c>
      <c r="H110" s="1">
        <v>0.98812</v>
      </c>
      <c r="I110" s="1">
        <v>0</v>
      </c>
    </row>
    <row r="111" spans="1:9">
      <c r="A111">
        <v>3758</v>
      </c>
      <c r="B111" s="1">
        <v>9.9782999999999997E-2</v>
      </c>
      <c r="C111" s="1">
        <v>1.9039E-3</v>
      </c>
      <c r="E111">
        <v>88</v>
      </c>
      <c r="F111">
        <v>3758</v>
      </c>
      <c r="G111" s="1">
        <v>0.15365999999999999</v>
      </c>
      <c r="H111" s="1">
        <v>0.98812</v>
      </c>
      <c r="I111" s="1">
        <v>0</v>
      </c>
    </row>
    <row r="112" spans="1:9">
      <c r="A112">
        <v>3758</v>
      </c>
      <c r="B112" s="1">
        <v>0.13349</v>
      </c>
      <c r="C112" s="1">
        <v>1.9061E-3</v>
      </c>
      <c r="E112">
        <v>89</v>
      </c>
      <c r="F112">
        <v>3758</v>
      </c>
      <c r="G112" s="1">
        <v>0.15365999999999999</v>
      </c>
      <c r="H112" s="1">
        <v>0.98812</v>
      </c>
      <c r="I112" s="1">
        <v>0</v>
      </c>
    </row>
    <row r="113" spans="1:9">
      <c r="A113">
        <v>3758</v>
      </c>
      <c r="B113" s="1">
        <v>0.1726</v>
      </c>
      <c r="C113" s="1">
        <v>1.9063999999999999E-3</v>
      </c>
      <c r="E113">
        <v>90</v>
      </c>
      <c r="F113">
        <v>3758</v>
      </c>
      <c r="G113" s="1">
        <v>0.15365999999999999</v>
      </c>
      <c r="H113" s="1">
        <v>0.98812</v>
      </c>
      <c r="I113" s="1">
        <v>0</v>
      </c>
    </row>
    <row r="115" spans="1:9">
      <c r="A115">
        <v>581</v>
      </c>
      <c r="B115" s="1">
        <v>3.3730999999999997E-2</v>
      </c>
      <c r="C115" s="1">
        <v>1.8155999999999999E-3</v>
      </c>
      <c r="E115">
        <v>91</v>
      </c>
      <c r="F115">
        <v>581</v>
      </c>
      <c r="G115" s="1">
        <v>0.16339000000000001</v>
      </c>
      <c r="H115" s="1">
        <v>0.98655999999999999</v>
      </c>
      <c r="I115" s="1">
        <v>0</v>
      </c>
    </row>
    <row r="116" spans="1:9">
      <c r="A116">
        <v>581</v>
      </c>
      <c r="B116" s="1">
        <v>6.7442000000000002E-2</v>
      </c>
      <c r="C116" s="1">
        <v>1.8307E-3</v>
      </c>
      <c r="E116">
        <v>92</v>
      </c>
      <c r="F116">
        <v>581</v>
      </c>
      <c r="G116" s="1">
        <v>0.16339000000000001</v>
      </c>
      <c r="H116" s="1">
        <v>0.98655999999999999</v>
      </c>
      <c r="I116" s="1">
        <v>0</v>
      </c>
    </row>
    <row r="117" spans="1:9">
      <c r="A117">
        <v>581</v>
      </c>
      <c r="B117" s="1">
        <v>0.10163</v>
      </c>
      <c r="C117" s="1">
        <v>1.833E-3</v>
      </c>
      <c r="E117">
        <v>93</v>
      </c>
      <c r="F117">
        <v>581</v>
      </c>
      <c r="G117" s="1">
        <v>0.16339000000000001</v>
      </c>
      <c r="H117" s="1">
        <v>0.98655999999999999</v>
      </c>
      <c r="I117" s="1">
        <v>0</v>
      </c>
    </row>
    <row r="118" spans="1:9">
      <c r="A118">
        <v>581</v>
      </c>
      <c r="B118" s="1">
        <v>0.13597000000000001</v>
      </c>
      <c r="C118" s="1">
        <v>1.8351999999999999E-3</v>
      </c>
      <c r="E118">
        <v>94</v>
      </c>
      <c r="F118">
        <v>581</v>
      </c>
      <c r="G118" s="1">
        <v>0.16339000000000001</v>
      </c>
      <c r="H118" s="1">
        <v>0.98655999999999999</v>
      </c>
      <c r="I118" s="1">
        <v>0</v>
      </c>
    </row>
    <row r="119" spans="1:9">
      <c r="A119">
        <v>581</v>
      </c>
      <c r="B119" s="1">
        <v>0.17651</v>
      </c>
      <c r="C119" s="1">
        <v>1.8354999999999999E-3</v>
      </c>
      <c r="E119">
        <v>95</v>
      </c>
      <c r="F119">
        <v>581</v>
      </c>
      <c r="G119" s="1">
        <v>0.16339000000000001</v>
      </c>
      <c r="H119" s="1">
        <v>0.98655999999999999</v>
      </c>
      <c r="I119" s="1">
        <v>0</v>
      </c>
    </row>
    <row r="121" spans="1:9">
      <c r="A121">
        <v>3740</v>
      </c>
      <c r="B121" s="1">
        <v>3.4335999999999998E-2</v>
      </c>
      <c r="C121" s="1">
        <v>1.7515E-3</v>
      </c>
      <c r="E121">
        <v>96</v>
      </c>
      <c r="F121">
        <v>3740</v>
      </c>
      <c r="G121" s="1">
        <v>0.17330000000000001</v>
      </c>
      <c r="H121" s="1">
        <v>0.98487000000000002</v>
      </c>
      <c r="I121" s="1">
        <v>0</v>
      </c>
    </row>
    <row r="122" spans="1:9">
      <c r="A122">
        <v>3740</v>
      </c>
      <c r="B122" s="1">
        <v>6.8726999999999996E-2</v>
      </c>
      <c r="C122" s="1">
        <v>1.7658000000000001E-3</v>
      </c>
      <c r="E122">
        <v>97</v>
      </c>
      <c r="F122">
        <v>3740</v>
      </c>
      <c r="G122" s="1">
        <v>0.17330000000000001</v>
      </c>
      <c r="H122" s="1">
        <v>0.98487000000000002</v>
      </c>
      <c r="I122" s="1">
        <v>0</v>
      </c>
    </row>
    <row r="123" spans="1:9">
      <c r="A123">
        <v>3740</v>
      </c>
      <c r="B123" s="1">
        <v>0.10348</v>
      </c>
      <c r="C123" s="1">
        <v>1.7681999999999999E-3</v>
      </c>
      <c r="E123">
        <v>98</v>
      </c>
      <c r="F123">
        <v>3740</v>
      </c>
      <c r="G123" s="1">
        <v>0.17330000000000001</v>
      </c>
      <c r="H123" s="1">
        <v>0.98487000000000002</v>
      </c>
      <c r="I123" s="1">
        <v>0</v>
      </c>
    </row>
    <row r="124" spans="1:9">
      <c r="A124">
        <v>3740</v>
      </c>
      <c r="B124" s="1">
        <v>0.13844999999999999</v>
      </c>
      <c r="C124" s="1">
        <v>1.7706E-3</v>
      </c>
      <c r="E124">
        <v>99</v>
      </c>
      <c r="F124">
        <v>3740</v>
      </c>
      <c r="G124" s="1">
        <v>0.17330000000000001</v>
      </c>
      <c r="H124" s="1">
        <v>0.98487000000000002</v>
      </c>
      <c r="I124" s="1">
        <v>0</v>
      </c>
    </row>
    <row r="125" spans="1:9">
      <c r="A125">
        <v>3740</v>
      </c>
      <c r="B125" s="1">
        <v>0.18048</v>
      </c>
      <c r="C125" s="1">
        <v>1.7708999999999999E-3</v>
      </c>
      <c r="E125">
        <v>100</v>
      </c>
      <c r="F125">
        <v>3740</v>
      </c>
      <c r="G125" s="1">
        <v>0.17330000000000001</v>
      </c>
      <c r="H125" s="1">
        <v>0.98487000000000002</v>
      </c>
      <c r="I125" s="1">
        <v>0</v>
      </c>
    </row>
    <row r="127" spans="1:9">
      <c r="A127">
        <v>14</v>
      </c>
      <c r="B127" s="1">
        <v>3.4985000000000002E-2</v>
      </c>
      <c r="C127" s="1">
        <v>1.6854000000000001E-3</v>
      </c>
      <c r="E127">
        <v>101</v>
      </c>
      <c r="F127">
        <v>14</v>
      </c>
      <c r="G127" s="1">
        <v>0.18329999999999999</v>
      </c>
      <c r="H127" s="1">
        <v>0.98306000000000004</v>
      </c>
      <c r="I127" s="1">
        <v>0</v>
      </c>
    </row>
    <row r="128" spans="1:9">
      <c r="A128">
        <v>14</v>
      </c>
      <c r="B128" s="1">
        <v>7.0139000000000007E-2</v>
      </c>
      <c r="C128" s="1">
        <v>1.6988000000000001E-3</v>
      </c>
      <c r="E128">
        <v>102</v>
      </c>
      <c r="F128">
        <v>14</v>
      </c>
      <c r="G128" s="1">
        <v>0.18329999999999999</v>
      </c>
      <c r="H128" s="1">
        <v>0.98306000000000004</v>
      </c>
      <c r="I128" s="1">
        <v>0</v>
      </c>
    </row>
    <row r="129" spans="1:9">
      <c r="A129">
        <v>14</v>
      </c>
      <c r="B129" s="1">
        <v>0.10546</v>
      </c>
      <c r="C129" s="1">
        <v>1.7011000000000001E-3</v>
      </c>
      <c r="E129">
        <v>103</v>
      </c>
      <c r="F129">
        <v>14</v>
      </c>
      <c r="G129" s="1">
        <v>0.18329999999999999</v>
      </c>
      <c r="H129" s="1">
        <v>0.98306000000000004</v>
      </c>
      <c r="I129" s="1">
        <v>0</v>
      </c>
    </row>
    <row r="130" spans="1:9">
      <c r="A130">
        <v>14</v>
      </c>
      <c r="B130" s="1">
        <v>0.14094000000000001</v>
      </c>
      <c r="C130" s="1">
        <v>1.7038000000000001E-3</v>
      </c>
      <c r="E130">
        <v>104</v>
      </c>
      <c r="F130">
        <v>14</v>
      </c>
      <c r="G130" s="1">
        <v>0.18329999999999999</v>
      </c>
      <c r="H130" s="1">
        <v>0.98306000000000004</v>
      </c>
      <c r="I130" s="1">
        <v>0</v>
      </c>
    </row>
    <row r="131" spans="1:9">
      <c r="A131">
        <v>14</v>
      </c>
      <c r="B131" s="1">
        <v>0.18464</v>
      </c>
      <c r="C131" s="1">
        <v>1.7038999999999999E-3</v>
      </c>
      <c r="E131">
        <v>105</v>
      </c>
      <c r="F131">
        <v>14</v>
      </c>
      <c r="G131" s="1">
        <v>0.18329999999999999</v>
      </c>
      <c r="H131" s="1">
        <v>0.98306000000000004</v>
      </c>
      <c r="I131" s="1">
        <v>0</v>
      </c>
    </row>
    <row r="133" spans="1:9">
      <c r="A133">
        <v>3722</v>
      </c>
      <c r="B133" s="1">
        <v>3.5545E-2</v>
      </c>
      <c r="C133" s="1">
        <v>1.6295000000000001E-3</v>
      </c>
      <c r="E133">
        <v>106</v>
      </c>
      <c r="F133">
        <v>3722</v>
      </c>
      <c r="G133" s="1">
        <v>0.19350000000000001</v>
      </c>
      <c r="H133" s="1">
        <v>0.98109999999999997</v>
      </c>
      <c r="I133" s="1">
        <v>0</v>
      </c>
    </row>
    <row r="134" spans="1:9">
      <c r="A134">
        <v>3722</v>
      </c>
      <c r="B134" s="1">
        <v>7.1131E-2</v>
      </c>
      <c r="C134" s="1">
        <v>1.6429000000000001E-3</v>
      </c>
      <c r="E134">
        <v>107</v>
      </c>
      <c r="F134">
        <v>3722</v>
      </c>
      <c r="G134" s="1">
        <v>0.19350000000000001</v>
      </c>
      <c r="H134" s="1">
        <v>0.98109999999999997</v>
      </c>
      <c r="I134" s="1">
        <v>0</v>
      </c>
    </row>
    <row r="135" spans="1:9">
      <c r="A135">
        <v>3722</v>
      </c>
      <c r="B135" s="1">
        <v>0.10713</v>
      </c>
      <c r="C135" s="1">
        <v>1.6452000000000001E-3</v>
      </c>
      <c r="E135">
        <v>108</v>
      </c>
      <c r="F135">
        <v>3722</v>
      </c>
      <c r="G135" s="1">
        <v>0.19350000000000001</v>
      </c>
      <c r="H135" s="1">
        <v>0.98109999999999997</v>
      </c>
      <c r="I135" s="1">
        <v>0</v>
      </c>
    </row>
    <row r="136" spans="1:9">
      <c r="A136">
        <v>3722</v>
      </c>
      <c r="B136" s="1">
        <v>0.14338000000000001</v>
      </c>
      <c r="C136" s="1">
        <v>1.6477E-3</v>
      </c>
      <c r="E136">
        <v>109</v>
      </c>
      <c r="F136">
        <v>3722</v>
      </c>
      <c r="G136" s="1">
        <v>0.19350000000000001</v>
      </c>
      <c r="H136" s="1">
        <v>0.98109999999999997</v>
      </c>
      <c r="I136" s="1">
        <v>0</v>
      </c>
    </row>
    <row r="137" spans="1:9">
      <c r="A137">
        <v>3722</v>
      </c>
      <c r="B137" s="1">
        <v>0.18884000000000001</v>
      </c>
      <c r="C137" s="1">
        <v>1.6479000000000001E-3</v>
      </c>
      <c r="E137">
        <v>110</v>
      </c>
      <c r="F137">
        <v>3722</v>
      </c>
      <c r="G137" s="1">
        <v>0.19350000000000001</v>
      </c>
      <c r="H137" s="1">
        <v>0.98109999999999997</v>
      </c>
      <c r="I137" s="1">
        <v>0</v>
      </c>
    </row>
    <row r="139" spans="1:9">
      <c r="A139">
        <v>572</v>
      </c>
      <c r="B139" s="1">
        <v>3.6138000000000003E-2</v>
      </c>
      <c r="C139" s="1">
        <v>1.5740999999999999E-3</v>
      </c>
      <c r="E139">
        <v>111</v>
      </c>
      <c r="F139">
        <v>572</v>
      </c>
      <c r="G139" s="1">
        <v>0.20380000000000001</v>
      </c>
      <c r="H139" s="1">
        <v>0.97901000000000005</v>
      </c>
      <c r="I139" s="1">
        <v>0</v>
      </c>
    </row>
    <row r="140" spans="1:9">
      <c r="A140">
        <v>572</v>
      </c>
      <c r="B140" s="1">
        <v>7.2258000000000003E-2</v>
      </c>
      <c r="C140" s="1">
        <v>1.5874999999999999E-3</v>
      </c>
      <c r="E140">
        <v>112</v>
      </c>
      <c r="F140">
        <v>572</v>
      </c>
      <c r="G140" s="1">
        <v>0.20380000000000001</v>
      </c>
      <c r="H140" s="1">
        <v>0.97901000000000005</v>
      </c>
      <c r="I140" s="1">
        <v>0</v>
      </c>
    </row>
    <row r="141" spans="1:9">
      <c r="A141">
        <v>572</v>
      </c>
      <c r="B141" s="1">
        <v>0.10895000000000001</v>
      </c>
      <c r="C141" s="1">
        <v>1.5895E-3</v>
      </c>
      <c r="E141">
        <v>113</v>
      </c>
      <c r="F141">
        <v>572</v>
      </c>
      <c r="G141" s="1">
        <v>0.20380000000000001</v>
      </c>
      <c r="H141" s="1">
        <v>0.97901000000000005</v>
      </c>
      <c r="I141" s="1">
        <v>0</v>
      </c>
    </row>
    <row r="142" spans="1:9">
      <c r="A142">
        <v>572</v>
      </c>
      <c r="B142" s="1">
        <v>0.14582000000000001</v>
      </c>
      <c r="C142" s="1">
        <v>1.5919E-3</v>
      </c>
      <c r="E142">
        <v>114</v>
      </c>
      <c r="F142">
        <v>572</v>
      </c>
      <c r="G142" s="1">
        <v>0.20380000000000001</v>
      </c>
      <c r="H142" s="1">
        <v>0.97901000000000005</v>
      </c>
      <c r="I142" s="1">
        <v>0</v>
      </c>
    </row>
    <row r="143" spans="1:9">
      <c r="A143">
        <v>572</v>
      </c>
      <c r="B143" s="1">
        <v>0.19328999999999999</v>
      </c>
      <c r="C143" s="1">
        <v>1.5920999999999999E-3</v>
      </c>
      <c r="E143">
        <v>115</v>
      </c>
      <c r="F143">
        <v>572</v>
      </c>
      <c r="G143" s="1">
        <v>0.20380000000000001</v>
      </c>
      <c r="H143" s="1">
        <v>0.97901000000000005</v>
      </c>
      <c r="I143" s="1">
        <v>0</v>
      </c>
    </row>
    <row r="145" spans="1:9">
      <c r="A145">
        <v>3704</v>
      </c>
      <c r="B145" s="1">
        <v>3.6732000000000001E-2</v>
      </c>
      <c r="C145" s="1">
        <v>1.5242000000000001E-3</v>
      </c>
      <c r="E145">
        <v>116</v>
      </c>
      <c r="F145">
        <v>3704</v>
      </c>
      <c r="G145" s="1">
        <v>0.21431</v>
      </c>
      <c r="H145" s="1">
        <v>0.97675999999999996</v>
      </c>
      <c r="I145" s="1">
        <v>0</v>
      </c>
    </row>
    <row r="146" spans="1:9">
      <c r="A146">
        <v>3704</v>
      </c>
      <c r="B146" s="1">
        <v>7.3526999999999995E-2</v>
      </c>
      <c r="C146" s="1">
        <v>1.537E-3</v>
      </c>
      <c r="E146">
        <v>117</v>
      </c>
      <c r="F146">
        <v>3704</v>
      </c>
      <c r="G146" s="1">
        <v>0.21431</v>
      </c>
      <c r="H146" s="1">
        <v>0.97675999999999996</v>
      </c>
      <c r="I146" s="1">
        <v>0</v>
      </c>
    </row>
    <row r="147" spans="1:9">
      <c r="A147">
        <v>3704</v>
      </c>
      <c r="B147" s="1">
        <v>0.11075</v>
      </c>
      <c r="C147" s="1">
        <v>1.5391000000000001E-3</v>
      </c>
      <c r="E147">
        <v>118</v>
      </c>
      <c r="F147">
        <v>3704</v>
      </c>
      <c r="G147" s="1">
        <v>0.21431</v>
      </c>
      <c r="H147" s="1">
        <v>0.97675999999999996</v>
      </c>
      <c r="I147" s="1">
        <v>0</v>
      </c>
    </row>
    <row r="148" spans="1:9">
      <c r="A148">
        <v>3704</v>
      </c>
      <c r="B148" s="1">
        <v>0.14824999999999999</v>
      </c>
      <c r="C148" s="1">
        <v>1.5414000000000001E-3</v>
      </c>
      <c r="E148">
        <v>119</v>
      </c>
      <c r="F148">
        <v>3704</v>
      </c>
      <c r="G148" s="1">
        <v>0.21431</v>
      </c>
      <c r="H148" s="1">
        <v>0.97675999999999996</v>
      </c>
      <c r="I148" s="1">
        <v>0</v>
      </c>
    </row>
    <row r="149" spans="1:9">
      <c r="A149">
        <v>3704</v>
      </c>
      <c r="B149" s="1">
        <v>0.19782</v>
      </c>
      <c r="C149" s="1">
        <v>1.5418000000000001E-3</v>
      </c>
      <c r="E149">
        <v>120</v>
      </c>
      <c r="F149">
        <v>3704</v>
      </c>
      <c r="G149" s="1">
        <v>0.21431</v>
      </c>
      <c r="H149" s="1">
        <v>0.97675999999999996</v>
      </c>
      <c r="I149" s="1">
        <v>0</v>
      </c>
    </row>
    <row r="151" spans="1:9">
      <c r="A151">
        <v>13</v>
      </c>
      <c r="B151" s="1">
        <v>3.7373000000000003E-2</v>
      </c>
      <c r="C151" s="1">
        <v>1.4706000000000001E-3</v>
      </c>
      <c r="E151">
        <v>121</v>
      </c>
      <c r="F151">
        <v>13</v>
      </c>
      <c r="G151" s="1">
        <v>0.22497</v>
      </c>
      <c r="H151" s="1">
        <v>0.97436999999999996</v>
      </c>
      <c r="I151" s="1">
        <v>0</v>
      </c>
    </row>
    <row r="152" spans="1:9">
      <c r="A152">
        <v>13</v>
      </c>
      <c r="B152" s="1">
        <v>7.4944999999999998E-2</v>
      </c>
      <c r="C152" s="1">
        <v>1.4825000000000001E-3</v>
      </c>
      <c r="E152">
        <v>122</v>
      </c>
      <c r="F152">
        <v>13</v>
      </c>
      <c r="G152" s="1">
        <v>0.22497</v>
      </c>
      <c r="H152" s="1">
        <v>0.97436999999999996</v>
      </c>
      <c r="I152" s="1">
        <v>0</v>
      </c>
    </row>
    <row r="153" spans="1:9">
      <c r="A153">
        <v>13</v>
      </c>
      <c r="B153" s="1">
        <v>0.11271</v>
      </c>
      <c r="C153" s="1">
        <v>1.4844000000000001E-3</v>
      </c>
      <c r="E153">
        <v>123</v>
      </c>
      <c r="F153">
        <v>13</v>
      </c>
      <c r="G153" s="1">
        <v>0.22497</v>
      </c>
      <c r="H153" s="1">
        <v>0.97436999999999996</v>
      </c>
      <c r="I153" s="1">
        <v>0</v>
      </c>
    </row>
    <row r="154" spans="1:9">
      <c r="A154">
        <v>13</v>
      </c>
      <c r="B154" s="1">
        <v>0.15067</v>
      </c>
      <c r="C154" s="1">
        <v>1.4865E-3</v>
      </c>
      <c r="E154">
        <v>124</v>
      </c>
      <c r="F154">
        <v>13</v>
      </c>
      <c r="G154" s="1">
        <v>0.22497</v>
      </c>
      <c r="H154" s="1">
        <v>0.97436999999999996</v>
      </c>
      <c r="I154" s="1">
        <v>0</v>
      </c>
    </row>
    <row r="155" spans="1:9">
      <c r="A155">
        <v>13</v>
      </c>
      <c r="B155" s="1">
        <v>0.20261999999999999</v>
      </c>
      <c r="C155" s="1">
        <v>1.4859999999999999E-3</v>
      </c>
      <c r="E155">
        <v>125</v>
      </c>
      <c r="F155">
        <v>13</v>
      </c>
      <c r="G155" s="1">
        <v>0.22497</v>
      </c>
      <c r="H155" s="1">
        <v>0.97436999999999996</v>
      </c>
      <c r="I155" s="1">
        <v>0</v>
      </c>
    </row>
    <row r="157" spans="1:9">
      <c r="A157">
        <v>3686</v>
      </c>
      <c r="B157" s="1">
        <v>3.7914000000000003E-2</v>
      </c>
      <c r="C157" s="1">
        <v>1.4261E-3</v>
      </c>
      <c r="E157">
        <v>126</v>
      </c>
      <c r="F157">
        <v>3686</v>
      </c>
      <c r="G157" s="1">
        <v>0.23585</v>
      </c>
      <c r="H157" s="1">
        <v>0.97179000000000004</v>
      </c>
      <c r="I157" s="1">
        <v>0</v>
      </c>
    </row>
    <row r="158" spans="1:9">
      <c r="A158">
        <v>3686</v>
      </c>
      <c r="B158" s="1">
        <v>7.5860999999999998E-2</v>
      </c>
      <c r="C158" s="1">
        <v>1.4381000000000001E-3</v>
      </c>
      <c r="E158">
        <v>127</v>
      </c>
      <c r="F158">
        <v>3686</v>
      </c>
      <c r="G158" s="1">
        <v>0.23585</v>
      </c>
      <c r="H158" s="1">
        <v>0.97179000000000004</v>
      </c>
      <c r="I158" s="1">
        <v>0</v>
      </c>
    </row>
    <row r="159" spans="1:9">
      <c r="A159">
        <v>3686</v>
      </c>
      <c r="B159" s="1">
        <v>0.11430999999999999</v>
      </c>
      <c r="C159" s="1">
        <v>1.4400999999999999E-3</v>
      </c>
      <c r="E159">
        <v>128</v>
      </c>
      <c r="F159">
        <v>3686</v>
      </c>
      <c r="G159" s="1">
        <v>0.23585</v>
      </c>
      <c r="H159" s="1">
        <v>0.97179000000000004</v>
      </c>
      <c r="I159" s="1">
        <v>0</v>
      </c>
    </row>
    <row r="160" spans="1:9">
      <c r="A160">
        <v>3686</v>
      </c>
      <c r="B160" s="1">
        <v>0.15304000000000001</v>
      </c>
      <c r="C160" s="1">
        <v>1.4411000000000001E-3</v>
      </c>
      <c r="E160">
        <v>129</v>
      </c>
      <c r="F160">
        <v>3686</v>
      </c>
      <c r="G160" s="1">
        <v>0.23585</v>
      </c>
      <c r="H160" s="1">
        <v>0.97179000000000004</v>
      </c>
      <c r="I160" s="1">
        <v>0</v>
      </c>
    </row>
    <row r="161" spans="1:9">
      <c r="A161">
        <v>3686</v>
      </c>
      <c r="B161" s="1">
        <v>0.20235</v>
      </c>
      <c r="C161" s="1">
        <v>1.4408999999999999E-3</v>
      </c>
      <c r="E161">
        <v>130</v>
      </c>
      <c r="F161">
        <v>3686</v>
      </c>
      <c r="G161" s="1">
        <v>0.23585</v>
      </c>
      <c r="H161" s="1">
        <v>0.97179000000000004</v>
      </c>
      <c r="I161" s="1">
        <v>0</v>
      </c>
    </row>
    <row r="163" spans="1:9">
      <c r="A163">
        <v>563</v>
      </c>
      <c r="B163" s="1">
        <v>3.8487E-2</v>
      </c>
      <c r="C163" s="1">
        <v>1.3813E-3</v>
      </c>
      <c r="E163">
        <v>131</v>
      </c>
      <c r="F163">
        <v>563</v>
      </c>
      <c r="G163" s="1">
        <v>0.24690000000000001</v>
      </c>
      <c r="H163" s="1">
        <v>0.96904000000000001</v>
      </c>
      <c r="I163" s="1">
        <v>0</v>
      </c>
    </row>
    <row r="164" spans="1:9">
      <c r="A164">
        <v>563</v>
      </c>
      <c r="B164" s="1">
        <v>7.6937000000000005E-2</v>
      </c>
      <c r="C164" s="1">
        <v>1.3932E-3</v>
      </c>
      <c r="E164">
        <v>132</v>
      </c>
      <c r="F164">
        <v>563</v>
      </c>
      <c r="G164" s="1">
        <v>0.24690000000000001</v>
      </c>
      <c r="H164" s="1">
        <v>0.96904000000000001</v>
      </c>
      <c r="I164" s="1">
        <v>0</v>
      </c>
    </row>
    <row r="165" spans="1:9">
      <c r="A165">
        <v>563</v>
      </c>
      <c r="B165" s="1">
        <v>0.11607000000000001</v>
      </c>
      <c r="C165" s="1">
        <v>1.395E-3</v>
      </c>
      <c r="E165">
        <v>133</v>
      </c>
      <c r="F165">
        <v>563</v>
      </c>
      <c r="G165" s="1">
        <v>0.24690000000000001</v>
      </c>
      <c r="H165" s="1">
        <v>0.96904000000000001</v>
      </c>
      <c r="I165" s="1">
        <v>0</v>
      </c>
    </row>
    <row r="166" spans="1:9">
      <c r="A166">
        <v>563</v>
      </c>
      <c r="B166" s="1">
        <v>0.15540000000000001</v>
      </c>
      <c r="C166" s="1">
        <v>1.3956000000000001E-3</v>
      </c>
      <c r="E166">
        <v>134</v>
      </c>
      <c r="F166">
        <v>563</v>
      </c>
      <c r="G166" s="1">
        <v>0.24690000000000001</v>
      </c>
      <c r="H166" s="1">
        <v>0.96904000000000001</v>
      </c>
      <c r="I166" s="1">
        <v>0</v>
      </c>
    </row>
    <row r="167" spans="1:9">
      <c r="A167">
        <v>563</v>
      </c>
      <c r="B167" s="1">
        <v>0.20236999999999999</v>
      </c>
      <c r="C167" s="1">
        <v>1.3954E-3</v>
      </c>
      <c r="E167">
        <v>135</v>
      </c>
      <c r="F167">
        <v>563</v>
      </c>
      <c r="G167" s="1">
        <v>0.24690000000000001</v>
      </c>
      <c r="H167" s="1">
        <v>0.96904000000000001</v>
      </c>
      <c r="I167" s="1">
        <v>0</v>
      </c>
    </row>
    <row r="169" spans="1:9">
      <c r="A169">
        <v>3668</v>
      </c>
      <c r="B169" s="1">
        <v>3.9061999999999999E-2</v>
      </c>
      <c r="C169" s="1">
        <v>1.3411E-3</v>
      </c>
      <c r="E169">
        <v>136</v>
      </c>
      <c r="F169">
        <v>3668</v>
      </c>
      <c r="G169" s="1">
        <v>0.25818000000000002</v>
      </c>
      <c r="H169" s="1">
        <v>0.96609999999999996</v>
      </c>
      <c r="I169" s="1">
        <v>0</v>
      </c>
    </row>
    <row r="170" spans="1:9">
      <c r="A170">
        <v>3668</v>
      </c>
      <c r="B170" s="1">
        <v>7.8175999999999995E-2</v>
      </c>
      <c r="C170" s="1">
        <v>1.3525E-3</v>
      </c>
      <c r="E170">
        <v>137</v>
      </c>
      <c r="F170">
        <v>3668</v>
      </c>
      <c r="G170" s="1">
        <v>0.25818000000000002</v>
      </c>
      <c r="H170" s="1">
        <v>0.96609999999999996</v>
      </c>
      <c r="I170" s="1">
        <v>0</v>
      </c>
    </row>
    <row r="171" spans="1:9">
      <c r="A171">
        <v>3668</v>
      </c>
      <c r="B171" s="1">
        <v>0.1178</v>
      </c>
      <c r="C171" s="1">
        <v>1.3544E-3</v>
      </c>
      <c r="E171">
        <v>138</v>
      </c>
      <c r="F171">
        <v>3668</v>
      </c>
      <c r="G171" s="1">
        <v>0.25818000000000002</v>
      </c>
      <c r="H171" s="1">
        <v>0.96609999999999996</v>
      </c>
      <c r="I171" s="1">
        <v>0</v>
      </c>
    </row>
    <row r="172" spans="1:9">
      <c r="A172">
        <v>3668</v>
      </c>
      <c r="B172" s="1">
        <v>0.15775</v>
      </c>
      <c r="C172" s="1">
        <v>1.3546000000000001E-3</v>
      </c>
      <c r="E172">
        <v>139</v>
      </c>
      <c r="F172">
        <v>3668</v>
      </c>
      <c r="G172" s="1">
        <v>0.25818000000000002</v>
      </c>
      <c r="H172" s="1">
        <v>0.96609999999999996</v>
      </c>
      <c r="I172" s="1">
        <v>0</v>
      </c>
    </row>
    <row r="173" spans="1:9">
      <c r="A173">
        <v>3668</v>
      </c>
      <c r="B173" s="1">
        <v>0.20246</v>
      </c>
      <c r="C173" s="1">
        <v>1.3546999999999999E-3</v>
      </c>
      <c r="E173">
        <v>140</v>
      </c>
      <c r="F173">
        <v>3668</v>
      </c>
      <c r="G173" s="1">
        <v>0.25818000000000002</v>
      </c>
      <c r="H173" s="1">
        <v>0.96609999999999996</v>
      </c>
      <c r="I173" s="1">
        <v>0</v>
      </c>
    </row>
    <row r="175" spans="1:9">
      <c r="A175">
        <v>12</v>
      </c>
      <c r="B175" s="1">
        <v>3.9681000000000001E-2</v>
      </c>
      <c r="C175" s="1">
        <v>1.2955E-3</v>
      </c>
      <c r="E175">
        <v>141</v>
      </c>
      <c r="F175">
        <v>12</v>
      </c>
      <c r="G175" s="1">
        <v>0.26967000000000002</v>
      </c>
      <c r="H175" s="1">
        <v>0.96294999999999997</v>
      </c>
      <c r="I175" s="1">
        <v>0</v>
      </c>
    </row>
    <row r="176" spans="1:9">
      <c r="A176">
        <v>12</v>
      </c>
      <c r="B176" s="1">
        <v>7.9588999999999993E-2</v>
      </c>
      <c r="C176" s="1">
        <v>1.3060000000000001E-3</v>
      </c>
      <c r="E176">
        <v>142</v>
      </c>
      <c r="F176">
        <v>12</v>
      </c>
      <c r="G176" s="1">
        <v>0.26967000000000002</v>
      </c>
      <c r="H176" s="1">
        <v>0.96294999999999997</v>
      </c>
      <c r="I176" s="1">
        <v>0</v>
      </c>
    </row>
    <row r="177" spans="1:9">
      <c r="A177">
        <v>12</v>
      </c>
      <c r="B177" s="1">
        <v>0.11971999999999999</v>
      </c>
      <c r="C177" s="1">
        <v>1.3078E-3</v>
      </c>
      <c r="E177">
        <v>143</v>
      </c>
      <c r="F177">
        <v>12</v>
      </c>
      <c r="G177" s="1">
        <v>0.26967000000000002</v>
      </c>
      <c r="H177" s="1">
        <v>0.96294999999999997</v>
      </c>
      <c r="I177" s="1">
        <v>0</v>
      </c>
    </row>
    <row r="178" spans="1:9">
      <c r="A178">
        <v>12</v>
      </c>
      <c r="B178" s="1">
        <v>0.16006999999999999</v>
      </c>
      <c r="C178" s="1">
        <v>1.3079000000000001E-3</v>
      </c>
      <c r="E178">
        <v>144</v>
      </c>
      <c r="F178">
        <v>12</v>
      </c>
      <c r="G178" s="1">
        <v>0.26967000000000002</v>
      </c>
      <c r="H178" s="1">
        <v>0.96294999999999997</v>
      </c>
      <c r="I178" s="1">
        <v>0</v>
      </c>
    </row>
    <row r="179" spans="1:9">
      <c r="A179">
        <v>12</v>
      </c>
      <c r="B179" s="1">
        <v>0.20282</v>
      </c>
      <c r="C179" s="1">
        <v>1.3082E-3</v>
      </c>
      <c r="E179">
        <v>145</v>
      </c>
      <c r="F179">
        <v>12</v>
      </c>
      <c r="G179" s="1">
        <v>0.26967000000000002</v>
      </c>
      <c r="H179" s="1">
        <v>0.96294999999999997</v>
      </c>
      <c r="I179" s="1">
        <v>0</v>
      </c>
    </row>
    <row r="181" spans="1:9">
      <c r="A181">
        <v>3650</v>
      </c>
      <c r="B181" s="1">
        <v>4.0196000000000003E-2</v>
      </c>
      <c r="C181" s="1">
        <v>1.2583E-3</v>
      </c>
      <c r="E181">
        <v>146</v>
      </c>
      <c r="F181">
        <v>3650</v>
      </c>
      <c r="G181" s="1">
        <v>0.28142</v>
      </c>
      <c r="H181" s="1">
        <v>0.95957999999999999</v>
      </c>
      <c r="I181" s="1">
        <v>0</v>
      </c>
    </row>
    <row r="182" spans="1:9">
      <c r="A182">
        <v>3650</v>
      </c>
      <c r="B182" s="1">
        <v>8.0415E-2</v>
      </c>
      <c r="C182" s="1">
        <v>1.2689999999999999E-3</v>
      </c>
      <c r="E182">
        <v>147</v>
      </c>
      <c r="F182">
        <v>3650</v>
      </c>
      <c r="G182" s="1">
        <v>0.28142</v>
      </c>
      <c r="H182" s="1">
        <v>0.95957999999999999</v>
      </c>
      <c r="I182" s="1">
        <v>0</v>
      </c>
    </row>
    <row r="183" spans="1:9">
      <c r="A183">
        <v>3650</v>
      </c>
      <c r="B183" s="1">
        <v>0.12121</v>
      </c>
      <c r="C183" s="1">
        <v>1.2707E-3</v>
      </c>
      <c r="E183">
        <v>148</v>
      </c>
      <c r="F183">
        <v>3650</v>
      </c>
      <c r="G183" s="1">
        <v>0.28142</v>
      </c>
      <c r="H183" s="1">
        <v>0.95957999999999999</v>
      </c>
      <c r="I183" s="1">
        <v>0</v>
      </c>
    </row>
    <row r="184" spans="1:9">
      <c r="A184">
        <v>3650</v>
      </c>
      <c r="B184" s="1">
        <v>0.16234000000000001</v>
      </c>
      <c r="C184" s="1">
        <v>1.2708000000000001E-3</v>
      </c>
      <c r="E184">
        <v>149</v>
      </c>
      <c r="F184">
        <v>3650</v>
      </c>
      <c r="G184" s="1">
        <v>0.28142</v>
      </c>
      <c r="H184" s="1">
        <v>0.95957999999999999</v>
      </c>
      <c r="I184" s="1">
        <v>0</v>
      </c>
    </row>
    <row r="185" spans="1:9">
      <c r="A185">
        <v>3650</v>
      </c>
      <c r="B185" s="1">
        <v>0.20548</v>
      </c>
      <c r="C185" s="1">
        <v>1.2712999999999999E-3</v>
      </c>
      <c r="E185">
        <v>150</v>
      </c>
      <c r="F185">
        <v>3650</v>
      </c>
      <c r="G185" s="1">
        <v>0.28142</v>
      </c>
      <c r="H185" s="1">
        <v>0.95957999999999999</v>
      </c>
      <c r="I185" s="1">
        <v>0</v>
      </c>
    </row>
    <row r="187" spans="1:9">
      <c r="A187">
        <v>554</v>
      </c>
      <c r="B187" s="1">
        <v>4.0745000000000003E-2</v>
      </c>
      <c r="C187" s="1">
        <v>1.2201E-3</v>
      </c>
      <c r="E187">
        <v>151</v>
      </c>
      <c r="F187">
        <v>554</v>
      </c>
      <c r="G187" s="1">
        <v>0.29339999999999999</v>
      </c>
      <c r="H187" s="1">
        <v>0.95599000000000001</v>
      </c>
      <c r="I187" s="1">
        <v>0</v>
      </c>
    </row>
    <row r="188" spans="1:9">
      <c r="A188">
        <v>554</v>
      </c>
      <c r="B188" s="1">
        <v>8.1422999999999995E-2</v>
      </c>
      <c r="C188" s="1">
        <v>1.2306999999999999E-3</v>
      </c>
      <c r="E188">
        <v>152</v>
      </c>
      <c r="F188">
        <v>554</v>
      </c>
      <c r="G188" s="1">
        <v>0.29339999999999999</v>
      </c>
      <c r="H188" s="1">
        <v>0.95599000000000001</v>
      </c>
      <c r="I188" s="1">
        <v>0</v>
      </c>
    </row>
    <row r="189" spans="1:9">
      <c r="A189">
        <v>554</v>
      </c>
      <c r="B189" s="1">
        <v>0.12289</v>
      </c>
      <c r="C189" s="1">
        <v>1.2323E-3</v>
      </c>
      <c r="E189">
        <v>153</v>
      </c>
      <c r="F189">
        <v>554</v>
      </c>
      <c r="G189" s="1">
        <v>0.29339999999999999</v>
      </c>
      <c r="H189" s="1">
        <v>0.95599000000000001</v>
      </c>
      <c r="I189" s="1">
        <v>0</v>
      </c>
    </row>
    <row r="190" spans="1:9">
      <c r="A190">
        <v>554</v>
      </c>
      <c r="B190" s="1">
        <v>0.1646</v>
      </c>
      <c r="C190" s="1">
        <v>1.2325000000000001E-3</v>
      </c>
      <c r="E190">
        <v>154</v>
      </c>
      <c r="F190">
        <v>554</v>
      </c>
      <c r="G190" s="1">
        <v>0.29339999999999999</v>
      </c>
      <c r="H190" s="1">
        <v>0.95599000000000001</v>
      </c>
      <c r="I190" s="1">
        <v>0</v>
      </c>
    </row>
    <row r="191" spans="1:9">
      <c r="A191">
        <v>554</v>
      </c>
      <c r="B191" s="1">
        <v>0.20831</v>
      </c>
      <c r="C191" s="1">
        <v>1.2329000000000001E-3</v>
      </c>
      <c r="E191">
        <v>155</v>
      </c>
      <c r="F191">
        <v>554</v>
      </c>
      <c r="G191" s="1">
        <v>0.29339999999999999</v>
      </c>
      <c r="H191" s="1">
        <v>0.95599000000000001</v>
      </c>
      <c r="I191" s="1">
        <v>0</v>
      </c>
    </row>
    <row r="193" spans="1:9">
      <c r="A193">
        <v>3632</v>
      </c>
      <c r="B193" s="1">
        <v>4.1291000000000001E-2</v>
      </c>
      <c r="C193" s="1">
        <v>1.1864E-3</v>
      </c>
      <c r="E193">
        <v>156</v>
      </c>
      <c r="F193">
        <v>3632</v>
      </c>
      <c r="G193" s="1">
        <v>0.30564999999999998</v>
      </c>
      <c r="H193" s="1">
        <v>0.95213999999999999</v>
      </c>
      <c r="I193" s="1">
        <v>0</v>
      </c>
    </row>
    <row r="194" spans="1:9">
      <c r="A194">
        <v>3632</v>
      </c>
      <c r="B194" s="1">
        <v>8.2618999999999998E-2</v>
      </c>
      <c r="C194" s="1">
        <v>1.1965000000000001E-3</v>
      </c>
      <c r="E194">
        <v>157</v>
      </c>
      <c r="F194">
        <v>3632</v>
      </c>
      <c r="G194" s="1">
        <v>0.30564999999999998</v>
      </c>
      <c r="H194" s="1">
        <v>0.95213999999999999</v>
      </c>
      <c r="I194" s="1">
        <v>0</v>
      </c>
    </row>
    <row r="195" spans="1:9">
      <c r="A195">
        <v>3632</v>
      </c>
      <c r="B195" s="1">
        <v>0.12454</v>
      </c>
      <c r="C195" s="1">
        <v>1.1982E-3</v>
      </c>
      <c r="E195">
        <v>158</v>
      </c>
      <c r="F195">
        <v>3632</v>
      </c>
      <c r="G195" s="1">
        <v>0.30564999999999998</v>
      </c>
      <c r="H195" s="1">
        <v>0.95213999999999999</v>
      </c>
      <c r="I195" s="1">
        <v>0</v>
      </c>
    </row>
    <row r="196" spans="1:9">
      <c r="A196">
        <v>3632</v>
      </c>
      <c r="B196" s="1">
        <v>0.16682</v>
      </c>
      <c r="C196" s="1">
        <v>1.1984999999999999E-3</v>
      </c>
      <c r="E196">
        <v>159</v>
      </c>
      <c r="F196">
        <v>3632</v>
      </c>
      <c r="G196" s="1">
        <v>0.30564999999999998</v>
      </c>
      <c r="H196" s="1">
        <v>0.95213999999999999</v>
      </c>
      <c r="I196" s="1">
        <v>0</v>
      </c>
    </row>
    <row r="197" spans="1:9">
      <c r="A197">
        <v>3632</v>
      </c>
      <c r="B197" s="1">
        <v>0.21109</v>
      </c>
      <c r="C197" s="1">
        <v>1.199E-3</v>
      </c>
      <c r="E197">
        <v>160</v>
      </c>
      <c r="F197">
        <v>3632</v>
      </c>
      <c r="G197" s="1">
        <v>0.30564999999999998</v>
      </c>
      <c r="H197" s="1">
        <v>0.95213999999999999</v>
      </c>
      <c r="I197" s="1">
        <v>0</v>
      </c>
    </row>
    <row r="199" spans="1:9">
      <c r="A199">
        <v>11</v>
      </c>
      <c r="B199" s="1">
        <v>4.1880000000000001E-2</v>
      </c>
      <c r="C199" s="1">
        <v>1.1463000000000001E-3</v>
      </c>
      <c r="E199">
        <v>161</v>
      </c>
      <c r="F199">
        <v>11</v>
      </c>
      <c r="G199" s="1">
        <v>0.31818000000000002</v>
      </c>
      <c r="H199" s="1">
        <v>0.94803000000000004</v>
      </c>
      <c r="I199" s="1">
        <v>0</v>
      </c>
    </row>
    <row r="200" spans="1:9">
      <c r="A200">
        <v>11</v>
      </c>
      <c r="B200" s="1">
        <v>8.4013000000000004E-2</v>
      </c>
      <c r="C200" s="1">
        <v>1.1555000000000001E-3</v>
      </c>
      <c r="E200">
        <v>162</v>
      </c>
      <c r="F200">
        <v>11</v>
      </c>
      <c r="G200" s="1">
        <v>0.31818000000000002</v>
      </c>
      <c r="H200" s="1">
        <v>0.94803000000000004</v>
      </c>
      <c r="I200" s="1">
        <v>0</v>
      </c>
    </row>
    <row r="201" spans="1:9">
      <c r="A201">
        <v>11</v>
      </c>
      <c r="B201" s="1">
        <v>0.12639</v>
      </c>
      <c r="C201" s="1">
        <v>1.1571000000000001E-3</v>
      </c>
      <c r="E201">
        <v>163</v>
      </c>
      <c r="F201">
        <v>11</v>
      </c>
      <c r="G201" s="1">
        <v>0.31818000000000002</v>
      </c>
      <c r="H201" s="1">
        <v>0.94803000000000004</v>
      </c>
      <c r="I201" s="1">
        <v>0</v>
      </c>
    </row>
    <row r="202" spans="1:9">
      <c r="A202">
        <v>11</v>
      </c>
      <c r="B202" s="1">
        <v>0.16902</v>
      </c>
      <c r="C202" s="1">
        <v>1.1575999999999999E-3</v>
      </c>
      <c r="E202">
        <v>164</v>
      </c>
      <c r="F202">
        <v>11</v>
      </c>
      <c r="G202" s="1">
        <v>0.31818000000000002</v>
      </c>
      <c r="H202" s="1">
        <v>0.94803000000000004</v>
      </c>
      <c r="I202" s="1">
        <v>0</v>
      </c>
    </row>
    <row r="203" spans="1:9">
      <c r="A203">
        <v>11</v>
      </c>
      <c r="B203" s="1">
        <v>0.21407000000000001</v>
      </c>
      <c r="C203" s="1">
        <v>1.1578999999999999E-3</v>
      </c>
      <c r="E203">
        <v>165</v>
      </c>
      <c r="F203">
        <v>11</v>
      </c>
      <c r="G203" s="1">
        <v>0.31818000000000002</v>
      </c>
      <c r="H203" s="1">
        <v>0.94803000000000004</v>
      </c>
      <c r="I203" s="1">
        <v>0</v>
      </c>
    </row>
    <row r="205" spans="1:9">
      <c r="A205">
        <v>3614</v>
      </c>
      <c r="B205" s="1">
        <v>4.2365E-2</v>
      </c>
      <c r="C205" s="1">
        <v>1.1148E-3</v>
      </c>
      <c r="E205">
        <v>166</v>
      </c>
      <c r="F205">
        <v>3614</v>
      </c>
      <c r="G205" s="1">
        <v>0.33101000000000003</v>
      </c>
      <c r="H205" s="1">
        <v>0.94362999999999997</v>
      </c>
      <c r="I205" s="1">
        <v>0</v>
      </c>
    </row>
    <row r="206" spans="1:9">
      <c r="A206">
        <v>3614</v>
      </c>
      <c r="B206" s="1">
        <v>8.4734000000000004E-2</v>
      </c>
      <c r="C206" s="1">
        <v>1.1241999999999999E-3</v>
      </c>
      <c r="E206">
        <v>167</v>
      </c>
      <c r="F206">
        <v>3614</v>
      </c>
      <c r="G206" s="1">
        <v>0.33101000000000003</v>
      </c>
      <c r="H206" s="1">
        <v>0.94362999999999997</v>
      </c>
      <c r="I206" s="1">
        <v>0</v>
      </c>
    </row>
    <row r="207" spans="1:9">
      <c r="A207">
        <v>3614</v>
      </c>
      <c r="B207" s="1">
        <v>0.12776999999999999</v>
      </c>
      <c r="C207" s="1">
        <v>1.1257999999999999E-3</v>
      </c>
      <c r="E207">
        <v>168</v>
      </c>
      <c r="F207">
        <v>3614</v>
      </c>
      <c r="G207" s="1">
        <v>0.33101000000000003</v>
      </c>
      <c r="H207" s="1">
        <v>0.94362999999999997</v>
      </c>
      <c r="I207" s="1">
        <v>0</v>
      </c>
    </row>
    <row r="208" spans="1:9">
      <c r="A208">
        <v>3614</v>
      </c>
      <c r="B208" s="1">
        <v>0.17116999999999999</v>
      </c>
      <c r="C208" s="1">
        <v>1.1263E-3</v>
      </c>
      <c r="E208">
        <v>169</v>
      </c>
      <c r="F208">
        <v>3614</v>
      </c>
      <c r="G208" s="1">
        <v>0.33101000000000003</v>
      </c>
      <c r="H208" s="1">
        <v>0.94362999999999997</v>
      </c>
      <c r="I208" s="1">
        <v>0</v>
      </c>
    </row>
    <row r="209" spans="1:9">
      <c r="A209">
        <v>3614</v>
      </c>
      <c r="B209" s="1">
        <v>0.21703</v>
      </c>
      <c r="C209" s="1">
        <v>1.1267E-3</v>
      </c>
      <c r="E209">
        <v>170</v>
      </c>
      <c r="F209">
        <v>3614</v>
      </c>
      <c r="G209" s="1">
        <v>0.33101000000000003</v>
      </c>
      <c r="H209" s="1">
        <v>0.94362999999999997</v>
      </c>
      <c r="I209" s="1">
        <v>0</v>
      </c>
    </row>
    <row r="211" spans="1:9">
      <c r="A211">
        <v>545</v>
      </c>
      <c r="B211" s="1">
        <v>4.2882000000000003E-2</v>
      </c>
      <c r="C211" s="1">
        <v>1.0819E-3</v>
      </c>
      <c r="E211">
        <v>171</v>
      </c>
      <c r="F211">
        <v>545</v>
      </c>
      <c r="G211" s="1">
        <v>0.34412999999999999</v>
      </c>
      <c r="H211" s="1">
        <v>0.93891999999999998</v>
      </c>
      <c r="I211" s="1">
        <v>0</v>
      </c>
    </row>
    <row r="212" spans="1:9">
      <c r="A212">
        <v>545</v>
      </c>
      <c r="B212" s="1">
        <v>8.5662000000000002E-2</v>
      </c>
      <c r="C212" s="1">
        <v>1.0912999999999999E-3</v>
      </c>
      <c r="E212">
        <v>172</v>
      </c>
      <c r="F212">
        <v>545</v>
      </c>
      <c r="G212" s="1">
        <v>0.34412999999999999</v>
      </c>
      <c r="H212" s="1">
        <v>0.93891999999999998</v>
      </c>
      <c r="I212" s="1">
        <v>0</v>
      </c>
    </row>
    <row r="213" spans="1:9">
      <c r="A213">
        <v>545</v>
      </c>
      <c r="B213" s="1">
        <v>0.12934000000000001</v>
      </c>
      <c r="C213" s="1">
        <v>1.0927000000000001E-3</v>
      </c>
      <c r="E213">
        <v>173</v>
      </c>
      <c r="F213">
        <v>545</v>
      </c>
      <c r="G213" s="1">
        <v>0.34412999999999999</v>
      </c>
      <c r="H213" s="1">
        <v>0.93891999999999998</v>
      </c>
      <c r="I213" s="1">
        <v>0</v>
      </c>
    </row>
    <row r="214" spans="1:9">
      <c r="A214">
        <v>545</v>
      </c>
      <c r="B214" s="1">
        <v>0.17329</v>
      </c>
      <c r="C214" s="1">
        <v>1.0934E-3</v>
      </c>
      <c r="E214">
        <v>174</v>
      </c>
      <c r="F214">
        <v>545</v>
      </c>
      <c r="G214" s="1">
        <v>0.34412999999999999</v>
      </c>
      <c r="H214" s="1">
        <v>0.93891999999999998</v>
      </c>
      <c r="I214" s="1">
        <v>0</v>
      </c>
    </row>
    <row r="215" spans="1:9">
      <c r="A215">
        <v>545</v>
      </c>
      <c r="B215" s="1">
        <v>0.22020000000000001</v>
      </c>
      <c r="C215" s="1">
        <v>1.0937E-3</v>
      </c>
      <c r="E215">
        <v>175</v>
      </c>
      <c r="F215">
        <v>545</v>
      </c>
      <c r="G215" s="1">
        <v>0.34412999999999999</v>
      </c>
      <c r="H215" s="1">
        <v>0.93891999999999998</v>
      </c>
      <c r="I215" s="1">
        <v>0</v>
      </c>
    </row>
    <row r="217" spans="1:9">
      <c r="A217">
        <v>3596</v>
      </c>
      <c r="B217" s="1">
        <v>4.3394000000000002E-2</v>
      </c>
      <c r="C217" s="1">
        <v>1.0535E-3</v>
      </c>
      <c r="E217">
        <v>176</v>
      </c>
      <c r="F217">
        <v>3596</v>
      </c>
      <c r="G217" s="1">
        <v>0.35759000000000002</v>
      </c>
      <c r="H217" s="1">
        <v>0.93388000000000004</v>
      </c>
      <c r="I217" s="1">
        <v>0</v>
      </c>
    </row>
    <row r="218" spans="1:9">
      <c r="A218">
        <v>3596</v>
      </c>
      <c r="B218" s="1">
        <v>8.6802000000000004E-2</v>
      </c>
      <c r="C218" s="1">
        <v>1.0624E-3</v>
      </c>
      <c r="E218">
        <v>177</v>
      </c>
      <c r="F218">
        <v>3596</v>
      </c>
      <c r="G218" s="1">
        <v>0.35759000000000002</v>
      </c>
      <c r="H218" s="1">
        <v>0.93388000000000004</v>
      </c>
      <c r="I218" s="1">
        <v>0</v>
      </c>
    </row>
    <row r="219" spans="1:9">
      <c r="A219">
        <v>3596</v>
      </c>
      <c r="B219" s="1">
        <v>0.13089000000000001</v>
      </c>
      <c r="C219" s="1">
        <v>1.0640000000000001E-3</v>
      </c>
      <c r="E219">
        <v>178</v>
      </c>
      <c r="F219">
        <v>3596</v>
      </c>
      <c r="G219" s="1">
        <v>0.35759000000000002</v>
      </c>
      <c r="H219" s="1">
        <v>0.93388000000000004</v>
      </c>
      <c r="I219" s="1">
        <v>0</v>
      </c>
    </row>
    <row r="220" spans="1:9">
      <c r="A220">
        <v>3596</v>
      </c>
      <c r="B220" s="1">
        <v>0.17537</v>
      </c>
      <c r="C220" s="1">
        <v>1.0648000000000001E-3</v>
      </c>
      <c r="E220">
        <v>179</v>
      </c>
      <c r="F220">
        <v>3596</v>
      </c>
      <c r="G220" s="1">
        <v>0.35759000000000002</v>
      </c>
      <c r="H220" s="1">
        <v>0.93388000000000004</v>
      </c>
      <c r="I220" s="1">
        <v>0</v>
      </c>
    </row>
    <row r="221" spans="1:9">
      <c r="A221">
        <v>3596</v>
      </c>
      <c r="B221" s="1">
        <v>0.22333</v>
      </c>
      <c r="C221" s="1">
        <v>1.0651E-3</v>
      </c>
      <c r="E221">
        <v>180</v>
      </c>
      <c r="F221">
        <v>3596</v>
      </c>
      <c r="G221" s="1">
        <v>0.35759000000000002</v>
      </c>
      <c r="H221" s="1">
        <v>0.93388000000000004</v>
      </c>
      <c r="I221" s="1">
        <v>0</v>
      </c>
    </row>
    <row r="223" spans="1:9">
      <c r="A223">
        <v>10</v>
      </c>
      <c r="B223" s="1">
        <v>4.3943999999999997E-2</v>
      </c>
      <c r="C223" s="1">
        <v>1.0176E-3</v>
      </c>
      <c r="E223">
        <v>181</v>
      </c>
      <c r="F223">
        <v>10</v>
      </c>
      <c r="G223" s="1">
        <v>0.37139</v>
      </c>
      <c r="H223" s="1">
        <v>0.92847999999999997</v>
      </c>
      <c r="I223" s="1">
        <v>0</v>
      </c>
    </row>
    <row r="224" spans="1:9">
      <c r="A224">
        <v>10</v>
      </c>
      <c r="B224" s="1">
        <v>8.8165999999999994E-2</v>
      </c>
      <c r="C224" s="1">
        <v>1.0257E-3</v>
      </c>
      <c r="E224">
        <v>182</v>
      </c>
      <c r="F224">
        <v>10</v>
      </c>
      <c r="G224" s="1">
        <v>0.37139</v>
      </c>
      <c r="H224" s="1">
        <v>0.92847999999999997</v>
      </c>
      <c r="I224" s="1">
        <v>0</v>
      </c>
    </row>
    <row r="225" spans="1:9">
      <c r="A225">
        <v>10</v>
      </c>
      <c r="B225" s="1">
        <v>0.13266</v>
      </c>
      <c r="C225" s="1">
        <v>1.0269999999999999E-3</v>
      </c>
      <c r="E225">
        <v>183</v>
      </c>
      <c r="F225">
        <v>10</v>
      </c>
      <c r="G225" s="1">
        <v>0.37139</v>
      </c>
      <c r="H225" s="1">
        <v>0.92847999999999997</v>
      </c>
      <c r="I225" s="1">
        <v>0</v>
      </c>
    </row>
    <row r="226" spans="1:9">
      <c r="A226">
        <v>10</v>
      </c>
      <c r="B226" s="1">
        <v>0.17741999999999999</v>
      </c>
      <c r="C226" s="1">
        <v>1.0281000000000001E-3</v>
      </c>
      <c r="E226">
        <v>184</v>
      </c>
      <c r="F226">
        <v>10</v>
      </c>
      <c r="G226" s="1">
        <v>0.37139</v>
      </c>
      <c r="H226" s="1">
        <v>0.92847999999999997</v>
      </c>
      <c r="I226" s="1">
        <v>0</v>
      </c>
    </row>
    <row r="227" spans="1:9">
      <c r="A227">
        <v>10</v>
      </c>
      <c r="B227" s="1">
        <v>0.22670999999999999</v>
      </c>
      <c r="C227" s="1">
        <v>1.0281999999999999E-3</v>
      </c>
      <c r="E227">
        <v>185</v>
      </c>
      <c r="F227">
        <v>10</v>
      </c>
      <c r="G227" s="1">
        <v>0.37139</v>
      </c>
      <c r="H227" s="1">
        <v>0.92847999999999997</v>
      </c>
      <c r="I227" s="1">
        <v>0</v>
      </c>
    </row>
    <row r="229" spans="1:9">
      <c r="A229">
        <v>4244</v>
      </c>
      <c r="B229" s="1">
        <v>4.4395999999999998E-2</v>
      </c>
      <c r="C229" s="1">
        <v>9.9068000000000008E-4</v>
      </c>
      <c r="E229">
        <v>186</v>
      </c>
      <c r="F229">
        <v>4244</v>
      </c>
      <c r="G229" s="1">
        <v>0.38555</v>
      </c>
      <c r="H229" s="1">
        <v>0.92269000000000001</v>
      </c>
      <c r="I229" s="1">
        <v>0</v>
      </c>
    </row>
    <row r="230" spans="1:9">
      <c r="A230">
        <v>4244</v>
      </c>
      <c r="B230" s="1">
        <v>8.8771000000000003E-2</v>
      </c>
      <c r="C230" s="1">
        <v>9.9894999999999997E-4</v>
      </c>
      <c r="E230">
        <v>187</v>
      </c>
      <c r="F230">
        <v>4244</v>
      </c>
      <c r="G230" s="1">
        <v>0.38555</v>
      </c>
      <c r="H230" s="1">
        <v>0.92269000000000001</v>
      </c>
      <c r="I230" s="1">
        <v>0</v>
      </c>
    </row>
    <row r="231" spans="1:9">
      <c r="A231">
        <v>4244</v>
      </c>
      <c r="B231" s="1">
        <v>0.13389000000000001</v>
      </c>
      <c r="C231" s="1">
        <v>1.0004E-3</v>
      </c>
      <c r="E231">
        <v>188</v>
      </c>
      <c r="F231">
        <v>4244</v>
      </c>
      <c r="G231" s="1">
        <v>0.38555</v>
      </c>
      <c r="H231" s="1">
        <v>0.92269000000000001</v>
      </c>
      <c r="I231" s="1">
        <v>0</v>
      </c>
    </row>
    <row r="232" spans="1:9">
      <c r="A232">
        <v>4244</v>
      </c>
      <c r="B232" s="1">
        <v>0.17942</v>
      </c>
      <c r="C232" s="1">
        <v>1.0013000000000001E-3</v>
      </c>
      <c r="E232">
        <v>189</v>
      </c>
      <c r="F232">
        <v>4244</v>
      </c>
      <c r="G232" s="1">
        <v>0.38555</v>
      </c>
      <c r="H232" s="1">
        <v>0.92269000000000001</v>
      </c>
      <c r="I232" s="1">
        <v>0</v>
      </c>
    </row>
    <row r="233" spans="1:9">
      <c r="A233">
        <v>4244</v>
      </c>
      <c r="B233" s="1">
        <v>0.22913</v>
      </c>
      <c r="C233" s="1">
        <v>1.0015E-3</v>
      </c>
      <c r="E233">
        <v>190</v>
      </c>
      <c r="F233">
        <v>4244</v>
      </c>
      <c r="G233" s="1">
        <v>0.38555</v>
      </c>
      <c r="H233" s="1">
        <v>0.92269000000000001</v>
      </c>
      <c r="I233" s="1">
        <v>0</v>
      </c>
    </row>
    <row r="235" spans="1:9">
      <c r="A235">
        <v>707</v>
      </c>
      <c r="B235" s="1">
        <v>4.4873999999999997E-2</v>
      </c>
      <c r="C235" s="1">
        <v>9.6190999999999996E-4</v>
      </c>
      <c r="E235">
        <v>191</v>
      </c>
      <c r="F235">
        <v>707</v>
      </c>
      <c r="G235" s="1">
        <v>0.40007999999999999</v>
      </c>
      <c r="H235" s="1">
        <v>0.91647999999999996</v>
      </c>
      <c r="I235" s="1">
        <v>0</v>
      </c>
    </row>
    <row r="236" spans="1:9">
      <c r="A236">
        <v>707</v>
      </c>
      <c r="B236" s="1">
        <v>8.9607999999999993E-2</v>
      </c>
      <c r="C236" s="1">
        <v>9.7017999999999996E-4</v>
      </c>
      <c r="E236">
        <v>192</v>
      </c>
      <c r="F236">
        <v>707</v>
      </c>
      <c r="G236" s="1">
        <v>0.40007999999999999</v>
      </c>
      <c r="H236" s="1">
        <v>0.91647999999999996</v>
      </c>
      <c r="I236" s="1">
        <v>0</v>
      </c>
    </row>
    <row r="237" spans="1:9">
      <c r="A237">
        <v>707</v>
      </c>
      <c r="B237" s="1">
        <v>0.13535</v>
      </c>
      <c r="C237" s="1">
        <v>9.7146000000000005E-4</v>
      </c>
      <c r="E237">
        <v>193</v>
      </c>
      <c r="F237">
        <v>707</v>
      </c>
      <c r="G237" s="1">
        <v>0.40007999999999999</v>
      </c>
      <c r="H237" s="1">
        <v>0.91647999999999996</v>
      </c>
      <c r="I237" s="1">
        <v>0</v>
      </c>
    </row>
    <row r="238" spans="1:9">
      <c r="A238">
        <v>707</v>
      </c>
      <c r="B238" s="1">
        <v>0.18138000000000001</v>
      </c>
      <c r="C238" s="1">
        <v>9.7236999999999996E-4</v>
      </c>
      <c r="E238">
        <v>194</v>
      </c>
      <c r="F238">
        <v>707</v>
      </c>
      <c r="G238" s="1">
        <v>0.40007999999999999</v>
      </c>
      <c r="H238" s="1">
        <v>0.91647999999999996</v>
      </c>
      <c r="I238" s="1">
        <v>0</v>
      </c>
    </row>
    <row r="239" spans="1:9">
      <c r="A239">
        <v>707</v>
      </c>
      <c r="B239" s="1">
        <v>0.23179</v>
      </c>
      <c r="C239" s="1">
        <v>9.7252000000000005E-4</v>
      </c>
      <c r="E239">
        <v>195</v>
      </c>
      <c r="F239">
        <v>707</v>
      </c>
      <c r="G239" s="1">
        <v>0.40007999999999999</v>
      </c>
      <c r="H239" s="1">
        <v>0.91647999999999996</v>
      </c>
      <c r="I239" s="1">
        <v>0</v>
      </c>
    </row>
    <row r="241" spans="1:9">
      <c r="A241">
        <v>4262</v>
      </c>
      <c r="B241" s="1">
        <v>4.5345999999999997E-2</v>
      </c>
      <c r="C241" s="1">
        <v>9.3764E-4</v>
      </c>
      <c r="E241">
        <v>196</v>
      </c>
      <c r="F241">
        <v>4262</v>
      </c>
      <c r="G241" s="1">
        <v>0.41499999999999998</v>
      </c>
      <c r="H241" s="1">
        <v>0.90981999999999996</v>
      </c>
      <c r="I241" s="1">
        <v>0</v>
      </c>
    </row>
    <row r="242" spans="1:9">
      <c r="A242">
        <v>4262</v>
      </c>
      <c r="B242" s="1">
        <v>9.0680999999999998E-2</v>
      </c>
      <c r="C242" s="1">
        <v>9.4554000000000003E-4</v>
      </c>
      <c r="E242">
        <v>197</v>
      </c>
      <c r="F242">
        <v>4262</v>
      </c>
      <c r="G242" s="1">
        <v>0.41499999999999998</v>
      </c>
      <c r="H242" s="1">
        <v>0.90981999999999996</v>
      </c>
      <c r="I242" s="1">
        <v>0</v>
      </c>
    </row>
    <row r="243" spans="1:9">
      <c r="A243">
        <v>4262</v>
      </c>
      <c r="B243" s="1">
        <v>0.13678000000000001</v>
      </c>
      <c r="C243" s="1">
        <v>9.4693999999999996E-4</v>
      </c>
      <c r="E243">
        <v>198</v>
      </c>
      <c r="F243">
        <v>4262</v>
      </c>
      <c r="G243" s="1">
        <v>0.41499999999999998</v>
      </c>
      <c r="H243" s="1">
        <v>0.90981999999999996</v>
      </c>
      <c r="I243" s="1">
        <v>0</v>
      </c>
    </row>
    <row r="244" spans="1:9">
      <c r="A244">
        <v>4262</v>
      </c>
      <c r="B244" s="1">
        <v>0.18329999999999999</v>
      </c>
      <c r="C244" s="1">
        <v>9.4782999999999998E-4</v>
      </c>
      <c r="E244">
        <v>199</v>
      </c>
      <c r="F244">
        <v>4262</v>
      </c>
      <c r="G244" s="1">
        <v>0.41499999999999998</v>
      </c>
      <c r="H244" s="1">
        <v>0.90981999999999996</v>
      </c>
      <c r="I244" s="1">
        <v>0</v>
      </c>
    </row>
    <row r="245" spans="1:9">
      <c r="A245">
        <v>4262</v>
      </c>
      <c r="B245" s="1">
        <v>0.23441000000000001</v>
      </c>
      <c r="C245" s="1">
        <v>9.4806000000000003E-4</v>
      </c>
      <c r="E245">
        <v>200</v>
      </c>
      <c r="F245">
        <v>4262</v>
      </c>
      <c r="G245" s="1">
        <v>0.41499999999999998</v>
      </c>
      <c r="H245" s="1">
        <v>0.90981999999999996</v>
      </c>
      <c r="I245" s="1">
        <v>0</v>
      </c>
    </row>
    <row r="247" spans="1:9">
      <c r="A247">
        <v>9</v>
      </c>
      <c r="B247" s="1">
        <v>4.5857000000000002E-2</v>
      </c>
      <c r="C247" s="1">
        <v>9.0477999999999999E-4</v>
      </c>
      <c r="E247">
        <v>201</v>
      </c>
      <c r="F247">
        <v>9</v>
      </c>
      <c r="G247" s="1">
        <v>0.43034</v>
      </c>
      <c r="H247" s="1">
        <v>0.90266999999999997</v>
      </c>
      <c r="I247" s="1">
        <v>0</v>
      </c>
    </row>
    <row r="248" spans="1:9">
      <c r="A248">
        <v>9</v>
      </c>
      <c r="B248" s="1">
        <v>9.2008000000000006E-2</v>
      </c>
      <c r="C248" s="1">
        <v>9.1177999999999995E-4</v>
      </c>
      <c r="E248">
        <v>202</v>
      </c>
      <c r="F248">
        <v>9</v>
      </c>
      <c r="G248" s="1">
        <v>0.43034</v>
      </c>
      <c r="H248" s="1">
        <v>0.90266999999999997</v>
      </c>
      <c r="I248" s="1">
        <v>0</v>
      </c>
    </row>
    <row r="249" spans="1:9">
      <c r="A249">
        <v>9</v>
      </c>
      <c r="B249" s="1">
        <v>0.13844999999999999</v>
      </c>
      <c r="C249" s="1">
        <v>9.1295999999999999E-4</v>
      </c>
      <c r="E249">
        <v>203</v>
      </c>
      <c r="F249">
        <v>9</v>
      </c>
      <c r="G249" s="1">
        <v>0.43034</v>
      </c>
      <c r="H249" s="1">
        <v>0.90266999999999997</v>
      </c>
      <c r="I249" s="1">
        <v>0</v>
      </c>
    </row>
    <row r="250" spans="1:9">
      <c r="A250">
        <v>9</v>
      </c>
      <c r="B250" s="1">
        <v>0.18518000000000001</v>
      </c>
      <c r="C250" s="1">
        <v>9.1399000000000005E-4</v>
      </c>
      <c r="E250">
        <v>204</v>
      </c>
      <c r="F250">
        <v>9</v>
      </c>
      <c r="G250" s="1">
        <v>0.43034</v>
      </c>
      <c r="H250" s="1">
        <v>0.90266999999999997</v>
      </c>
      <c r="I250" s="1">
        <v>0</v>
      </c>
    </row>
    <row r="251" spans="1:9">
      <c r="A251">
        <v>9</v>
      </c>
      <c r="B251" s="1">
        <v>0.23729</v>
      </c>
      <c r="C251" s="1">
        <v>9.1405999999999996E-4</v>
      </c>
      <c r="E251">
        <v>205</v>
      </c>
      <c r="F251">
        <v>9</v>
      </c>
      <c r="G251" s="1">
        <v>0.43034</v>
      </c>
      <c r="H251" s="1">
        <v>0.90266999999999997</v>
      </c>
      <c r="I251" s="1">
        <v>0</v>
      </c>
    </row>
    <row r="253" spans="1:9">
      <c r="A253">
        <v>4561</v>
      </c>
      <c r="B253" s="1">
        <v>4.6264E-2</v>
      </c>
      <c r="C253" s="1">
        <v>8.8150999999999995E-4</v>
      </c>
      <c r="E253">
        <v>206</v>
      </c>
      <c r="F253">
        <v>4561</v>
      </c>
      <c r="G253" s="1">
        <v>0.44608999999999999</v>
      </c>
      <c r="H253" s="1">
        <v>0.89498999999999995</v>
      </c>
      <c r="I253" s="1">
        <v>0</v>
      </c>
    </row>
    <row r="254" spans="1:9">
      <c r="A254">
        <v>4561</v>
      </c>
      <c r="B254" s="1">
        <v>9.2483999999999997E-2</v>
      </c>
      <c r="C254" s="1">
        <v>8.8873000000000001E-4</v>
      </c>
      <c r="E254">
        <v>207</v>
      </c>
      <c r="F254">
        <v>4561</v>
      </c>
      <c r="G254" s="1">
        <v>0.44608999999999999</v>
      </c>
      <c r="H254" s="1">
        <v>0.89498999999999995</v>
      </c>
      <c r="I254" s="1">
        <v>0</v>
      </c>
    </row>
    <row r="255" spans="1:9">
      <c r="A255">
        <v>4561</v>
      </c>
      <c r="B255" s="1">
        <v>0.13952000000000001</v>
      </c>
      <c r="C255" s="1">
        <v>8.9004000000000004E-4</v>
      </c>
      <c r="E255">
        <v>208</v>
      </c>
      <c r="F255">
        <v>4561</v>
      </c>
      <c r="G255" s="1">
        <v>0.44608999999999999</v>
      </c>
      <c r="H255" s="1">
        <v>0.89498999999999995</v>
      </c>
      <c r="I255" s="1">
        <v>0</v>
      </c>
    </row>
    <row r="256" spans="1:9">
      <c r="A256">
        <v>4561</v>
      </c>
      <c r="B256" s="1">
        <v>0.18701000000000001</v>
      </c>
      <c r="C256" s="1">
        <v>8.9092000000000001E-4</v>
      </c>
      <c r="E256">
        <v>209</v>
      </c>
      <c r="F256">
        <v>4561</v>
      </c>
      <c r="G256" s="1">
        <v>0.44608999999999999</v>
      </c>
      <c r="H256" s="1">
        <v>0.89498999999999995</v>
      </c>
      <c r="I256" s="1">
        <v>0</v>
      </c>
    </row>
    <row r="257" spans="1:9">
      <c r="A257">
        <v>4561</v>
      </c>
      <c r="B257" s="1">
        <v>0.23956</v>
      </c>
      <c r="C257" s="1">
        <v>8.9112000000000002E-4</v>
      </c>
      <c r="E257">
        <v>210</v>
      </c>
      <c r="F257">
        <v>4561</v>
      </c>
      <c r="G257" s="1">
        <v>0.44608999999999999</v>
      </c>
      <c r="H257" s="1">
        <v>0.89498999999999995</v>
      </c>
      <c r="I257" s="1">
        <v>0</v>
      </c>
    </row>
    <row r="259" spans="1:9">
      <c r="A259">
        <v>781</v>
      </c>
      <c r="B259" s="1">
        <v>4.6698999999999997E-2</v>
      </c>
      <c r="C259" s="1">
        <v>8.5594999999999996E-4</v>
      </c>
      <c r="E259">
        <v>211</v>
      </c>
      <c r="F259">
        <v>781</v>
      </c>
      <c r="G259" s="1">
        <v>0.46229999999999999</v>
      </c>
      <c r="H259" s="1">
        <v>0.88671999999999995</v>
      </c>
      <c r="I259" s="1">
        <v>0</v>
      </c>
    </row>
    <row r="260" spans="1:9">
      <c r="A260">
        <v>781</v>
      </c>
      <c r="B260" s="1">
        <v>9.3218999999999996E-2</v>
      </c>
      <c r="C260" s="1">
        <v>8.6317999999999996E-4</v>
      </c>
      <c r="E260">
        <v>212</v>
      </c>
      <c r="F260">
        <v>781</v>
      </c>
      <c r="G260" s="1">
        <v>0.46229999999999999</v>
      </c>
      <c r="H260" s="1">
        <v>0.88671999999999995</v>
      </c>
      <c r="I260" s="1">
        <v>0</v>
      </c>
    </row>
    <row r="261" spans="1:9">
      <c r="A261">
        <v>781</v>
      </c>
      <c r="B261" s="1">
        <v>0.14085</v>
      </c>
      <c r="C261" s="1">
        <v>8.6432000000000002E-4</v>
      </c>
      <c r="E261">
        <v>213</v>
      </c>
      <c r="F261">
        <v>781</v>
      </c>
      <c r="G261" s="1">
        <v>0.46229999999999999</v>
      </c>
      <c r="H261" s="1">
        <v>0.88671999999999995</v>
      </c>
      <c r="I261" s="1">
        <v>0</v>
      </c>
    </row>
    <row r="262" spans="1:9">
      <c r="A262">
        <v>781</v>
      </c>
      <c r="B262" s="1">
        <v>0.18879000000000001</v>
      </c>
      <c r="C262" s="1">
        <v>8.6523000000000004E-4</v>
      </c>
      <c r="E262">
        <v>214</v>
      </c>
      <c r="F262">
        <v>781</v>
      </c>
      <c r="G262" s="1">
        <v>0.46229999999999999</v>
      </c>
      <c r="H262" s="1">
        <v>0.88671999999999995</v>
      </c>
      <c r="I262" s="1">
        <v>0</v>
      </c>
    </row>
    <row r="263" spans="1:9">
      <c r="A263">
        <v>781</v>
      </c>
      <c r="B263" s="1">
        <v>0.24210000000000001</v>
      </c>
      <c r="C263" s="1">
        <v>8.6534999999999997E-4</v>
      </c>
      <c r="E263">
        <v>215</v>
      </c>
      <c r="F263">
        <v>781</v>
      </c>
      <c r="G263" s="1">
        <v>0.46229999999999999</v>
      </c>
      <c r="H263" s="1">
        <v>0.88671999999999995</v>
      </c>
      <c r="I263" s="1">
        <v>0</v>
      </c>
    </row>
    <row r="265" spans="1:9">
      <c r="A265">
        <v>4543</v>
      </c>
      <c r="B265" s="1">
        <v>4.7125E-2</v>
      </c>
      <c r="C265" s="1">
        <v>8.3491000000000001E-4</v>
      </c>
      <c r="E265">
        <v>216</v>
      </c>
      <c r="F265">
        <v>4543</v>
      </c>
      <c r="G265" s="1">
        <v>0.47893999999999998</v>
      </c>
      <c r="H265" s="1">
        <v>0.87785000000000002</v>
      </c>
      <c r="I265" s="1">
        <v>0</v>
      </c>
    </row>
    <row r="266" spans="1:9">
      <c r="A266">
        <v>4543</v>
      </c>
      <c r="B266" s="1">
        <v>9.4215999999999994E-2</v>
      </c>
      <c r="C266" s="1">
        <v>8.4179999999999997E-4</v>
      </c>
      <c r="E266">
        <v>217</v>
      </c>
      <c r="F266">
        <v>4543</v>
      </c>
      <c r="G266" s="1">
        <v>0.47893999999999998</v>
      </c>
      <c r="H266" s="1">
        <v>0.87785000000000002</v>
      </c>
      <c r="I266" s="1">
        <v>0</v>
      </c>
    </row>
    <row r="267" spans="1:9">
      <c r="A267">
        <v>4543</v>
      </c>
      <c r="B267" s="1">
        <v>0.14213999999999999</v>
      </c>
      <c r="C267" s="1">
        <v>8.4307000000000002E-4</v>
      </c>
      <c r="E267">
        <v>218</v>
      </c>
      <c r="F267">
        <v>4543</v>
      </c>
      <c r="G267" s="1">
        <v>0.47893999999999998</v>
      </c>
      <c r="H267" s="1">
        <v>0.87785000000000002</v>
      </c>
      <c r="I267" s="1">
        <v>0</v>
      </c>
    </row>
    <row r="268" spans="1:9">
      <c r="A268">
        <v>4543</v>
      </c>
      <c r="B268" s="1">
        <v>0.19053</v>
      </c>
      <c r="C268" s="1">
        <v>8.4398000000000003E-4</v>
      </c>
      <c r="E268">
        <v>219</v>
      </c>
      <c r="F268">
        <v>4543</v>
      </c>
      <c r="G268" s="1">
        <v>0.47893999999999998</v>
      </c>
      <c r="H268" s="1">
        <v>0.87785000000000002</v>
      </c>
      <c r="I268" s="1">
        <v>0</v>
      </c>
    </row>
    <row r="269" spans="1:9">
      <c r="A269">
        <v>4543</v>
      </c>
      <c r="B269" s="1">
        <v>0.24459</v>
      </c>
      <c r="C269" s="1">
        <v>8.4418000000000004E-4</v>
      </c>
      <c r="E269">
        <v>220</v>
      </c>
      <c r="F269">
        <v>4543</v>
      </c>
      <c r="G269" s="1">
        <v>0.47893999999999998</v>
      </c>
      <c r="H269" s="1">
        <v>0.87785000000000002</v>
      </c>
      <c r="I269" s="1">
        <v>0</v>
      </c>
    </row>
    <row r="271" spans="1:9">
      <c r="A271">
        <v>8</v>
      </c>
      <c r="B271" s="1">
        <v>4.7586000000000003E-2</v>
      </c>
      <c r="C271" s="1">
        <v>8.0433000000000002E-4</v>
      </c>
      <c r="E271">
        <v>221</v>
      </c>
      <c r="F271">
        <v>8</v>
      </c>
      <c r="G271" s="1">
        <v>0.49608999999999998</v>
      </c>
      <c r="H271" s="1">
        <v>0.86826999999999999</v>
      </c>
      <c r="I271" s="1">
        <v>0</v>
      </c>
    </row>
    <row r="272" spans="1:9">
      <c r="A272">
        <v>8</v>
      </c>
      <c r="B272" s="1">
        <v>9.5485E-2</v>
      </c>
      <c r="C272" s="1">
        <v>8.1028000000000003E-4</v>
      </c>
      <c r="E272">
        <v>222</v>
      </c>
      <c r="F272">
        <v>8</v>
      </c>
      <c r="G272" s="1">
        <v>0.49608999999999998</v>
      </c>
      <c r="H272" s="1">
        <v>0.86826999999999999</v>
      </c>
      <c r="I272" s="1">
        <v>0</v>
      </c>
    </row>
    <row r="273" spans="1:9">
      <c r="A273">
        <v>8</v>
      </c>
      <c r="B273" s="1">
        <v>0.14369000000000001</v>
      </c>
      <c r="C273" s="1">
        <v>8.1130999999999998E-4</v>
      </c>
      <c r="E273">
        <v>223</v>
      </c>
      <c r="F273">
        <v>8</v>
      </c>
      <c r="G273" s="1">
        <v>0.49608999999999998</v>
      </c>
      <c r="H273" s="1">
        <v>0.86826999999999999</v>
      </c>
      <c r="I273" s="1">
        <v>0</v>
      </c>
    </row>
    <row r="274" spans="1:9">
      <c r="A274">
        <v>8</v>
      </c>
      <c r="B274" s="1">
        <v>0.19220999999999999</v>
      </c>
      <c r="C274" s="1">
        <v>8.1238999999999997E-4</v>
      </c>
      <c r="E274">
        <v>224</v>
      </c>
      <c r="F274">
        <v>8</v>
      </c>
      <c r="G274" s="1">
        <v>0.49608999999999998</v>
      </c>
      <c r="H274" s="1">
        <v>0.86826999999999999</v>
      </c>
      <c r="I274" s="1">
        <v>0</v>
      </c>
    </row>
    <row r="275" spans="1:9">
      <c r="A275">
        <v>8</v>
      </c>
      <c r="B275" s="1">
        <v>0.24736</v>
      </c>
      <c r="C275" s="1">
        <v>8.1238999999999997E-4</v>
      </c>
      <c r="E275">
        <v>225</v>
      </c>
      <c r="F275">
        <v>8</v>
      </c>
      <c r="G275" s="1">
        <v>0.49608999999999998</v>
      </c>
      <c r="H275" s="1">
        <v>0.86826999999999999</v>
      </c>
      <c r="I275" s="1">
        <v>0</v>
      </c>
    </row>
    <row r="277" spans="1:9">
      <c r="A277">
        <v>4525</v>
      </c>
      <c r="B277" s="1">
        <v>4.7947999999999998E-2</v>
      </c>
      <c r="C277" s="1">
        <v>7.8425000000000001E-4</v>
      </c>
      <c r="E277">
        <v>226</v>
      </c>
      <c r="F277">
        <v>4525</v>
      </c>
      <c r="G277" s="1">
        <v>0.51368999999999998</v>
      </c>
      <c r="H277" s="1">
        <v>0.85797999999999996</v>
      </c>
      <c r="I277" s="1">
        <v>0</v>
      </c>
    </row>
    <row r="278" spans="1:9">
      <c r="A278">
        <v>4525</v>
      </c>
      <c r="B278" s="1">
        <v>9.5833000000000002E-2</v>
      </c>
      <c r="C278" s="1">
        <v>7.9049000000000003E-4</v>
      </c>
      <c r="E278">
        <v>227</v>
      </c>
      <c r="F278">
        <v>4525</v>
      </c>
      <c r="G278" s="1">
        <v>0.51368999999999998</v>
      </c>
      <c r="H278" s="1">
        <v>0.85797999999999996</v>
      </c>
      <c r="I278" s="1">
        <v>0</v>
      </c>
    </row>
    <row r="279" spans="1:9">
      <c r="A279">
        <v>4525</v>
      </c>
      <c r="B279" s="1">
        <v>0.14460000000000001</v>
      </c>
      <c r="C279" s="1">
        <v>7.9166999999999996E-4</v>
      </c>
      <c r="E279">
        <v>228</v>
      </c>
      <c r="F279">
        <v>4525</v>
      </c>
      <c r="G279" s="1">
        <v>0.51368999999999998</v>
      </c>
      <c r="H279" s="1">
        <v>0.85797999999999996</v>
      </c>
      <c r="I279" s="1">
        <v>0</v>
      </c>
    </row>
    <row r="280" spans="1:9">
      <c r="A280">
        <v>4525</v>
      </c>
      <c r="B280" s="1">
        <v>0.19384999999999999</v>
      </c>
      <c r="C280" s="1">
        <v>7.9263000000000001E-4</v>
      </c>
      <c r="E280">
        <v>229</v>
      </c>
      <c r="F280">
        <v>4525</v>
      </c>
      <c r="G280" s="1">
        <v>0.51368999999999998</v>
      </c>
      <c r="H280" s="1">
        <v>0.85797999999999996</v>
      </c>
      <c r="I280" s="1">
        <v>0</v>
      </c>
    </row>
    <row r="281" spans="1:9">
      <c r="A281">
        <v>4525</v>
      </c>
      <c r="B281" s="1">
        <v>0.24954999999999999</v>
      </c>
      <c r="C281" s="1">
        <v>7.9281000000000002E-4</v>
      </c>
      <c r="E281">
        <v>230</v>
      </c>
      <c r="F281">
        <v>4525</v>
      </c>
      <c r="G281" s="1">
        <v>0.51368999999999998</v>
      </c>
      <c r="H281" s="1">
        <v>0.85797999999999996</v>
      </c>
      <c r="I281" s="1">
        <v>0</v>
      </c>
    </row>
    <row r="283" spans="1:9">
      <c r="A283">
        <v>772</v>
      </c>
      <c r="B283" s="1">
        <v>4.8335000000000003E-2</v>
      </c>
      <c r="C283" s="1">
        <v>7.6135000000000005E-4</v>
      </c>
      <c r="E283">
        <v>231</v>
      </c>
      <c r="F283">
        <v>772</v>
      </c>
      <c r="G283" s="1">
        <v>0.53181999999999996</v>
      </c>
      <c r="H283" s="1">
        <v>0.84685999999999995</v>
      </c>
      <c r="I283" s="1">
        <v>0</v>
      </c>
    </row>
    <row r="284" spans="1:9">
      <c r="A284">
        <v>772</v>
      </c>
      <c r="B284" s="1">
        <v>9.6460000000000004E-2</v>
      </c>
      <c r="C284" s="1">
        <v>7.6758999999999996E-4</v>
      </c>
      <c r="E284">
        <v>232</v>
      </c>
      <c r="F284">
        <v>772</v>
      </c>
      <c r="G284" s="1">
        <v>0.53181999999999996</v>
      </c>
      <c r="H284" s="1">
        <v>0.84685999999999995</v>
      </c>
      <c r="I284" s="1">
        <v>0</v>
      </c>
    </row>
    <row r="285" spans="1:9">
      <c r="A285">
        <v>772</v>
      </c>
      <c r="B285" s="1">
        <v>0.14579</v>
      </c>
      <c r="C285" s="1">
        <v>7.6862000000000002E-4</v>
      </c>
      <c r="E285">
        <v>233</v>
      </c>
      <c r="F285">
        <v>772</v>
      </c>
      <c r="G285" s="1">
        <v>0.53181999999999996</v>
      </c>
      <c r="H285" s="1">
        <v>0.84685999999999995</v>
      </c>
      <c r="I285" s="1">
        <v>0</v>
      </c>
    </row>
    <row r="286" spans="1:9">
      <c r="A286">
        <v>772</v>
      </c>
      <c r="B286" s="1">
        <v>0.19544</v>
      </c>
      <c r="C286" s="1">
        <v>7.6962999999999999E-4</v>
      </c>
      <c r="E286">
        <v>234</v>
      </c>
      <c r="F286">
        <v>772</v>
      </c>
      <c r="G286" s="1">
        <v>0.53181999999999996</v>
      </c>
      <c r="H286" s="1">
        <v>0.84685999999999995</v>
      </c>
      <c r="I286" s="1">
        <v>0</v>
      </c>
    </row>
    <row r="287" spans="1:9">
      <c r="A287">
        <v>772</v>
      </c>
      <c r="B287" s="1">
        <v>0.25205</v>
      </c>
      <c r="C287" s="1">
        <v>7.6970000000000001E-4</v>
      </c>
      <c r="E287">
        <v>235</v>
      </c>
      <c r="F287">
        <v>772</v>
      </c>
      <c r="G287" s="1">
        <v>0.53181999999999996</v>
      </c>
      <c r="H287" s="1">
        <v>0.84685999999999995</v>
      </c>
      <c r="I287" s="1">
        <v>0</v>
      </c>
    </row>
    <row r="289" spans="1:9">
      <c r="A289">
        <v>4507</v>
      </c>
      <c r="B289" s="1">
        <v>4.8711999999999998E-2</v>
      </c>
      <c r="C289" s="1">
        <v>7.4308999999999996E-4</v>
      </c>
      <c r="E289">
        <v>236</v>
      </c>
      <c r="F289">
        <v>4507</v>
      </c>
      <c r="G289" s="1">
        <v>0.55042000000000002</v>
      </c>
      <c r="H289" s="1">
        <v>0.83489000000000002</v>
      </c>
      <c r="I289" s="1">
        <v>0</v>
      </c>
    </row>
    <row r="290" spans="1:9">
      <c r="A290">
        <v>4507</v>
      </c>
      <c r="B290" s="1">
        <v>9.7369999999999998E-2</v>
      </c>
      <c r="C290" s="1">
        <v>7.4903000000000003E-4</v>
      </c>
      <c r="E290">
        <v>237</v>
      </c>
      <c r="F290">
        <v>4507</v>
      </c>
      <c r="G290" s="1">
        <v>0.55042000000000002</v>
      </c>
      <c r="H290" s="1">
        <v>0.83489000000000002</v>
      </c>
      <c r="I290" s="1">
        <v>0</v>
      </c>
    </row>
    <row r="291" spans="1:9">
      <c r="A291">
        <v>4507</v>
      </c>
      <c r="B291" s="1">
        <v>0.14692</v>
      </c>
      <c r="C291" s="1">
        <v>7.5018999999999997E-4</v>
      </c>
      <c r="E291">
        <v>238</v>
      </c>
      <c r="F291">
        <v>4507</v>
      </c>
      <c r="G291" s="1">
        <v>0.55042000000000002</v>
      </c>
      <c r="H291" s="1">
        <v>0.83489000000000002</v>
      </c>
      <c r="I291" s="1">
        <v>0</v>
      </c>
    </row>
    <row r="292" spans="1:9">
      <c r="A292">
        <v>4507</v>
      </c>
      <c r="B292" s="1">
        <v>0.19697000000000001</v>
      </c>
      <c r="C292" s="1">
        <v>7.5122000000000003E-4</v>
      </c>
      <c r="E292">
        <v>239</v>
      </c>
      <c r="F292">
        <v>4507</v>
      </c>
      <c r="G292" s="1">
        <v>0.55042000000000002</v>
      </c>
      <c r="H292" s="1">
        <v>0.83489000000000002</v>
      </c>
      <c r="I292" s="1">
        <v>0</v>
      </c>
    </row>
    <row r="293" spans="1:9">
      <c r="A293">
        <v>4507</v>
      </c>
      <c r="B293" s="1">
        <v>0.25447999999999998</v>
      </c>
      <c r="C293" s="1">
        <v>7.5137999999999995E-4</v>
      </c>
      <c r="E293">
        <v>240</v>
      </c>
      <c r="F293">
        <v>4507</v>
      </c>
      <c r="G293" s="1">
        <v>0.55042000000000002</v>
      </c>
      <c r="H293" s="1">
        <v>0.83489000000000002</v>
      </c>
      <c r="I293" s="1">
        <v>0</v>
      </c>
    </row>
    <row r="295" spans="1:9">
      <c r="A295">
        <v>7</v>
      </c>
      <c r="B295" s="1">
        <v>4.9119000000000003E-2</v>
      </c>
      <c r="C295" s="1">
        <v>7.1440999999999996E-4</v>
      </c>
      <c r="E295">
        <v>241</v>
      </c>
      <c r="F295">
        <v>7</v>
      </c>
      <c r="G295" s="1">
        <v>0.56959000000000004</v>
      </c>
      <c r="H295" s="1">
        <v>0.82193000000000005</v>
      </c>
      <c r="I295" s="1">
        <v>0</v>
      </c>
    </row>
    <row r="296" spans="1:9">
      <c r="A296">
        <v>7</v>
      </c>
      <c r="B296" s="1">
        <v>9.8569000000000004E-2</v>
      </c>
      <c r="C296" s="1">
        <v>7.1935E-4</v>
      </c>
      <c r="E296">
        <v>242</v>
      </c>
      <c r="F296">
        <v>7</v>
      </c>
      <c r="G296" s="1">
        <v>0.56959000000000004</v>
      </c>
      <c r="H296" s="1">
        <v>0.82193000000000005</v>
      </c>
      <c r="I296" s="1">
        <v>0</v>
      </c>
    </row>
    <row r="297" spans="1:9">
      <c r="A297">
        <v>7</v>
      </c>
      <c r="B297" s="1">
        <v>0.14835000000000001</v>
      </c>
      <c r="C297" s="1">
        <v>7.2022999999999998E-4</v>
      </c>
      <c r="E297">
        <v>243</v>
      </c>
      <c r="F297">
        <v>7</v>
      </c>
      <c r="G297" s="1">
        <v>0.56959000000000004</v>
      </c>
      <c r="H297" s="1">
        <v>0.82193000000000005</v>
      </c>
      <c r="I297" s="1">
        <v>0</v>
      </c>
    </row>
    <row r="298" spans="1:9">
      <c r="A298">
        <v>7</v>
      </c>
      <c r="B298" s="1">
        <v>0.19844999999999999</v>
      </c>
      <c r="C298" s="1">
        <v>7.2143000000000001E-4</v>
      </c>
      <c r="E298">
        <v>244</v>
      </c>
      <c r="F298">
        <v>7</v>
      </c>
      <c r="G298" s="1">
        <v>0.56959000000000004</v>
      </c>
      <c r="H298" s="1">
        <v>0.82193000000000005</v>
      </c>
      <c r="I298" s="1">
        <v>0</v>
      </c>
    </row>
    <row r="299" spans="1:9">
      <c r="A299">
        <v>7</v>
      </c>
      <c r="B299" s="1">
        <v>0.25724000000000002</v>
      </c>
      <c r="C299" s="1">
        <v>7.2132999999999995E-4</v>
      </c>
      <c r="E299">
        <v>245</v>
      </c>
      <c r="F299">
        <v>7</v>
      </c>
      <c r="G299" s="1">
        <v>0.56959000000000004</v>
      </c>
      <c r="H299" s="1">
        <v>0.82193000000000005</v>
      </c>
      <c r="I299" s="1">
        <v>0</v>
      </c>
    </row>
    <row r="301" spans="1:9">
      <c r="A301">
        <v>4489</v>
      </c>
      <c r="B301" s="1">
        <v>4.9435E-2</v>
      </c>
      <c r="C301" s="1">
        <v>6.9742000000000003E-4</v>
      </c>
      <c r="E301">
        <v>246</v>
      </c>
      <c r="F301">
        <v>4489</v>
      </c>
      <c r="G301" s="1">
        <v>0.58921000000000001</v>
      </c>
      <c r="H301" s="1">
        <v>0.80798000000000003</v>
      </c>
      <c r="I301" s="1">
        <v>0</v>
      </c>
    </row>
    <row r="302" spans="1:9">
      <c r="A302">
        <v>4489</v>
      </c>
      <c r="B302" s="1">
        <v>9.8784999999999998E-2</v>
      </c>
      <c r="C302" s="1">
        <v>7.0273999999999998E-4</v>
      </c>
      <c r="E302">
        <v>247</v>
      </c>
      <c r="F302">
        <v>4489</v>
      </c>
      <c r="G302" s="1">
        <v>0.58921000000000001</v>
      </c>
      <c r="H302" s="1">
        <v>0.80798000000000003</v>
      </c>
      <c r="I302" s="1">
        <v>0</v>
      </c>
    </row>
    <row r="303" spans="1:9">
      <c r="A303">
        <v>4489</v>
      </c>
      <c r="B303" s="1">
        <v>0.14907999999999999</v>
      </c>
      <c r="C303" s="1">
        <v>7.0381000000000003E-4</v>
      </c>
      <c r="E303">
        <v>248</v>
      </c>
      <c r="F303">
        <v>4489</v>
      </c>
      <c r="G303" s="1">
        <v>0.58921000000000001</v>
      </c>
      <c r="H303" s="1">
        <v>0.80798000000000003</v>
      </c>
      <c r="I303" s="1">
        <v>0</v>
      </c>
    </row>
    <row r="304" spans="1:9">
      <c r="A304">
        <v>4489</v>
      </c>
      <c r="B304" s="1">
        <v>0.19988</v>
      </c>
      <c r="C304" s="1">
        <v>7.0487999999999996E-4</v>
      </c>
      <c r="E304">
        <v>249</v>
      </c>
      <c r="F304">
        <v>4489</v>
      </c>
      <c r="G304" s="1">
        <v>0.58921000000000001</v>
      </c>
      <c r="H304" s="1">
        <v>0.80798000000000003</v>
      </c>
      <c r="I304" s="1">
        <v>0</v>
      </c>
    </row>
    <row r="305" spans="1:9">
      <c r="A305">
        <v>4489</v>
      </c>
      <c r="B305" s="1">
        <v>0.25929000000000002</v>
      </c>
      <c r="C305" s="1">
        <v>7.0502E-4</v>
      </c>
      <c r="E305">
        <v>250</v>
      </c>
      <c r="F305">
        <v>4489</v>
      </c>
      <c r="G305" s="1">
        <v>0.58921000000000001</v>
      </c>
      <c r="H305" s="1">
        <v>0.80798000000000003</v>
      </c>
      <c r="I305" s="1">
        <v>0</v>
      </c>
    </row>
    <row r="307" spans="1:9">
      <c r="A307">
        <v>763</v>
      </c>
      <c r="B307" s="1">
        <v>4.9768E-2</v>
      </c>
      <c r="C307" s="1">
        <v>6.7696E-4</v>
      </c>
      <c r="E307">
        <v>251</v>
      </c>
      <c r="F307">
        <v>763</v>
      </c>
      <c r="G307" s="1">
        <v>0.60941000000000001</v>
      </c>
      <c r="H307" s="1">
        <v>0.79286000000000001</v>
      </c>
      <c r="I307" s="1">
        <v>0</v>
      </c>
    </row>
    <row r="308" spans="1:9">
      <c r="A308">
        <v>763</v>
      </c>
      <c r="B308" s="1">
        <v>9.9299999999999999E-2</v>
      </c>
      <c r="C308" s="1">
        <v>6.8227999999999995E-4</v>
      </c>
      <c r="E308">
        <v>252</v>
      </c>
      <c r="F308">
        <v>763</v>
      </c>
      <c r="G308" s="1">
        <v>0.60941000000000001</v>
      </c>
      <c r="H308" s="1">
        <v>0.79286000000000001</v>
      </c>
      <c r="I308" s="1">
        <v>0</v>
      </c>
    </row>
    <row r="309" spans="1:9">
      <c r="A309">
        <v>763</v>
      </c>
      <c r="B309" s="1">
        <v>0.15010999999999999</v>
      </c>
      <c r="C309" s="1">
        <v>6.8318000000000003E-4</v>
      </c>
      <c r="E309">
        <v>253</v>
      </c>
      <c r="F309">
        <v>763</v>
      </c>
      <c r="G309" s="1">
        <v>0.60941000000000001</v>
      </c>
      <c r="H309" s="1">
        <v>0.79286000000000001</v>
      </c>
      <c r="I309" s="1">
        <v>0</v>
      </c>
    </row>
    <row r="310" spans="1:9">
      <c r="A310">
        <v>763</v>
      </c>
      <c r="B310" s="1">
        <v>0.20125999999999999</v>
      </c>
      <c r="C310" s="1">
        <v>6.8429000000000005E-4</v>
      </c>
      <c r="E310">
        <v>254</v>
      </c>
      <c r="F310">
        <v>763</v>
      </c>
      <c r="G310" s="1">
        <v>0.60941000000000001</v>
      </c>
      <c r="H310" s="1">
        <v>0.79286000000000001</v>
      </c>
      <c r="I310" s="1">
        <v>0</v>
      </c>
    </row>
    <row r="311" spans="1:9">
      <c r="A311">
        <v>763</v>
      </c>
      <c r="B311" s="1">
        <v>0.26168000000000002</v>
      </c>
      <c r="C311" s="1">
        <v>6.8431000000000004E-4</v>
      </c>
      <c r="E311">
        <v>255</v>
      </c>
      <c r="F311">
        <v>763</v>
      </c>
      <c r="G311" s="1">
        <v>0.60941000000000001</v>
      </c>
      <c r="H311" s="1">
        <v>0.79286000000000001</v>
      </c>
      <c r="I311" s="1">
        <v>0</v>
      </c>
    </row>
    <row r="313" spans="1:9">
      <c r="A313">
        <v>4471</v>
      </c>
      <c r="B313" s="1">
        <v>5.0091999999999998E-2</v>
      </c>
      <c r="C313" s="1">
        <v>6.6131000000000002E-4</v>
      </c>
      <c r="E313">
        <v>256</v>
      </c>
      <c r="F313">
        <v>4471</v>
      </c>
      <c r="G313" s="1">
        <v>0.63002999999999998</v>
      </c>
      <c r="H313" s="1">
        <v>0.77656999999999998</v>
      </c>
      <c r="I313" s="1">
        <v>0</v>
      </c>
    </row>
    <row r="314" spans="1:9">
      <c r="A314">
        <v>4471</v>
      </c>
      <c r="B314" s="1">
        <v>0.10011</v>
      </c>
      <c r="C314" s="1">
        <v>6.6635000000000002E-4</v>
      </c>
      <c r="E314">
        <v>257</v>
      </c>
      <c r="F314">
        <v>4471</v>
      </c>
      <c r="G314" s="1">
        <v>0.63002999999999998</v>
      </c>
      <c r="H314" s="1">
        <v>0.77656999999999998</v>
      </c>
      <c r="I314" s="1">
        <v>0</v>
      </c>
    </row>
    <row r="315" spans="1:9">
      <c r="A315">
        <v>4471</v>
      </c>
      <c r="B315" s="1">
        <v>0.15107999999999999</v>
      </c>
      <c r="C315" s="1">
        <v>6.6739999999999996E-4</v>
      </c>
      <c r="E315">
        <v>258</v>
      </c>
      <c r="F315">
        <v>4471</v>
      </c>
      <c r="G315" s="1">
        <v>0.63002999999999998</v>
      </c>
      <c r="H315" s="1">
        <v>0.77656999999999998</v>
      </c>
      <c r="I315" s="1">
        <v>0</v>
      </c>
    </row>
    <row r="316" spans="1:9">
      <c r="A316">
        <v>4471</v>
      </c>
      <c r="B316" s="1">
        <v>0.20257</v>
      </c>
      <c r="C316" s="1">
        <v>6.6848999999999999E-4</v>
      </c>
      <c r="E316">
        <v>259</v>
      </c>
      <c r="F316">
        <v>4471</v>
      </c>
      <c r="G316" s="1">
        <v>0.63002999999999998</v>
      </c>
      <c r="H316" s="1">
        <v>0.77656999999999998</v>
      </c>
      <c r="I316" s="1">
        <v>0</v>
      </c>
    </row>
    <row r="317" spans="1:9">
      <c r="A317">
        <v>4471</v>
      </c>
      <c r="B317" s="1">
        <v>0.26400000000000001</v>
      </c>
      <c r="C317" s="1">
        <v>6.6863999999999997E-4</v>
      </c>
      <c r="E317">
        <v>260</v>
      </c>
      <c r="F317">
        <v>4471</v>
      </c>
      <c r="G317" s="1">
        <v>0.63002999999999998</v>
      </c>
      <c r="H317" s="1">
        <v>0.77656999999999998</v>
      </c>
      <c r="I317" s="1">
        <v>0</v>
      </c>
    </row>
    <row r="319" spans="1:9">
      <c r="A319">
        <v>6</v>
      </c>
      <c r="B319" s="1">
        <v>5.0442000000000001E-2</v>
      </c>
      <c r="C319" s="1">
        <v>6.3447999999999998E-4</v>
      </c>
      <c r="E319">
        <v>261</v>
      </c>
      <c r="F319">
        <v>6</v>
      </c>
      <c r="G319" s="1">
        <v>0.65120999999999996</v>
      </c>
      <c r="H319" s="1">
        <v>0.75890000000000002</v>
      </c>
      <c r="I319" s="1">
        <v>0</v>
      </c>
    </row>
    <row r="320" spans="1:9">
      <c r="A320">
        <v>6</v>
      </c>
      <c r="B320" s="1">
        <v>0.10123</v>
      </c>
      <c r="C320" s="1">
        <v>6.3847000000000003E-4</v>
      </c>
      <c r="E320">
        <v>262</v>
      </c>
      <c r="F320">
        <v>6</v>
      </c>
      <c r="G320" s="1">
        <v>0.65120999999999996</v>
      </c>
      <c r="H320" s="1">
        <v>0.75890000000000002</v>
      </c>
      <c r="I320" s="1">
        <v>0</v>
      </c>
    </row>
    <row r="321" spans="1:9">
      <c r="A321">
        <v>6</v>
      </c>
      <c r="B321" s="1">
        <v>0.15236</v>
      </c>
      <c r="C321" s="1">
        <v>6.3918999999999998E-4</v>
      </c>
      <c r="E321">
        <v>263</v>
      </c>
      <c r="F321">
        <v>6</v>
      </c>
      <c r="G321" s="1">
        <v>0.65120999999999996</v>
      </c>
      <c r="H321" s="1">
        <v>0.75890000000000002</v>
      </c>
      <c r="I321" s="1">
        <v>0</v>
      </c>
    </row>
    <row r="322" spans="1:9">
      <c r="A322">
        <v>6</v>
      </c>
      <c r="B322" s="1">
        <v>0.20383000000000001</v>
      </c>
      <c r="C322" s="1">
        <v>6.4039000000000001E-4</v>
      </c>
      <c r="E322">
        <v>264</v>
      </c>
      <c r="F322">
        <v>6</v>
      </c>
      <c r="G322" s="1">
        <v>0.65120999999999996</v>
      </c>
      <c r="H322" s="1">
        <v>0.75890000000000002</v>
      </c>
      <c r="I322" s="1">
        <v>0</v>
      </c>
    </row>
    <row r="323" spans="1:9">
      <c r="A323">
        <v>6</v>
      </c>
      <c r="B323" s="1">
        <v>0.26667999999999997</v>
      </c>
      <c r="C323" s="1">
        <v>6.4006000000000002E-4</v>
      </c>
      <c r="E323">
        <v>265</v>
      </c>
      <c r="F323">
        <v>6</v>
      </c>
      <c r="G323" s="1">
        <v>0.65120999999999996</v>
      </c>
      <c r="H323" s="1">
        <v>0.75890000000000002</v>
      </c>
      <c r="I323" s="1">
        <v>0</v>
      </c>
    </row>
    <row r="325" spans="1:9">
      <c r="A325">
        <v>4453</v>
      </c>
      <c r="B325" s="1">
        <v>5.0703999999999999E-2</v>
      </c>
      <c r="C325" s="1">
        <v>6.2067000000000003E-4</v>
      </c>
      <c r="E325">
        <v>266</v>
      </c>
      <c r="F325">
        <v>4453</v>
      </c>
      <c r="G325" s="1">
        <v>0.67276999999999998</v>
      </c>
      <c r="H325" s="1">
        <v>0.73985999999999996</v>
      </c>
      <c r="I325" s="1">
        <v>0</v>
      </c>
    </row>
    <row r="326" spans="1:9">
      <c r="A326">
        <v>4453</v>
      </c>
      <c r="B326" s="1">
        <v>0.10131</v>
      </c>
      <c r="C326" s="1">
        <v>6.2514000000000005E-4</v>
      </c>
      <c r="E326">
        <v>267</v>
      </c>
      <c r="F326">
        <v>4453</v>
      </c>
      <c r="G326" s="1">
        <v>0.67276999999999998</v>
      </c>
      <c r="H326" s="1">
        <v>0.73985999999999996</v>
      </c>
      <c r="I326" s="1">
        <v>0</v>
      </c>
    </row>
    <row r="327" spans="1:9">
      <c r="A327">
        <v>4453</v>
      </c>
      <c r="B327" s="1">
        <v>0.15290999999999999</v>
      </c>
      <c r="C327" s="1">
        <v>6.2609000000000004E-4</v>
      </c>
      <c r="E327">
        <v>268</v>
      </c>
      <c r="F327">
        <v>4453</v>
      </c>
      <c r="G327" s="1">
        <v>0.67276999999999998</v>
      </c>
      <c r="H327" s="1">
        <v>0.73985999999999996</v>
      </c>
      <c r="I327" s="1">
        <v>0</v>
      </c>
    </row>
    <row r="328" spans="1:9">
      <c r="A328">
        <v>4453</v>
      </c>
      <c r="B328" s="1">
        <v>0.20504</v>
      </c>
      <c r="C328" s="1">
        <v>6.2704999999999998E-4</v>
      </c>
      <c r="E328">
        <v>269</v>
      </c>
      <c r="F328">
        <v>4453</v>
      </c>
      <c r="G328" s="1">
        <v>0.67276999999999998</v>
      </c>
      <c r="H328" s="1">
        <v>0.73985999999999996</v>
      </c>
      <c r="I328" s="1">
        <v>0</v>
      </c>
    </row>
    <row r="329" spans="1:9">
      <c r="A329">
        <v>4453</v>
      </c>
      <c r="B329" s="1">
        <v>0.26767000000000002</v>
      </c>
      <c r="C329" s="1">
        <v>6.2708999999999996E-4</v>
      </c>
      <c r="E329">
        <v>270</v>
      </c>
      <c r="F329">
        <v>4453</v>
      </c>
      <c r="G329" s="1">
        <v>0.67276999999999998</v>
      </c>
      <c r="H329" s="1">
        <v>0.73985999999999996</v>
      </c>
      <c r="I329" s="1">
        <v>0</v>
      </c>
    </row>
    <row r="331" spans="1:9">
      <c r="A331">
        <v>754</v>
      </c>
      <c r="B331" s="1">
        <v>5.0982E-2</v>
      </c>
      <c r="C331" s="1">
        <v>6.0265999999999998E-4</v>
      </c>
      <c r="E331">
        <v>271</v>
      </c>
      <c r="F331">
        <v>754</v>
      </c>
      <c r="G331" s="1">
        <v>0.69481000000000004</v>
      </c>
      <c r="H331" s="1">
        <v>0.71919999999999995</v>
      </c>
      <c r="I331" s="1">
        <v>0</v>
      </c>
    </row>
    <row r="332" spans="1:9">
      <c r="A332">
        <v>754</v>
      </c>
      <c r="B332" s="1">
        <v>0.10170999999999999</v>
      </c>
      <c r="C332" s="1">
        <v>6.0713E-4</v>
      </c>
      <c r="E332">
        <v>272</v>
      </c>
      <c r="F332">
        <v>754</v>
      </c>
      <c r="G332" s="1">
        <v>0.69481000000000004</v>
      </c>
      <c r="H332" s="1">
        <v>0.71919999999999995</v>
      </c>
      <c r="I332" s="1">
        <v>0</v>
      </c>
    </row>
    <row r="333" spans="1:9">
      <c r="A333">
        <v>754</v>
      </c>
      <c r="B333" s="1">
        <v>0.15376999999999999</v>
      </c>
      <c r="C333" s="1">
        <v>6.0789000000000004E-4</v>
      </c>
      <c r="E333">
        <v>273</v>
      </c>
      <c r="F333">
        <v>754</v>
      </c>
      <c r="G333" s="1">
        <v>0.69481000000000004</v>
      </c>
      <c r="H333" s="1">
        <v>0.71919999999999995</v>
      </c>
      <c r="I333" s="1">
        <v>0</v>
      </c>
    </row>
    <row r="334" spans="1:9">
      <c r="A334">
        <v>754</v>
      </c>
      <c r="B334" s="1">
        <v>0.20619000000000001</v>
      </c>
      <c r="C334" s="1">
        <v>6.0880000000000005E-4</v>
      </c>
      <c r="E334">
        <v>274</v>
      </c>
      <c r="F334">
        <v>754</v>
      </c>
      <c r="G334" s="1">
        <v>0.69481000000000004</v>
      </c>
      <c r="H334" s="1">
        <v>0.71919999999999995</v>
      </c>
      <c r="I334" s="1">
        <v>0</v>
      </c>
    </row>
    <row r="335" spans="1:9">
      <c r="A335">
        <v>754</v>
      </c>
      <c r="B335" s="1">
        <v>0.26901000000000003</v>
      </c>
      <c r="C335" s="1">
        <v>6.0873999999999998E-4</v>
      </c>
      <c r="E335">
        <v>275</v>
      </c>
      <c r="F335">
        <v>754</v>
      </c>
      <c r="G335" s="1">
        <v>0.69481000000000004</v>
      </c>
      <c r="H335" s="1">
        <v>0.71919999999999995</v>
      </c>
      <c r="I335" s="1">
        <v>0</v>
      </c>
    </row>
    <row r="337" spans="1:9">
      <c r="A337">
        <v>4435</v>
      </c>
      <c r="B337" s="1">
        <v>5.1249000000000003E-2</v>
      </c>
      <c r="C337" s="1">
        <v>5.8962000000000001E-4</v>
      </c>
      <c r="E337">
        <v>276</v>
      </c>
      <c r="F337">
        <v>4435</v>
      </c>
      <c r="G337" s="1">
        <v>0.71711000000000003</v>
      </c>
      <c r="H337" s="1">
        <v>0.69696000000000002</v>
      </c>
      <c r="I337" s="1">
        <v>0</v>
      </c>
    </row>
    <row r="338" spans="1:9">
      <c r="A338">
        <v>4435</v>
      </c>
      <c r="B338" s="1">
        <v>0.10242</v>
      </c>
      <c r="C338" s="1">
        <v>5.9383999999999999E-4</v>
      </c>
      <c r="E338">
        <v>277</v>
      </c>
      <c r="F338">
        <v>4435</v>
      </c>
      <c r="G338" s="1">
        <v>0.71711000000000003</v>
      </c>
      <c r="H338" s="1">
        <v>0.69696000000000002</v>
      </c>
      <c r="I338" s="1">
        <v>0</v>
      </c>
    </row>
    <row r="339" spans="1:9">
      <c r="A339">
        <v>4435</v>
      </c>
      <c r="B339" s="1">
        <v>0.15458</v>
      </c>
      <c r="C339" s="1">
        <v>5.9475999999999995E-4</v>
      </c>
      <c r="E339">
        <v>278</v>
      </c>
      <c r="F339">
        <v>4435</v>
      </c>
      <c r="G339" s="1">
        <v>0.71711000000000003</v>
      </c>
      <c r="H339" s="1">
        <v>0.69696000000000002</v>
      </c>
      <c r="I339" s="1">
        <v>0</v>
      </c>
    </row>
    <row r="340" spans="1:9">
      <c r="A340">
        <v>4435</v>
      </c>
      <c r="B340" s="1">
        <v>0.20727000000000001</v>
      </c>
      <c r="C340" s="1">
        <v>5.9557999999999996E-4</v>
      </c>
      <c r="E340">
        <v>279</v>
      </c>
      <c r="F340">
        <v>4435</v>
      </c>
      <c r="G340" s="1">
        <v>0.71711000000000003</v>
      </c>
      <c r="H340" s="1">
        <v>0.69696000000000002</v>
      </c>
      <c r="I340" s="1">
        <v>0</v>
      </c>
    </row>
    <row r="341" spans="1:9">
      <c r="A341">
        <v>4435</v>
      </c>
      <c r="B341" s="1">
        <v>0.27028999999999997</v>
      </c>
      <c r="C341" s="1">
        <v>5.9566000000000003E-4</v>
      </c>
      <c r="E341">
        <v>280</v>
      </c>
      <c r="F341">
        <v>4435</v>
      </c>
      <c r="G341" s="1">
        <v>0.71711000000000003</v>
      </c>
      <c r="H341" s="1">
        <v>0.69696000000000002</v>
      </c>
      <c r="I341" s="1">
        <v>0</v>
      </c>
    </row>
    <row r="343" spans="1:9">
      <c r="A343">
        <v>5</v>
      </c>
      <c r="B343" s="1">
        <v>5.1541999999999998E-2</v>
      </c>
      <c r="C343" s="1">
        <v>5.6481999999999995E-4</v>
      </c>
      <c r="E343">
        <v>281</v>
      </c>
      <c r="F343">
        <v>5</v>
      </c>
      <c r="G343" s="1">
        <v>0.73980000000000001</v>
      </c>
      <c r="H343" s="1">
        <v>0.67283000000000004</v>
      </c>
      <c r="I343" s="1">
        <v>0</v>
      </c>
    </row>
    <row r="344" spans="1:9">
      <c r="A344">
        <v>5</v>
      </c>
      <c r="B344" s="1">
        <v>0.10344</v>
      </c>
      <c r="C344" s="1">
        <v>5.6793000000000002E-4</v>
      </c>
      <c r="E344">
        <v>282</v>
      </c>
      <c r="F344">
        <v>5</v>
      </c>
      <c r="G344" s="1">
        <v>0.73980000000000001</v>
      </c>
      <c r="H344" s="1">
        <v>0.67283000000000004</v>
      </c>
      <c r="I344" s="1">
        <v>0</v>
      </c>
    </row>
    <row r="345" spans="1:9">
      <c r="A345">
        <v>5</v>
      </c>
      <c r="B345" s="1">
        <v>0.15570000000000001</v>
      </c>
      <c r="C345" s="1">
        <v>5.6846999999999996E-4</v>
      </c>
      <c r="E345">
        <v>283</v>
      </c>
      <c r="F345">
        <v>5</v>
      </c>
      <c r="G345" s="1">
        <v>0.73980000000000001</v>
      </c>
      <c r="H345" s="1">
        <v>0.67283000000000004</v>
      </c>
      <c r="I345" s="1">
        <v>0</v>
      </c>
    </row>
    <row r="346" spans="1:9">
      <c r="A346">
        <v>5</v>
      </c>
      <c r="B346" s="1">
        <v>0.20830000000000001</v>
      </c>
      <c r="C346" s="1">
        <v>5.6933999999999999E-4</v>
      </c>
      <c r="E346">
        <v>284</v>
      </c>
      <c r="F346">
        <v>5</v>
      </c>
      <c r="G346" s="1">
        <v>0.73980000000000001</v>
      </c>
      <c r="H346" s="1">
        <v>0.67283000000000004</v>
      </c>
      <c r="I346" s="1">
        <v>0</v>
      </c>
    </row>
    <row r="347" spans="1:9">
      <c r="A347">
        <v>5</v>
      </c>
      <c r="B347" s="1">
        <v>0.27192</v>
      </c>
      <c r="C347" s="1">
        <v>5.6906999999999997E-4</v>
      </c>
      <c r="E347">
        <v>285</v>
      </c>
      <c r="F347">
        <v>5</v>
      </c>
      <c r="G347" s="1">
        <v>0.73980000000000001</v>
      </c>
      <c r="H347" s="1">
        <v>0.67283000000000004</v>
      </c>
      <c r="I347" s="1">
        <v>0</v>
      </c>
    </row>
    <row r="349" spans="1:9">
      <c r="A349">
        <v>4417</v>
      </c>
      <c r="B349" s="1">
        <v>5.1744999999999999E-2</v>
      </c>
      <c r="C349" s="1">
        <v>5.5451000000000003E-4</v>
      </c>
      <c r="E349">
        <v>286</v>
      </c>
      <c r="F349">
        <v>4417</v>
      </c>
      <c r="G349" s="1">
        <v>0.76258000000000004</v>
      </c>
      <c r="H349" s="1">
        <v>0.64688999999999997</v>
      </c>
      <c r="I349" s="1">
        <v>0</v>
      </c>
    </row>
    <row r="350" spans="1:9">
      <c r="A350">
        <v>4417</v>
      </c>
      <c r="B350" s="1">
        <v>0.10339</v>
      </c>
      <c r="C350" s="1">
        <v>5.5822000000000001E-4</v>
      </c>
      <c r="E350">
        <v>287</v>
      </c>
      <c r="F350">
        <v>4417</v>
      </c>
      <c r="G350" s="1">
        <v>0.76258000000000004</v>
      </c>
      <c r="H350" s="1">
        <v>0.64688999999999997</v>
      </c>
      <c r="I350" s="1">
        <v>0</v>
      </c>
    </row>
    <row r="351" spans="1:9">
      <c r="A351">
        <v>4417</v>
      </c>
      <c r="B351" s="1">
        <v>0.15606</v>
      </c>
      <c r="C351" s="1">
        <v>5.5902999999999997E-4</v>
      </c>
      <c r="E351">
        <v>288</v>
      </c>
      <c r="F351">
        <v>4417</v>
      </c>
      <c r="G351" s="1">
        <v>0.76258000000000004</v>
      </c>
      <c r="H351" s="1">
        <v>0.64688999999999997</v>
      </c>
      <c r="I351" s="1">
        <v>0</v>
      </c>
    </row>
    <row r="352" spans="1:9">
      <c r="A352">
        <v>4417</v>
      </c>
      <c r="B352" s="1">
        <v>0.20927999999999999</v>
      </c>
      <c r="C352" s="1">
        <v>5.5968999999999995E-4</v>
      </c>
      <c r="E352">
        <v>289</v>
      </c>
      <c r="F352">
        <v>4417</v>
      </c>
      <c r="G352" s="1">
        <v>0.76258000000000004</v>
      </c>
      <c r="H352" s="1">
        <v>0.64688999999999997</v>
      </c>
      <c r="I352" s="1">
        <v>0</v>
      </c>
    </row>
    <row r="353" spans="1:9">
      <c r="A353">
        <v>4417</v>
      </c>
      <c r="B353" s="1">
        <v>0.27243000000000001</v>
      </c>
      <c r="C353" s="1">
        <v>5.5975999999999997E-4</v>
      </c>
      <c r="E353">
        <v>290</v>
      </c>
      <c r="F353">
        <v>4417</v>
      </c>
      <c r="G353" s="1">
        <v>0.76258000000000004</v>
      </c>
      <c r="H353" s="1">
        <v>0.64688999999999997</v>
      </c>
      <c r="I353" s="1">
        <v>0</v>
      </c>
    </row>
    <row r="355" spans="1:9">
      <c r="A355">
        <v>745</v>
      </c>
      <c r="B355" s="1">
        <v>5.1964999999999997E-2</v>
      </c>
      <c r="C355" s="1">
        <v>5.3910000000000004E-4</v>
      </c>
      <c r="E355">
        <v>291</v>
      </c>
      <c r="F355">
        <v>745</v>
      </c>
      <c r="G355" s="1">
        <v>0.78554000000000002</v>
      </c>
      <c r="H355" s="1">
        <v>0.61880999999999997</v>
      </c>
      <c r="I355" s="1">
        <v>0</v>
      </c>
    </row>
    <row r="356" spans="1:9">
      <c r="A356">
        <v>745</v>
      </c>
      <c r="B356" s="1">
        <v>0.10367</v>
      </c>
      <c r="C356" s="1">
        <v>5.4279999999999997E-4</v>
      </c>
      <c r="E356">
        <v>292</v>
      </c>
      <c r="F356">
        <v>745</v>
      </c>
      <c r="G356" s="1">
        <v>0.78554000000000002</v>
      </c>
      <c r="H356" s="1">
        <v>0.61880999999999997</v>
      </c>
      <c r="I356" s="1">
        <v>0</v>
      </c>
    </row>
    <row r="357" spans="1:9">
      <c r="A357">
        <v>745</v>
      </c>
      <c r="B357" s="1">
        <v>0.15675</v>
      </c>
      <c r="C357" s="1">
        <v>5.4341000000000003E-4</v>
      </c>
      <c r="E357">
        <v>293</v>
      </c>
      <c r="F357">
        <v>745</v>
      </c>
      <c r="G357" s="1">
        <v>0.78554000000000002</v>
      </c>
      <c r="H357" s="1">
        <v>0.61880999999999997</v>
      </c>
      <c r="I357" s="1">
        <v>0</v>
      </c>
    </row>
    <row r="358" spans="1:9">
      <c r="A358">
        <v>745</v>
      </c>
      <c r="B358" s="1">
        <v>0.21018999999999999</v>
      </c>
      <c r="C358" s="1">
        <v>5.4401999999999999E-4</v>
      </c>
      <c r="E358">
        <v>294</v>
      </c>
      <c r="F358">
        <v>745</v>
      </c>
      <c r="G358" s="1">
        <v>0.78554000000000002</v>
      </c>
      <c r="H358" s="1">
        <v>0.61880999999999997</v>
      </c>
      <c r="I358" s="1">
        <v>0</v>
      </c>
    </row>
    <row r="359" spans="1:9">
      <c r="A359">
        <v>745</v>
      </c>
      <c r="B359" s="1">
        <v>0.27331</v>
      </c>
      <c r="C359" s="1">
        <v>5.4398000000000001E-4</v>
      </c>
      <c r="E359">
        <v>295</v>
      </c>
      <c r="F359">
        <v>745</v>
      </c>
      <c r="G359" s="1">
        <v>0.78554000000000002</v>
      </c>
      <c r="H359" s="1">
        <v>0.61880999999999997</v>
      </c>
      <c r="I359" s="1">
        <v>0</v>
      </c>
    </row>
    <row r="361" spans="1:9">
      <c r="A361">
        <v>4399</v>
      </c>
      <c r="B361" s="1">
        <v>5.2173999999999998E-2</v>
      </c>
      <c r="C361" s="1">
        <v>5.2888000000000002E-4</v>
      </c>
      <c r="E361">
        <v>296</v>
      </c>
      <c r="F361">
        <v>4399</v>
      </c>
      <c r="G361" s="1">
        <v>0.80832000000000004</v>
      </c>
      <c r="H361" s="1">
        <v>0.58874000000000004</v>
      </c>
      <c r="I361" s="1">
        <v>0</v>
      </c>
    </row>
    <row r="362" spans="1:9">
      <c r="A362">
        <v>4399</v>
      </c>
      <c r="B362" s="1">
        <v>0.10426000000000001</v>
      </c>
      <c r="C362" s="1">
        <v>5.3235999999999995E-4</v>
      </c>
      <c r="E362">
        <v>297</v>
      </c>
      <c r="F362">
        <v>4399</v>
      </c>
      <c r="G362" s="1">
        <v>0.80832000000000004</v>
      </c>
      <c r="H362" s="1">
        <v>0.58874000000000004</v>
      </c>
      <c r="I362" s="1">
        <v>0</v>
      </c>
    </row>
    <row r="363" spans="1:9">
      <c r="A363">
        <v>4399</v>
      </c>
      <c r="B363" s="1">
        <v>0.15737999999999999</v>
      </c>
      <c r="C363" s="1">
        <v>5.3313000000000004E-4</v>
      </c>
      <c r="E363">
        <v>298</v>
      </c>
      <c r="F363">
        <v>4399</v>
      </c>
      <c r="G363" s="1">
        <v>0.80832000000000004</v>
      </c>
      <c r="H363" s="1">
        <v>0.58874000000000004</v>
      </c>
      <c r="I363" s="1">
        <v>0</v>
      </c>
    </row>
    <row r="364" spans="1:9">
      <c r="A364">
        <v>4399</v>
      </c>
      <c r="B364" s="1">
        <v>0.21104000000000001</v>
      </c>
      <c r="C364" s="1">
        <v>5.3364000000000005E-4</v>
      </c>
      <c r="E364">
        <v>299</v>
      </c>
      <c r="F364">
        <v>4399</v>
      </c>
      <c r="G364" s="1">
        <v>0.80832000000000004</v>
      </c>
      <c r="H364" s="1">
        <v>0.58874000000000004</v>
      </c>
      <c r="I364" s="1">
        <v>0</v>
      </c>
    </row>
    <row r="365" spans="1:9">
      <c r="A365">
        <v>4399</v>
      </c>
      <c r="B365" s="1">
        <v>0.27411000000000002</v>
      </c>
      <c r="C365" s="1">
        <v>5.3375999999999999E-4</v>
      </c>
      <c r="E365">
        <v>300</v>
      </c>
      <c r="F365">
        <v>4399</v>
      </c>
      <c r="G365" s="1">
        <v>0.80832000000000004</v>
      </c>
      <c r="H365" s="1">
        <v>0.58874000000000004</v>
      </c>
      <c r="I365" s="1">
        <v>0</v>
      </c>
    </row>
    <row r="367" spans="1:9">
      <c r="A367">
        <v>4</v>
      </c>
      <c r="B367" s="1">
        <v>5.2408000000000003E-2</v>
      </c>
      <c r="C367" s="1">
        <v>5.0659000000000001E-4</v>
      </c>
      <c r="E367">
        <v>301</v>
      </c>
      <c r="F367">
        <v>4</v>
      </c>
      <c r="G367" s="1">
        <v>0.83101999999999998</v>
      </c>
      <c r="H367" s="1">
        <v>0.55623999999999996</v>
      </c>
      <c r="I367" s="1">
        <v>0</v>
      </c>
    </row>
    <row r="368" spans="1:9">
      <c r="A368">
        <v>4</v>
      </c>
      <c r="B368" s="1">
        <v>0.10518</v>
      </c>
      <c r="C368" s="1">
        <v>5.0891E-4</v>
      </c>
      <c r="E368">
        <v>302</v>
      </c>
      <c r="F368">
        <v>4</v>
      </c>
      <c r="G368" s="1">
        <v>0.83101999999999998</v>
      </c>
      <c r="H368" s="1">
        <v>0.55623999999999996</v>
      </c>
      <c r="I368" s="1">
        <v>0</v>
      </c>
    </row>
    <row r="369" spans="1:9">
      <c r="A369">
        <v>4</v>
      </c>
      <c r="B369" s="1">
        <v>0.15831999999999999</v>
      </c>
      <c r="C369" s="1">
        <v>5.0927000000000004E-4</v>
      </c>
      <c r="E369">
        <v>303</v>
      </c>
      <c r="F369">
        <v>4</v>
      </c>
      <c r="G369" s="1">
        <v>0.83101999999999998</v>
      </c>
      <c r="H369" s="1">
        <v>0.55623999999999996</v>
      </c>
      <c r="I369" s="1">
        <v>0</v>
      </c>
    </row>
    <row r="370" spans="1:9">
      <c r="A370">
        <v>4</v>
      </c>
      <c r="B370" s="1">
        <v>0.21182000000000001</v>
      </c>
      <c r="C370" s="1">
        <v>5.0978000000000004E-4</v>
      </c>
      <c r="E370">
        <v>304</v>
      </c>
      <c r="F370">
        <v>4</v>
      </c>
      <c r="G370" s="1">
        <v>0.83101999999999998</v>
      </c>
      <c r="H370" s="1">
        <v>0.55623999999999996</v>
      </c>
      <c r="I370" s="1">
        <v>0</v>
      </c>
    </row>
    <row r="371" spans="1:9">
      <c r="A371">
        <v>4</v>
      </c>
      <c r="B371" s="1">
        <v>0.27526</v>
      </c>
      <c r="C371" s="1">
        <v>5.0951000000000002E-4</v>
      </c>
      <c r="E371">
        <v>305</v>
      </c>
      <c r="F371">
        <v>4</v>
      </c>
      <c r="G371" s="1">
        <v>0.83101999999999998</v>
      </c>
      <c r="H371" s="1">
        <v>0.55623999999999996</v>
      </c>
      <c r="I371" s="1">
        <v>0</v>
      </c>
    </row>
    <row r="373" spans="1:9">
      <c r="A373">
        <v>4381</v>
      </c>
      <c r="B373" s="1">
        <v>5.2549999999999999E-2</v>
      </c>
      <c r="C373" s="1">
        <v>5.0025999999999998E-4</v>
      </c>
      <c r="E373">
        <v>306</v>
      </c>
      <c r="F373">
        <v>4381</v>
      </c>
      <c r="G373" s="1">
        <v>0.85319</v>
      </c>
      <c r="H373" s="1">
        <v>0.52161000000000002</v>
      </c>
      <c r="I373" s="1">
        <v>0</v>
      </c>
    </row>
    <row r="374" spans="1:9">
      <c r="A374">
        <v>4381</v>
      </c>
      <c r="B374" s="1">
        <v>0.10501000000000001</v>
      </c>
      <c r="C374" s="1">
        <v>5.0330999999999998E-4</v>
      </c>
      <c r="E374">
        <v>307</v>
      </c>
      <c r="F374">
        <v>4381</v>
      </c>
      <c r="G374" s="1">
        <v>0.85319</v>
      </c>
      <c r="H374" s="1">
        <v>0.52161000000000002</v>
      </c>
      <c r="I374" s="1">
        <v>0</v>
      </c>
    </row>
    <row r="375" spans="1:9">
      <c r="A375">
        <v>4381</v>
      </c>
      <c r="B375" s="1">
        <v>0.1585</v>
      </c>
      <c r="C375" s="1">
        <v>5.0398000000000001E-4</v>
      </c>
      <c r="E375">
        <v>308</v>
      </c>
      <c r="F375">
        <v>4381</v>
      </c>
      <c r="G375" s="1">
        <v>0.85319</v>
      </c>
      <c r="H375" s="1">
        <v>0.52161000000000002</v>
      </c>
      <c r="I375" s="1">
        <v>0</v>
      </c>
    </row>
    <row r="376" spans="1:9">
      <c r="A376">
        <v>4381</v>
      </c>
      <c r="B376" s="1">
        <v>0.21256</v>
      </c>
      <c r="C376" s="1">
        <v>5.0427999999999996E-4</v>
      </c>
      <c r="E376">
        <v>309</v>
      </c>
      <c r="F376">
        <v>4381</v>
      </c>
      <c r="G376" s="1">
        <v>0.85319</v>
      </c>
      <c r="H376" s="1">
        <v>0.52161000000000002</v>
      </c>
      <c r="I376" s="1">
        <v>0</v>
      </c>
    </row>
    <row r="377" spans="1:9">
      <c r="A377">
        <v>4381</v>
      </c>
      <c r="B377" s="1">
        <v>0.27483000000000002</v>
      </c>
      <c r="C377" s="1">
        <v>5.0434999999999998E-4</v>
      </c>
      <c r="E377">
        <v>310</v>
      </c>
      <c r="F377">
        <v>4381</v>
      </c>
      <c r="G377" s="1">
        <v>0.85319</v>
      </c>
      <c r="H377" s="1">
        <v>0.52161000000000002</v>
      </c>
      <c r="I377" s="1">
        <v>0</v>
      </c>
    </row>
    <row r="379" spans="1:9">
      <c r="A379">
        <v>736</v>
      </c>
      <c r="B379" s="1">
        <v>5.2707999999999998E-2</v>
      </c>
      <c r="C379" s="1">
        <v>4.8786000000000001E-4</v>
      </c>
      <c r="E379">
        <v>311</v>
      </c>
      <c r="F379">
        <v>736</v>
      </c>
      <c r="G379" s="1">
        <v>0.87485000000000002</v>
      </c>
      <c r="H379" s="1">
        <v>0.48438999999999999</v>
      </c>
      <c r="I379" s="1">
        <v>0</v>
      </c>
    </row>
    <row r="380" spans="1:9">
      <c r="A380">
        <v>736</v>
      </c>
      <c r="B380" s="1">
        <v>0.10516</v>
      </c>
      <c r="C380" s="1">
        <v>4.9089999999999995E-4</v>
      </c>
      <c r="E380">
        <v>312</v>
      </c>
      <c r="F380">
        <v>736</v>
      </c>
      <c r="G380" s="1">
        <v>0.87485000000000002</v>
      </c>
      <c r="H380" s="1">
        <v>0.48438999999999999</v>
      </c>
      <c r="I380" s="1">
        <v>0</v>
      </c>
    </row>
    <row r="381" spans="1:9">
      <c r="A381">
        <v>736</v>
      </c>
      <c r="B381" s="1">
        <v>0.159</v>
      </c>
      <c r="C381" s="1">
        <v>4.9136000000000004E-4</v>
      </c>
      <c r="E381">
        <v>313</v>
      </c>
      <c r="F381">
        <v>736</v>
      </c>
      <c r="G381" s="1">
        <v>0.87485000000000002</v>
      </c>
      <c r="H381" s="1">
        <v>0.48438999999999999</v>
      </c>
      <c r="I381" s="1">
        <v>0</v>
      </c>
    </row>
    <row r="382" spans="1:9">
      <c r="A382">
        <v>736</v>
      </c>
      <c r="B382" s="1">
        <v>0.21321999999999999</v>
      </c>
      <c r="C382" s="1">
        <v>4.9160999999999996E-4</v>
      </c>
      <c r="E382">
        <v>314</v>
      </c>
      <c r="F382">
        <v>736</v>
      </c>
      <c r="G382" s="1">
        <v>0.87485000000000002</v>
      </c>
      <c r="H382" s="1">
        <v>0.48438999999999999</v>
      </c>
      <c r="I382" s="1">
        <v>0</v>
      </c>
    </row>
    <row r="383" spans="1:9">
      <c r="A383">
        <v>736</v>
      </c>
      <c r="B383" s="1">
        <v>0.27476</v>
      </c>
      <c r="C383" s="1">
        <v>4.9156999999999998E-4</v>
      </c>
      <c r="E383">
        <v>315</v>
      </c>
      <c r="F383">
        <v>736</v>
      </c>
      <c r="G383" s="1">
        <v>0.87485000000000002</v>
      </c>
      <c r="H383" s="1">
        <v>0.48438999999999999</v>
      </c>
      <c r="I383" s="1">
        <v>0</v>
      </c>
    </row>
    <row r="385" spans="1:9">
      <c r="A385">
        <v>4363</v>
      </c>
      <c r="B385" s="1">
        <v>5.2856E-2</v>
      </c>
      <c r="C385" s="1">
        <v>4.8085000000000001E-4</v>
      </c>
      <c r="E385">
        <v>316</v>
      </c>
      <c r="F385">
        <v>4363</v>
      </c>
      <c r="G385" s="1">
        <v>0.89553000000000005</v>
      </c>
      <c r="H385" s="1">
        <v>0.44500000000000001</v>
      </c>
      <c r="I385" s="1">
        <v>0</v>
      </c>
    </row>
    <row r="386" spans="1:9">
      <c r="A386">
        <v>4363</v>
      </c>
      <c r="B386" s="1">
        <v>0.10564</v>
      </c>
      <c r="C386" s="1">
        <v>4.8369E-4</v>
      </c>
      <c r="E386">
        <v>317</v>
      </c>
      <c r="F386">
        <v>4363</v>
      </c>
      <c r="G386" s="1">
        <v>0.89553000000000005</v>
      </c>
      <c r="H386" s="1">
        <v>0.44500000000000001</v>
      </c>
      <c r="I386" s="1">
        <v>0</v>
      </c>
    </row>
    <row r="387" spans="1:9">
      <c r="A387">
        <v>4363</v>
      </c>
      <c r="B387" s="1">
        <v>0.15945000000000001</v>
      </c>
      <c r="C387" s="1">
        <v>4.8432E-4</v>
      </c>
      <c r="E387">
        <v>318</v>
      </c>
      <c r="F387">
        <v>4363</v>
      </c>
      <c r="G387" s="1">
        <v>0.89553000000000005</v>
      </c>
      <c r="H387" s="1">
        <v>0.44500000000000001</v>
      </c>
      <c r="I387" s="1">
        <v>0</v>
      </c>
    </row>
    <row r="388" spans="1:9">
      <c r="A388">
        <v>4363</v>
      </c>
      <c r="B388" s="1">
        <v>0.21382000000000001</v>
      </c>
      <c r="C388" s="1">
        <v>4.8449000000000002E-4</v>
      </c>
      <c r="E388">
        <v>319</v>
      </c>
      <c r="F388">
        <v>4363</v>
      </c>
      <c r="G388" s="1">
        <v>0.89553000000000005</v>
      </c>
      <c r="H388" s="1">
        <v>0.44500000000000001</v>
      </c>
      <c r="I388" s="1">
        <v>0</v>
      </c>
    </row>
    <row r="389" spans="1:9">
      <c r="A389">
        <v>4363</v>
      </c>
      <c r="B389" s="1">
        <v>0.27461999999999998</v>
      </c>
      <c r="C389" s="1">
        <v>4.8458000000000003E-4</v>
      </c>
      <c r="E389">
        <v>320</v>
      </c>
      <c r="F389">
        <v>4363</v>
      </c>
      <c r="G389" s="1">
        <v>0.89553000000000005</v>
      </c>
      <c r="H389" s="1">
        <v>0.44500000000000001</v>
      </c>
      <c r="I389" s="1">
        <v>0</v>
      </c>
    </row>
    <row r="391" spans="1:9">
      <c r="A391">
        <v>3</v>
      </c>
      <c r="B391" s="1">
        <v>5.3032999999999997E-2</v>
      </c>
      <c r="C391" s="1">
        <v>4.6187000000000002E-4</v>
      </c>
      <c r="E391">
        <v>321</v>
      </c>
      <c r="F391">
        <v>3</v>
      </c>
      <c r="G391" s="1">
        <v>0.91524000000000005</v>
      </c>
      <c r="H391" s="1">
        <v>0.40290999999999999</v>
      </c>
      <c r="I391" s="1">
        <v>0</v>
      </c>
    </row>
    <row r="392" spans="1:9">
      <c r="A392">
        <v>3</v>
      </c>
      <c r="B392" s="1">
        <v>0.10644000000000001</v>
      </c>
      <c r="C392" s="1">
        <v>4.6355000000000002E-4</v>
      </c>
      <c r="E392">
        <v>322</v>
      </c>
      <c r="F392">
        <v>3</v>
      </c>
      <c r="G392" s="1">
        <v>0.91524000000000005</v>
      </c>
      <c r="H392" s="1">
        <v>0.40290999999999999</v>
      </c>
      <c r="I392" s="1">
        <v>0</v>
      </c>
    </row>
    <row r="393" spans="1:9">
      <c r="A393">
        <v>3</v>
      </c>
      <c r="B393" s="1">
        <v>0.16022</v>
      </c>
      <c r="C393" s="1">
        <v>4.6375000000000002E-4</v>
      </c>
      <c r="E393">
        <v>323</v>
      </c>
      <c r="F393">
        <v>3</v>
      </c>
      <c r="G393" s="1">
        <v>0.91524000000000005</v>
      </c>
      <c r="H393" s="1">
        <v>0.40290999999999999</v>
      </c>
      <c r="I393" s="1">
        <v>0</v>
      </c>
    </row>
    <row r="394" spans="1:9">
      <c r="A394">
        <v>3</v>
      </c>
      <c r="B394" s="1">
        <v>0.21435999999999999</v>
      </c>
      <c r="C394" s="1">
        <v>4.6391999999999999E-4</v>
      </c>
      <c r="E394">
        <v>324</v>
      </c>
      <c r="F394">
        <v>3</v>
      </c>
      <c r="G394" s="1">
        <v>0.91524000000000005</v>
      </c>
      <c r="H394" s="1">
        <v>0.40290999999999999</v>
      </c>
      <c r="I394" s="1">
        <v>0</v>
      </c>
    </row>
    <row r="395" spans="1:9">
      <c r="A395">
        <v>3</v>
      </c>
      <c r="B395" s="1">
        <v>0.27481</v>
      </c>
      <c r="C395" s="1">
        <v>4.6382999999999998E-4</v>
      </c>
      <c r="E395">
        <v>325</v>
      </c>
      <c r="F395">
        <v>3</v>
      </c>
      <c r="G395" s="1">
        <v>0.91524000000000005</v>
      </c>
      <c r="H395" s="1">
        <v>0.40290999999999999</v>
      </c>
      <c r="I395" s="1">
        <v>0</v>
      </c>
    </row>
    <row r="397" spans="1:9">
      <c r="A397">
        <v>4345</v>
      </c>
      <c r="B397" s="1">
        <v>5.3108000000000002E-2</v>
      </c>
      <c r="C397" s="1">
        <v>4.6015999999999999E-4</v>
      </c>
      <c r="E397">
        <v>326</v>
      </c>
      <c r="F397">
        <v>4345</v>
      </c>
      <c r="G397" s="1">
        <v>0.93342000000000003</v>
      </c>
      <c r="H397" s="1">
        <v>0.35876999999999998</v>
      </c>
      <c r="I397" s="1">
        <v>0</v>
      </c>
    </row>
    <row r="398" spans="1:9">
      <c r="A398">
        <v>4345</v>
      </c>
      <c r="B398" s="1">
        <v>0.10614</v>
      </c>
      <c r="C398" s="1">
        <v>4.6267999999999998E-4</v>
      </c>
      <c r="E398">
        <v>327</v>
      </c>
      <c r="F398">
        <v>4345</v>
      </c>
      <c r="G398" s="1">
        <v>0.93342000000000003</v>
      </c>
      <c r="H398" s="1">
        <v>0.35876999999999998</v>
      </c>
      <c r="I398" s="1">
        <v>0</v>
      </c>
    </row>
    <row r="399" spans="1:9">
      <c r="A399">
        <v>4345</v>
      </c>
      <c r="B399" s="1">
        <v>0.16020999999999999</v>
      </c>
      <c r="C399" s="1">
        <v>4.6320999999999998E-4</v>
      </c>
      <c r="E399">
        <v>328</v>
      </c>
      <c r="F399">
        <v>4345</v>
      </c>
      <c r="G399" s="1">
        <v>0.93342000000000003</v>
      </c>
      <c r="H399" s="1">
        <v>0.35876999999999998</v>
      </c>
      <c r="I399" s="1">
        <v>0</v>
      </c>
    </row>
    <row r="400" spans="1:9">
      <c r="A400">
        <v>4345</v>
      </c>
      <c r="B400" s="1">
        <v>0.21484</v>
      </c>
      <c r="C400" s="1">
        <v>4.6331999999999998E-4</v>
      </c>
      <c r="E400">
        <v>329</v>
      </c>
      <c r="F400">
        <v>4345</v>
      </c>
      <c r="G400" s="1">
        <v>0.93342000000000003</v>
      </c>
      <c r="H400" s="1">
        <v>0.35876999999999998</v>
      </c>
      <c r="I400" s="1">
        <v>0</v>
      </c>
    </row>
    <row r="401" spans="1:9">
      <c r="A401">
        <v>4345</v>
      </c>
      <c r="B401" s="1">
        <v>0.27521000000000001</v>
      </c>
      <c r="C401" s="1">
        <v>4.6344000000000002E-4</v>
      </c>
      <c r="E401">
        <v>330</v>
      </c>
      <c r="F401">
        <v>4345</v>
      </c>
      <c r="G401" s="1">
        <v>0.93342000000000003</v>
      </c>
      <c r="H401" s="1">
        <v>0.35876999999999998</v>
      </c>
      <c r="I401" s="1">
        <v>0</v>
      </c>
    </row>
    <row r="403" spans="1:9">
      <c r="A403">
        <v>727</v>
      </c>
      <c r="B403" s="1">
        <v>5.3204000000000001E-2</v>
      </c>
      <c r="C403" s="1">
        <v>4.5134E-4</v>
      </c>
      <c r="E403">
        <v>331</v>
      </c>
      <c r="F403">
        <v>727</v>
      </c>
      <c r="G403" s="1">
        <v>0.95004999999999995</v>
      </c>
      <c r="H403" s="1">
        <v>0.31208999999999998</v>
      </c>
      <c r="I403" s="1">
        <v>0</v>
      </c>
    </row>
    <row r="404" spans="1:9">
      <c r="A404">
        <v>727</v>
      </c>
      <c r="B404" s="1">
        <v>0.10617</v>
      </c>
      <c r="C404" s="1">
        <v>4.5386999999999999E-4</v>
      </c>
      <c r="E404">
        <v>332</v>
      </c>
      <c r="F404">
        <v>727</v>
      </c>
      <c r="G404" s="1">
        <v>0.95004999999999995</v>
      </c>
      <c r="H404" s="1">
        <v>0.31208999999999998</v>
      </c>
      <c r="I404" s="1">
        <v>0</v>
      </c>
    </row>
    <row r="405" spans="1:9">
      <c r="A405">
        <v>727</v>
      </c>
      <c r="B405" s="1">
        <v>0.16052</v>
      </c>
      <c r="C405" s="1">
        <v>4.5419999999999998E-4</v>
      </c>
      <c r="E405">
        <v>333</v>
      </c>
      <c r="F405">
        <v>727</v>
      </c>
      <c r="G405" s="1">
        <v>0.95004999999999995</v>
      </c>
      <c r="H405" s="1">
        <v>0.31208999999999998</v>
      </c>
      <c r="I405" s="1">
        <v>0</v>
      </c>
    </row>
    <row r="406" spans="1:9">
      <c r="A406">
        <v>727</v>
      </c>
      <c r="B406" s="1">
        <v>0.21526000000000001</v>
      </c>
      <c r="C406" s="1">
        <v>4.5430999999999998E-4</v>
      </c>
      <c r="E406">
        <v>334</v>
      </c>
      <c r="F406">
        <v>727</v>
      </c>
      <c r="G406" s="1">
        <v>0.95004999999999995</v>
      </c>
      <c r="H406" s="1">
        <v>0.31208999999999998</v>
      </c>
      <c r="I406" s="1">
        <v>0</v>
      </c>
    </row>
    <row r="407" spans="1:9">
      <c r="A407">
        <v>727</v>
      </c>
      <c r="B407" s="1">
        <v>0.27594000000000002</v>
      </c>
      <c r="C407" s="1">
        <v>4.5430999999999998E-4</v>
      </c>
      <c r="E407">
        <v>335</v>
      </c>
      <c r="F407">
        <v>727</v>
      </c>
      <c r="G407" s="1">
        <v>0.95004999999999995</v>
      </c>
      <c r="H407" s="1">
        <v>0.31208999999999998</v>
      </c>
      <c r="I407" s="1">
        <v>0</v>
      </c>
    </row>
    <row r="409" spans="1:9">
      <c r="A409">
        <v>4327</v>
      </c>
      <c r="B409" s="1">
        <v>5.3289000000000003E-2</v>
      </c>
      <c r="C409" s="1">
        <v>4.4806000000000002E-4</v>
      </c>
      <c r="E409">
        <v>336</v>
      </c>
      <c r="F409">
        <v>4327</v>
      </c>
      <c r="G409" s="1">
        <v>0.96460000000000001</v>
      </c>
      <c r="H409" s="1">
        <v>0.26369999999999999</v>
      </c>
      <c r="I409" s="1">
        <v>0</v>
      </c>
    </row>
    <row r="410" spans="1:9">
      <c r="A410">
        <v>4327</v>
      </c>
      <c r="B410" s="1">
        <v>0.10652</v>
      </c>
      <c r="C410" s="1">
        <v>4.5043999999999998E-4</v>
      </c>
      <c r="E410">
        <v>337</v>
      </c>
      <c r="F410">
        <v>4327</v>
      </c>
      <c r="G410" s="1">
        <v>0.96460000000000001</v>
      </c>
      <c r="H410" s="1">
        <v>0.26369999999999999</v>
      </c>
      <c r="I410" s="1">
        <v>0</v>
      </c>
    </row>
    <row r="411" spans="1:9">
      <c r="A411">
        <v>4327</v>
      </c>
      <c r="B411" s="1">
        <v>0.16078000000000001</v>
      </c>
      <c r="C411" s="1">
        <v>4.5094999999999998E-4</v>
      </c>
      <c r="E411">
        <v>338</v>
      </c>
      <c r="F411">
        <v>4327</v>
      </c>
      <c r="G411" s="1">
        <v>0.96460000000000001</v>
      </c>
      <c r="H411" s="1">
        <v>0.26369999999999999</v>
      </c>
      <c r="I411" s="1">
        <v>0</v>
      </c>
    </row>
    <row r="412" spans="1:9">
      <c r="A412">
        <v>4327</v>
      </c>
      <c r="B412" s="1">
        <v>0.21561</v>
      </c>
      <c r="C412" s="1">
        <v>4.5103999999999999E-4</v>
      </c>
      <c r="E412">
        <v>339</v>
      </c>
      <c r="F412">
        <v>4327</v>
      </c>
      <c r="G412" s="1">
        <v>0.96460000000000001</v>
      </c>
      <c r="H412" s="1">
        <v>0.26369999999999999</v>
      </c>
      <c r="I412" s="1">
        <v>0</v>
      </c>
    </row>
    <row r="413" spans="1:9">
      <c r="A413">
        <v>4327</v>
      </c>
      <c r="B413" s="1">
        <v>0.27659</v>
      </c>
      <c r="C413" s="1">
        <v>4.5113999999999999E-4</v>
      </c>
      <c r="E413">
        <v>340</v>
      </c>
      <c r="F413">
        <v>4327</v>
      </c>
      <c r="G413" s="1">
        <v>0.96460000000000001</v>
      </c>
      <c r="H413" s="1">
        <v>0.26369999999999999</v>
      </c>
      <c r="I413" s="1">
        <v>0</v>
      </c>
    </row>
    <row r="415" spans="1:9">
      <c r="A415">
        <v>2</v>
      </c>
      <c r="B415" s="1">
        <v>5.3411E-2</v>
      </c>
      <c r="C415" s="1">
        <v>4.3339000000000002E-4</v>
      </c>
      <c r="E415">
        <v>341</v>
      </c>
      <c r="F415">
        <v>2</v>
      </c>
      <c r="G415" s="1">
        <v>0.97704000000000002</v>
      </c>
      <c r="H415" s="1">
        <v>0.21304999999999999</v>
      </c>
      <c r="I415" s="1">
        <v>0</v>
      </c>
    </row>
    <row r="416" spans="1:9">
      <c r="A416">
        <v>2</v>
      </c>
      <c r="B416" s="1">
        <v>0.1072</v>
      </c>
      <c r="C416" s="1">
        <v>4.3464000000000003E-4</v>
      </c>
      <c r="E416">
        <v>342</v>
      </c>
      <c r="F416">
        <v>2</v>
      </c>
      <c r="G416" s="1">
        <v>0.97704000000000002</v>
      </c>
      <c r="H416" s="1">
        <v>0.21304999999999999</v>
      </c>
      <c r="I416" s="1">
        <v>0</v>
      </c>
    </row>
    <row r="417" spans="1:9">
      <c r="A417">
        <v>2</v>
      </c>
      <c r="B417" s="1">
        <v>0.16136</v>
      </c>
      <c r="C417" s="1">
        <v>4.3471999999999998E-4</v>
      </c>
      <c r="E417">
        <v>343</v>
      </c>
      <c r="F417">
        <v>2</v>
      </c>
      <c r="G417" s="1">
        <v>0.97704000000000002</v>
      </c>
      <c r="H417" s="1">
        <v>0.21304999999999999</v>
      </c>
      <c r="I417" s="1">
        <v>0</v>
      </c>
    </row>
    <row r="418" spans="1:9">
      <c r="A418">
        <v>2</v>
      </c>
      <c r="B418" s="1">
        <v>0.21589</v>
      </c>
      <c r="C418" s="1">
        <v>4.3486000000000002E-4</v>
      </c>
      <c r="E418">
        <v>344</v>
      </c>
      <c r="F418">
        <v>2</v>
      </c>
      <c r="G418" s="1">
        <v>0.97704000000000002</v>
      </c>
      <c r="H418" s="1">
        <v>0.21304999999999999</v>
      </c>
      <c r="I418" s="1">
        <v>0</v>
      </c>
    </row>
    <row r="419" spans="1:9">
      <c r="A419">
        <v>2</v>
      </c>
      <c r="B419" s="1">
        <v>0.27757999999999999</v>
      </c>
      <c r="C419" s="1">
        <v>4.3470999999999999E-4</v>
      </c>
      <c r="E419">
        <v>345</v>
      </c>
      <c r="F419">
        <v>2</v>
      </c>
      <c r="G419" s="1">
        <v>0.97704000000000002</v>
      </c>
      <c r="H419" s="1">
        <v>0.21304999999999999</v>
      </c>
      <c r="I419" s="1">
        <v>0</v>
      </c>
    </row>
    <row r="421" spans="1:9">
      <c r="A421">
        <v>4309</v>
      </c>
      <c r="B421" s="1">
        <v>5.3414999999999997E-2</v>
      </c>
      <c r="C421" s="1">
        <v>4.3687000000000001E-4</v>
      </c>
      <c r="E421">
        <v>346</v>
      </c>
      <c r="F421">
        <v>4309</v>
      </c>
      <c r="G421" s="1">
        <v>0.98690999999999995</v>
      </c>
      <c r="H421" s="1">
        <v>0.16125</v>
      </c>
      <c r="I421" s="1">
        <v>0</v>
      </c>
    </row>
    <row r="422" spans="1:9">
      <c r="A422">
        <v>4309</v>
      </c>
      <c r="B422" s="1">
        <v>0.10677</v>
      </c>
      <c r="C422" s="1">
        <v>4.3906000000000001E-4</v>
      </c>
      <c r="E422">
        <v>347</v>
      </c>
      <c r="F422">
        <v>4309</v>
      </c>
      <c r="G422" s="1">
        <v>0.98690999999999995</v>
      </c>
      <c r="H422" s="1">
        <v>0.16125</v>
      </c>
      <c r="I422" s="1">
        <v>0</v>
      </c>
    </row>
    <row r="423" spans="1:9">
      <c r="A423">
        <v>4309</v>
      </c>
      <c r="B423" s="1">
        <v>0.16116</v>
      </c>
      <c r="C423" s="1">
        <v>4.3951999999999999E-4</v>
      </c>
      <c r="E423">
        <v>348</v>
      </c>
      <c r="F423">
        <v>4309</v>
      </c>
      <c r="G423" s="1">
        <v>0.98690999999999995</v>
      </c>
      <c r="H423" s="1">
        <v>0.16125</v>
      </c>
      <c r="I423" s="1">
        <v>0</v>
      </c>
    </row>
    <row r="424" spans="1:9">
      <c r="A424">
        <v>4309</v>
      </c>
      <c r="B424" s="1">
        <v>0.21612000000000001</v>
      </c>
      <c r="C424" s="1">
        <v>4.3962999999999999E-4</v>
      </c>
      <c r="E424">
        <v>349</v>
      </c>
      <c r="F424">
        <v>4309</v>
      </c>
      <c r="G424" s="1">
        <v>0.98690999999999995</v>
      </c>
      <c r="H424" s="1">
        <v>0.16125</v>
      </c>
      <c r="I424" s="1">
        <v>0</v>
      </c>
    </row>
    <row r="425" spans="1:9">
      <c r="A425">
        <v>4309</v>
      </c>
      <c r="B425" s="1">
        <v>0.27818999999999999</v>
      </c>
      <c r="C425" s="1">
        <v>4.3972E-4</v>
      </c>
      <c r="E425">
        <v>350</v>
      </c>
      <c r="F425">
        <v>4309</v>
      </c>
      <c r="G425" s="1">
        <v>0.98690999999999995</v>
      </c>
      <c r="H425" s="1">
        <v>0.16125</v>
      </c>
      <c r="I425" s="1">
        <v>0</v>
      </c>
    </row>
    <row r="427" spans="1:9">
      <c r="A427">
        <v>718</v>
      </c>
      <c r="B427" s="1">
        <v>5.3448000000000002E-2</v>
      </c>
      <c r="C427" s="1">
        <v>4.3217E-4</v>
      </c>
      <c r="E427">
        <v>351</v>
      </c>
      <c r="F427">
        <v>718</v>
      </c>
      <c r="G427" s="1">
        <v>0.99417</v>
      </c>
      <c r="H427" s="1">
        <v>0.10783</v>
      </c>
      <c r="I427" s="1">
        <v>0</v>
      </c>
    </row>
    <row r="428" spans="1:9">
      <c r="A428">
        <v>718</v>
      </c>
      <c r="B428" s="1">
        <v>0.10668</v>
      </c>
      <c r="C428" s="1">
        <v>4.3441999999999998E-4</v>
      </c>
      <c r="E428">
        <v>352</v>
      </c>
      <c r="F428">
        <v>718</v>
      </c>
      <c r="G428" s="1">
        <v>0.99417</v>
      </c>
      <c r="H428" s="1">
        <v>0.10783</v>
      </c>
      <c r="I428" s="1">
        <v>0</v>
      </c>
    </row>
    <row r="429" spans="1:9">
      <c r="A429">
        <v>718</v>
      </c>
      <c r="B429" s="1">
        <v>0.16128999999999999</v>
      </c>
      <c r="C429" s="1">
        <v>4.3468000000000001E-4</v>
      </c>
      <c r="E429">
        <v>353</v>
      </c>
      <c r="F429">
        <v>718</v>
      </c>
      <c r="G429" s="1">
        <v>0.99417</v>
      </c>
      <c r="H429" s="1">
        <v>0.10783</v>
      </c>
      <c r="I429" s="1">
        <v>0</v>
      </c>
    </row>
    <row r="430" spans="1:9">
      <c r="A430">
        <v>718</v>
      </c>
      <c r="B430" s="1">
        <v>0.21628</v>
      </c>
      <c r="C430" s="1">
        <v>4.3481999999999999E-4</v>
      </c>
      <c r="E430">
        <v>354</v>
      </c>
      <c r="F430">
        <v>718</v>
      </c>
      <c r="G430" s="1">
        <v>0.99417</v>
      </c>
      <c r="H430" s="1">
        <v>0.10783</v>
      </c>
      <c r="I430" s="1">
        <v>0</v>
      </c>
    </row>
    <row r="431" spans="1:9">
      <c r="A431">
        <v>718</v>
      </c>
      <c r="B431" s="1">
        <v>0.27914</v>
      </c>
      <c r="C431" s="1">
        <v>4.3479E-4</v>
      </c>
      <c r="E431">
        <v>355</v>
      </c>
      <c r="F431">
        <v>718</v>
      </c>
      <c r="G431" s="1">
        <v>0.99417</v>
      </c>
      <c r="H431" s="1">
        <v>0.10783</v>
      </c>
      <c r="I431" s="1">
        <v>0</v>
      </c>
    </row>
    <row r="433" spans="1:9">
      <c r="A433">
        <v>4291</v>
      </c>
      <c r="B433" s="1">
        <v>5.3469999999999997E-2</v>
      </c>
      <c r="C433" s="1">
        <v>4.3302999999999999E-4</v>
      </c>
      <c r="E433">
        <v>356</v>
      </c>
      <c r="F433">
        <v>4291</v>
      </c>
      <c r="G433" s="1">
        <v>0.99853999999999998</v>
      </c>
      <c r="H433" s="1">
        <v>5.4005999999999998E-2</v>
      </c>
      <c r="I433" s="1">
        <v>0</v>
      </c>
    </row>
    <row r="434" spans="1:9">
      <c r="A434">
        <v>4291</v>
      </c>
      <c r="B434" s="1">
        <v>0.10691000000000001</v>
      </c>
      <c r="C434" s="1">
        <v>4.3518000000000002E-4</v>
      </c>
      <c r="E434">
        <v>357</v>
      </c>
      <c r="F434">
        <v>4291</v>
      </c>
      <c r="G434" s="1">
        <v>0.99853999999999998</v>
      </c>
      <c r="H434" s="1">
        <v>5.4005999999999998E-2</v>
      </c>
      <c r="I434" s="1">
        <v>0</v>
      </c>
    </row>
    <row r="435" spans="1:9">
      <c r="A435">
        <v>4291</v>
      </c>
      <c r="B435" s="1">
        <v>0.16136</v>
      </c>
      <c r="C435" s="1">
        <v>4.3564E-4</v>
      </c>
      <c r="E435">
        <v>358</v>
      </c>
      <c r="F435">
        <v>4291</v>
      </c>
      <c r="G435" s="1">
        <v>0.99853999999999998</v>
      </c>
      <c r="H435" s="1">
        <v>5.4005999999999998E-2</v>
      </c>
      <c r="I435" s="1">
        <v>0</v>
      </c>
    </row>
    <row r="436" spans="1:9">
      <c r="A436">
        <v>4291</v>
      </c>
      <c r="B436" s="1">
        <v>0.21637000000000001</v>
      </c>
      <c r="C436" s="1">
        <v>4.3580000000000002E-4</v>
      </c>
      <c r="E436">
        <v>359</v>
      </c>
      <c r="F436">
        <v>4291</v>
      </c>
      <c r="G436" s="1">
        <v>0.99853999999999998</v>
      </c>
      <c r="H436" s="1">
        <v>5.4005999999999998E-2</v>
      </c>
      <c r="I436" s="1">
        <v>0</v>
      </c>
    </row>
    <row r="437" spans="1:9">
      <c r="A437">
        <v>4291</v>
      </c>
      <c r="B437" s="1">
        <v>0.28001999999999999</v>
      </c>
      <c r="C437" s="1">
        <v>4.3586999999999999E-4</v>
      </c>
      <c r="E437">
        <v>360</v>
      </c>
      <c r="F437">
        <v>4291</v>
      </c>
      <c r="G437" s="1">
        <v>0.99853999999999998</v>
      </c>
      <c r="H437" s="1">
        <v>5.4005999999999998E-2</v>
      </c>
      <c r="I437" s="1">
        <v>0</v>
      </c>
    </row>
    <row r="439" spans="1:9">
      <c r="A439">
        <v>1</v>
      </c>
      <c r="B439" s="1">
        <v>5.3537000000000001E-2</v>
      </c>
      <c r="C439" s="1">
        <v>4.2404999999999998E-4</v>
      </c>
      <c r="E439">
        <v>361</v>
      </c>
      <c r="F439">
        <v>1</v>
      </c>
      <c r="G439" s="1">
        <v>1</v>
      </c>
      <c r="H439" s="1">
        <v>0</v>
      </c>
      <c r="I439" s="1">
        <v>0</v>
      </c>
    </row>
    <row r="440" spans="1:9">
      <c r="A440">
        <v>1</v>
      </c>
      <c r="B440" s="1">
        <v>0.10745</v>
      </c>
      <c r="C440" s="1">
        <v>4.2514000000000001E-4</v>
      </c>
      <c r="E440">
        <v>362</v>
      </c>
      <c r="F440">
        <v>1</v>
      </c>
      <c r="G440" s="1">
        <v>1</v>
      </c>
      <c r="H440" s="1">
        <v>0</v>
      </c>
      <c r="I440" s="1">
        <v>0</v>
      </c>
    </row>
    <row r="441" spans="1:9">
      <c r="A441">
        <v>1</v>
      </c>
      <c r="B441" s="1">
        <v>0.16173999999999999</v>
      </c>
      <c r="C441" s="1">
        <v>4.2517999999999999E-4</v>
      </c>
      <c r="E441">
        <v>363</v>
      </c>
      <c r="F441">
        <v>1</v>
      </c>
      <c r="G441" s="1">
        <v>1</v>
      </c>
      <c r="H441" s="1">
        <v>0</v>
      </c>
      <c r="I441" s="1">
        <v>0</v>
      </c>
    </row>
    <row r="442" spans="1:9">
      <c r="A442">
        <v>1</v>
      </c>
      <c r="B442" s="1">
        <v>0.21640999999999999</v>
      </c>
      <c r="C442" s="1">
        <v>4.2547E-4</v>
      </c>
      <c r="E442">
        <v>364</v>
      </c>
      <c r="F442">
        <v>1</v>
      </c>
      <c r="G442" s="1">
        <v>1</v>
      </c>
      <c r="H442" s="1">
        <v>0</v>
      </c>
      <c r="I442" s="1">
        <v>0</v>
      </c>
    </row>
    <row r="443" spans="1:9">
      <c r="A443">
        <v>1</v>
      </c>
      <c r="B443" s="1">
        <v>0.28125</v>
      </c>
      <c r="C443" s="1">
        <v>4.2502000000000002E-4</v>
      </c>
      <c r="E443">
        <v>365</v>
      </c>
      <c r="F443">
        <v>1</v>
      </c>
      <c r="G443" s="1">
        <v>1</v>
      </c>
      <c r="H443" s="1">
        <v>0</v>
      </c>
      <c r="I443" s="1">
        <v>0</v>
      </c>
    </row>
  </sheetData>
  <mergeCells count="2">
    <mergeCell ref="M5:Q5"/>
    <mergeCell ref="M3:Q3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DFBE-D141-48C8-AA14-3371C236E03B}">
  <dimension ref="A1:F201"/>
  <sheetViews>
    <sheetView zoomScale="70" zoomScaleNormal="70" workbookViewId="0">
      <selection activeCell="U61" sqref="U61"/>
    </sheetView>
  </sheetViews>
  <sheetFormatPr defaultRowHeight="18"/>
  <cols>
    <col min="1" max="1" width="9.1640625" bestFit="1" customWidth="1"/>
    <col min="2" max="2" width="9.5" bestFit="1" customWidth="1"/>
  </cols>
  <sheetData>
    <row r="1" spans="1:6">
      <c r="A1" t="s">
        <v>20</v>
      </c>
      <c r="B1" t="s">
        <v>21</v>
      </c>
      <c r="D1" t="s">
        <v>26</v>
      </c>
      <c r="E1" t="s">
        <v>24</v>
      </c>
      <c r="F1" t="s">
        <v>25</v>
      </c>
    </row>
    <row r="2" spans="1:6">
      <c r="A2" s="1">
        <v>1.2141721911504899</v>
      </c>
      <c r="B2" s="1">
        <v>-0.59997321926872604</v>
      </c>
      <c r="D2">
        <v>-90</v>
      </c>
      <c r="E2">
        <f>1.2+1.5*COS(RADIANS((D2)))</f>
        <v>1.2</v>
      </c>
      <c r="F2">
        <f>0.4*1.5*SIN(RADIANS((D2)))</f>
        <v>-0.60000000000000009</v>
      </c>
    </row>
    <row r="3" spans="1:6">
      <c r="A3" s="1">
        <v>1.2426098995033901</v>
      </c>
      <c r="B3" s="1">
        <v>-0.59975787067306496</v>
      </c>
      <c r="D3">
        <v>-89</v>
      </c>
      <c r="E3">
        <f t="shared" ref="E3:E66" si="0">1.2+1.5*COS(RADIANS((D3)))</f>
        <v>1.2261786096559253</v>
      </c>
      <c r="F3">
        <f t="shared" ref="F3:F66" si="1">0.4*1.5*SIN(RADIANS((D3)))</f>
        <v>-0.59990861709383481</v>
      </c>
    </row>
    <row r="4" spans="1:6">
      <c r="A4" s="1">
        <v>1.2711598446229</v>
      </c>
      <c r="B4" s="1">
        <v>-0.59932445656932698</v>
      </c>
      <c r="D4">
        <v>-88</v>
      </c>
      <c r="E4">
        <f t="shared" si="0"/>
        <v>1.2523492450537517</v>
      </c>
      <c r="F4">
        <f t="shared" si="1"/>
        <v>-0.59963449621145759</v>
      </c>
    </row>
    <row r="5" spans="1:6">
      <c r="A5" s="1">
        <v>1.2998070466102201</v>
      </c>
      <c r="B5" s="1">
        <v>-0.59867033378271794</v>
      </c>
      <c r="D5">
        <v>-87</v>
      </c>
      <c r="E5">
        <f t="shared" si="0"/>
        <v>1.278503934364416</v>
      </c>
      <c r="F5">
        <f t="shared" si="1"/>
        <v>-0.59917772085274434</v>
      </c>
    </row>
    <row r="6" spans="1:6">
      <c r="A6" s="1">
        <v>1.3285361526214601</v>
      </c>
      <c r="B6" s="1">
        <v>-0.59779306887507799</v>
      </c>
      <c r="D6">
        <v>-86</v>
      </c>
      <c r="E6">
        <f t="shared" si="0"/>
        <v>1.3046347106161877</v>
      </c>
      <c r="F6">
        <f t="shared" si="1"/>
        <v>-0.59853843015589459</v>
      </c>
    </row>
    <row r="7" spans="1:6">
      <c r="A7" s="1">
        <v>1.35733145867225</v>
      </c>
      <c r="B7" s="1">
        <v>-0.59669044733255905</v>
      </c>
      <c r="D7">
        <v>-85</v>
      </c>
      <c r="E7">
        <f t="shared" si="0"/>
        <v>1.3307336141214872</v>
      </c>
      <c r="F7">
        <f t="shared" si="1"/>
        <v>-0.59771681885504746</v>
      </c>
    </row>
    <row r="8" spans="1:6">
      <c r="A8" s="1">
        <v>1.38617693301412</v>
      </c>
      <c r="B8" s="1">
        <v>-0.595360482345068</v>
      </c>
      <c r="D8">
        <v>-84</v>
      </c>
      <c r="E8">
        <f t="shared" si="0"/>
        <v>1.3567926949014801</v>
      </c>
      <c r="F8">
        <f t="shared" si="1"/>
        <v>-0.59671313722096408</v>
      </c>
    </row>
    <row r="9" spans="1:6">
      <c r="A9" s="1">
        <v>1.4150562410318199</v>
      </c>
      <c r="B9" s="1">
        <v>-0.59380142312975503</v>
      </c>
      <c r="D9">
        <v>-83</v>
      </c>
      <c r="E9">
        <f t="shared" si="0"/>
        <v>1.3828040151077212</v>
      </c>
      <c r="F9">
        <f t="shared" si="1"/>
        <v>-0.5955276909847933</v>
      </c>
    </row>
    <row r="10" spans="1:6">
      <c r="A10" s="1">
        <v>1.44395277160111</v>
      </c>
      <c r="B10" s="1">
        <v>-0.592011762751807</v>
      </c>
      <c r="D10">
        <v>-82</v>
      </c>
      <c r="E10">
        <f t="shared" si="0"/>
        <v>1.4087596514400982</v>
      </c>
      <c r="F10">
        <f t="shared" si="1"/>
        <v>-0.59416084124494228</v>
      </c>
    </row>
    <row r="11" spans="1:6">
      <c r="A11" s="1">
        <v>1.47284966483618</v>
      </c>
      <c r="B11" s="1">
        <v>-0.58999024539716305</v>
      </c>
      <c r="D11">
        <v>-81</v>
      </c>
      <c r="E11">
        <f t="shared" si="0"/>
        <v>1.4346516975603463</v>
      </c>
      <c r="F11">
        <f t="shared" si="1"/>
        <v>-0.59261300435708275</v>
      </c>
    </row>
    <row r="12" spans="1:6">
      <c r="A12" s="1">
        <v>1.50172984114659</v>
      </c>
      <c r="B12" s="1">
        <v>-0.58773587305341801</v>
      </c>
      <c r="D12">
        <v>-80</v>
      </c>
      <c r="E12">
        <f t="shared" si="0"/>
        <v>1.4604722665003955</v>
      </c>
      <c r="F12">
        <f t="shared" si="1"/>
        <v>-0.59088465180732486</v>
      </c>
    </row>
    <row r="13" spans="1:6">
      <c r="A13" s="1">
        <v>1.53057603151374</v>
      </c>
      <c r="B13" s="1">
        <v>-0.58524791155729805</v>
      </c>
      <c r="D13">
        <v>-79</v>
      </c>
      <c r="E13">
        <f t="shared" si="0"/>
        <v>1.4862134930648172</v>
      </c>
      <c r="F13">
        <f t="shared" si="1"/>
        <v>-0.58897631006859852</v>
      </c>
    </row>
    <row r="14" spans="1:6">
      <c r="A14" s="1">
        <v>1.5593708088882301</v>
      </c>
      <c r="B14" s="1">
        <v>-0.58252589596947801</v>
      </c>
      <c r="D14">
        <v>-78</v>
      </c>
      <c r="E14">
        <f t="shared" si="0"/>
        <v>1.5118675362266392</v>
      </c>
      <c r="F14">
        <f t="shared" si="1"/>
        <v>-0.58688856044028348</v>
      </c>
    </row>
    <row r="15" spans="1:6">
      <c r="A15" s="1">
        <v>1.58809662060023</v>
      </c>
      <c r="B15" s="1">
        <v>-0.57956963524031202</v>
      </c>
      <c r="D15">
        <v>-77</v>
      </c>
      <c r="E15">
        <f t="shared" si="0"/>
        <v>1.5374265815157973</v>
      </c>
      <c r="F15">
        <f t="shared" si="1"/>
        <v>-0.58462203887114128</v>
      </c>
    </row>
    <row r="16" spans="1:6">
      <c r="A16" s="1">
        <v>1.6167358216674901</v>
      </c>
      <c r="B16" s="1">
        <v>-0.57637921613314402</v>
      </c>
      <c r="D16">
        <v>-76</v>
      </c>
      <c r="E16">
        <f t="shared" si="0"/>
        <v>1.5628828433995015</v>
      </c>
      <c r="F16">
        <f t="shared" si="1"/>
        <v>-0.58217743576559799</v>
      </c>
    </row>
    <row r="17" spans="1:6">
      <c r="A17" s="1">
        <v>1.64527070887754</v>
      </c>
      <c r="B17" s="1">
        <v>-0.57295500637529095</v>
      </c>
      <c r="D17">
        <v>-75</v>
      </c>
      <c r="E17">
        <f t="shared" si="0"/>
        <v>1.5882285676537811</v>
      </c>
      <c r="F17">
        <f t="shared" si="1"/>
        <v>-0.57955549577344112</v>
      </c>
    </row>
    <row r="18" spans="1:6">
      <c r="A18" s="1">
        <v>1.67368355551418</v>
      </c>
      <c r="B18" s="1">
        <v>-0.56929765701052204</v>
      </c>
      <c r="D18">
        <v>-74</v>
      </c>
      <c r="E18">
        <f t="shared" si="0"/>
        <v>1.6134560337254986</v>
      </c>
      <c r="F18">
        <f t="shared" si="1"/>
        <v>-0.57675701756299147</v>
      </c>
    </row>
    <row r="19" spans="1:6">
      <c r="A19" s="1">
        <v>1.7019566465923299</v>
      </c>
      <c r="B19" s="1">
        <v>-0.56540810393085394</v>
      </c>
      <c r="D19">
        <v>-73</v>
      </c>
      <c r="E19">
        <f t="shared" si="0"/>
        <v>1.6385575570841051</v>
      </c>
      <c r="F19">
        <f t="shared" si="1"/>
        <v>-0.57378285357782133</v>
      </c>
    </row>
    <row r="20" spans="1:6">
      <c r="A20" s="1">
        <v>1.7300723144600401</v>
      </c>
      <c r="B20" s="1">
        <v>-0.56128756856968998</v>
      </c>
      <c r="D20">
        <v>-72</v>
      </c>
      <c r="E20">
        <f t="shared" si="0"/>
        <v>1.6635254915624211</v>
      </c>
      <c r="F20">
        <f t="shared" si="1"/>
        <v>-0.57063390977709216</v>
      </c>
    </row>
    <row r="21" spans="1:6">
      <c r="A21" s="1">
        <v>1.7580129746222299</v>
      </c>
      <c r="B21" s="1">
        <v>-0.55693755774280296</v>
      </c>
      <c r="D21">
        <v>-71</v>
      </c>
      <c r="E21">
        <f t="shared" si="0"/>
        <v>1.6883522316857351</v>
      </c>
      <c r="F21">
        <f t="shared" si="1"/>
        <v>-0.56731114535959015</v>
      </c>
    </row>
    <row r="22" spans="1:6">
      <c r="A22" s="1">
        <v>1.7857611616378199</v>
      </c>
      <c r="B22" s="1">
        <v>-0.55235986262822501</v>
      </c>
      <c r="D22">
        <v>-70</v>
      </c>
      <c r="E22">
        <f t="shared" si="0"/>
        <v>1.7130302149885033</v>
      </c>
      <c r="F22">
        <f t="shared" si="1"/>
        <v>-0.56381557247154512</v>
      </c>
    </row>
    <row r="23" spans="1:6">
      <c r="A23" s="1">
        <v>1.8132995649391801</v>
      </c>
      <c r="B23" s="1">
        <v>-0.54755655688089799</v>
      </c>
      <c r="D23">
        <v>-69</v>
      </c>
      <c r="E23">
        <f t="shared" si="0"/>
        <v>1.7375519243179505</v>
      </c>
      <c r="F23">
        <f t="shared" si="1"/>
        <v>-0.56014825589832118</v>
      </c>
    </row>
    <row r="24" spans="1:6">
      <c r="A24" s="1">
        <v>1.84061106442221</v>
      </c>
      <c r="B24" s="1">
        <v>-0.54252999388270995</v>
      </c>
      <c r="D24">
        <v>-68</v>
      </c>
      <c r="E24">
        <f t="shared" si="0"/>
        <v>1.7619098901238679</v>
      </c>
      <c r="F24">
        <f t="shared" si="1"/>
        <v>-0.55631031274007259</v>
      </c>
    </row>
    <row r="25" spans="1:6">
      <c r="A25" s="1">
        <v>1.8676787656549201</v>
      </c>
      <c r="B25" s="1">
        <v>-0.53728280313347099</v>
      </c>
      <c r="D25">
        <v>-67</v>
      </c>
      <c r="E25">
        <f t="shared" si="0"/>
        <v>1.7860966927339106</v>
      </c>
      <c r="F25">
        <f t="shared" si="1"/>
        <v>-0.55230291207146431</v>
      </c>
    </row>
    <row r="26" spans="1:6">
      <c r="A26" s="1">
        <v>1.8944860345537</v>
      </c>
      <c r="B26" s="1">
        <v>-0.53181788579322697</v>
      </c>
      <c r="D26">
        <v>-66</v>
      </c>
      <c r="E26">
        <f t="shared" si="0"/>
        <v>1.8101049646137004</v>
      </c>
      <c r="F26">
        <f t="shared" si="1"/>
        <v>-0.54812727458556065</v>
      </c>
    </row>
    <row r="27" spans="1:6">
      <c r="A27" s="1">
        <v>1.9210165313783301</v>
      </c>
      <c r="B27" s="1">
        <v>-0.52613840939116396</v>
      </c>
      <c r="D27">
        <v>-65</v>
      </c>
      <c r="E27">
        <f t="shared" si="0"/>
        <v>1.8339273926110491</v>
      </c>
      <c r="F27">
        <f t="shared" si="1"/>
        <v>-0.54378467222199001</v>
      </c>
    </row>
    <row r="28" spans="1:6">
      <c r="A28" s="1">
        <v>1.9472542439004401</v>
      </c>
      <c r="B28" s="1">
        <v>-0.52024780172110396</v>
      </c>
      <c r="D28">
        <v>-64</v>
      </c>
      <c r="E28">
        <f t="shared" si="0"/>
        <v>1.8575567201836161</v>
      </c>
      <c r="F28">
        <f t="shared" si="1"/>
        <v>-0.53927642777950036</v>
      </c>
    </row>
    <row r="29" spans="1:6">
      <c r="A29" s="1">
        <v>1.97318351960398</v>
      </c>
      <c r="B29" s="1">
        <v>-0.51414974394824597</v>
      </c>
      <c r="D29">
        <v>-63</v>
      </c>
      <c r="E29">
        <f t="shared" si="0"/>
        <v>1.8809857496093203</v>
      </c>
      <c r="F29">
        <f t="shared" si="1"/>
        <v>-0.53460391451302081</v>
      </c>
    </row>
    <row r="30" spans="1:6">
      <c r="A30" s="1">
        <v>1.9987890967817901</v>
      </c>
      <c r="B30" s="1">
        <v>-0.50784816295621404</v>
      </c>
      <c r="D30">
        <v>-62</v>
      </c>
      <c r="E30">
        <f t="shared" si="0"/>
        <v>1.9042073441788363</v>
      </c>
      <c r="F30">
        <f t="shared" si="1"/>
        <v>-0.52976855571535619</v>
      </c>
    </row>
    <row r="31" spans="1:6">
      <c r="A31" s="1">
        <v>2.0240561343989301</v>
      </c>
      <c r="B31" s="1">
        <v>-0.501347222967789</v>
      </c>
      <c r="D31">
        <v>-61</v>
      </c>
      <c r="E31">
        <f t="shared" si="0"/>
        <v>1.9272144303695056</v>
      </c>
      <c r="F31">
        <f t="shared" si="1"/>
        <v>-0.52477182428363756</v>
      </c>
    </row>
    <row r="32" spans="1:6">
      <c r="A32" s="1">
        <v>2.0489702406000601</v>
      </c>
      <c r="B32" s="1">
        <v>-0.49465131647664101</v>
      </c>
      <c r="D32">
        <v>-60</v>
      </c>
      <c r="E32">
        <f t="shared" si="0"/>
        <v>1.9500000000000002</v>
      </c>
      <c r="F32">
        <f t="shared" si="1"/>
        <v>-0.51961524227066325</v>
      </c>
    </row>
    <row r="33" spans="1:6">
      <c r="A33" s="1">
        <v>2.0735174997469001</v>
      </c>
      <c r="B33" s="1">
        <v>-0.48776505453111901</v>
      </c>
      <c r="D33">
        <v>-59</v>
      </c>
      <c r="E33">
        <f t="shared" si="0"/>
        <v>1.9725571123650811</v>
      </c>
      <c r="F33">
        <f t="shared" si="1"/>
        <v>-0.51430038042126747</v>
      </c>
    </row>
    <row r="34" spans="1:6">
      <c r="A34" s="1">
        <v>2.09768449788033</v>
      </c>
      <c r="B34" s="1">
        <v>-0.480693256414577</v>
      </c>
      <c r="D34">
        <v>-58</v>
      </c>
      <c r="E34">
        <f t="shared" si="0"/>
        <v>1.9948788963498072</v>
      </c>
      <c r="F34">
        <f t="shared" si="1"/>
        <v>-0.50882885769385566</v>
      </c>
    </row>
    <row r="35" spans="1:6">
      <c r="A35" s="1">
        <v>2.12145834651123</v>
      </c>
      <c r="B35" s="1">
        <v>-0.47344093876972898</v>
      </c>
      <c r="D35">
        <v>-57</v>
      </c>
      <c r="E35">
        <f t="shared" si="0"/>
        <v>2.0169585525225404</v>
      </c>
      <c r="F35">
        <f t="shared" si="1"/>
        <v>-0.50320234076725445</v>
      </c>
    </row>
    <row r="36" spans="1:6">
      <c r="A36" s="1">
        <v>2.1448267046545202</v>
      </c>
      <c r="B36" s="1">
        <v>-0.46601330421723403</v>
      </c>
      <c r="D36">
        <v>-56</v>
      </c>
      <c r="E36">
        <f t="shared" si="0"/>
        <v>2.03878935520612</v>
      </c>
      <c r="F36">
        <f t="shared" si="1"/>
        <v>-0.49742254353302512</v>
      </c>
    </row>
    <row r="37" spans="1:6">
      <c r="A37" s="1">
        <v>2.1677777990314402</v>
      </c>
      <c r="B37" s="1">
        <v>-0.45841572952102499</v>
      </c>
      <c r="D37">
        <v>-55</v>
      </c>
      <c r="E37">
        <f t="shared" si="0"/>
        <v>2.0603646545265693</v>
      </c>
      <c r="F37">
        <f t="shared" si="1"/>
        <v>-0.49149122657339517</v>
      </c>
    </row>
    <row r="38" spans="1:6">
      <c r="A38" s="1">
        <v>2.1903004423761301</v>
      </c>
      <c r="B38" s="1">
        <v>-0.45065375335476399</v>
      </c>
      <c r="D38">
        <v>-54</v>
      </c>
      <c r="E38">
        <f t="shared" si="0"/>
        <v>2.0816778784387098</v>
      </c>
      <c r="F38">
        <f t="shared" si="1"/>
        <v>-0.48541019662496854</v>
      </c>
    </row>
    <row r="39" spans="1:6">
      <c r="A39" s="1">
        <v>2.2123840497941099</v>
      </c>
      <c r="B39" s="1">
        <v>-0.44273306372529903</v>
      </c>
      <c r="D39">
        <v>-53</v>
      </c>
      <c r="E39">
        <f t="shared" si="0"/>
        <v>2.1027225347280725</v>
      </c>
      <c r="F39">
        <f t="shared" si="1"/>
        <v>-0.47918130602837578</v>
      </c>
    </row>
    <row r="40" spans="1:6">
      <c r="A40" s="1">
        <v>2.2340186531316002</v>
      </c>
      <c r="B40" s="1">
        <v>-0.43465948511005897</v>
      </c>
      <c r="D40">
        <v>-52</v>
      </c>
      <c r="E40">
        <f t="shared" si="0"/>
        <v>2.1234922129884874</v>
      </c>
      <c r="F40">
        <f t="shared" si="1"/>
        <v>-0.47280645216403328</v>
      </c>
    </row>
    <row r="41" spans="1:6">
      <c r="A41" s="1">
        <v>2.2551949133264801</v>
      </c>
      <c r="B41" s="1">
        <v>-0.42643896536595199</v>
      </c>
      <c r="D41">
        <v>-51</v>
      </c>
      <c r="E41">
        <f t="shared" si="0"/>
        <v>2.1439805865747563</v>
      </c>
      <c r="F41">
        <f t="shared" si="1"/>
        <v>-0.4662875768741826</v>
      </c>
    </row>
    <row r="42" spans="1:6">
      <c r="A42" s="1">
        <v>2.2759041307232701</v>
      </c>
      <c r="B42" s="1">
        <v>-0.41807756246755101</v>
      </c>
      <c r="D42">
        <v>-50</v>
      </c>
      <c r="E42">
        <f t="shared" si="0"/>
        <v>2.1641814145298088</v>
      </c>
      <c r="F42">
        <f t="shared" si="1"/>
        <v>-0.4596266658713869</v>
      </c>
    </row>
    <row r="43" spans="1:6">
      <c r="A43" s="1">
        <v>2.2961382533459198</v>
      </c>
      <c r="B43" s="1">
        <v>-0.409581431132167</v>
      </c>
      <c r="D43">
        <v>-49</v>
      </c>
      <c r="E43">
        <f t="shared" si="0"/>
        <v>2.1840885434857609</v>
      </c>
      <c r="F43">
        <f t="shared" si="1"/>
        <v>-0.45282574813366328</v>
      </c>
    </row>
    <row r="44" spans="1:6">
      <c r="A44" s="1">
        <v>2.31588988313352</v>
      </c>
      <c r="B44" s="1">
        <v>-0.40095680938878298</v>
      </c>
      <c r="D44">
        <v>-48</v>
      </c>
      <c r="E44">
        <f t="shared" si="0"/>
        <v>2.2036959095382871</v>
      </c>
      <c r="F44">
        <f t="shared" si="1"/>
        <v>-0.4458868952864366</v>
      </c>
    </row>
    <row r="45" spans="1:6">
      <c r="A45" s="1">
        <v>2.33515228015527</v>
      </c>
      <c r="B45" s="1">
        <v>-0.39221000514688398</v>
      </c>
      <c r="D45">
        <v>-47</v>
      </c>
      <c r="E45">
        <f t="shared" si="0"/>
        <v>2.2229975400937478</v>
      </c>
      <c r="F45">
        <f t="shared" si="1"/>
        <v>-0.43881222097150235</v>
      </c>
    </row>
    <row r="46" spans="1:6">
      <c r="A46" s="1">
        <v>2.35391936483117</v>
      </c>
      <c r="B46" s="1">
        <v>-0.38334738281983299</v>
      </c>
      <c r="D46">
        <v>-46</v>
      </c>
      <c r="E46">
        <f t="shared" si="0"/>
        <v>2.2419875556884961</v>
      </c>
      <c r="F46">
        <f t="shared" si="1"/>
        <v>-0.43160388020319074</v>
      </c>
    </row>
    <row r="47" spans="1:6">
      <c r="A47" s="1">
        <v>2.3721857181954</v>
      </c>
      <c r="B47" s="1">
        <v>-0.37437535005578498</v>
      </c>
      <c r="D47">
        <v>-45</v>
      </c>
      <c r="E47">
        <f t="shared" si="0"/>
        <v>2.2606601717798211</v>
      </c>
      <c r="F47">
        <f t="shared" si="1"/>
        <v>-0.42426406871192857</v>
      </c>
    </row>
    <row r="48" spans="1:6">
      <c r="A48" s="1">
        <v>2.3899465802487398</v>
      </c>
      <c r="B48" s="1">
        <v>-0.36530034462710897</v>
      </c>
      <c r="D48">
        <v>-44</v>
      </c>
      <c r="E48">
        <f t="shared" si="0"/>
        <v>2.2790097005079768</v>
      </c>
      <c r="F48">
        <f t="shared" si="1"/>
        <v>-0.41679502227539844</v>
      </c>
    </row>
    <row r="49" spans="1:6">
      <c r="A49" s="1">
        <v>2.4071978464552402</v>
      </c>
      <c r="B49" s="1">
        <v>-0.35612882152699499</v>
      </c>
      <c r="D49">
        <v>-43</v>
      </c>
      <c r="E49">
        <f t="shared" si="0"/>
        <v>2.2970305524287555</v>
      </c>
      <c r="F49">
        <f t="shared" si="1"/>
        <v>-0.40919901603749914</v>
      </c>
    </row>
    <row r="50" spans="1:6">
      <c r="A50" s="1">
        <v>2.4239360624467201</v>
      </c>
      <c r="B50" s="1">
        <v>-0.34686724031937699</v>
      </c>
      <c r="D50">
        <v>-42</v>
      </c>
      <c r="E50">
        <f t="shared" si="0"/>
        <v>2.3147172382160912</v>
      </c>
      <c r="F50">
        <f t="shared" si="1"/>
        <v>-0.40147836381531499</v>
      </c>
    </row>
    <row r="51" spans="1:6">
      <c r="A51" s="1">
        <v>2.44015841700628</v>
      </c>
      <c r="B51" s="1">
        <v>-0.337522052785517</v>
      </c>
      <c r="D51">
        <v>-41</v>
      </c>
      <c r="E51">
        <f t="shared" si="0"/>
        <v>2.3320643703341579</v>
      </c>
      <c r="F51">
        <f t="shared" si="1"/>
        <v>-0.39363541739430441</v>
      </c>
    </row>
    <row r="52" spans="1:6">
      <c r="A52" s="1">
        <v>2.4528787915094501</v>
      </c>
      <c r="B52" s="1">
        <v>-0.32991992574823398</v>
      </c>
      <c r="D52">
        <v>-40</v>
      </c>
      <c r="E52">
        <f t="shared" si="0"/>
        <v>2.349066664678467</v>
      </c>
      <c r="F52">
        <f t="shared" si="1"/>
        <v>-0.38567256581192361</v>
      </c>
    </row>
    <row r="53" spans="1:6">
      <c r="A53" s="1">
        <v>2.4623707647178001</v>
      </c>
      <c r="B53" s="1">
        <v>-0.324079015645443</v>
      </c>
      <c r="D53">
        <v>-39</v>
      </c>
      <c r="E53">
        <f t="shared" si="0"/>
        <v>2.3657189421854561</v>
      </c>
      <c r="F53">
        <f t="shared" si="1"/>
        <v>-0.37759223462990249</v>
      </c>
    </row>
    <row r="54" spans="1:6">
      <c r="A54" s="1">
        <v>2.4717075069767098</v>
      </c>
      <c r="B54" s="1">
        <v>-0.31818485613216002</v>
      </c>
      <c r="D54">
        <v>-38</v>
      </c>
      <c r="E54">
        <f t="shared" si="0"/>
        <v>2.3820161304100829</v>
      </c>
      <c r="F54">
        <f t="shared" si="1"/>
        <v>-0.36939688519539504</v>
      </c>
    </row>
    <row r="55" spans="1:6">
      <c r="A55" s="1">
        <v>2.4808863450372001</v>
      </c>
      <c r="B55" s="1">
        <v>-0.31223841431756499</v>
      </c>
      <c r="D55">
        <v>-37</v>
      </c>
      <c r="E55">
        <f t="shared" si="0"/>
        <v>2.3979532650709392</v>
      </c>
      <c r="F55">
        <f t="shared" si="1"/>
        <v>-0.36108901389122899</v>
      </c>
    </row>
    <row r="56" spans="1:6">
      <c r="A56" s="1">
        <v>2.4899046545197798</v>
      </c>
      <c r="B56" s="1">
        <v>-0.30624068501703899</v>
      </c>
      <c r="D56">
        <v>-36</v>
      </c>
      <c r="E56">
        <f t="shared" si="0"/>
        <v>2.4135254915624209</v>
      </c>
      <c r="F56">
        <f t="shared" si="1"/>
        <v>-0.35267115137548394</v>
      </c>
    </row>
    <row r="57" spans="1:6">
      <c r="A57" s="1">
        <v>2.49875986210357</v>
      </c>
      <c r="B57" s="1">
        <v>-0.30019269027440398</v>
      </c>
      <c r="D57">
        <v>-35</v>
      </c>
      <c r="E57">
        <f t="shared" si="0"/>
        <v>2.4287280664334876</v>
      </c>
      <c r="F57">
        <f t="shared" si="1"/>
        <v>-0.34414586181062767</v>
      </c>
    </row>
    <row r="58" spans="1:6">
      <c r="A58" s="1">
        <v>2.5074494476820202</v>
      </c>
      <c r="B58" s="1">
        <v>-0.29409547885159598</v>
      </c>
      <c r="D58">
        <v>-34</v>
      </c>
      <c r="E58">
        <f t="shared" si="0"/>
        <v>2.4435563588325624</v>
      </c>
      <c r="F58">
        <f t="shared" si="1"/>
        <v>-0.33551574208244817</v>
      </c>
    </row>
    <row r="59" spans="1:6">
      <c r="A59" s="1">
        <v>2.5159709464814402</v>
      </c>
      <c r="B59" s="1">
        <v>-0.28795012568614797</v>
      </c>
      <c r="D59">
        <v>-33</v>
      </c>
      <c r="E59">
        <f t="shared" si="0"/>
        <v>2.458005851918136</v>
      </c>
      <c r="F59">
        <f t="shared" si="1"/>
        <v>-0.32678342100901631</v>
      </c>
    </row>
    <row r="60" spans="1:6">
      <c r="A60" s="1">
        <v>2.52432195113929</v>
      </c>
      <c r="B60" s="1">
        <v>-0.28175773131697901</v>
      </c>
      <c r="D60">
        <v>-32</v>
      </c>
      <c r="E60">
        <f t="shared" si="0"/>
        <v>2.4720721442346392</v>
      </c>
      <c r="F60">
        <f t="shared" si="1"/>
        <v>-0.31795155853992296</v>
      </c>
    </row>
    <row r="61" spans="1:6">
      <c r="A61" s="1">
        <v>2.5325001137383998</v>
      </c>
      <c r="B61" s="1">
        <v>-0.275519421279035</v>
      </c>
      <c r="D61">
        <v>-31</v>
      </c>
      <c r="E61">
        <f t="shared" si="0"/>
        <v>2.4857509510531681</v>
      </c>
      <c r="F61">
        <f t="shared" si="1"/>
        <v>-0.30902284494603255</v>
      </c>
    </row>
    <row r="62" spans="1:6">
      <c r="A62" s="1">
        <v>2.54050314779413</v>
      </c>
      <c r="B62" s="1">
        <v>-0.269236345467391</v>
      </c>
      <c r="D62">
        <v>-30</v>
      </c>
      <c r="E62">
        <f t="shared" si="0"/>
        <v>2.4990381056766582</v>
      </c>
      <c r="F62">
        <f t="shared" si="1"/>
        <v>-0.3</v>
      </c>
    </row>
    <row r="63" spans="1:6">
      <c r="A63" s="1">
        <v>2.54832883019089</v>
      </c>
      <c r="B63" s="1">
        <v>-0.26290967747148303</v>
      </c>
      <c r="D63">
        <v>-29</v>
      </c>
      <c r="E63">
        <f t="shared" si="0"/>
        <v>2.5119295607090937</v>
      </c>
      <c r="F63">
        <f t="shared" si="1"/>
        <v>-0.29088577214780226</v>
      </c>
    </row>
    <row r="64" spans="1:6">
      <c r="A64" s="1">
        <v>2.5559750030650101</v>
      </c>
      <c r="B64" s="1">
        <v>-0.25654061388023303</v>
      </c>
      <c r="D64">
        <v>-28</v>
      </c>
      <c r="E64">
        <f t="shared" si="0"/>
        <v>2.5244213892883902</v>
      </c>
      <c r="F64">
        <f t="shared" si="1"/>
        <v>-0.28168293767153452</v>
      </c>
    </row>
    <row r="65" spans="1:6">
      <c r="A65" s="1">
        <v>2.5634395756305501</v>
      </c>
      <c r="B65" s="1">
        <v>-0.25013037355885298</v>
      </c>
      <c r="D65">
        <v>-27</v>
      </c>
      <c r="E65">
        <f t="shared" si="0"/>
        <v>2.5365097862825516</v>
      </c>
      <c r="F65">
        <f t="shared" si="1"/>
        <v>-0.27239429984372809</v>
      </c>
    </row>
    <row r="66" spans="1:6">
      <c r="A66" s="1">
        <v>2.5707205259453101</v>
      </c>
      <c r="B66" s="1">
        <v>-0.243680196898198</v>
      </c>
      <c r="D66">
        <v>-26</v>
      </c>
      <c r="E66">
        <f t="shared" si="0"/>
        <v>2.5481910694487508</v>
      </c>
      <c r="F66">
        <f t="shared" si="1"/>
        <v>-0.26302268807344648</v>
      </c>
    </row>
    <row r="67" spans="1:6">
      <c r="A67" s="1">
        <v>2.5778159026137102</v>
      </c>
      <c r="B67" s="1">
        <v>-0.23719134503761399</v>
      </c>
      <c r="D67">
        <v>-25</v>
      </c>
      <c r="E67">
        <f t="shared" ref="E67:E130" si="2">1.2+1.5*COS(RADIANS((D67)))</f>
        <v>2.5594616805549748</v>
      </c>
      <c r="F67">
        <f t="shared" ref="F67:F130" si="3">0.4*1.5*SIN(RADIANS((D67)))</f>
        <v>-0.25357095704441968</v>
      </c>
    </row>
    <row r="68" spans="1:6">
      <c r="A68" s="1">
        <v>2.58472382642397</v>
      </c>
      <c r="B68" s="1">
        <v>-0.23066509906223501</v>
      </c>
      <c r="D68">
        <v>-24</v>
      </c>
      <c r="E68">
        <f t="shared" si="2"/>
        <v>2.5703181864639015</v>
      </c>
      <c r="F68">
        <f t="shared" si="3"/>
        <v>-0.24404198584548017</v>
      </c>
    </row>
    <row r="69" spans="1:6">
      <c r="A69" s="1">
        <v>2.5914424919166201</v>
      </c>
      <c r="B69" s="1">
        <v>-0.22410275917581099</v>
      </c>
      <c r="D69">
        <v>-23</v>
      </c>
      <c r="E69">
        <f t="shared" si="2"/>
        <v>2.5807572801786605</v>
      </c>
      <c r="F69">
        <f t="shared" si="3"/>
        <v>-0.23443867709356431</v>
      </c>
    </row>
    <row r="70" spans="1:6">
      <c r="A70" s="1">
        <v>2.59797016888177</v>
      </c>
      <c r="B70" s="1">
        <v>-0.217505643850124</v>
      </c>
      <c r="D70">
        <v>-22</v>
      </c>
      <c r="E70">
        <f t="shared" si="2"/>
        <v>2.5907757818501809</v>
      </c>
      <c r="F70">
        <f t="shared" si="3"/>
        <v>-0.22476395604954724</v>
      </c>
    </row>
    <row r="71" spans="1:6">
      <c r="A71" s="1">
        <v>2.6043052037827401</v>
      </c>
      <c r="B71" s="1">
        <v>-0.210875088952171</v>
      </c>
      <c r="D71">
        <v>-21</v>
      </c>
      <c r="E71">
        <f t="shared" si="2"/>
        <v>2.6003706397458028</v>
      </c>
      <c r="F71">
        <f t="shared" si="3"/>
        <v>-0.21502076972718021</v>
      </c>
    </row>
    <row r="72" spans="1:6">
      <c r="A72" s="1">
        <v>2.6104460211033498</v>
      </c>
      <c r="B72" s="1">
        <v>-0.20421244685029599</v>
      </c>
      <c r="D72">
        <v>-20</v>
      </c>
      <c r="E72">
        <f t="shared" si="2"/>
        <v>2.6095389311788626</v>
      </c>
      <c r="F72">
        <f t="shared" si="3"/>
        <v>-0.20521208599540125</v>
      </c>
    </row>
    <row r="73" spans="1:6">
      <c r="A73" s="1">
        <v>2.6163911246170399</v>
      </c>
      <c r="B73" s="1">
        <v>-0.197519085500522</v>
      </c>
      <c r="D73">
        <v>-19</v>
      </c>
      <c r="E73">
        <f t="shared" si="2"/>
        <v>2.6182778633989754</v>
      </c>
      <c r="F73">
        <f t="shared" si="3"/>
        <v>-0.19534089267429405</v>
      </c>
    </row>
    <row r="74" spans="1:6">
      <c r="A74" s="1">
        <v>2.6221390985753201</v>
      </c>
      <c r="B74" s="1">
        <v>-0.19079638751436201</v>
      </c>
      <c r="D74">
        <v>-18</v>
      </c>
      <c r="E74">
        <f t="shared" si="2"/>
        <v>2.6265847744427302</v>
      </c>
      <c r="F74">
        <f t="shared" si="3"/>
        <v>-0.18541019662496847</v>
      </c>
    </row>
    <row r="75" spans="1:6">
      <c r="A75" s="1">
        <v>2.6276886088139202</v>
      </c>
      <c r="B75" s="1">
        <v>-0.18404574920945099</v>
      </c>
      <c r="D75">
        <v>-17</v>
      </c>
      <c r="E75">
        <f t="shared" si="2"/>
        <v>2.6344571339445531</v>
      </c>
      <c r="F75">
        <f t="shared" si="3"/>
        <v>-0.17542302283364208</v>
      </c>
    </row>
    <row r="76" spans="1:6">
      <c r="A76" s="1">
        <v>2.63303840377462</v>
      </c>
      <c r="B76" s="1">
        <v>-0.177268579644345</v>
      </c>
      <c r="D76">
        <v>-16</v>
      </c>
      <c r="E76">
        <f t="shared" si="2"/>
        <v>2.6418925439074785</v>
      </c>
      <c r="F76">
        <f t="shared" si="3"/>
        <v>-0.16538241349019953</v>
      </c>
    </row>
    <row r="77" spans="1:6">
      <c r="A77" s="1">
        <v>2.63818731544132</v>
      </c>
      <c r="B77" s="1">
        <v>-0.170466299638908</v>
      </c>
      <c r="D77">
        <v>-15</v>
      </c>
      <c r="E77">
        <f t="shared" si="2"/>
        <v>2.6488887394336027</v>
      </c>
      <c r="F77">
        <f t="shared" si="3"/>
        <v>-0.15529142706151247</v>
      </c>
    </row>
    <row r="78" spans="1:6">
      <c r="A78" s="1">
        <v>2.6431342601886501</v>
      </c>
      <c r="B78" s="1">
        <v>-0.16364034078169701</v>
      </c>
      <c r="D78">
        <v>-14</v>
      </c>
      <c r="E78">
        <f t="shared" si="2"/>
        <v>2.6554435894139949</v>
      </c>
      <c r="F78">
        <f t="shared" si="3"/>
        <v>-0.14515313735980065</v>
      </c>
    </row>
    <row r="79" spans="1:6">
      <c r="A79" s="1">
        <v>2.6478782395421501</v>
      </c>
      <c r="B79" s="1">
        <v>-0.156792144425805</v>
      </c>
      <c r="D79">
        <v>-13</v>
      </c>
      <c r="E79">
        <f t="shared" si="2"/>
        <v>2.6615550971778528</v>
      </c>
      <c r="F79">
        <f t="shared" si="3"/>
        <v>-0.13497063260631903</v>
      </c>
    </row>
    <row r="80" spans="1:6">
      <c r="A80" s="1">
        <v>2.6524183408485298</v>
      </c>
      <c r="B80" s="1">
        <v>-0.149923160674655</v>
      </c>
      <c r="D80">
        <v>-12</v>
      </c>
      <c r="E80">
        <f t="shared" si="2"/>
        <v>2.6672214011007087</v>
      </c>
      <c r="F80">
        <f t="shared" si="3"/>
        <v>-0.12474701449065563</v>
      </c>
    </row>
    <row r="81" spans="1:6">
      <c r="A81" s="1">
        <v>2.6567537378554098</v>
      </c>
      <c r="B81" s="1">
        <v>-0.14303484735921701</v>
      </c>
      <c r="D81">
        <v>-11</v>
      </c>
      <c r="E81">
        <f t="shared" si="2"/>
        <v>2.6724407751714958</v>
      </c>
      <c r="F81">
        <f t="shared" si="3"/>
        <v>-0.1144853972259269</v>
      </c>
    </row>
    <row r="82" spans="1:6">
      <c r="A82" s="1">
        <v>2.6608836911995399</v>
      </c>
      <c r="B82" s="1">
        <v>-0.13612866900819301</v>
      </c>
      <c r="D82">
        <v>-10</v>
      </c>
      <c r="E82">
        <f t="shared" si="2"/>
        <v>2.6772116295183119</v>
      </c>
      <c r="F82">
        <f t="shared" si="3"/>
        <v>-0.10418890660015821</v>
      </c>
    </row>
    <row r="83" spans="1:6">
      <c r="A83" s="1">
        <v>2.6648075488030001</v>
      </c>
      <c r="B83" s="1">
        <v>-0.12920609581266401</v>
      </c>
      <c r="D83">
        <v>-9</v>
      </c>
      <c r="E83">
        <f t="shared" si="2"/>
        <v>2.6815325108927066</v>
      </c>
      <c r="F83">
        <f t="shared" si="3"/>
        <v>-9.3860679024138541E-2</v>
      </c>
    </row>
    <row r="84" spans="1:6">
      <c r="A84" s="1">
        <v>2.6685247461769901</v>
      </c>
      <c r="B84" s="1">
        <v>-0.12226860258675799</v>
      </c>
      <c r="D84">
        <v>-8</v>
      </c>
      <c r="E84">
        <f t="shared" si="2"/>
        <v>2.6854021031123558</v>
      </c>
      <c r="F84">
        <f t="shared" si="3"/>
        <v>-8.3503860576039271E-2</v>
      </c>
    </row>
    <row r="85" spans="1:6">
      <c r="A85" s="1">
        <v>2.67203480663302</v>
      </c>
      <c r="B85" s="1">
        <v>-0.115317667725858</v>
      </c>
      <c r="D85">
        <v>-7</v>
      </c>
      <c r="E85">
        <f t="shared" si="2"/>
        <v>2.6888192274619831</v>
      </c>
      <c r="F85">
        <f t="shared" si="3"/>
        <v>-7.3121606043088497E-2</v>
      </c>
    </row>
    <row r="86" spans="1:6">
      <c r="A86" s="1">
        <v>2.67533734140132</v>
      </c>
      <c r="B86" s="1">
        <v>-0.10835477216389899</v>
      </c>
      <c r="D86">
        <v>-6</v>
      </c>
      <c r="E86">
        <f t="shared" si="2"/>
        <v>2.69178284305241</v>
      </c>
      <c r="F86">
        <f t="shared" si="3"/>
        <v>-6.2717077960592088E-2</v>
      </c>
    </row>
    <row r="87" spans="1:6">
      <c r="A87" s="1">
        <v>2.6784320496567999</v>
      </c>
      <c r="B87" s="1">
        <v>-0.101381398331283</v>
      </c>
      <c r="D87">
        <v>-5</v>
      </c>
      <c r="E87">
        <f t="shared" si="2"/>
        <v>2.6942920471376182</v>
      </c>
      <c r="F87">
        <f t="shared" si="3"/>
        <v>-5.2293445648594908E-2</v>
      </c>
    </row>
    <row r="88" spans="1:6">
      <c r="A88" s="1">
        <v>2.6813187184527201</v>
      </c>
      <c r="B88" s="1">
        <v>-9.43990291149336E-2</v>
      </c>
      <c r="D88">
        <v>-4</v>
      </c>
      <c r="E88">
        <f t="shared" si="2"/>
        <v>2.6963460753897364</v>
      </c>
      <c r="F88">
        <f t="shared" si="3"/>
        <v>-4.1853884246475188E-2</v>
      </c>
    </row>
    <row r="89" spans="1:6">
      <c r="A89" s="1">
        <v>2.68399722256276</v>
      </c>
      <c r="B89" s="1">
        <v>-8.7409146822014505E-2</v>
      </c>
      <c r="D89">
        <v>-3</v>
      </c>
      <c r="E89">
        <f t="shared" si="2"/>
        <v>2.6979443021318605</v>
      </c>
      <c r="F89">
        <f t="shared" si="3"/>
        <v>-3.1401573745766305E-2</v>
      </c>
    </row>
    <row r="90" spans="1:6">
      <c r="A90" s="1">
        <v>2.6864675242318898</v>
      </c>
      <c r="B90" s="1">
        <v>-8.0413232148802194E-2</v>
      </c>
      <c r="D90">
        <v>-2</v>
      </c>
      <c r="E90">
        <f t="shared" si="2"/>
        <v>2.6990862405286435</v>
      </c>
      <c r="F90">
        <f t="shared" si="3"/>
        <v>-2.0939698021500586E-2</v>
      </c>
    </row>
    <row r="91" spans="1:6">
      <c r="A91" s="1">
        <v>2.6887296728372201</v>
      </c>
      <c r="B91" s="1">
        <v>-7.3412763156195701E-2</v>
      </c>
      <c r="D91">
        <v>-1</v>
      </c>
      <c r="E91">
        <f t="shared" si="2"/>
        <v>2.6997715427345872</v>
      </c>
      <c r="F91">
        <f t="shared" si="3"/>
        <v>-1.0471443862370108E-2</v>
      </c>
    </row>
    <row r="92" spans="1:6">
      <c r="A92" s="1">
        <v>2.6907838044596</v>
      </c>
      <c r="B92" s="1">
        <v>-6.6409214253325799E-2</v>
      </c>
      <c r="D92">
        <v>0</v>
      </c>
      <c r="E92">
        <f t="shared" si="2"/>
        <v>2.7</v>
      </c>
      <c r="F92">
        <f t="shared" si="3"/>
        <v>0</v>
      </c>
    </row>
    <row r="93" spans="1:6">
      <c r="A93" s="1">
        <v>2.69263014136726</v>
      </c>
      <c r="B93" s="1">
        <v>-5.9404055190688497E-2</v>
      </c>
      <c r="D93">
        <v>1</v>
      </c>
      <c r="E93">
        <f t="shared" si="2"/>
        <v>2.6997715427345872</v>
      </c>
      <c r="F93">
        <f t="shared" si="3"/>
        <v>1.0471443862370108E-2</v>
      </c>
    </row>
    <row r="94" spans="1:6">
      <c r="A94" s="1">
        <v>2.6942689914128901</v>
      </c>
      <c r="B94" s="1">
        <v>-5.2398750064210999E-2</v>
      </c>
      <c r="D94">
        <v>2</v>
      </c>
      <c r="E94">
        <f t="shared" si="2"/>
        <v>2.6990862405286435</v>
      </c>
      <c r="F94">
        <f t="shared" si="3"/>
        <v>2.0939698021500586E-2</v>
      </c>
    </row>
    <row r="95" spans="1:6">
      <c r="A95" s="1">
        <v>2.6957007473455001</v>
      </c>
      <c r="B95" s="1">
        <v>-4.53947563316194E-2</v>
      </c>
      <c r="D95">
        <v>3</v>
      </c>
      <c r="E95">
        <f t="shared" si="2"/>
        <v>2.6979443021318605</v>
      </c>
      <c r="F95">
        <f t="shared" si="3"/>
        <v>3.1401573745766305E-2</v>
      </c>
    </row>
    <row r="96" spans="1:6">
      <c r="A96" s="1">
        <v>2.69692588603893</v>
      </c>
      <c r="B96" s="1">
        <v>-3.8393523842440998E-2</v>
      </c>
      <c r="D96">
        <v>4</v>
      </c>
      <c r="E96">
        <f t="shared" si="2"/>
        <v>2.6963460753897364</v>
      </c>
      <c r="F96">
        <f t="shared" si="3"/>
        <v>4.1853884246475188E-2</v>
      </c>
    </row>
    <row r="97" spans="1:6">
      <c r="A97" s="1">
        <v>2.69794496763868</v>
      </c>
      <c r="B97" s="1">
        <v>-3.1396493882938997E-2</v>
      </c>
      <c r="D97">
        <v>5</v>
      </c>
      <c r="E97">
        <f t="shared" si="2"/>
        <v>2.6942920471376182</v>
      </c>
      <c r="F97">
        <f t="shared" si="3"/>
        <v>5.2293445648594908E-2</v>
      </c>
    </row>
    <row r="98" spans="1:6">
      <c r="A98" s="1">
        <v>2.69875863462905</v>
      </c>
      <c r="B98" s="1">
        <v>-2.4405098237235499E-2</v>
      </c>
      <c r="D98">
        <v>6</v>
      </c>
      <c r="E98">
        <f t="shared" si="2"/>
        <v>2.69178284305241</v>
      </c>
      <c r="F98">
        <f t="shared" si="3"/>
        <v>6.2717077960592088E-2</v>
      </c>
    </row>
    <row r="99" spans="1:6">
      <c r="A99" s="1">
        <v>2.6993676108226299</v>
      </c>
      <c r="B99" s="1">
        <v>-1.7420758265829402E-2</v>
      </c>
      <c r="D99">
        <v>7</v>
      </c>
      <c r="E99">
        <f t="shared" si="2"/>
        <v>2.6888192274619831</v>
      </c>
      <c r="F99">
        <f t="shared" si="3"/>
        <v>7.3121606043088497E-2</v>
      </c>
    </row>
    <row r="100" spans="1:6">
      <c r="A100" s="1">
        <v>2.6997727002744401</v>
      </c>
      <c r="B100" s="1">
        <v>-1.0444884002678E-2</v>
      </c>
      <c r="D100">
        <v>8</v>
      </c>
      <c r="E100">
        <f t="shared" si="2"/>
        <v>2.6854021031123558</v>
      </c>
      <c r="F100">
        <f t="shared" si="3"/>
        <v>8.3503860576039271E-2</v>
      </c>
    </row>
    <row r="101" spans="1:6">
      <c r="A101" s="1">
        <v>2.6999747861229699</v>
      </c>
      <c r="B101" s="1">
        <v>-3.4788732719563602E-3</v>
      </c>
      <c r="D101">
        <v>9</v>
      </c>
      <c r="E101">
        <f t="shared" si="2"/>
        <v>2.6815325108927066</v>
      </c>
      <c r="F101">
        <f t="shared" si="3"/>
        <v>9.3860679024138541E-2</v>
      </c>
    </row>
    <row r="102" spans="1:6">
      <c r="A102" s="1">
        <v>2.6999747861229699</v>
      </c>
      <c r="B102" s="1">
        <v>3.47887327195487E-3</v>
      </c>
      <c r="D102">
        <v>10</v>
      </c>
      <c r="E102">
        <f t="shared" si="2"/>
        <v>2.6772116295183119</v>
      </c>
      <c r="F102">
        <f t="shared" si="3"/>
        <v>0.10418890660015821</v>
      </c>
    </row>
    <row r="103" spans="1:6">
      <c r="A103" s="1">
        <v>2.6997727002744401</v>
      </c>
      <c r="B103" s="1">
        <v>1.04448840026766E-2</v>
      </c>
      <c r="D103">
        <v>11</v>
      </c>
      <c r="E103">
        <f t="shared" si="2"/>
        <v>2.6724407751714958</v>
      </c>
      <c r="F103">
        <f t="shared" si="3"/>
        <v>0.1144853972259269</v>
      </c>
    </row>
    <row r="104" spans="1:6">
      <c r="A104" s="1">
        <v>2.6993676108226299</v>
      </c>
      <c r="B104" s="1">
        <v>1.74207582658275E-2</v>
      </c>
      <c r="D104">
        <v>12</v>
      </c>
      <c r="E104">
        <f t="shared" si="2"/>
        <v>2.6672214011007087</v>
      </c>
      <c r="F104">
        <f t="shared" si="3"/>
        <v>0.12474701449065563</v>
      </c>
    </row>
    <row r="105" spans="1:6">
      <c r="A105" s="1">
        <v>2.69875863462905</v>
      </c>
      <c r="B105" s="1">
        <v>2.4405098237233601E-2</v>
      </c>
      <c r="D105">
        <v>13</v>
      </c>
      <c r="E105">
        <f t="shared" si="2"/>
        <v>2.6615550971778528</v>
      </c>
      <c r="F105">
        <f t="shared" si="3"/>
        <v>0.13497063260631903</v>
      </c>
    </row>
    <row r="106" spans="1:6">
      <c r="A106" s="1">
        <v>2.69794496763868</v>
      </c>
      <c r="B106" s="1">
        <v>3.1396493882937103E-2</v>
      </c>
      <c r="D106">
        <v>14</v>
      </c>
      <c r="E106">
        <f t="shared" si="2"/>
        <v>2.6554435894139949</v>
      </c>
      <c r="F106">
        <f t="shared" si="3"/>
        <v>0.14515313735980065</v>
      </c>
    </row>
    <row r="107" spans="1:6">
      <c r="A107" s="1">
        <v>2.69692588603893</v>
      </c>
      <c r="B107" s="1">
        <v>3.8393523842438798E-2</v>
      </c>
      <c r="D107">
        <v>15</v>
      </c>
      <c r="E107">
        <f t="shared" si="2"/>
        <v>2.6488887394336027</v>
      </c>
      <c r="F107">
        <f t="shared" si="3"/>
        <v>0.15529142706151247</v>
      </c>
    </row>
    <row r="108" spans="1:6">
      <c r="A108" s="1">
        <v>2.6957007473455001</v>
      </c>
      <c r="B108" s="1">
        <v>4.5394756331617603E-2</v>
      </c>
      <c r="D108">
        <v>16</v>
      </c>
      <c r="E108">
        <f t="shared" si="2"/>
        <v>2.6418925439074785</v>
      </c>
      <c r="F108">
        <f t="shared" si="3"/>
        <v>0.16538241349019953</v>
      </c>
    </row>
    <row r="109" spans="1:6">
      <c r="A109" s="1">
        <v>2.6942689914128999</v>
      </c>
      <c r="B109" s="1">
        <v>5.2398750064209201E-2</v>
      </c>
      <c r="D109">
        <v>17</v>
      </c>
      <c r="E109">
        <f t="shared" si="2"/>
        <v>2.6344571339445531</v>
      </c>
      <c r="F109">
        <f t="shared" si="3"/>
        <v>0.17542302283364208</v>
      </c>
    </row>
    <row r="110" spans="1:6">
      <c r="A110" s="1">
        <v>2.6926301413672702</v>
      </c>
      <c r="B110" s="1">
        <v>5.9404055190686499E-2</v>
      </c>
      <c r="D110">
        <v>18</v>
      </c>
      <c r="E110">
        <f t="shared" si="2"/>
        <v>2.6265847744427302</v>
      </c>
      <c r="F110">
        <f t="shared" si="3"/>
        <v>0.18541019662496847</v>
      </c>
    </row>
    <row r="111" spans="1:6">
      <c r="A111" s="1">
        <v>2.6907838044596</v>
      </c>
      <c r="B111" s="1">
        <v>6.6409214253323898E-2</v>
      </c>
      <c r="D111">
        <v>19</v>
      </c>
      <c r="E111">
        <f t="shared" si="2"/>
        <v>2.6182778633989754</v>
      </c>
      <c r="F111">
        <f t="shared" si="3"/>
        <v>0.19534089267429405</v>
      </c>
    </row>
    <row r="112" spans="1:6">
      <c r="A112" s="1">
        <v>2.6887296728372201</v>
      </c>
      <c r="B112" s="1">
        <v>7.3412763156193606E-2</v>
      </c>
      <c r="D112">
        <v>20</v>
      </c>
      <c r="E112">
        <f t="shared" si="2"/>
        <v>2.6095389311788626</v>
      </c>
      <c r="F112">
        <f t="shared" si="3"/>
        <v>0.20521208599540125</v>
      </c>
    </row>
    <row r="113" spans="1:6">
      <c r="A113" s="1">
        <v>2.6864675242318898</v>
      </c>
      <c r="B113" s="1">
        <v>8.0413232148800001E-2</v>
      </c>
      <c r="D113">
        <v>21</v>
      </c>
      <c r="E113">
        <f t="shared" si="2"/>
        <v>2.6003706397458028</v>
      </c>
      <c r="F113">
        <f t="shared" si="3"/>
        <v>0.21502076972718021</v>
      </c>
    </row>
    <row r="114" spans="1:6">
      <c r="A114" s="1">
        <v>2.68399722256276</v>
      </c>
      <c r="B114" s="1">
        <v>8.7409146822012507E-2</v>
      </c>
      <c r="D114">
        <v>22</v>
      </c>
      <c r="E114">
        <f t="shared" si="2"/>
        <v>2.5907757818501809</v>
      </c>
      <c r="F114">
        <f t="shared" si="3"/>
        <v>0.22476395604954724</v>
      </c>
    </row>
    <row r="115" spans="1:6">
      <c r="A115" s="1">
        <v>2.6813187184527298</v>
      </c>
      <c r="B115" s="1">
        <v>9.4399029114931601E-2</v>
      </c>
      <c r="D115">
        <v>23</v>
      </c>
      <c r="E115">
        <f t="shared" si="2"/>
        <v>2.5807572801786605</v>
      </c>
      <c r="F115">
        <f t="shared" si="3"/>
        <v>0.23443867709356431</v>
      </c>
    </row>
    <row r="116" spans="1:6">
      <c r="A116" s="1">
        <v>2.6784320496567999</v>
      </c>
      <c r="B116" s="1">
        <v>0.10138139833128</v>
      </c>
      <c r="D116">
        <v>24</v>
      </c>
      <c r="E116">
        <f t="shared" si="2"/>
        <v>2.5703181864639015</v>
      </c>
      <c r="F116">
        <f t="shared" si="3"/>
        <v>0.24404198584548017</v>
      </c>
    </row>
    <row r="117" spans="1:6">
      <c r="A117" s="1">
        <v>2.6753373414013302</v>
      </c>
      <c r="B117" s="1">
        <v>0.108354772163897</v>
      </c>
      <c r="D117">
        <v>25</v>
      </c>
      <c r="E117">
        <f t="shared" si="2"/>
        <v>2.5594616805549748</v>
      </c>
      <c r="F117">
        <f t="shared" si="3"/>
        <v>0.25357095704441968</v>
      </c>
    </row>
    <row r="118" spans="1:6">
      <c r="A118" s="1">
        <v>2.67203480663302</v>
      </c>
      <c r="B118" s="1">
        <v>0.115317667725855</v>
      </c>
      <c r="D118">
        <v>26</v>
      </c>
      <c r="E118">
        <f t="shared" si="2"/>
        <v>2.5481910694487508</v>
      </c>
      <c r="F118">
        <f t="shared" si="3"/>
        <v>0.26302268807344648</v>
      </c>
    </row>
    <row r="119" spans="1:6">
      <c r="A119" s="1">
        <v>2.6685247461769901</v>
      </c>
      <c r="B119" s="1">
        <v>0.122268602586756</v>
      </c>
      <c r="D119">
        <v>27</v>
      </c>
      <c r="E119">
        <f t="shared" si="2"/>
        <v>2.5365097862825516</v>
      </c>
      <c r="F119">
        <f t="shared" si="3"/>
        <v>0.27239429984372809</v>
      </c>
    </row>
    <row r="120" spans="1:6">
      <c r="A120" s="1">
        <v>2.6648075488030001</v>
      </c>
      <c r="B120" s="1">
        <v>0.12920609581266099</v>
      </c>
      <c r="D120">
        <v>28</v>
      </c>
      <c r="E120">
        <f t="shared" si="2"/>
        <v>2.5244213892883902</v>
      </c>
      <c r="F120">
        <f t="shared" si="3"/>
        <v>0.28168293767153452</v>
      </c>
    </row>
    <row r="121" spans="1:6">
      <c r="A121" s="1">
        <v>2.6608836911995501</v>
      </c>
      <c r="B121" s="1">
        <v>0.13612866900819001</v>
      </c>
      <c r="D121">
        <v>29</v>
      </c>
      <c r="E121">
        <f t="shared" si="2"/>
        <v>2.5119295607090937</v>
      </c>
      <c r="F121">
        <f t="shared" si="3"/>
        <v>0.29088577214780226</v>
      </c>
    </row>
    <row r="122" spans="1:6">
      <c r="A122" s="1">
        <v>2.65675373785542</v>
      </c>
      <c r="B122" s="1">
        <v>0.14303484735921501</v>
      </c>
      <c r="D122">
        <v>30</v>
      </c>
      <c r="E122">
        <f t="shared" si="2"/>
        <v>2.4990381056766582</v>
      </c>
      <c r="F122">
        <f t="shared" si="3"/>
        <v>0.3</v>
      </c>
    </row>
    <row r="123" spans="1:6">
      <c r="A123" s="1">
        <v>2.65241834084854</v>
      </c>
      <c r="B123" s="1">
        <v>0.149923160674652</v>
      </c>
      <c r="D123">
        <v>31</v>
      </c>
      <c r="E123">
        <f t="shared" si="2"/>
        <v>2.4857509510531681</v>
      </c>
      <c r="F123">
        <f t="shared" si="3"/>
        <v>0.30902284494603255</v>
      </c>
    </row>
    <row r="124" spans="1:6">
      <c r="A124" s="1">
        <v>2.6478782395421501</v>
      </c>
      <c r="B124" s="1">
        <v>0.156792144425803</v>
      </c>
      <c r="D124">
        <v>32</v>
      </c>
      <c r="E124">
        <f t="shared" si="2"/>
        <v>2.4720721442346392</v>
      </c>
      <c r="F124">
        <f t="shared" si="3"/>
        <v>0.31795155853992296</v>
      </c>
    </row>
    <row r="125" spans="1:6">
      <c r="A125" s="1">
        <v>2.6431342601886598</v>
      </c>
      <c r="B125" s="1">
        <v>0.16364034078169501</v>
      </c>
      <c r="D125">
        <v>33</v>
      </c>
      <c r="E125">
        <f t="shared" si="2"/>
        <v>2.458005851918136</v>
      </c>
      <c r="F125">
        <f t="shared" si="3"/>
        <v>0.32678342100901631</v>
      </c>
    </row>
    <row r="126" spans="1:6">
      <c r="A126" s="1">
        <v>2.63818731544132</v>
      </c>
      <c r="B126" s="1">
        <v>0.170466299638906</v>
      </c>
      <c r="D126">
        <v>34</v>
      </c>
      <c r="E126">
        <f t="shared" si="2"/>
        <v>2.4435563588325624</v>
      </c>
      <c r="F126">
        <f t="shared" si="3"/>
        <v>0.33551574208244817</v>
      </c>
    </row>
    <row r="127" spans="1:6">
      <c r="A127" s="1">
        <v>2.6330384037746302</v>
      </c>
      <c r="B127" s="1">
        <v>0.17726857964434201</v>
      </c>
      <c r="D127">
        <v>35</v>
      </c>
      <c r="E127">
        <f t="shared" si="2"/>
        <v>2.4287280664334876</v>
      </c>
      <c r="F127">
        <f t="shared" si="3"/>
        <v>0.34414586181062767</v>
      </c>
    </row>
    <row r="128" spans="1:6">
      <c r="A128" s="1">
        <v>2.6276886088139202</v>
      </c>
      <c r="B128" s="1">
        <v>0.184045749209448</v>
      </c>
      <c r="D128">
        <v>36</v>
      </c>
      <c r="E128">
        <f t="shared" si="2"/>
        <v>2.4135254915624209</v>
      </c>
      <c r="F128">
        <f t="shared" si="3"/>
        <v>0.35267115137548394</v>
      </c>
    </row>
    <row r="129" spans="1:6">
      <c r="A129" s="1">
        <v>2.6221390985753201</v>
      </c>
      <c r="B129" s="1">
        <v>0.19079638751436001</v>
      </c>
      <c r="D129">
        <v>37</v>
      </c>
      <c r="E129">
        <f t="shared" si="2"/>
        <v>2.3979532650709392</v>
      </c>
      <c r="F129">
        <f t="shared" si="3"/>
        <v>0.36108901389122899</v>
      </c>
    </row>
    <row r="130" spans="1:6">
      <c r="A130" s="1">
        <v>2.6163911246170399</v>
      </c>
      <c r="B130" s="1">
        <v>0.19751908550052</v>
      </c>
      <c r="D130">
        <v>38</v>
      </c>
      <c r="E130">
        <f t="shared" si="2"/>
        <v>2.3820161304100829</v>
      </c>
      <c r="F130">
        <f t="shared" si="3"/>
        <v>0.36939688519539504</v>
      </c>
    </row>
    <row r="131" spans="1:6">
      <c r="A131" s="1">
        <v>2.61044602110336</v>
      </c>
      <c r="B131" s="1">
        <v>0.20421244685029399</v>
      </c>
      <c r="D131">
        <v>39</v>
      </c>
      <c r="E131">
        <f t="shared" ref="E131:E182" si="4">1.2+1.5*COS(RADIANS((D131)))</f>
        <v>2.3657189421854561</v>
      </c>
      <c r="F131">
        <f t="shared" ref="F131:F182" si="5">0.4*1.5*SIN(RADIANS((D131)))</f>
        <v>0.37759223462990249</v>
      </c>
    </row>
    <row r="132" spans="1:6">
      <c r="A132" s="1">
        <v>2.6043052037827401</v>
      </c>
      <c r="B132" s="1">
        <v>0.210875088952168</v>
      </c>
      <c r="D132">
        <v>40</v>
      </c>
      <c r="E132">
        <f t="shared" si="4"/>
        <v>2.349066664678467</v>
      </c>
      <c r="F132">
        <f t="shared" si="5"/>
        <v>0.38567256581192361</v>
      </c>
    </row>
    <row r="133" spans="1:6">
      <c r="A133" s="1">
        <v>2.5979701688817798</v>
      </c>
      <c r="B133" s="1">
        <v>0.217505643850122</v>
      </c>
      <c r="D133">
        <v>41</v>
      </c>
      <c r="E133">
        <f t="shared" si="4"/>
        <v>2.3320643703341579</v>
      </c>
      <c r="F133">
        <f t="shared" si="5"/>
        <v>0.39363541739430441</v>
      </c>
    </row>
    <row r="134" spans="1:6">
      <c r="A134" s="1">
        <v>2.5914424919166201</v>
      </c>
      <c r="B134" s="1">
        <v>0.22410275917580899</v>
      </c>
      <c r="D134">
        <v>42</v>
      </c>
      <c r="E134">
        <f t="shared" si="4"/>
        <v>2.3147172382160912</v>
      </c>
      <c r="F134">
        <f t="shared" si="5"/>
        <v>0.40147836381531499</v>
      </c>
    </row>
    <row r="135" spans="1:6">
      <c r="A135" s="1">
        <v>2.5847238264239798</v>
      </c>
      <c r="B135" s="1">
        <v>0.23066509906223301</v>
      </c>
      <c r="D135">
        <v>43</v>
      </c>
      <c r="E135">
        <f t="shared" si="4"/>
        <v>2.2970305524287555</v>
      </c>
      <c r="F135">
        <f t="shared" si="5"/>
        <v>0.40919901603749914</v>
      </c>
    </row>
    <row r="136" spans="1:6">
      <c r="A136" s="1">
        <v>2.57781590261372</v>
      </c>
      <c r="B136" s="1">
        <v>0.237191345037611</v>
      </c>
      <c r="D136">
        <v>44</v>
      </c>
      <c r="E136">
        <f t="shared" si="4"/>
        <v>2.2790097005079768</v>
      </c>
      <c r="F136">
        <f t="shared" si="5"/>
        <v>0.41679502227539844</v>
      </c>
    </row>
    <row r="137" spans="1:6">
      <c r="A137" s="1">
        <v>2.5707205259453101</v>
      </c>
      <c r="B137" s="1">
        <v>0.24368019689819601</v>
      </c>
      <c r="D137">
        <v>45</v>
      </c>
      <c r="E137">
        <f t="shared" si="4"/>
        <v>2.2606601717798211</v>
      </c>
      <c r="F137">
        <f t="shared" si="5"/>
        <v>0.42426406871192857</v>
      </c>
    </row>
    <row r="138" spans="1:6">
      <c r="A138" s="1">
        <v>2.5634395756305599</v>
      </c>
      <c r="B138" s="1">
        <v>0.25013037355885098</v>
      </c>
      <c r="D138">
        <v>46</v>
      </c>
      <c r="E138">
        <f t="shared" si="4"/>
        <v>2.2419875556884961</v>
      </c>
      <c r="F138">
        <f t="shared" si="5"/>
        <v>0.43160388020319074</v>
      </c>
    </row>
    <row r="139" spans="1:6">
      <c r="A139" s="1">
        <v>2.5559750030650101</v>
      </c>
      <c r="B139" s="1">
        <v>0.25654061388023103</v>
      </c>
      <c r="D139">
        <v>47</v>
      </c>
      <c r="E139">
        <f t="shared" si="4"/>
        <v>2.2229975400937478</v>
      </c>
      <c r="F139">
        <f t="shared" si="5"/>
        <v>0.43881222097150235</v>
      </c>
    </row>
    <row r="140" spans="1:6">
      <c r="A140" s="1">
        <v>2.5483288301909002</v>
      </c>
      <c r="B140" s="1">
        <v>0.26290967747147997</v>
      </c>
      <c r="D140">
        <v>48</v>
      </c>
      <c r="E140">
        <f t="shared" si="4"/>
        <v>2.2036959095382871</v>
      </c>
      <c r="F140">
        <f t="shared" si="5"/>
        <v>0.4458868952864366</v>
      </c>
    </row>
    <row r="141" spans="1:6">
      <c r="A141" s="1">
        <v>2.54050314779413</v>
      </c>
      <c r="B141" s="1">
        <v>0.26923634546738801</v>
      </c>
      <c r="D141">
        <v>49</v>
      </c>
      <c r="E141">
        <f t="shared" si="4"/>
        <v>2.1840885434857609</v>
      </c>
      <c r="F141">
        <f t="shared" si="5"/>
        <v>0.45282574813366328</v>
      </c>
    </row>
    <row r="142" spans="1:6">
      <c r="A142" s="1">
        <v>2.53250011373841</v>
      </c>
      <c r="B142" s="1">
        <v>0.27551942127903301</v>
      </c>
      <c r="D142">
        <v>50</v>
      </c>
      <c r="E142">
        <f t="shared" si="4"/>
        <v>2.1641814145298088</v>
      </c>
      <c r="F142">
        <f t="shared" si="5"/>
        <v>0.4596266658713869</v>
      </c>
    </row>
    <row r="143" spans="1:6">
      <c r="A143" s="1">
        <v>2.52432195113929</v>
      </c>
      <c r="B143" s="1">
        <v>0.28175773131697701</v>
      </c>
      <c r="D143">
        <v>51</v>
      </c>
      <c r="E143">
        <f t="shared" si="4"/>
        <v>2.1439805865747563</v>
      </c>
      <c r="F143">
        <f t="shared" si="5"/>
        <v>0.4662875768741826</v>
      </c>
    </row>
    <row r="144" spans="1:6">
      <c r="A144" s="1">
        <v>2.5159709464814499</v>
      </c>
      <c r="B144" s="1">
        <v>0.28795012568614597</v>
      </c>
      <c r="D144">
        <v>52</v>
      </c>
      <c r="E144">
        <f t="shared" si="4"/>
        <v>2.1234922129884874</v>
      </c>
      <c r="F144">
        <f t="shared" si="5"/>
        <v>0.47280645216403328</v>
      </c>
    </row>
    <row r="145" spans="1:6">
      <c r="A145" s="1">
        <v>2.5074494476820202</v>
      </c>
      <c r="B145" s="1">
        <v>0.29409547885159498</v>
      </c>
      <c r="D145">
        <v>53</v>
      </c>
      <c r="E145">
        <f t="shared" si="4"/>
        <v>2.1027225347280725</v>
      </c>
      <c r="F145">
        <f t="shared" si="5"/>
        <v>0.47918130602837578</v>
      </c>
    </row>
    <row r="146" spans="1:6">
      <c r="A146" s="1">
        <v>2.4987598621035798</v>
      </c>
      <c r="B146" s="1">
        <v>0.30019269027440199</v>
      </c>
      <c r="D146">
        <v>54</v>
      </c>
      <c r="E146">
        <f t="shared" si="4"/>
        <v>2.0816778784387098</v>
      </c>
      <c r="F146">
        <f t="shared" si="5"/>
        <v>0.48541019662496854</v>
      </c>
    </row>
    <row r="147" spans="1:6">
      <c r="A147" s="1">
        <v>2.4899046545197798</v>
      </c>
      <c r="B147" s="1">
        <v>0.306240685017037</v>
      </c>
      <c r="D147">
        <v>55</v>
      </c>
      <c r="E147">
        <f t="shared" si="4"/>
        <v>2.0603646545265693</v>
      </c>
      <c r="F147">
        <f t="shared" si="5"/>
        <v>0.49149122657339517</v>
      </c>
    </row>
    <row r="148" spans="1:6">
      <c r="A148" s="1">
        <v>2.4808863450372098</v>
      </c>
      <c r="B148" s="1">
        <v>0.31223841431756399</v>
      </c>
      <c r="D148">
        <v>56</v>
      </c>
      <c r="E148">
        <f t="shared" si="4"/>
        <v>2.03878935520612</v>
      </c>
      <c r="F148">
        <f t="shared" si="5"/>
        <v>0.49742254353302512</v>
      </c>
    </row>
    <row r="149" spans="1:6">
      <c r="A149" s="1">
        <v>2.4717075069767098</v>
      </c>
      <c r="B149" s="1">
        <v>0.31818485613215802</v>
      </c>
      <c r="D149">
        <v>57</v>
      </c>
      <c r="E149">
        <f t="shared" si="4"/>
        <v>2.0169585525225404</v>
      </c>
      <c r="F149">
        <f t="shared" si="5"/>
        <v>0.50320234076725445</v>
      </c>
    </row>
    <row r="150" spans="1:6">
      <c r="A150" s="1">
        <v>2.4623707647178001</v>
      </c>
      <c r="B150" s="1">
        <v>0.324079015645442</v>
      </c>
      <c r="D150">
        <v>58</v>
      </c>
      <c r="E150">
        <f t="shared" si="4"/>
        <v>1.9948788963498072</v>
      </c>
      <c r="F150">
        <f t="shared" si="5"/>
        <v>0.50882885769385566</v>
      </c>
    </row>
    <row r="151" spans="1:6">
      <c r="A151" s="1">
        <v>2.4528787915094501</v>
      </c>
      <c r="B151" s="1">
        <v>0.32991992574823298</v>
      </c>
      <c r="D151">
        <v>59</v>
      </c>
      <c r="E151">
        <f t="shared" si="4"/>
        <v>1.9725571123650811</v>
      </c>
      <c r="F151">
        <f t="shared" si="5"/>
        <v>0.51430038042126747</v>
      </c>
    </row>
    <row r="152" spans="1:6">
      <c r="A152" s="1">
        <v>2.44015841700628</v>
      </c>
      <c r="B152" s="1">
        <v>0.337522052785516</v>
      </c>
      <c r="D152">
        <v>60</v>
      </c>
      <c r="E152">
        <f t="shared" si="4"/>
        <v>1.9500000000000002</v>
      </c>
      <c r="F152">
        <f t="shared" si="5"/>
        <v>0.51961524227066325</v>
      </c>
    </row>
    <row r="153" spans="1:6">
      <c r="A153" s="1">
        <v>2.4239360624467099</v>
      </c>
      <c r="B153" s="1">
        <v>0.34686724031937599</v>
      </c>
      <c r="D153">
        <v>61</v>
      </c>
      <c r="E153">
        <f t="shared" si="4"/>
        <v>1.9272144303695056</v>
      </c>
      <c r="F153">
        <f t="shared" si="5"/>
        <v>0.52477182428363756</v>
      </c>
    </row>
    <row r="154" spans="1:6">
      <c r="A154" s="1">
        <v>2.4071978464552402</v>
      </c>
      <c r="B154" s="1">
        <v>0.35612882152699299</v>
      </c>
      <c r="D154">
        <v>62</v>
      </c>
      <c r="E154">
        <f t="shared" si="4"/>
        <v>1.9042073441788363</v>
      </c>
      <c r="F154">
        <f t="shared" si="5"/>
        <v>0.52976855571535619</v>
      </c>
    </row>
    <row r="155" spans="1:6">
      <c r="A155" s="1">
        <v>2.3899465802487398</v>
      </c>
      <c r="B155" s="1">
        <v>0.36530034462710798</v>
      </c>
      <c r="D155">
        <v>63</v>
      </c>
      <c r="E155">
        <f t="shared" si="4"/>
        <v>1.8809857496093203</v>
      </c>
      <c r="F155">
        <f t="shared" si="5"/>
        <v>0.53460391451302081</v>
      </c>
    </row>
    <row r="156" spans="1:6">
      <c r="A156" s="1">
        <v>2.3721857181953898</v>
      </c>
      <c r="B156" s="1">
        <v>0.37437535005578398</v>
      </c>
      <c r="D156">
        <v>64</v>
      </c>
      <c r="E156">
        <f t="shared" si="4"/>
        <v>1.8575567201836161</v>
      </c>
      <c r="F156">
        <f t="shared" si="5"/>
        <v>0.53927642777950036</v>
      </c>
    </row>
    <row r="157" spans="1:6">
      <c r="A157" s="1">
        <v>2.3539193648311598</v>
      </c>
      <c r="B157" s="1">
        <v>0.38334738281983199</v>
      </c>
      <c r="D157">
        <v>65</v>
      </c>
      <c r="E157">
        <f t="shared" si="4"/>
        <v>1.8339273926110491</v>
      </c>
      <c r="F157">
        <f t="shared" si="5"/>
        <v>0.54378467222199001</v>
      </c>
    </row>
    <row r="158" spans="1:6">
      <c r="A158" s="1">
        <v>2.33515228015527</v>
      </c>
      <c r="B158" s="1">
        <v>0.39221000514688298</v>
      </c>
      <c r="D158">
        <v>66</v>
      </c>
      <c r="E158">
        <f t="shared" si="4"/>
        <v>1.8101049646137004</v>
      </c>
      <c r="F158">
        <f t="shared" si="5"/>
        <v>0.54812727458556065</v>
      </c>
    </row>
    <row r="159" spans="1:6">
      <c r="A159" s="1">
        <v>2.31588988313352</v>
      </c>
      <c r="B159" s="1">
        <v>0.40095680938878198</v>
      </c>
      <c r="D159">
        <v>67</v>
      </c>
      <c r="E159">
        <f t="shared" si="4"/>
        <v>1.7860966927339106</v>
      </c>
      <c r="F159">
        <f t="shared" si="5"/>
        <v>0.55230291207146431</v>
      </c>
    </row>
    <row r="160" spans="1:6">
      <c r="A160" s="1">
        <v>2.2961382533459198</v>
      </c>
      <c r="B160" s="1">
        <v>0.409581431132166</v>
      </c>
      <c r="D160">
        <v>68</v>
      </c>
      <c r="E160">
        <f t="shared" si="4"/>
        <v>1.7619098901238679</v>
      </c>
      <c r="F160">
        <f t="shared" si="5"/>
        <v>0.55631031274007259</v>
      </c>
    </row>
    <row r="161" spans="1:6">
      <c r="A161" s="1">
        <v>2.2759041307232701</v>
      </c>
      <c r="B161" s="1">
        <v>0.41807756246754901</v>
      </c>
      <c r="D161">
        <v>69</v>
      </c>
      <c r="E161">
        <f t="shared" si="4"/>
        <v>1.7375519243179505</v>
      </c>
      <c r="F161">
        <f t="shared" si="5"/>
        <v>0.56014825589832118</v>
      </c>
    </row>
    <row r="162" spans="1:6">
      <c r="A162" s="1">
        <v>2.2551949133264699</v>
      </c>
      <c r="B162" s="1">
        <v>0.42643896536595</v>
      </c>
      <c r="D162">
        <v>70</v>
      </c>
      <c r="E162">
        <f t="shared" si="4"/>
        <v>1.7130302149885033</v>
      </c>
      <c r="F162">
        <f t="shared" si="5"/>
        <v>0.56381557247154512</v>
      </c>
    </row>
    <row r="163" spans="1:6">
      <c r="A163" s="1">
        <v>2.23401865313159</v>
      </c>
      <c r="B163" s="1">
        <v>0.43465948511005797</v>
      </c>
      <c r="D163">
        <v>71</v>
      </c>
      <c r="E163">
        <f t="shared" si="4"/>
        <v>1.6883522316857351</v>
      </c>
      <c r="F163">
        <f t="shared" si="5"/>
        <v>0.56731114535959015</v>
      </c>
    </row>
    <row r="164" spans="1:6">
      <c r="A164" s="1">
        <v>2.2123840497941099</v>
      </c>
      <c r="B164" s="1">
        <v>0.44273306372529803</v>
      </c>
      <c r="D164">
        <v>72</v>
      </c>
      <c r="E164">
        <f t="shared" si="4"/>
        <v>1.6635254915624211</v>
      </c>
      <c r="F164">
        <f t="shared" si="5"/>
        <v>0.57063390977709216</v>
      </c>
    </row>
    <row r="165" spans="1:6">
      <c r="A165" s="1">
        <v>2.1903004423761301</v>
      </c>
      <c r="B165" s="1">
        <v>0.45065375335476299</v>
      </c>
      <c r="D165">
        <v>73</v>
      </c>
      <c r="E165">
        <f t="shared" si="4"/>
        <v>1.6385575570841051</v>
      </c>
      <c r="F165">
        <f t="shared" si="5"/>
        <v>0.57378285357782133</v>
      </c>
    </row>
    <row r="166" spans="1:6">
      <c r="A166" s="1">
        <v>2.16777779903143</v>
      </c>
      <c r="B166" s="1">
        <v>0.458415729521024</v>
      </c>
      <c r="D166">
        <v>74</v>
      </c>
      <c r="E166">
        <f t="shared" si="4"/>
        <v>1.6134560337254986</v>
      </c>
      <c r="F166">
        <f t="shared" si="5"/>
        <v>0.57675701756299147</v>
      </c>
    </row>
    <row r="167" spans="1:6">
      <c r="A167" s="1">
        <v>2.1448267046545202</v>
      </c>
      <c r="B167" s="1">
        <v>0.46601330421723303</v>
      </c>
      <c r="D167">
        <v>75</v>
      </c>
      <c r="E167">
        <f t="shared" si="4"/>
        <v>1.5882285676537811</v>
      </c>
      <c r="F167">
        <f t="shared" si="5"/>
        <v>0.57955549577344112</v>
      </c>
    </row>
    <row r="168" spans="1:6">
      <c r="A168" s="1">
        <v>2.12145834651123</v>
      </c>
      <c r="B168" s="1">
        <v>0.47344093876972798</v>
      </c>
      <c r="D168">
        <v>76</v>
      </c>
      <c r="E168">
        <f t="shared" si="4"/>
        <v>1.5628828433995015</v>
      </c>
      <c r="F168">
        <f t="shared" si="5"/>
        <v>0.58217743576559799</v>
      </c>
    </row>
    <row r="169" spans="1:6">
      <c r="A169" s="1">
        <v>2.0976844978803202</v>
      </c>
      <c r="B169" s="1">
        <v>0.480693256414576</v>
      </c>
      <c r="D169">
        <v>77</v>
      </c>
      <c r="E169">
        <f t="shared" si="4"/>
        <v>1.5374265815157973</v>
      </c>
      <c r="F169">
        <f t="shared" si="5"/>
        <v>0.58462203887114128</v>
      </c>
    </row>
    <row r="170" spans="1:6">
      <c r="A170" s="1">
        <v>2.0735174997468899</v>
      </c>
      <c r="B170" s="1">
        <v>0.48776505453111701</v>
      </c>
      <c r="D170">
        <v>78</v>
      </c>
      <c r="E170">
        <f t="shared" si="4"/>
        <v>1.5118675362266392</v>
      </c>
      <c r="F170">
        <f t="shared" si="5"/>
        <v>0.58688856044028348</v>
      </c>
    </row>
    <row r="171" spans="1:6">
      <c r="A171" s="1">
        <v>2.0489702406000498</v>
      </c>
      <c r="B171" s="1">
        <v>0.49465131647664001</v>
      </c>
      <c r="D171">
        <v>79</v>
      </c>
      <c r="E171">
        <f t="shared" si="4"/>
        <v>1.4862134930648172</v>
      </c>
      <c r="F171">
        <f t="shared" si="5"/>
        <v>0.58897631006859852</v>
      </c>
    </row>
    <row r="172" spans="1:6">
      <c r="A172" s="1">
        <v>2.0240561343989301</v>
      </c>
      <c r="B172" s="1">
        <v>0.501347222967788</v>
      </c>
      <c r="D172">
        <v>80</v>
      </c>
      <c r="E172">
        <f t="shared" si="4"/>
        <v>1.4604722665003955</v>
      </c>
      <c r="F172">
        <f t="shared" si="5"/>
        <v>0.59088465180732486</v>
      </c>
    </row>
    <row r="173" spans="1:6">
      <c r="A173" s="1">
        <v>1.9987890967817901</v>
      </c>
      <c r="B173" s="1">
        <v>0.50784816295621105</v>
      </c>
      <c r="D173">
        <v>81</v>
      </c>
      <c r="E173">
        <f t="shared" si="4"/>
        <v>1.4346516975603463</v>
      </c>
      <c r="F173">
        <f t="shared" si="5"/>
        <v>0.59261300435708275</v>
      </c>
    </row>
    <row r="174" spans="1:6">
      <c r="A174" s="1">
        <v>1.97318351960397</v>
      </c>
      <c r="B174" s="1">
        <v>0.51414974394824398</v>
      </c>
      <c r="D174">
        <v>82</v>
      </c>
      <c r="E174">
        <f t="shared" si="4"/>
        <v>1.4087596514400982</v>
      </c>
      <c r="F174">
        <f t="shared" si="5"/>
        <v>0.59416084124494228</v>
      </c>
    </row>
    <row r="175" spans="1:6">
      <c r="A175" s="1">
        <v>1.9472542439004401</v>
      </c>
      <c r="B175" s="1">
        <v>0.52024780172110197</v>
      </c>
      <c r="D175">
        <v>83</v>
      </c>
      <c r="E175">
        <f t="shared" si="4"/>
        <v>1.3828040151077212</v>
      </c>
      <c r="F175">
        <f t="shared" si="5"/>
        <v>0.5955276909847933</v>
      </c>
    </row>
    <row r="176" spans="1:6">
      <c r="A176" s="1">
        <v>1.9210165313783201</v>
      </c>
      <c r="B176" s="1">
        <v>0.52613840939116197</v>
      </c>
      <c r="D176">
        <v>84</v>
      </c>
      <c r="E176">
        <f t="shared" si="4"/>
        <v>1.3567926949014801</v>
      </c>
      <c r="F176">
        <f t="shared" si="5"/>
        <v>0.59671313722096408</v>
      </c>
    </row>
    <row r="177" spans="1:6">
      <c r="A177" s="1">
        <v>1.89448603455369</v>
      </c>
      <c r="B177" s="1">
        <v>0.53181788579322498</v>
      </c>
      <c r="D177">
        <v>85</v>
      </c>
      <c r="E177">
        <f t="shared" si="4"/>
        <v>1.3307336141214872</v>
      </c>
      <c r="F177">
        <f t="shared" si="5"/>
        <v>0.59771681885504746</v>
      </c>
    </row>
    <row r="178" spans="1:6">
      <c r="A178" s="1">
        <v>1.8676787656549201</v>
      </c>
      <c r="B178" s="1">
        <v>0.53728280313346899</v>
      </c>
      <c r="D178">
        <v>86</v>
      </c>
      <c r="E178">
        <f t="shared" si="4"/>
        <v>1.3046347106161877</v>
      </c>
      <c r="F178">
        <f t="shared" si="5"/>
        <v>0.59853843015589459</v>
      </c>
    </row>
    <row r="179" spans="1:6">
      <c r="A179" s="1">
        <v>1.8406110644222</v>
      </c>
      <c r="B179" s="1">
        <v>0.54252999388270695</v>
      </c>
      <c r="D179">
        <v>87</v>
      </c>
      <c r="E179">
        <f t="shared" si="4"/>
        <v>1.278503934364416</v>
      </c>
      <c r="F179">
        <f t="shared" si="5"/>
        <v>0.59917772085274434</v>
      </c>
    </row>
    <row r="180" spans="1:6">
      <c r="A180" s="1">
        <v>1.8132995649391701</v>
      </c>
      <c r="B180" s="1">
        <v>0.547556556880895</v>
      </c>
      <c r="D180">
        <v>88</v>
      </c>
      <c r="E180">
        <f t="shared" si="4"/>
        <v>1.2523492450537517</v>
      </c>
      <c r="F180">
        <f t="shared" si="5"/>
        <v>0.59963449621145759</v>
      </c>
    </row>
    <row r="181" spans="1:6">
      <c r="A181" s="1">
        <v>1.78576116163781</v>
      </c>
      <c r="B181" s="1">
        <v>0.55235986262822301</v>
      </c>
      <c r="D181">
        <v>89</v>
      </c>
      <c r="E181">
        <f t="shared" si="4"/>
        <v>1.2261786096559253</v>
      </c>
      <c r="F181">
        <f t="shared" si="5"/>
        <v>0.59990861709383481</v>
      </c>
    </row>
    <row r="182" spans="1:6">
      <c r="A182" s="1">
        <v>1.7580129746222299</v>
      </c>
      <c r="B182" s="1">
        <v>0.55693755774280096</v>
      </c>
      <c r="D182">
        <v>90</v>
      </c>
      <c r="E182">
        <f t="shared" si="4"/>
        <v>1.2</v>
      </c>
      <c r="F182">
        <f t="shared" si="5"/>
        <v>0.60000000000000009</v>
      </c>
    </row>
    <row r="183" spans="1:6">
      <c r="A183" s="1">
        <v>1.7300723144600401</v>
      </c>
      <c r="B183" s="1">
        <v>0.56128756856968798</v>
      </c>
    </row>
    <row r="184" spans="1:6">
      <c r="A184" s="1">
        <v>1.7019566465923299</v>
      </c>
      <c r="B184" s="1">
        <v>0.56540810393085095</v>
      </c>
    </row>
    <row r="185" spans="1:6">
      <c r="A185" s="1">
        <v>1.67368355551417</v>
      </c>
      <c r="B185" s="1">
        <v>0.56929765701051904</v>
      </c>
    </row>
    <row r="186" spans="1:6">
      <c r="A186" s="1">
        <v>1.64527070887754</v>
      </c>
      <c r="B186" s="1">
        <v>0.57295500637528796</v>
      </c>
    </row>
    <row r="187" spans="1:6">
      <c r="A187" s="1">
        <v>1.6167358216674901</v>
      </c>
      <c r="B187" s="1">
        <v>0.57637921613314103</v>
      </c>
    </row>
    <row r="188" spans="1:6">
      <c r="A188" s="1">
        <v>1.58809662060023</v>
      </c>
      <c r="B188" s="1">
        <v>0.57956963524030902</v>
      </c>
    </row>
    <row r="189" spans="1:6">
      <c r="A189" s="1">
        <v>1.5593708088882301</v>
      </c>
      <c r="B189" s="1">
        <v>0.58252589596947402</v>
      </c>
    </row>
    <row r="190" spans="1:6">
      <c r="A190" s="1">
        <v>1.53057603151374</v>
      </c>
      <c r="B190" s="1">
        <v>0.58524791155729405</v>
      </c>
    </row>
    <row r="191" spans="1:6">
      <c r="A191" s="1">
        <v>1.50172984114659</v>
      </c>
      <c r="B191" s="1">
        <v>0.58773587305341501</v>
      </c>
    </row>
    <row r="192" spans="1:6">
      <c r="A192" s="1">
        <v>1.47284966483619</v>
      </c>
      <c r="B192" s="1">
        <v>0.58999024539715905</v>
      </c>
    </row>
    <row r="193" spans="1:2">
      <c r="A193" s="1">
        <v>1.44395277160111</v>
      </c>
      <c r="B193" s="1">
        <v>0.59201176275180201</v>
      </c>
    </row>
    <row r="194" spans="1:2">
      <c r="A194" s="1">
        <v>1.4150562410318199</v>
      </c>
      <c r="B194" s="1">
        <v>0.59380142312975004</v>
      </c>
    </row>
    <row r="195" spans="1:2">
      <c r="A195" s="1">
        <v>1.38617693301412</v>
      </c>
      <c r="B195" s="1">
        <v>0.595360482345064</v>
      </c>
    </row>
    <row r="196" spans="1:2">
      <c r="A196" s="1">
        <v>1.35733145867226</v>
      </c>
      <c r="B196" s="1">
        <v>0.59669044733255405</v>
      </c>
    </row>
    <row r="197" spans="1:2">
      <c r="A197" s="1">
        <v>1.3285361526214601</v>
      </c>
      <c r="B197" s="1">
        <v>0.597793068875073</v>
      </c>
    </row>
    <row r="198" spans="1:2">
      <c r="A198" s="1">
        <v>1.2998070466102301</v>
      </c>
      <c r="B198" s="1">
        <v>0.59867033378271295</v>
      </c>
    </row>
    <row r="199" spans="1:2">
      <c r="A199" s="1">
        <v>1.27115984462291</v>
      </c>
      <c r="B199" s="1">
        <v>0.59932445656932198</v>
      </c>
    </row>
    <row r="200" spans="1:2">
      <c r="A200" s="1">
        <v>1.2426098995034001</v>
      </c>
      <c r="B200" s="1">
        <v>0.59975787067306097</v>
      </c>
    </row>
    <row r="201" spans="1:2">
      <c r="A201" s="1">
        <v>1.2141721911504999</v>
      </c>
      <c r="B201" s="1">
        <v>0.59997321926872105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SSIGA_fs</vt:lpstr>
      <vt:lpstr>SSIGA</vt:lpstr>
      <vt:lpstr>FEM_ref</vt:lpstr>
      <vt:lpstr>CRACK_SHAPE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SoraOishi</dc:creator>
  <cp:lastModifiedBy>大石　青空</cp:lastModifiedBy>
  <dcterms:created xsi:type="dcterms:W3CDTF">2015-06-05T18:19:34Z</dcterms:created>
  <dcterms:modified xsi:type="dcterms:W3CDTF">2026-04-28T09:23:10Z</dcterms:modified>
</cp:coreProperties>
</file>