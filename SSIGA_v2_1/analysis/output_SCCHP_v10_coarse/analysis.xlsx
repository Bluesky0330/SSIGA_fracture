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ishi\Documents\SSIGA_fracture\SSIGA_v2_1\analysis\output_SCCHP_v10_coarse\"/>
    </mc:Choice>
  </mc:AlternateContent>
  <xr:revisionPtr revIDLastSave="0" documentId="13_ncr:1_{FE092642-750C-40AD-89FF-57E75F02D3A4}" xr6:coauthVersionLast="47" xr6:coauthVersionMax="47" xr10:uidLastSave="{00000000-0000-0000-0000-000000000000}"/>
  <bookViews>
    <workbookView xWindow="-9600" yWindow="-504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P103" i="1"/>
  <c r="P2" i="1"/>
  <c r="K2" i="1"/>
  <c r="O14" i="1" s="1"/>
  <c r="P14" i="1" s="1"/>
  <c r="O97" i="1" l="1"/>
  <c r="P97" i="1" s="1"/>
  <c r="O22" i="1"/>
  <c r="P22" i="1" s="1"/>
  <c r="O25" i="1"/>
  <c r="P25" i="1" s="1"/>
  <c r="O95" i="1"/>
  <c r="P95" i="1" s="1"/>
  <c r="O9" i="1"/>
  <c r="P9" i="1" s="1"/>
  <c r="O90" i="1"/>
  <c r="P90" i="1" s="1"/>
  <c r="O81" i="1"/>
  <c r="P81" i="1" s="1"/>
  <c r="O94" i="1"/>
  <c r="P94" i="1" s="1"/>
  <c r="O75" i="1"/>
  <c r="P75" i="1" s="1"/>
  <c r="O72" i="1"/>
  <c r="P72" i="1" s="1"/>
  <c r="O61" i="1"/>
  <c r="P61" i="1" s="1"/>
  <c r="O58" i="1"/>
  <c r="P58" i="1" s="1"/>
  <c r="O45" i="1"/>
  <c r="P45" i="1" s="1"/>
  <c r="O3" i="1"/>
  <c r="P3" i="1" s="1"/>
  <c r="O39" i="1"/>
  <c r="P39" i="1" s="1"/>
  <c r="O96" i="1"/>
  <c r="P96" i="1" s="1"/>
  <c r="O78" i="1"/>
  <c r="P78" i="1" s="1"/>
  <c r="O60" i="1"/>
  <c r="P60" i="1" s="1"/>
  <c r="O42" i="1"/>
  <c r="P42" i="1" s="1"/>
  <c r="O24" i="1"/>
  <c r="P24" i="1" s="1"/>
  <c r="O6" i="1"/>
  <c r="P6" i="1" s="1"/>
  <c r="O76" i="1"/>
  <c r="P76" i="1" s="1"/>
  <c r="O59" i="1"/>
  <c r="P59" i="1" s="1"/>
  <c r="O40" i="1"/>
  <c r="P40" i="1" s="1"/>
  <c r="O23" i="1"/>
  <c r="P23" i="1" s="1"/>
  <c r="O4" i="1"/>
  <c r="P4" i="1" s="1"/>
  <c r="O93" i="1"/>
  <c r="P93" i="1" s="1"/>
  <c r="O73" i="1"/>
  <c r="P73" i="1" s="1"/>
  <c r="O57" i="1"/>
  <c r="P57" i="1" s="1"/>
  <c r="O37" i="1"/>
  <c r="P37" i="1" s="1"/>
  <c r="O21" i="1"/>
  <c r="P21" i="1" s="1"/>
  <c r="O54" i="1"/>
  <c r="P54" i="1" s="1"/>
  <c r="O36" i="1"/>
  <c r="P36" i="1" s="1"/>
  <c r="O18" i="1"/>
  <c r="P18" i="1" s="1"/>
  <c r="O88" i="1"/>
  <c r="P88" i="1" s="1"/>
  <c r="O71" i="1"/>
  <c r="P71" i="1" s="1"/>
  <c r="O52" i="1"/>
  <c r="P52" i="1" s="1"/>
  <c r="O35" i="1"/>
  <c r="P35" i="1" s="1"/>
  <c r="O16" i="1"/>
  <c r="P16" i="1" s="1"/>
  <c r="O87" i="1"/>
  <c r="P87" i="1" s="1"/>
  <c r="O70" i="1"/>
  <c r="P70" i="1" s="1"/>
  <c r="O51" i="1"/>
  <c r="P51" i="1" s="1"/>
  <c r="O34" i="1"/>
  <c r="P34" i="1" s="1"/>
  <c r="O15" i="1"/>
  <c r="P15" i="1" s="1"/>
  <c r="O102" i="1"/>
  <c r="P102" i="1" s="1"/>
  <c r="O85" i="1"/>
  <c r="P85" i="1" s="1"/>
  <c r="O69" i="1"/>
  <c r="P69" i="1" s="1"/>
  <c r="O49" i="1"/>
  <c r="P49" i="1" s="1"/>
  <c r="O33" i="1"/>
  <c r="P33" i="1" s="1"/>
  <c r="O13" i="1"/>
  <c r="P13" i="1" s="1"/>
  <c r="O100" i="1"/>
  <c r="P100" i="1" s="1"/>
  <c r="O84" i="1"/>
  <c r="P84" i="1" s="1"/>
  <c r="O66" i="1"/>
  <c r="P66" i="1" s="1"/>
  <c r="O48" i="1"/>
  <c r="P48" i="1" s="1"/>
  <c r="O30" i="1"/>
  <c r="P30" i="1" s="1"/>
  <c r="O12" i="1"/>
  <c r="P12" i="1" s="1"/>
  <c r="O99" i="1"/>
  <c r="P99" i="1" s="1"/>
  <c r="O83" i="1"/>
  <c r="P83" i="1" s="1"/>
  <c r="O64" i="1"/>
  <c r="P64" i="1" s="1"/>
  <c r="O47" i="1"/>
  <c r="P47" i="1" s="1"/>
  <c r="O28" i="1"/>
  <c r="P28" i="1" s="1"/>
  <c r="O11" i="1"/>
  <c r="P11" i="1" s="1"/>
  <c r="O98" i="1"/>
  <c r="P98" i="1" s="1"/>
  <c r="O82" i="1"/>
  <c r="P82" i="1" s="1"/>
  <c r="O63" i="1"/>
  <c r="P63" i="1" s="1"/>
  <c r="O46" i="1"/>
  <c r="P46" i="1" s="1"/>
  <c r="O27" i="1"/>
  <c r="P27" i="1" s="1"/>
  <c r="O10" i="1"/>
  <c r="P10" i="1" s="1"/>
  <c r="O92" i="1"/>
  <c r="P92" i="1" s="1"/>
  <c r="O80" i="1"/>
  <c r="P80" i="1" s="1"/>
  <c r="O68" i="1"/>
  <c r="P68" i="1" s="1"/>
  <c r="O56" i="1"/>
  <c r="P56" i="1" s="1"/>
  <c r="O44" i="1"/>
  <c r="P44" i="1" s="1"/>
  <c r="O32" i="1"/>
  <c r="P32" i="1" s="1"/>
  <c r="O20" i="1"/>
  <c r="P20" i="1" s="1"/>
  <c r="O8" i="1"/>
  <c r="P8" i="1" s="1"/>
  <c r="O91" i="1"/>
  <c r="P91" i="1" s="1"/>
  <c r="O79" i="1"/>
  <c r="P79" i="1" s="1"/>
  <c r="O67" i="1"/>
  <c r="P67" i="1" s="1"/>
  <c r="O55" i="1"/>
  <c r="P55" i="1" s="1"/>
  <c r="O43" i="1"/>
  <c r="P43" i="1" s="1"/>
  <c r="O31" i="1"/>
  <c r="P31" i="1" s="1"/>
  <c r="O19" i="1"/>
  <c r="P19" i="1" s="1"/>
  <c r="O7" i="1"/>
  <c r="P7" i="1" s="1"/>
  <c r="O101" i="1"/>
  <c r="P101" i="1" s="1"/>
  <c r="O89" i="1"/>
  <c r="P89" i="1" s="1"/>
  <c r="O77" i="1"/>
  <c r="P77" i="1" s="1"/>
  <c r="O65" i="1"/>
  <c r="P65" i="1" s="1"/>
  <c r="O53" i="1"/>
  <c r="P53" i="1" s="1"/>
  <c r="O41" i="1"/>
  <c r="P41" i="1" s="1"/>
  <c r="O29" i="1"/>
  <c r="P29" i="1" s="1"/>
  <c r="O17" i="1"/>
  <c r="P17" i="1" s="1"/>
  <c r="O5" i="1"/>
  <c r="P5" i="1" s="1"/>
  <c r="O86" i="1"/>
  <c r="P86" i="1" s="1"/>
  <c r="O74" i="1"/>
  <c r="P74" i="1" s="1"/>
  <c r="O62" i="1"/>
  <c r="P62" i="1" s="1"/>
  <c r="O50" i="1"/>
  <c r="P50" i="1" s="1"/>
  <c r="O38" i="1"/>
  <c r="P38" i="1" s="1"/>
  <c r="O26" i="1"/>
  <c r="P26" i="1" s="1"/>
</calcChain>
</file>

<file path=xl/sharedStrings.xml><?xml version="1.0" encoding="utf-8"?>
<sst xmlns="http://schemas.openxmlformats.org/spreadsheetml/2006/main" count="19" uniqueCount="19">
  <si>
    <t>patches,</t>
  </si>
  <si>
    <t>points,</t>
  </si>
  <si>
    <t>x,</t>
  </si>
  <si>
    <t>y,</t>
  </si>
  <si>
    <t>theta_deg,</t>
  </si>
  <si>
    <t>K,</t>
  </si>
  <si>
    <t>J</t>
  </si>
  <si>
    <t>φ</t>
  </si>
  <si>
    <t>φ</t>
    <phoneticPr fontId="1"/>
  </si>
  <si>
    <t>2φ/π</t>
  </si>
  <si>
    <t>2φ/π</t>
    <phoneticPr fontId="1"/>
  </si>
  <si>
    <t>K/σ√πb</t>
    <phoneticPr fontId="1"/>
  </si>
  <si>
    <t>b</t>
    <phoneticPr fontId="1"/>
  </si>
  <si>
    <t>σ</t>
    <phoneticPr fontId="1"/>
  </si>
  <si>
    <t>a</t>
    <phoneticPr fontId="1"/>
  </si>
  <si>
    <t>b/a</t>
    <phoneticPr fontId="1"/>
  </si>
  <si>
    <t>KI/σ√πb</t>
  </si>
  <si>
    <t>normal</t>
    <phoneticPr fontId="1"/>
  </si>
  <si>
    <t>inverse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</si>
</sst>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Sheet1!$P$2:$P$103</c:f>
              <c:numCache>
                <c:formatCode>0.00E+00</c:formatCode>
                <c:ptCount val="102"/>
                <c:pt idx="0">
                  <c:v>0</c:v>
                </c:pt>
                <c:pt idx="1">
                  <c:v>3.6912198827341231E-3</c:v>
                </c:pt>
                <c:pt idx="2">
                  <c:v>1.108292598819834E-2</c:v>
                </c:pt>
                <c:pt idx="3">
                  <c:v>1.8486596683611013E-2</c:v>
                </c:pt>
                <c:pt idx="4">
                  <c:v>2.5901759188821323E-2</c:v>
                </c:pt>
                <c:pt idx="5">
                  <c:v>3.3327936137102589E-2</c:v>
                </c:pt>
                <c:pt idx="6">
                  <c:v>4.0764645745388496E-2</c:v>
                </c:pt>
                <c:pt idx="7">
                  <c:v>4.8211401988836992E-2</c:v>
                </c:pt>
                <c:pt idx="8">
                  <c:v>5.5667714779579866E-2</c:v>
                </c:pt>
                <c:pt idx="9">
                  <c:v>6.3133090149501164E-2</c:v>
                </c:pt>
                <c:pt idx="10">
                  <c:v>7.06070304368909E-2</c:v>
                </c:pt>
                <c:pt idx="11">
                  <c:v>7.8089034477625052E-2</c:v>
                </c:pt>
                <c:pt idx="12">
                  <c:v>8.5578597802380807E-2</c:v>
                </c:pt>
                <c:pt idx="13">
                  <c:v>9.3075212825724618E-2</c:v>
                </c:pt>
                <c:pt idx="14">
                  <c:v>0.10057836904974038</c:v>
                </c:pt>
                <c:pt idx="15">
                  <c:v>0.10808755326824589</c:v>
                </c:pt>
                <c:pt idx="16">
                  <c:v>0.11560224977297844</c:v>
                </c:pt>
                <c:pt idx="17">
                  <c:v>0.1231219405623552</c:v>
                </c:pt>
                <c:pt idx="18">
                  <c:v>0.13064610555260978</c:v>
                </c:pt>
                <c:pt idx="19">
                  <c:v>0.1381742227910939</c:v>
                </c:pt>
                <c:pt idx="20">
                  <c:v>0.14570576867151311</c:v>
                </c:pt>
                <c:pt idx="21">
                  <c:v>0.15324021815128619</c:v>
                </c:pt>
                <c:pt idx="22">
                  <c:v>0.1607770449715859</c:v>
                </c:pt>
                <c:pt idx="23">
                  <c:v>0.16831572187318183</c:v>
                </c:pt>
                <c:pt idx="24">
                  <c:v>0.17585572081877615</c:v>
                </c:pt>
                <c:pt idx="25">
                  <c:v>0.18339651321499581</c:v>
                </c:pt>
                <c:pt idx="26">
                  <c:v>0.19093757013459522</c:v>
                </c:pt>
                <c:pt idx="27">
                  <c:v>0.19847836253898959</c:v>
                </c:pt>
                <c:pt idx="28">
                  <c:v>0.20601836150092123</c:v>
                </c:pt>
                <c:pt idx="29">
                  <c:v>0.21355703842699944</c:v>
                </c:pt>
                <c:pt idx="30">
                  <c:v>0.22109386527989131</c:v>
                </c:pt>
                <c:pt idx="31">
                  <c:v>0.22862831479910492</c:v>
                </c:pt>
                <c:pt idx="32">
                  <c:v>0.23615986071841211</c:v>
                </c:pt>
                <c:pt idx="33">
                  <c:v>0.24368797799395342</c:v>
                </c:pt>
                <c:pt idx="34">
                  <c:v>0.25121214301938638</c:v>
                </c:pt>
                <c:pt idx="35">
                  <c:v>0.25873183384201354</c:v>
                </c:pt>
                <c:pt idx="36">
                  <c:v>0.26624653037802437</c:v>
                </c:pt>
                <c:pt idx="37">
                  <c:v>0.2737557146257949</c:v>
                </c:pt>
                <c:pt idx="38">
                  <c:v>0.281258870877022</c:v>
                </c:pt>
                <c:pt idx="39">
                  <c:v>0.2887554859254855</c:v>
                </c:pt>
                <c:pt idx="40">
                  <c:v>0.29624504927323525</c:v>
                </c:pt>
                <c:pt idx="41">
                  <c:v>0.30372705333432398</c:v>
                </c:pt>
                <c:pt idx="42">
                  <c:v>0.31120099363652631</c:v>
                </c:pt>
                <c:pt idx="43">
                  <c:v>0.31866636901532258</c:v>
                </c:pt>
                <c:pt idx="44">
                  <c:v>0.32612268180910964</c:v>
                </c:pt>
                <c:pt idx="45">
                  <c:v>0.3335694380498786</c:v>
                </c:pt>
                <c:pt idx="46">
                  <c:v>0.34100614764987563</c:v>
                </c:pt>
                <c:pt idx="47">
                  <c:v>0.34843232458437978</c:v>
                </c:pt>
                <c:pt idx="48">
                  <c:v>0.35584748707045644</c:v>
                </c:pt>
                <c:pt idx="49">
                  <c:v>0.36325115774150646</c:v>
                </c:pt>
                <c:pt idx="50">
                  <c:v>0.37064286381752048</c:v>
                </c:pt>
                <c:pt idx="51">
                  <c:v>0.38034903791125718</c:v>
                </c:pt>
                <c:pt idx="52">
                  <c:v>0.39242071971013326</c:v>
                </c:pt>
                <c:pt idx="53">
                  <c:v>0.40454659940473658</c:v>
                </c:pt>
                <c:pt idx="54">
                  <c:v>0.41672482869516742</c:v>
                </c:pt>
                <c:pt idx="55">
                  <c:v>0.42895350498700724</c:v>
                </c:pt>
                <c:pt idx="56">
                  <c:v>0.44123067267527671</c:v>
                </c:pt>
                <c:pt idx="57">
                  <c:v>0.45355432455809042</c:v>
                </c:pt>
                <c:pt idx="58">
                  <c:v>0.4659224033791039</c:v>
                </c:pt>
                <c:pt idx="59">
                  <c:v>0.47833280349721552</c:v>
                </c:pt>
                <c:pt idx="60">
                  <c:v>0.49078337268149475</c:v>
                </c:pt>
                <c:pt idx="61">
                  <c:v>0.50327191402884719</c:v>
                </c:pt>
                <c:pt idx="62">
                  <c:v>0.51579618800164473</c:v>
                </c:pt>
                <c:pt idx="63">
                  <c:v>0.5283539145781514</c:v>
                </c:pt>
                <c:pt idx="64">
                  <c:v>0.54094277551698999</c:v>
                </c:pt>
                <c:pt idx="65">
                  <c:v>0.55356041672737188</c:v>
                </c:pt>
                <c:pt idx="66">
                  <c:v>0.56620445073999992</c:v>
                </c:pt>
                <c:pt idx="67">
                  <c:v>0.57887245927299513</c:v>
                </c:pt>
                <c:pt idx="68">
                  <c:v>0.5915619958863243</c:v>
                </c:pt>
                <c:pt idx="69">
                  <c:v>0.60427058871783956</c:v>
                </c:pt>
                <c:pt idx="70">
                  <c:v>0.61699574329363482</c:v>
                </c:pt>
                <c:pt idx="71">
                  <c:v>0.62973494540424935</c:v>
                </c:pt>
                <c:pt idx="72">
                  <c:v>0.64248566403749086</c:v>
                </c:pt>
                <c:pt idx="73">
                  <c:v>0.65524535437021625</c:v>
                </c:pt>
                <c:pt idx="74">
                  <c:v>0.6680114607922083</c:v>
                </c:pt>
                <c:pt idx="75">
                  <c:v>0.68078141996447217</c:v>
                </c:pt>
                <c:pt idx="76">
                  <c:v>0.69355266390141168</c:v>
                </c:pt>
                <c:pt idx="77">
                  <c:v>0.70632262306701354</c:v>
                </c:pt>
                <c:pt idx="78">
                  <c:v>0.71908872947570435</c:v>
                </c:pt>
                <c:pt idx="79">
                  <c:v>0.73184841978853732</c:v>
                </c:pt>
                <c:pt idx="80">
                  <c:v>0.74459913839537017</c:v>
                </c:pt>
                <c:pt idx="81">
                  <c:v>0.7573383404744447</c:v>
                </c:pt>
                <c:pt idx="82">
                  <c:v>0.77006349502137905</c:v>
                </c:pt>
                <c:pt idx="83">
                  <c:v>0.78277208782798313</c:v>
                </c:pt>
                <c:pt idx="84">
                  <c:v>0.79546162442029289</c:v>
                </c:pt>
                <c:pt idx="85">
                  <c:v>0.80812963293610895</c:v>
                </c:pt>
                <c:pt idx="86">
                  <c:v>0.82077366693531906</c:v>
                </c:pt>
                <c:pt idx="87">
                  <c:v>0.83339130813595219</c:v>
                </c:pt>
                <c:pt idx="88">
                  <c:v>0.84598016906862605</c:v>
                </c:pt>
                <c:pt idx="89">
                  <c:v>0.85853789564243244</c:v>
                </c:pt>
                <c:pt idx="90">
                  <c:v>0.87106216961587868</c:v>
                </c:pt>
                <c:pt idx="91">
                  <c:v>0.88355071096670723</c:v>
                </c:pt>
                <c:pt idx="92">
                  <c:v>0.89600128015484026</c:v>
                </c:pt>
                <c:pt idx="93">
                  <c:v>0.90841168027678254</c:v>
                </c:pt>
                <c:pt idx="94">
                  <c:v>0.92077975910159826</c:v>
                </c:pt>
                <c:pt idx="95">
                  <c:v>0.9331034109881885</c:v>
                </c:pt>
                <c:pt idx="96">
                  <c:v>0.94538057868020586</c:v>
                </c:pt>
                <c:pt idx="97">
                  <c:v>0.95760925497576643</c:v>
                </c:pt>
                <c:pt idx="98">
                  <c:v>0.96978748426987904</c:v>
                </c:pt>
                <c:pt idx="99">
                  <c:v>0.98191336396813322</c:v>
                </c:pt>
                <c:pt idx="100">
                  <c:v>0.99398504577062086</c:v>
                </c:pt>
                <c:pt idx="101">
                  <c:v>1</c:v>
                </c:pt>
              </c:numCache>
            </c:numRef>
          </c:xVal>
          <c:yVal>
            <c:numRef>
              <c:f>Sheet1!$Q$2:$Q$103</c:f>
              <c:numCache>
                <c:formatCode>0.00E+00</c:formatCode>
                <c:ptCount val="102"/>
                <c:pt idx="0">
                  <c:v>0.71529955909501419</c:v>
                </c:pt>
                <c:pt idx="1">
                  <c:v>0.71545312673033712</c:v>
                </c:pt>
                <c:pt idx="2">
                  <c:v>0.71570791925284138</c:v>
                </c:pt>
                <c:pt idx="3">
                  <c:v>0.71624556195495304</c:v>
                </c:pt>
                <c:pt idx="4">
                  <c:v>0.71706395017541735</c:v>
                </c:pt>
                <c:pt idx="5">
                  <c:v>0.71816074429712484</c:v>
                </c:pt>
                <c:pt idx="6">
                  <c:v>0.71953339021944296</c:v>
                </c:pt>
                <c:pt idx="7">
                  <c:v>0.72117913641494069</c:v>
                </c:pt>
                <c:pt idx="8">
                  <c:v>0.72309504735917418</c:v>
                </c:pt>
                <c:pt idx="9">
                  <c:v>0.72527801319944107</c:v>
                </c:pt>
                <c:pt idx="10">
                  <c:v>0.72772475561756567</c:v>
                </c:pt>
                <c:pt idx="11">
                  <c:v>0.73048636324024341</c:v>
                </c:pt>
                <c:pt idx="12">
                  <c:v>0.73338395310373272</c:v>
                </c:pt>
                <c:pt idx="13">
                  <c:v>0.73652362284447226</c:v>
                </c:pt>
                <c:pt idx="14">
                  <c:v>0.73989613170119461</c:v>
                </c:pt>
                <c:pt idx="15">
                  <c:v>0.74349238025007947</c:v>
                </c:pt>
                <c:pt idx="16">
                  <c:v>0.74730345091179573</c:v>
                </c:pt>
                <c:pt idx="17">
                  <c:v>0.75132064211559335</c:v>
                </c:pt>
                <c:pt idx="18">
                  <c:v>0.75553549606146031</c:v>
                </c:pt>
                <c:pt idx="19">
                  <c:v>0.75993982011029204</c:v>
                </c:pt>
                <c:pt idx="20">
                  <c:v>0.76452570194461678</c:v>
                </c:pt>
                <c:pt idx="21">
                  <c:v>0.76939784764657071</c:v>
                </c:pt>
                <c:pt idx="22">
                  <c:v>0.7742979616230522</c:v>
                </c:pt>
                <c:pt idx="23">
                  <c:v>0.77935852623533874</c:v>
                </c:pt>
                <c:pt idx="24">
                  <c:v>0.78456973879244996</c:v>
                </c:pt>
                <c:pt idx="25">
                  <c:v>0.78992223128930439</c:v>
                </c:pt>
                <c:pt idx="26">
                  <c:v>0.79540708798307236</c:v>
                </c:pt>
                <c:pt idx="27">
                  <c:v>0.80101585669555941</c:v>
                </c:pt>
                <c:pt idx="28">
                  <c:v>0.80674055433553615</c:v>
                </c:pt>
                <c:pt idx="29">
                  <c:v>0.81257366713381862</c:v>
                </c:pt>
                <c:pt idx="30">
                  <c:v>0.81850814608324718</c:v>
                </c:pt>
                <c:pt idx="31">
                  <c:v>0.82465331035920675</c:v>
                </c:pt>
                <c:pt idx="32">
                  <c:v>0.83077054818010054</c:v>
                </c:pt>
                <c:pt idx="33">
                  <c:v>0.83698401218385743</c:v>
                </c:pt>
                <c:pt idx="34">
                  <c:v>0.84328735902761043</c:v>
                </c:pt>
                <c:pt idx="35">
                  <c:v>0.84967458042225719</c:v>
                </c:pt>
                <c:pt idx="36">
                  <c:v>0.85614000294371095</c:v>
                </c:pt>
                <c:pt idx="37">
                  <c:v>0.86267828506375543</c:v>
                </c:pt>
                <c:pt idx="38">
                  <c:v>0.86928441168172266</c:v>
                </c:pt>
                <c:pt idx="39">
                  <c:v>0.8759536864270524</c:v>
                </c:pt>
                <c:pt idx="40">
                  <c:v>0.88268172199066086</c:v>
                </c:pt>
                <c:pt idx="41">
                  <c:v>0.88956471092273603</c:v>
                </c:pt>
                <c:pt idx="42">
                  <c:v>0.89642180692721707</c:v>
                </c:pt>
                <c:pt idx="43">
                  <c:v>0.90333746688762306</c:v>
                </c:pt>
                <c:pt idx="44">
                  <c:v>0.91030684113903804</c:v>
                </c:pt>
                <c:pt idx="45">
                  <c:v>0.917325368695177</c:v>
                </c:pt>
                <c:pt idx="46">
                  <c:v>0.92438883796288951</c:v>
                </c:pt>
                <c:pt idx="47">
                  <c:v>0.93149352839448085</c:v>
                </c:pt>
                <c:pt idx="48">
                  <c:v>0.93863599337521963</c:v>
                </c:pt>
                <c:pt idx="49">
                  <c:v>0.94581332696651721</c:v>
                </c:pt>
                <c:pt idx="50">
                  <c:v>0.95302252777633445</c:v>
                </c:pt>
                <c:pt idx="51">
                  <c:v>0.9609779070187543</c:v>
                </c:pt>
                <c:pt idx="52">
                  <c:v>0.97378011626897376</c:v>
                </c:pt>
                <c:pt idx="53">
                  <c:v>0.98666162458491924</c:v>
                </c:pt>
                <c:pt idx="54">
                  <c:v>0.99965123467992045</c:v>
                </c:pt>
                <c:pt idx="55">
                  <c:v>1.0127806348867747</c:v>
                </c:pt>
                <c:pt idx="56">
                  <c:v>1.0260841532308704</c:v>
                </c:pt>
                <c:pt idx="57">
                  <c:v>1.0395990120346088</c:v>
                </c:pt>
                <c:pt idx="58">
                  <c:v>1.0533658549016836</c:v>
                </c:pt>
                <c:pt idx="59">
                  <c:v>1.0674268934942408</c:v>
                </c:pt>
                <c:pt idx="60">
                  <c:v>1.0818240008634912</c:v>
                </c:pt>
                <c:pt idx="61">
                  <c:v>1.0960231593362726</c:v>
                </c:pt>
                <c:pt idx="62">
                  <c:v>1.1102843653526271</c:v>
                </c:pt>
                <c:pt idx="63">
                  <c:v>1.1250779237298529</c:v>
                </c:pt>
                <c:pt idx="64">
                  <c:v>1.1404077839927904</c:v>
                </c:pt>
                <c:pt idx="65">
                  <c:v>1.1562777675128542</c:v>
                </c:pt>
                <c:pt idx="66">
                  <c:v>1.1726934333344994</c:v>
                </c:pt>
                <c:pt idx="67">
                  <c:v>1.1896619734500056</c:v>
                </c:pt>
                <c:pt idx="68">
                  <c:v>1.2071902787639068</c:v>
                </c:pt>
                <c:pt idx="69">
                  <c:v>1.2252853181704428</c:v>
                </c:pt>
                <c:pt idx="70">
                  <c:v>1.2439594739332756</c:v>
                </c:pt>
                <c:pt idx="71">
                  <c:v>1.2628774022664722</c:v>
                </c:pt>
                <c:pt idx="72">
                  <c:v>1.2824344320951675</c:v>
                </c:pt>
                <c:pt idx="73">
                  <c:v>1.3026065768453416</c:v>
                </c:pt>
                <c:pt idx="74">
                  <c:v>1.3234399244733728</c:v>
                </c:pt>
                <c:pt idx="75">
                  <c:v>1.3449820017931731</c:v>
                </c:pt>
                <c:pt idx="76">
                  <c:v>1.36728456878043</c:v>
                </c:pt>
                <c:pt idx="77">
                  <c:v>1.3904029556255011</c:v>
                </c:pt>
                <c:pt idx="78">
                  <c:v>1.4143917259461145</c:v>
                </c:pt>
                <c:pt idx="79">
                  <c:v>1.4393080576231758</c:v>
                </c:pt>
                <c:pt idx="80">
                  <c:v>1.4652117504509377</c:v>
                </c:pt>
                <c:pt idx="81">
                  <c:v>1.4914450790343372</c:v>
                </c:pt>
                <c:pt idx="82">
                  <c:v>1.5182490841118683</c:v>
                </c:pt>
                <c:pt idx="83">
                  <c:v>1.5464434904703823</c:v>
                </c:pt>
                <c:pt idx="84">
                  <c:v>1.5761610752450439</c:v>
                </c:pt>
                <c:pt idx="85">
                  <c:v>1.6075403945307356</c:v>
                </c:pt>
                <c:pt idx="86">
                  <c:v>1.6407245560749417</c:v>
                </c:pt>
                <c:pt idx="87">
                  <c:v>1.6758597069131447</c:v>
                </c:pt>
                <c:pt idx="88">
                  <c:v>1.7130954078192764</c:v>
                </c:pt>
                <c:pt idx="89">
                  <c:v>1.7525864656319903</c:v>
                </c:pt>
                <c:pt idx="90">
                  <c:v>1.7944961776378989</c:v>
                </c:pt>
                <c:pt idx="91">
                  <c:v>1.8389372318814075</c:v>
                </c:pt>
                <c:pt idx="92">
                  <c:v>1.8860417963310889</c:v>
                </c:pt>
                <c:pt idx="93">
                  <c:v>1.9356657975600329</c:v>
                </c:pt>
                <c:pt idx="94">
                  <c:v>1.9875541437181883</c:v>
                </c:pt>
                <c:pt idx="95">
                  <c:v>2.0414146289561921</c:v>
                </c:pt>
                <c:pt idx="96">
                  <c:v>2.096893067107922</c:v>
                </c:pt>
                <c:pt idx="97">
                  <c:v>2.1535676858043455</c:v>
                </c:pt>
                <c:pt idx="98">
                  <c:v>2.2109627408049128</c:v>
                </c:pt>
                <c:pt idx="99">
                  <c:v>2.2685797552304656</c:v>
                </c:pt>
                <c:pt idx="100">
                  <c:v>2.3259427288903707</c:v>
                </c:pt>
                <c:pt idx="101">
                  <c:v>2.2788725166410866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1-4AC2-ADE5-B5F8EA2B1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032703"/>
        <c:axId val="1286717711"/>
      </c:scatterChart>
      <c:valAx>
        <c:axId val="147103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6717711"/>
        <c:crosses val="autoZero"/>
        <c:crossBetween val="midCat"/>
      </c:valAx>
      <c:valAx>
        <c:axId val="12867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103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Sheet1!$AC$2:$AC$103</c:f>
              <c:numCache>
                <c:formatCode>0.00E+00</c:formatCode>
                <c:ptCount val="102"/>
                <c:pt idx="0">
                  <c:v>-5.8212900727254629E-16</c:v>
                </c:pt>
                <c:pt idx="1">
                  <c:v>3.6912198663833573E-3</c:v>
                </c:pt>
                <c:pt idx="2">
                  <c:v>1.1082925942866435E-2</c:v>
                </c:pt>
                <c:pt idx="3">
                  <c:v>1.848659661437866E-2</c:v>
                </c:pt>
                <c:pt idx="4">
                  <c:v>2.5901759100907775E-2</c:v>
                </c:pt>
                <c:pt idx="5">
                  <c:v>3.3327936035859297E-2</c:v>
                </c:pt>
                <c:pt idx="6">
                  <c:v>4.0764645636293673E-2</c:v>
                </c:pt>
                <c:pt idx="7">
                  <c:v>4.8211401877491622E-2</c:v>
                </c:pt>
                <c:pt idx="8">
                  <c:v>5.5667714671698586E-2</c:v>
                </c:pt>
                <c:pt idx="9">
                  <c:v>6.3133090050908267E-2</c:v>
                </c:pt>
                <c:pt idx="10">
                  <c:v>7.0607030353513553E-2</c:v>
                </c:pt>
                <c:pt idx="11">
                  <c:v>7.8089034414667705E-2</c:v>
                </c:pt>
                <c:pt idx="12">
                  <c:v>8.5578597760182021E-2</c:v>
                </c:pt>
                <c:pt idx="13">
                  <c:v>9.3075212803776675E-2</c:v>
                </c:pt>
                <c:pt idx="14">
                  <c:v>0.10057836904750403</c:v>
                </c:pt>
                <c:pt idx="15">
                  <c:v>0.10808755328515041</c:v>
                </c:pt>
                <c:pt idx="16">
                  <c:v>0.11560224980842332</c:v>
                </c:pt>
                <c:pt idx="17">
                  <c:v>0.12312194061570868</c:v>
                </c:pt>
                <c:pt idx="18">
                  <c:v>0.13064610562321402</c:v>
                </c:pt>
                <c:pt idx="19">
                  <c:v>0.1381742228782574</c:v>
                </c:pt>
                <c:pt idx="20">
                  <c:v>0.14570576877452152</c:v>
                </c:pt>
                <c:pt idx="21">
                  <c:v>0.15324021826900799</c:v>
                </c:pt>
                <c:pt idx="22">
                  <c:v>0.16077704510050703</c:v>
                </c:pt>
                <c:pt idx="23">
                  <c:v>0.16831572200935219</c:v>
                </c:pt>
                <c:pt idx="24">
                  <c:v>0.17585572095819599</c:v>
                </c:pt>
                <c:pt idx="25">
                  <c:v>0.18339651335363003</c:v>
                </c:pt>
                <c:pt idx="26">
                  <c:v>0.19093757026836994</c:v>
                </c:pt>
                <c:pt idx="27">
                  <c:v>0.1984783626638045</c:v>
                </c:pt>
                <c:pt idx="28">
                  <c:v>0.20601836161264911</c:v>
                </c:pt>
                <c:pt idx="29">
                  <c:v>0.21355703852149341</c:v>
                </c:pt>
                <c:pt idx="30">
                  <c:v>0.22109386535299236</c:v>
                </c:pt>
                <c:pt idx="31">
                  <c:v>0.22862831484747759</c:v>
                </c:pt>
                <c:pt idx="32">
                  <c:v>0.23615986074374187</c:v>
                </c:pt>
                <c:pt idx="33">
                  <c:v>0.24368797799878683</c:v>
                </c:pt>
                <c:pt idx="34">
                  <c:v>0.25121214300629091</c:v>
                </c:pt>
                <c:pt idx="35">
                  <c:v>0.25873183381357595</c:v>
                </c:pt>
                <c:pt idx="36">
                  <c:v>0.26624653033684986</c:v>
                </c:pt>
                <c:pt idx="37">
                  <c:v>0.27375571457449649</c:v>
                </c:pt>
                <c:pt idx="38">
                  <c:v>0.28125887081822443</c:v>
                </c:pt>
                <c:pt idx="39">
                  <c:v>0.28875548586181804</c:v>
                </c:pt>
                <c:pt idx="40">
                  <c:v>0.29624504920733286</c:v>
                </c:pt>
                <c:pt idx="41">
                  <c:v>0.30372705326848576</c:v>
                </c:pt>
                <c:pt idx="42">
                  <c:v>0.31120099357109288</c:v>
                </c:pt>
                <c:pt idx="43">
                  <c:v>0.31866636895030104</c:v>
                </c:pt>
                <c:pt idx="44">
                  <c:v>0.32612268174450909</c:v>
                </c:pt>
                <c:pt idx="45">
                  <c:v>0.33356943798570543</c:v>
                </c:pt>
                <c:pt idx="46">
                  <c:v>0.3410061475861409</c:v>
                </c:pt>
                <c:pt idx="47">
                  <c:v>0.34843232452109163</c:v>
                </c:pt>
                <c:pt idx="48">
                  <c:v>0.35584748700762203</c:v>
                </c:pt>
                <c:pt idx="49">
                  <c:v>0.3632511576791343</c:v>
                </c:pt>
                <c:pt idx="50">
                  <c:v>0.37064286375561833</c:v>
                </c:pt>
                <c:pt idx="51">
                  <c:v>0.38034903784998142</c:v>
                </c:pt>
                <c:pt idx="52">
                  <c:v>0.39242071964966119</c:v>
                </c:pt>
                <c:pt idx="53">
                  <c:v>0.40454659934509052</c:v>
                </c:pt>
                <c:pt idx="54">
                  <c:v>0.41672482863637539</c:v>
                </c:pt>
                <c:pt idx="55">
                  <c:v>0.42895350492909506</c:v>
                </c:pt>
                <c:pt idx="56">
                  <c:v>0.44123067261826621</c:v>
                </c:pt>
                <c:pt idx="57">
                  <c:v>0.4535543245020055</c:v>
                </c:pt>
                <c:pt idx="58">
                  <c:v>0.4659224033239695</c:v>
                </c:pt>
                <c:pt idx="59">
                  <c:v>0.47833280344305718</c:v>
                </c:pt>
                <c:pt idx="60">
                  <c:v>0.49078337262833488</c:v>
                </c:pt>
                <c:pt idx="61">
                  <c:v>0.50327191397651172</c:v>
                </c:pt>
                <c:pt idx="62">
                  <c:v>0.51579618794878235</c:v>
                </c:pt>
                <c:pt idx="63">
                  <c:v>0.52835391452325031</c:v>
                </c:pt>
                <c:pt idx="64">
                  <c:v>0.54094277545859204</c:v>
                </c:pt>
                <c:pt idx="65">
                  <c:v>0.55356041666406552</c:v>
                </c:pt>
                <c:pt idx="66">
                  <c:v>0.56620445067043434</c:v>
                </c:pt>
                <c:pt idx="67">
                  <c:v>0.57887245919588959</c:v>
                </c:pt>
                <c:pt idx="68">
                  <c:v>0.59156199580046565</c:v>
                </c:pt>
                <c:pt idx="69">
                  <c:v>0.60427058862209015</c:v>
                </c:pt>
                <c:pt idx="70">
                  <c:v>0.61699574318693817</c:v>
                </c:pt>
                <c:pt idx="71">
                  <c:v>0.6297349452862796</c:v>
                </c:pt>
                <c:pt idx="72">
                  <c:v>0.64248566391177997</c:v>
                </c:pt>
                <c:pt idx="73">
                  <c:v>0.65524535424078478</c:v>
                </c:pt>
                <c:pt idx="74">
                  <c:v>0.66801146066289641</c:v>
                </c:pt>
                <c:pt idx="75">
                  <c:v>0.68078141983893048</c:v>
                </c:pt>
                <c:pt idx="76">
                  <c:v>0.69355266378307878</c:v>
                </c:pt>
                <c:pt idx="77">
                  <c:v>0.70632262295911019</c:v>
                </c:pt>
                <c:pt idx="78">
                  <c:v>0.71908872938122337</c:v>
                </c:pt>
                <c:pt idx="79">
                  <c:v>0.73184841971022652</c:v>
                </c:pt>
                <c:pt idx="80">
                  <c:v>0.74459913833572777</c:v>
                </c:pt>
                <c:pt idx="81">
                  <c:v>0.75733834043506842</c:v>
                </c:pt>
                <c:pt idx="82">
                  <c:v>0.77006349499991544</c:v>
                </c:pt>
                <c:pt idx="83">
                  <c:v>0.78277208782154273</c:v>
                </c:pt>
                <c:pt idx="84">
                  <c:v>0.79546162442611645</c:v>
                </c:pt>
                <c:pt idx="85">
                  <c:v>0.80812963295156859</c:v>
                </c:pt>
                <c:pt idx="86">
                  <c:v>0.82077366695794141</c:v>
                </c:pt>
                <c:pt idx="87">
                  <c:v>0.83339130816341134</c:v>
                </c:pt>
                <c:pt idx="88">
                  <c:v>0.84598016909875207</c:v>
                </c:pt>
                <c:pt idx="89">
                  <c:v>0.85853789567322392</c:v>
                </c:pt>
                <c:pt idx="90">
                  <c:v>0.87106216964549288</c:v>
                </c:pt>
                <c:pt idx="91">
                  <c:v>0.88355071099366733</c:v>
                </c:pt>
                <c:pt idx="92">
                  <c:v>0.89600128017894654</c:v>
                </c:pt>
                <c:pt idx="93">
                  <c:v>0.90841168029803554</c:v>
                </c:pt>
                <c:pt idx="94">
                  <c:v>0.92077975911999832</c:v>
                </c:pt>
                <c:pt idx="95">
                  <c:v>0.93310341100373717</c:v>
                </c:pt>
                <c:pt idx="96">
                  <c:v>0.94538057869291037</c:v>
                </c:pt>
                <c:pt idx="97">
                  <c:v>0.9576092549856251</c:v>
                </c:pt>
                <c:pt idx="98">
                  <c:v>0.9697874842769092</c:v>
                </c:pt>
                <c:pt idx="99">
                  <c:v>0.98191336397233964</c:v>
                </c:pt>
                <c:pt idx="100">
                  <c:v>0.99398504577201696</c:v>
                </c:pt>
                <c:pt idx="101">
                  <c:v>1</c:v>
                </c:pt>
              </c:numCache>
            </c:numRef>
          </c:xVal>
          <c:yVal>
            <c:numRef>
              <c:f>Sheet1!$AD$2:$AD$103</c:f>
              <c:numCache>
                <c:formatCode>0.00E+00</c:formatCode>
                <c:ptCount val="102"/>
                <c:pt idx="0">
                  <c:v>0.73202074333658262</c:v>
                </c:pt>
                <c:pt idx="1">
                  <c:v>0.73275781130667106</c:v>
                </c:pt>
                <c:pt idx="2">
                  <c:v>0.73288964414936353</c:v>
                </c:pt>
                <c:pt idx="3">
                  <c:v>0.73334373965235777</c:v>
                </c:pt>
                <c:pt idx="4">
                  <c:v>0.7341189437240716</c:v>
                </c:pt>
                <c:pt idx="5">
                  <c:v>0.73521397257968224</c:v>
                </c:pt>
                <c:pt idx="6">
                  <c:v>0.73662742736637232</c:v>
                </c:pt>
                <c:pt idx="7">
                  <c:v>0.73835780279590402</c:v>
                </c:pt>
                <c:pt idx="8">
                  <c:v>0.74040348977911152</c:v>
                </c:pt>
                <c:pt idx="9">
                  <c:v>0.74276277221039144</c:v>
                </c:pt>
                <c:pt idx="10">
                  <c:v>0.74543381818886556</c:v>
                </c:pt>
                <c:pt idx="11">
                  <c:v>0.74823148283738927</c:v>
                </c:pt>
                <c:pt idx="12">
                  <c:v>0.75113494161915706</c:v>
                </c:pt>
                <c:pt idx="13">
                  <c:v>0.75431374077320335</c:v>
                </c:pt>
                <c:pt idx="14">
                  <c:v>0.75776100679910829</c:v>
                </c:pt>
                <c:pt idx="15">
                  <c:v>0.76146998150352563</c:v>
                </c:pt>
                <c:pt idx="16">
                  <c:v>0.76543405382924978</c:v>
                </c:pt>
                <c:pt idx="17">
                  <c:v>0.76964678569140166</c:v>
                </c:pt>
                <c:pt idx="18">
                  <c:v>0.77410193178574527</c:v>
                </c:pt>
                <c:pt idx="19">
                  <c:v>0.77879345341802164</c:v>
                </c:pt>
                <c:pt idx="20">
                  <c:v>0.78371552648505816</c:v>
                </c:pt>
                <c:pt idx="21">
                  <c:v>0.78869851676901748</c:v>
                </c:pt>
                <c:pt idx="22">
                  <c:v>0.79371494535758891</c:v>
                </c:pt>
                <c:pt idx="23">
                  <c:v>0.79891230320399731</c:v>
                </c:pt>
                <c:pt idx="24">
                  <c:v>0.80428317485805267</c:v>
                </c:pt>
                <c:pt idx="25">
                  <c:v>0.80982050835548947</c:v>
                </c:pt>
                <c:pt idx="26">
                  <c:v>0.81551763778445963</c:v>
                </c:pt>
                <c:pt idx="27">
                  <c:v>0.82136829807738632</c:v>
                </c:pt>
                <c:pt idx="28">
                  <c:v>0.82736663253315901</c:v>
                </c:pt>
                <c:pt idx="29">
                  <c:v>0.83350719362797188</c:v>
                </c:pt>
                <c:pt idx="30">
                  <c:v>0.83978493770580165</c:v>
                </c:pt>
                <c:pt idx="31">
                  <c:v>0.84612861030817088</c:v>
                </c:pt>
                <c:pt idx="32">
                  <c:v>0.85251217408750735</c:v>
                </c:pt>
                <c:pt idx="33">
                  <c:v>0.85898818315649794</c:v>
                </c:pt>
                <c:pt idx="34">
                  <c:v>0.86555175069578638</c:v>
                </c:pt>
                <c:pt idx="35">
                  <c:v>0.87219840895798662</c:v>
                </c:pt>
                <c:pt idx="36">
                  <c:v>0.87892410742131155</c:v>
                </c:pt>
                <c:pt idx="37">
                  <c:v>0.88572520558488721</c:v>
                </c:pt>
                <c:pt idx="38">
                  <c:v>0.89259846103223806</c:v>
                </c:pt>
                <c:pt idx="39">
                  <c:v>0.89954101335910575</c:v>
                </c:pt>
                <c:pt idx="40">
                  <c:v>0.90655036452382032</c:v>
                </c:pt>
                <c:pt idx="41">
                  <c:v>0.91366234021826631</c:v>
                </c:pt>
                <c:pt idx="42">
                  <c:v>0.92085784935934456</c:v>
                </c:pt>
                <c:pt idx="43">
                  <c:v>0.92808963452501592</c:v>
                </c:pt>
                <c:pt idx="44">
                  <c:v>0.93535541665496436</c:v>
                </c:pt>
                <c:pt idx="45">
                  <c:v>0.94265329474235804</c:v>
                </c:pt>
                <c:pt idx="46">
                  <c:v>0.94998150689830063</c:v>
                </c:pt>
                <c:pt idx="47">
                  <c:v>0.95733809474913412</c:v>
                </c:pt>
                <c:pt idx="48">
                  <c:v>0.96472289488667251</c:v>
                </c:pt>
                <c:pt idx="49">
                  <c:v>0.9721344294139308</c:v>
                </c:pt>
                <c:pt idx="50">
                  <c:v>0.97957470323625595</c:v>
                </c:pt>
                <c:pt idx="51">
                  <c:v>0.98846975778182011</c:v>
                </c:pt>
                <c:pt idx="52">
                  <c:v>1.0014917347734582</c:v>
                </c:pt>
                <c:pt idx="53">
                  <c:v>1.0146055096938025</c:v>
                </c:pt>
                <c:pt idx="54">
                  <c:v>1.0278336800793795</c:v>
                </c:pt>
                <c:pt idx="55">
                  <c:v>1.0412033007698336</c:v>
                </c:pt>
                <c:pt idx="56">
                  <c:v>1.0547443319949534</c:v>
                </c:pt>
                <c:pt idx="57">
                  <c:v>1.0684866102289736</c:v>
                </c:pt>
                <c:pt idx="58">
                  <c:v>1.0824588624922378</c:v>
                </c:pt>
                <c:pt idx="59">
                  <c:v>1.0966974888162737</c:v>
                </c:pt>
                <c:pt idx="60">
                  <c:v>1.1112405129110843</c:v>
                </c:pt>
                <c:pt idx="61">
                  <c:v>1.1259956636518067</c:v>
                </c:pt>
                <c:pt idx="62">
                  <c:v>1.1408853715332199</c:v>
                </c:pt>
                <c:pt idx="63">
                  <c:v>1.1560075016677132</c:v>
                </c:pt>
                <c:pt idx="64">
                  <c:v>1.1713905740174027</c:v>
                </c:pt>
                <c:pt idx="65">
                  <c:v>1.1870584427101658</c:v>
                </c:pt>
                <c:pt idx="66">
                  <c:v>1.2030375596123122</c:v>
                </c:pt>
                <c:pt idx="67">
                  <c:v>1.2193554182642405</c:v>
                </c:pt>
                <c:pt idx="68">
                  <c:v>1.2360356922939737</c:v>
                </c:pt>
                <c:pt idx="69">
                  <c:v>1.2530988204835611</c:v>
                </c:pt>
                <c:pt idx="70">
                  <c:v>1.2705758814309671</c:v>
                </c:pt>
                <c:pt idx="71">
                  <c:v>1.2894096947829254</c:v>
                </c:pt>
                <c:pt idx="72">
                  <c:v>1.3094902892819833</c:v>
                </c:pt>
                <c:pt idx="73">
                  <c:v>1.3298872355793068</c:v>
                </c:pt>
                <c:pt idx="74">
                  <c:v>1.350662104519275</c:v>
                </c:pt>
                <c:pt idx="75">
                  <c:v>1.3718760934046648</c:v>
                </c:pt>
                <c:pt idx="76">
                  <c:v>1.3935954800036172</c:v>
                </c:pt>
                <c:pt idx="77">
                  <c:v>1.4158905189602038</c:v>
                </c:pt>
                <c:pt idx="78">
                  <c:v>1.438826829186705</c:v>
                </c:pt>
                <c:pt idx="79">
                  <c:v>1.4624723578603689</c:v>
                </c:pt>
                <c:pt idx="80">
                  <c:v>1.4868974609095611</c:v>
                </c:pt>
                <c:pt idx="81">
                  <c:v>1.5121159745758253</c:v>
                </c:pt>
                <c:pt idx="82">
                  <c:v>1.5382593724339377</c:v>
                </c:pt>
                <c:pt idx="83">
                  <c:v>1.5655614623453642</c:v>
                </c:pt>
                <c:pt idx="84">
                  <c:v>1.5942030591534717</c:v>
                </c:pt>
                <c:pt idx="85">
                  <c:v>1.6243713774475936</c:v>
                </c:pt>
                <c:pt idx="86">
                  <c:v>1.6562592228043558</c:v>
                </c:pt>
                <c:pt idx="87">
                  <c:v>1.6900640959615154</c:v>
                </c:pt>
                <c:pt idx="88">
                  <c:v>1.7259904216383699</c:v>
                </c:pt>
                <c:pt idx="89">
                  <c:v>1.7642536693155888</c:v>
                </c:pt>
                <c:pt idx="90">
                  <c:v>1.8050859582871461</c:v>
                </c:pt>
                <c:pt idx="91">
                  <c:v>1.8496586789527578</c:v>
                </c:pt>
                <c:pt idx="92">
                  <c:v>1.8970773126270737</c:v>
                </c:pt>
                <c:pt idx="93">
                  <c:v>1.9460666979512242</c:v>
                </c:pt>
                <c:pt idx="94">
                  <c:v>1.9966901690660439</c:v>
                </c:pt>
                <c:pt idx="95">
                  <c:v>2.0489528868516445</c:v>
                </c:pt>
                <c:pt idx="96">
                  <c:v>2.1027845834740027</c:v>
                </c:pt>
                <c:pt idx="97">
                  <c:v>2.1580511083334573</c:v>
                </c:pt>
                <c:pt idx="98">
                  <c:v>2.2145830023854876</c:v>
                </c:pt>
                <c:pt idx="99">
                  <c:v>2.2722096765640916</c:v>
                </c:pt>
                <c:pt idx="100">
                  <c:v>2.3307882620658718</c:v>
                </c:pt>
                <c:pt idx="101">
                  <c:v>2.2888003876347396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3-4E4A-BFE9-8D46F39B0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7284623"/>
        <c:axId val="214533679"/>
      </c:scatterChart>
      <c:valAx>
        <c:axId val="119728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533679"/>
        <c:crosses val="autoZero"/>
        <c:crossBetween val="midCat"/>
      </c:valAx>
      <c:valAx>
        <c:axId val="21453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9728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70314240964805"/>
          <c:y val="5.7744676507691717E-2"/>
          <c:w val="0.77379368409729909"/>
          <c:h val="0.78231674124265338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Sheet1!$N$1</c:f>
              <c:strCache>
                <c:ptCount val="1"/>
                <c:pt idx="0">
                  <c:v>inverse</c:v>
                </c:pt>
              </c:strCache>
            </c:strRef>
          </c:tx>
          <c:spPr>
            <a:ln>
              <a:noFill/>
            </a:ln>
          </c:spPr>
          <c:marker>
            <c:symbol val="triangle"/>
            <c:size val="6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Sheet1!$P$2:$P$103</c:f>
              <c:numCache>
                <c:formatCode>0.00E+00</c:formatCode>
                <c:ptCount val="102"/>
                <c:pt idx="0">
                  <c:v>0</c:v>
                </c:pt>
                <c:pt idx="1">
                  <c:v>3.6912198827341231E-3</c:v>
                </c:pt>
                <c:pt idx="2">
                  <c:v>1.108292598819834E-2</c:v>
                </c:pt>
                <c:pt idx="3">
                  <c:v>1.8486596683611013E-2</c:v>
                </c:pt>
                <c:pt idx="4">
                  <c:v>2.5901759188821323E-2</c:v>
                </c:pt>
                <c:pt idx="5">
                  <c:v>3.3327936137102589E-2</c:v>
                </c:pt>
                <c:pt idx="6">
                  <c:v>4.0764645745388496E-2</c:v>
                </c:pt>
                <c:pt idx="7">
                  <c:v>4.8211401988836992E-2</c:v>
                </c:pt>
                <c:pt idx="8">
                  <c:v>5.5667714779579866E-2</c:v>
                </c:pt>
                <c:pt idx="9">
                  <c:v>6.3133090149501164E-2</c:v>
                </c:pt>
                <c:pt idx="10">
                  <c:v>7.06070304368909E-2</c:v>
                </c:pt>
                <c:pt idx="11">
                  <c:v>7.8089034477625052E-2</c:v>
                </c:pt>
                <c:pt idx="12">
                  <c:v>8.5578597802380807E-2</c:v>
                </c:pt>
                <c:pt idx="13">
                  <c:v>9.3075212825724618E-2</c:v>
                </c:pt>
                <c:pt idx="14">
                  <c:v>0.10057836904974038</c:v>
                </c:pt>
                <c:pt idx="15">
                  <c:v>0.10808755326824589</c:v>
                </c:pt>
                <c:pt idx="16">
                  <c:v>0.11560224977297844</c:v>
                </c:pt>
                <c:pt idx="17">
                  <c:v>0.1231219405623552</c:v>
                </c:pt>
                <c:pt idx="18">
                  <c:v>0.13064610555260978</c:v>
                </c:pt>
                <c:pt idx="19">
                  <c:v>0.1381742227910939</c:v>
                </c:pt>
                <c:pt idx="20">
                  <c:v>0.14570576867151311</c:v>
                </c:pt>
                <c:pt idx="21">
                  <c:v>0.15324021815128619</c:v>
                </c:pt>
                <c:pt idx="22">
                  <c:v>0.1607770449715859</c:v>
                </c:pt>
                <c:pt idx="23">
                  <c:v>0.16831572187318183</c:v>
                </c:pt>
                <c:pt idx="24">
                  <c:v>0.17585572081877615</c:v>
                </c:pt>
                <c:pt idx="25">
                  <c:v>0.18339651321499581</c:v>
                </c:pt>
                <c:pt idx="26">
                  <c:v>0.19093757013459522</c:v>
                </c:pt>
                <c:pt idx="27">
                  <c:v>0.19847836253898959</c:v>
                </c:pt>
                <c:pt idx="28">
                  <c:v>0.20601836150092123</c:v>
                </c:pt>
                <c:pt idx="29">
                  <c:v>0.21355703842699944</c:v>
                </c:pt>
                <c:pt idx="30">
                  <c:v>0.22109386527989131</c:v>
                </c:pt>
                <c:pt idx="31">
                  <c:v>0.22862831479910492</c:v>
                </c:pt>
                <c:pt idx="32">
                  <c:v>0.23615986071841211</c:v>
                </c:pt>
                <c:pt idx="33">
                  <c:v>0.24368797799395342</c:v>
                </c:pt>
                <c:pt idx="34">
                  <c:v>0.25121214301938638</c:v>
                </c:pt>
                <c:pt idx="35">
                  <c:v>0.25873183384201354</c:v>
                </c:pt>
                <c:pt idx="36">
                  <c:v>0.26624653037802437</c:v>
                </c:pt>
                <c:pt idx="37">
                  <c:v>0.2737557146257949</c:v>
                </c:pt>
                <c:pt idx="38">
                  <c:v>0.281258870877022</c:v>
                </c:pt>
                <c:pt idx="39">
                  <c:v>0.2887554859254855</c:v>
                </c:pt>
                <c:pt idx="40">
                  <c:v>0.29624504927323525</c:v>
                </c:pt>
                <c:pt idx="41">
                  <c:v>0.30372705333432398</c:v>
                </c:pt>
                <c:pt idx="42">
                  <c:v>0.31120099363652631</c:v>
                </c:pt>
                <c:pt idx="43">
                  <c:v>0.31866636901532258</c:v>
                </c:pt>
                <c:pt idx="44">
                  <c:v>0.32612268180910964</c:v>
                </c:pt>
                <c:pt idx="45">
                  <c:v>0.3335694380498786</c:v>
                </c:pt>
                <c:pt idx="46">
                  <c:v>0.34100614764987563</c:v>
                </c:pt>
                <c:pt idx="47">
                  <c:v>0.34843232458437978</c:v>
                </c:pt>
                <c:pt idx="48">
                  <c:v>0.35584748707045644</c:v>
                </c:pt>
                <c:pt idx="49">
                  <c:v>0.36325115774150646</c:v>
                </c:pt>
                <c:pt idx="50">
                  <c:v>0.37064286381752048</c:v>
                </c:pt>
                <c:pt idx="51">
                  <c:v>0.38034903791125718</c:v>
                </c:pt>
                <c:pt idx="52">
                  <c:v>0.39242071971013326</c:v>
                </c:pt>
                <c:pt idx="53">
                  <c:v>0.40454659940473658</c:v>
                </c:pt>
                <c:pt idx="54">
                  <c:v>0.41672482869516742</c:v>
                </c:pt>
                <c:pt idx="55">
                  <c:v>0.42895350498700724</c:v>
                </c:pt>
                <c:pt idx="56">
                  <c:v>0.44123067267527671</c:v>
                </c:pt>
                <c:pt idx="57">
                  <c:v>0.45355432455809042</c:v>
                </c:pt>
                <c:pt idx="58">
                  <c:v>0.4659224033791039</c:v>
                </c:pt>
                <c:pt idx="59">
                  <c:v>0.47833280349721552</c:v>
                </c:pt>
                <c:pt idx="60">
                  <c:v>0.49078337268149475</c:v>
                </c:pt>
                <c:pt idx="61">
                  <c:v>0.50327191402884719</c:v>
                </c:pt>
                <c:pt idx="62">
                  <c:v>0.51579618800164473</c:v>
                </c:pt>
                <c:pt idx="63">
                  <c:v>0.5283539145781514</c:v>
                </c:pt>
                <c:pt idx="64">
                  <c:v>0.54094277551698999</c:v>
                </c:pt>
                <c:pt idx="65">
                  <c:v>0.55356041672737188</c:v>
                </c:pt>
                <c:pt idx="66">
                  <c:v>0.56620445073999992</c:v>
                </c:pt>
                <c:pt idx="67">
                  <c:v>0.57887245927299513</c:v>
                </c:pt>
                <c:pt idx="68">
                  <c:v>0.5915619958863243</c:v>
                </c:pt>
                <c:pt idx="69">
                  <c:v>0.60427058871783956</c:v>
                </c:pt>
                <c:pt idx="70">
                  <c:v>0.61699574329363482</c:v>
                </c:pt>
                <c:pt idx="71">
                  <c:v>0.62973494540424935</c:v>
                </c:pt>
                <c:pt idx="72">
                  <c:v>0.64248566403749086</c:v>
                </c:pt>
                <c:pt idx="73">
                  <c:v>0.65524535437021625</c:v>
                </c:pt>
                <c:pt idx="74">
                  <c:v>0.6680114607922083</c:v>
                </c:pt>
                <c:pt idx="75">
                  <c:v>0.68078141996447217</c:v>
                </c:pt>
                <c:pt idx="76">
                  <c:v>0.69355266390141168</c:v>
                </c:pt>
                <c:pt idx="77">
                  <c:v>0.70632262306701354</c:v>
                </c:pt>
                <c:pt idx="78">
                  <c:v>0.71908872947570435</c:v>
                </c:pt>
                <c:pt idx="79">
                  <c:v>0.73184841978853732</c:v>
                </c:pt>
                <c:pt idx="80">
                  <c:v>0.74459913839537017</c:v>
                </c:pt>
                <c:pt idx="81">
                  <c:v>0.7573383404744447</c:v>
                </c:pt>
                <c:pt idx="82">
                  <c:v>0.77006349502137905</c:v>
                </c:pt>
                <c:pt idx="83">
                  <c:v>0.78277208782798313</c:v>
                </c:pt>
                <c:pt idx="84">
                  <c:v>0.79546162442029289</c:v>
                </c:pt>
                <c:pt idx="85">
                  <c:v>0.80812963293610895</c:v>
                </c:pt>
                <c:pt idx="86">
                  <c:v>0.82077366693531906</c:v>
                </c:pt>
                <c:pt idx="87">
                  <c:v>0.83339130813595219</c:v>
                </c:pt>
                <c:pt idx="88">
                  <c:v>0.84598016906862605</c:v>
                </c:pt>
                <c:pt idx="89">
                  <c:v>0.85853789564243244</c:v>
                </c:pt>
                <c:pt idx="90">
                  <c:v>0.87106216961587868</c:v>
                </c:pt>
                <c:pt idx="91">
                  <c:v>0.88355071096670723</c:v>
                </c:pt>
                <c:pt idx="92">
                  <c:v>0.89600128015484026</c:v>
                </c:pt>
                <c:pt idx="93">
                  <c:v>0.90841168027678254</c:v>
                </c:pt>
                <c:pt idx="94">
                  <c:v>0.92077975910159826</c:v>
                </c:pt>
                <c:pt idx="95">
                  <c:v>0.9331034109881885</c:v>
                </c:pt>
                <c:pt idx="96">
                  <c:v>0.94538057868020586</c:v>
                </c:pt>
                <c:pt idx="97">
                  <c:v>0.95760925497576643</c:v>
                </c:pt>
                <c:pt idx="98">
                  <c:v>0.96978748426987904</c:v>
                </c:pt>
                <c:pt idx="99">
                  <c:v>0.98191336396813322</c:v>
                </c:pt>
                <c:pt idx="100">
                  <c:v>0.99398504577062086</c:v>
                </c:pt>
                <c:pt idx="101">
                  <c:v>1</c:v>
                </c:pt>
              </c:numCache>
            </c:numRef>
          </c:xVal>
          <c:yVal>
            <c:numRef>
              <c:f>Sheet1!$Q$2:$Q$103</c:f>
              <c:numCache>
                <c:formatCode>0.00E+00</c:formatCode>
                <c:ptCount val="102"/>
                <c:pt idx="0">
                  <c:v>0.71529955909501419</c:v>
                </c:pt>
                <c:pt idx="1">
                  <c:v>0.71545312673033712</c:v>
                </c:pt>
                <c:pt idx="2">
                  <c:v>0.71570791925284138</c:v>
                </c:pt>
                <c:pt idx="3">
                  <c:v>0.71624556195495304</c:v>
                </c:pt>
                <c:pt idx="4">
                  <c:v>0.71706395017541735</c:v>
                </c:pt>
                <c:pt idx="5">
                  <c:v>0.71816074429712484</c:v>
                </c:pt>
                <c:pt idx="6">
                  <c:v>0.71953339021944296</c:v>
                </c:pt>
                <c:pt idx="7">
                  <c:v>0.72117913641494069</c:v>
                </c:pt>
                <c:pt idx="8">
                  <c:v>0.72309504735917418</c:v>
                </c:pt>
                <c:pt idx="9">
                  <c:v>0.72527801319944107</c:v>
                </c:pt>
                <c:pt idx="10">
                  <c:v>0.72772475561756567</c:v>
                </c:pt>
                <c:pt idx="11">
                  <c:v>0.73048636324024341</c:v>
                </c:pt>
                <c:pt idx="12">
                  <c:v>0.73338395310373272</c:v>
                </c:pt>
                <c:pt idx="13">
                  <c:v>0.73652362284447226</c:v>
                </c:pt>
                <c:pt idx="14">
                  <c:v>0.73989613170119461</c:v>
                </c:pt>
                <c:pt idx="15">
                  <c:v>0.74349238025007947</c:v>
                </c:pt>
                <c:pt idx="16">
                  <c:v>0.74730345091179573</c:v>
                </c:pt>
                <c:pt idx="17">
                  <c:v>0.75132064211559335</c:v>
                </c:pt>
                <c:pt idx="18">
                  <c:v>0.75553549606146031</c:v>
                </c:pt>
                <c:pt idx="19">
                  <c:v>0.75993982011029204</c:v>
                </c:pt>
                <c:pt idx="20">
                  <c:v>0.76452570194461678</c:v>
                </c:pt>
                <c:pt idx="21">
                  <c:v>0.76939784764657071</c:v>
                </c:pt>
                <c:pt idx="22">
                  <c:v>0.7742979616230522</c:v>
                </c:pt>
                <c:pt idx="23">
                  <c:v>0.77935852623533874</c:v>
                </c:pt>
                <c:pt idx="24">
                  <c:v>0.78456973879244996</c:v>
                </c:pt>
                <c:pt idx="25">
                  <c:v>0.78992223128930439</c:v>
                </c:pt>
                <c:pt idx="26">
                  <c:v>0.79540708798307236</c:v>
                </c:pt>
                <c:pt idx="27">
                  <c:v>0.80101585669555941</c:v>
                </c:pt>
                <c:pt idx="28">
                  <c:v>0.80674055433553615</c:v>
                </c:pt>
                <c:pt idx="29">
                  <c:v>0.81257366713381862</c:v>
                </c:pt>
                <c:pt idx="30">
                  <c:v>0.81850814608324718</c:v>
                </c:pt>
                <c:pt idx="31">
                  <c:v>0.82465331035920675</c:v>
                </c:pt>
                <c:pt idx="32">
                  <c:v>0.83077054818010054</c:v>
                </c:pt>
                <c:pt idx="33">
                  <c:v>0.83698401218385743</c:v>
                </c:pt>
                <c:pt idx="34">
                  <c:v>0.84328735902761043</c:v>
                </c:pt>
                <c:pt idx="35">
                  <c:v>0.84967458042225719</c:v>
                </c:pt>
                <c:pt idx="36">
                  <c:v>0.85614000294371095</c:v>
                </c:pt>
                <c:pt idx="37">
                  <c:v>0.86267828506375543</c:v>
                </c:pt>
                <c:pt idx="38">
                  <c:v>0.86928441168172266</c:v>
                </c:pt>
                <c:pt idx="39">
                  <c:v>0.8759536864270524</c:v>
                </c:pt>
                <c:pt idx="40">
                  <c:v>0.88268172199066086</c:v>
                </c:pt>
                <c:pt idx="41">
                  <c:v>0.88956471092273603</c:v>
                </c:pt>
                <c:pt idx="42">
                  <c:v>0.89642180692721707</c:v>
                </c:pt>
                <c:pt idx="43">
                  <c:v>0.90333746688762306</c:v>
                </c:pt>
                <c:pt idx="44">
                  <c:v>0.91030684113903804</c:v>
                </c:pt>
                <c:pt idx="45">
                  <c:v>0.917325368695177</c:v>
                </c:pt>
                <c:pt idx="46">
                  <c:v>0.92438883796288951</c:v>
                </c:pt>
                <c:pt idx="47">
                  <c:v>0.93149352839448085</c:v>
                </c:pt>
                <c:pt idx="48">
                  <c:v>0.93863599337521963</c:v>
                </c:pt>
                <c:pt idx="49">
                  <c:v>0.94581332696651721</c:v>
                </c:pt>
                <c:pt idx="50">
                  <c:v>0.95302252777633445</c:v>
                </c:pt>
                <c:pt idx="51">
                  <c:v>0.9609779070187543</c:v>
                </c:pt>
                <c:pt idx="52">
                  <c:v>0.97378011626897376</c:v>
                </c:pt>
                <c:pt idx="53">
                  <c:v>0.98666162458491924</c:v>
                </c:pt>
                <c:pt idx="54">
                  <c:v>0.99965123467992045</c:v>
                </c:pt>
                <c:pt idx="55">
                  <c:v>1.0127806348867747</c:v>
                </c:pt>
                <c:pt idx="56">
                  <c:v>1.0260841532308704</c:v>
                </c:pt>
                <c:pt idx="57">
                  <c:v>1.0395990120346088</c:v>
                </c:pt>
                <c:pt idx="58">
                  <c:v>1.0533658549016836</c:v>
                </c:pt>
                <c:pt idx="59">
                  <c:v>1.0674268934942408</c:v>
                </c:pt>
                <c:pt idx="60">
                  <c:v>1.0818240008634912</c:v>
                </c:pt>
                <c:pt idx="61">
                  <c:v>1.0960231593362726</c:v>
                </c:pt>
                <c:pt idx="62">
                  <c:v>1.1102843653526271</c:v>
                </c:pt>
                <c:pt idx="63">
                  <c:v>1.1250779237298529</c:v>
                </c:pt>
                <c:pt idx="64">
                  <c:v>1.1404077839927904</c:v>
                </c:pt>
                <c:pt idx="65">
                  <c:v>1.1562777675128542</c:v>
                </c:pt>
                <c:pt idx="66">
                  <c:v>1.1726934333344994</c:v>
                </c:pt>
                <c:pt idx="67">
                  <c:v>1.1896619734500056</c:v>
                </c:pt>
                <c:pt idx="68">
                  <c:v>1.2071902787639068</c:v>
                </c:pt>
                <c:pt idx="69">
                  <c:v>1.2252853181704428</c:v>
                </c:pt>
                <c:pt idx="70">
                  <c:v>1.2439594739332756</c:v>
                </c:pt>
                <c:pt idx="71">
                  <c:v>1.2628774022664722</c:v>
                </c:pt>
                <c:pt idx="72">
                  <c:v>1.2824344320951675</c:v>
                </c:pt>
                <c:pt idx="73">
                  <c:v>1.3026065768453416</c:v>
                </c:pt>
                <c:pt idx="74">
                  <c:v>1.3234399244733728</c:v>
                </c:pt>
                <c:pt idx="75">
                  <c:v>1.3449820017931731</c:v>
                </c:pt>
                <c:pt idx="76">
                  <c:v>1.36728456878043</c:v>
                </c:pt>
                <c:pt idx="77">
                  <c:v>1.3904029556255011</c:v>
                </c:pt>
                <c:pt idx="78">
                  <c:v>1.4143917259461145</c:v>
                </c:pt>
                <c:pt idx="79">
                  <c:v>1.4393080576231758</c:v>
                </c:pt>
                <c:pt idx="80">
                  <c:v>1.4652117504509377</c:v>
                </c:pt>
                <c:pt idx="81">
                  <c:v>1.4914450790343372</c:v>
                </c:pt>
                <c:pt idx="82">
                  <c:v>1.5182490841118683</c:v>
                </c:pt>
                <c:pt idx="83">
                  <c:v>1.5464434904703823</c:v>
                </c:pt>
                <c:pt idx="84">
                  <c:v>1.5761610752450439</c:v>
                </c:pt>
                <c:pt idx="85">
                  <c:v>1.6075403945307356</c:v>
                </c:pt>
                <c:pt idx="86">
                  <c:v>1.6407245560749417</c:v>
                </c:pt>
                <c:pt idx="87">
                  <c:v>1.6758597069131447</c:v>
                </c:pt>
                <c:pt idx="88">
                  <c:v>1.7130954078192764</c:v>
                </c:pt>
                <c:pt idx="89">
                  <c:v>1.7525864656319903</c:v>
                </c:pt>
                <c:pt idx="90">
                  <c:v>1.7944961776378989</c:v>
                </c:pt>
                <c:pt idx="91">
                  <c:v>1.8389372318814075</c:v>
                </c:pt>
                <c:pt idx="92">
                  <c:v>1.8860417963310889</c:v>
                </c:pt>
                <c:pt idx="93">
                  <c:v>1.9356657975600329</c:v>
                </c:pt>
                <c:pt idx="94">
                  <c:v>1.9875541437181883</c:v>
                </c:pt>
                <c:pt idx="95">
                  <c:v>2.0414146289561921</c:v>
                </c:pt>
                <c:pt idx="96">
                  <c:v>2.096893067107922</c:v>
                </c:pt>
                <c:pt idx="97">
                  <c:v>2.1535676858043455</c:v>
                </c:pt>
                <c:pt idx="98">
                  <c:v>2.2109627408049128</c:v>
                </c:pt>
                <c:pt idx="99">
                  <c:v>2.2685797552304656</c:v>
                </c:pt>
                <c:pt idx="100">
                  <c:v>2.3259427288903707</c:v>
                </c:pt>
                <c:pt idx="101">
                  <c:v>2.2788725166410866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77-497B-A9D8-1033D2D68BF9}"/>
            </c:ext>
          </c:extLst>
        </c:ser>
        <c:ser>
          <c:idx val="0"/>
          <c:order val="1"/>
          <c:tx>
            <c:strRef>
              <c:f>Sheet1!$AA$1</c:f>
              <c:strCache>
                <c:ptCount val="1"/>
                <c:pt idx="0">
                  <c:v>normal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Sheet1!$AC$2:$AC$103</c:f>
              <c:numCache>
                <c:formatCode>0.00E+00</c:formatCode>
                <c:ptCount val="102"/>
                <c:pt idx="0">
                  <c:v>-5.8212900727254629E-16</c:v>
                </c:pt>
                <c:pt idx="1">
                  <c:v>3.6912198663833573E-3</c:v>
                </c:pt>
                <c:pt idx="2">
                  <c:v>1.1082925942866435E-2</c:v>
                </c:pt>
                <c:pt idx="3">
                  <c:v>1.848659661437866E-2</c:v>
                </c:pt>
                <c:pt idx="4">
                  <c:v>2.5901759100907775E-2</c:v>
                </c:pt>
                <c:pt idx="5">
                  <c:v>3.3327936035859297E-2</c:v>
                </c:pt>
                <c:pt idx="6">
                  <c:v>4.0764645636293673E-2</c:v>
                </c:pt>
                <c:pt idx="7">
                  <c:v>4.8211401877491622E-2</c:v>
                </c:pt>
                <c:pt idx="8">
                  <c:v>5.5667714671698586E-2</c:v>
                </c:pt>
                <c:pt idx="9">
                  <c:v>6.3133090050908267E-2</c:v>
                </c:pt>
                <c:pt idx="10">
                  <c:v>7.0607030353513553E-2</c:v>
                </c:pt>
                <c:pt idx="11">
                  <c:v>7.8089034414667705E-2</c:v>
                </c:pt>
                <c:pt idx="12">
                  <c:v>8.5578597760182021E-2</c:v>
                </c:pt>
                <c:pt idx="13">
                  <c:v>9.3075212803776675E-2</c:v>
                </c:pt>
                <c:pt idx="14">
                  <c:v>0.10057836904750403</c:v>
                </c:pt>
                <c:pt idx="15">
                  <c:v>0.10808755328515041</c:v>
                </c:pt>
                <c:pt idx="16">
                  <c:v>0.11560224980842332</c:v>
                </c:pt>
                <c:pt idx="17">
                  <c:v>0.12312194061570868</c:v>
                </c:pt>
                <c:pt idx="18">
                  <c:v>0.13064610562321402</c:v>
                </c:pt>
                <c:pt idx="19">
                  <c:v>0.1381742228782574</c:v>
                </c:pt>
                <c:pt idx="20">
                  <c:v>0.14570576877452152</c:v>
                </c:pt>
                <c:pt idx="21">
                  <c:v>0.15324021826900799</c:v>
                </c:pt>
                <c:pt idx="22">
                  <c:v>0.16077704510050703</c:v>
                </c:pt>
                <c:pt idx="23">
                  <c:v>0.16831572200935219</c:v>
                </c:pt>
                <c:pt idx="24">
                  <c:v>0.17585572095819599</c:v>
                </c:pt>
                <c:pt idx="25">
                  <c:v>0.18339651335363003</c:v>
                </c:pt>
                <c:pt idx="26">
                  <c:v>0.19093757026836994</c:v>
                </c:pt>
                <c:pt idx="27">
                  <c:v>0.1984783626638045</c:v>
                </c:pt>
                <c:pt idx="28">
                  <c:v>0.20601836161264911</c:v>
                </c:pt>
                <c:pt idx="29">
                  <c:v>0.21355703852149341</c:v>
                </c:pt>
                <c:pt idx="30">
                  <c:v>0.22109386535299236</c:v>
                </c:pt>
                <c:pt idx="31">
                  <c:v>0.22862831484747759</c:v>
                </c:pt>
                <c:pt idx="32">
                  <c:v>0.23615986074374187</c:v>
                </c:pt>
                <c:pt idx="33">
                  <c:v>0.24368797799878683</c:v>
                </c:pt>
                <c:pt idx="34">
                  <c:v>0.25121214300629091</c:v>
                </c:pt>
                <c:pt idx="35">
                  <c:v>0.25873183381357595</c:v>
                </c:pt>
                <c:pt idx="36">
                  <c:v>0.26624653033684986</c:v>
                </c:pt>
                <c:pt idx="37">
                  <c:v>0.27375571457449649</c:v>
                </c:pt>
                <c:pt idx="38">
                  <c:v>0.28125887081822443</c:v>
                </c:pt>
                <c:pt idx="39">
                  <c:v>0.28875548586181804</c:v>
                </c:pt>
                <c:pt idx="40">
                  <c:v>0.29624504920733286</c:v>
                </c:pt>
                <c:pt idx="41">
                  <c:v>0.30372705326848576</c:v>
                </c:pt>
                <c:pt idx="42">
                  <c:v>0.31120099357109288</c:v>
                </c:pt>
                <c:pt idx="43">
                  <c:v>0.31866636895030104</c:v>
                </c:pt>
                <c:pt idx="44">
                  <c:v>0.32612268174450909</c:v>
                </c:pt>
                <c:pt idx="45">
                  <c:v>0.33356943798570543</c:v>
                </c:pt>
                <c:pt idx="46">
                  <c:v>0.3410061475861409</c:v>
                </c:pt>
                <c:pt idx="47">
                  <c:v>0.34843232452109163</c:v>
                </c:pt>
                <c:pt idx="48">
                  <c:v>0.35584748700762203</c:v>
                </c:pt>
                <c:pt idx="49">
                  <c:v>0.3632511576791343</c:v>
                </c:pt>
                <c:pt idx="50">
                  <c:v>0.37064286375561833</c:v>
                </c:pt>
                <c:pt idx="51">
                  <c:v>0.38034903784998142</c:v>
                </c:pt>
                <c:pt idx="52">
                  <c:v>0.39242071964966119</c:v>
                </c:pt>
                <c:pt idx="53">
                  <c:v>0.40454659934509052</c:v>
                </c:pt>
                <c:pt idx="54">
                  <c:v>0.41672482863637539</c:v>
                </c:pt>
                <c:pt idx="55">
                  <c:v>0.42895350492909506</c:v>
                </c:pt>
                <c:pt idx="56">
                  <c:v>0.44123067261826621</c:v>
                </c:pt>
                <c:pt idx="57">
                  <c:v>0.4535543245020055</c:v>
                </c:pt>
                <c:pt idx="58">
                  <c:v>0.4659224033239695</c:v>
                </c:pt>
                <c:pt idx="59">
                  <c:v>0.47833280344305718</c:v>
                </c:pt>
                <c:pt idx="60">
                  <c:v>0.49078337262833488</c:v>
                </c:pt>
                <c:pt idx="61">
                  <c:v>0.50327191397651172</c:v>
                </c:pt>
                <c:pt idx="62">
                  <c:v>0.51579618794878235</c:v>
                </c:pt>
                <c:pt idx="63">
                  <c:v>0.52835391452325031</c:v>
                </c:pt>
                <c:pt idx="64">
                  <c:v>0.54094277545859204</c:v>
                </c:pt>
                <c:pt idx="65">
                  <c:v>0.55356041666406552</c:v>
                </c:pt>
                <c:pt idx="66">
                  <c:v>0.56620445067043434</c:v>
                </c:pt>
                <c:pt idx="67">
                  <c:v>0.57887245919588959</c:v>
                </c:pt>
                <c:pt idx="68">
                  <c:v>0.59156199580046565</c:v>
                </c:pt>
                <c:pt idx="69">
                  <c:v>0.60427058862209015</c:v>
                </c:pt>
                <c:pt idx="70">
                  <c:v>0.61699574318693817</c:v>
                </c:pt>
                <c:pt idx="71">
                  <c:v>0.6297349452862796</c:v>
                </c:pt>
                <c:pt idx="72">
                  <c:v>0.64248566391177997</c:v>
                </c:pt>
                <c:pt idx="73">
                  <c:v>0.65524535424078478</c:v>
                </c:pt>
                <c:pt idx="74">
                  <c:v>0.66801146066289641</c:v>
                </c:pt>
                <c:pt idx="75">
                  <c:v>0.68078141983893048</c:v>
                </c:pt>
                <c:pt idx="76">
                  <c:v>0.69355266378307878</c:v>
                </c:pt>
                <c:pt idx="77">
                  <c:v>0.70632262295911019</c:v>
                </c:pt>
                <c:pt idx="78">
                  <c:v>0.71908872938122337</c:v>
                </c:pt>
                <c:pt idx="79">
                  <c:v>0.73184841971022652</c:v>
                </c:pt>
                <c:pt idx="80">
                  <c:v>0.74459913833572777</c:v>
                </c:pt>
                <c:pt idx="81">
                  <c:v>0.75733834043506842</c:v>
                </c:pt>
                <c:pt idx="82">
                  <c:v>0.77006349499991544</c:v>
                </c:pt>
                <c:pt idx="83">
                  <c:v>0.78277208782154273</c:v>
                </c:pt>
                <c:pt idx="84">
                  <c:v>0.79546162442611645</c:v>
                </c:pt>
                <c:pt idx="85">
                  <c:v>0.80812963295156859</c:v>
                </c:pt>
                <c:pt idx="86">
                  <c:v>0.82077366695794141</c:v>
                </c:pt>
                <c:pt idx="87">
                  <c:v>0.83339130816341134</c:v>
                </c:pt>
                <c:pt idx="88">
                  <c:v>0.84598016909875207</c:v>
                </c:pt>
                <c:pt idx="89">
                  <c:v>0.85853789567322392</c:v>
                </c:pt>
                <c:pt idx="90">
                  <c:v>0.87106216964549288</c:v>
                </c:pt>
                <c:pt idx="91">
                  <c:v>0.88355071099366733</c:v>
                </c:pt>
                <c:pt idx="92">
                  <c:v>0.89600128017894654</c:v>
                </c:pt>
                <c:pt idx="93">
                  <c:v>0.90841168029803554</c:v>
                </c:pt>
                <c:pt idx="94">
                  <c:v>0.92077975911999832</c:v>
                </c:pt>
                <c:pt idx="95">
                  <c:v>0.93310341100373717</c:v>
                </c:pt>
                <c:pt idx="96">
                  <c:v>0.94538057869291037</c:v>
                </c:pt>
                <c:pt idx="97">
                  <c:v>0.9576092549856251</c:v>
                </c:pt>
                <c:pt idx="98">
                  <c:v>0.9697874842769092</c:v>
                </c:pt>
                <c:pt idx="99">
                  <c:v>0.98191336397233964</c:v>
                </c:pt>
                <c:pt idx="100">
                  <c:v>0.99398504577201696</c:v>
                </c:pt>
                <c:pt idx="101">
                  <c:v>1</c:v>
                </c:pt>
              </c:numCache>
            </c:numRef>
          </c:xVal>
          <c:yVal>
            <c:numRef>
              <c:f>Sheet1!$AD$2:$AD$103</c:f>
              <c:numCache>
                <c:formatCode>0.00E+00</c:formatCode>
                <c:ptCount val="102"/>
                <c:pt idx="0">
                  <c:v>0.73202074333658262</c:v>
                </c:pt>
                <c:pt idx="1">
                  <c:v>0.73275781130667106</c:v>
                </c:pt>
                <c:pt idx="2">
                  <c:v>0.73288964414936353</c:v>
                </c:pt>
                <c:pt idx="3">
                  <c:v>0.73334373965235777</c:v>
                </c:pt>
                <c:pt idx="4">
                  <c:v>0.7341189437240716</c:v>
                </c:pt>
                <c:pt idx="5">
                  <c:v>0.73521397257968224</c:v>
                </c:pt>
                <c:pt idx="6">
                  <c:v>0.73662742736637232</c:v>
                </c:pt>
                <c:pt idx="7">
                  <c:v>0.73835780279590402</c:v>
                </c:pt>
                <c:pt idx="8">
                  <c:v>0.74040348977911152</c:v>
                </c:pt>
                <c:pt idx="9">
                  <c:v>0.74276277221039144</c:v>
                </c:pt>
                <c:pt idx="10">
                  <c:v>0.74543381818886556</c:v>
                </c:pt>
                <c:pt idx="11">
                  <c:v>0.74823148283738927</c:v>
                </c:pt>
                <c:pt idx="12">
                  <c:v>0.75113494161915706</c:v>
                </c:pt>
                <c:pt idx="13">
                  <c:v>0.75431374077320335</c:v>
                </c:pt>
                <c:pt idx="14">
                  <c:v>0.75776100679910829</c:v>
                </c:pt>
                <c:pt idx="15">
                  <c:v>0.76146998150352563</c:v>
                </c:pt>
                <c:pt idx="16">
                  <c:v>0.76543405382924978</c:v>
                </c:pt>
                <c:pt idx="17">
                  <c:v>0.76964678569140166</c:v>
                </c:pt>
                <c:pt idx="18">
                  <c:v>0.77410193178574527</c:v>
                </c:pt>
                <c:pt idx="19">
                  <c:v>0.77879345341802164</c:v>
                </c:pt>
                <c:pt idx="20">
                  <c:v>0.78371552648505816</c:v>
                </c:pt>
                <c:pt idx="21">
                  <c:v>0.78869851676901748</c:v>
                </c:pt>
                <c:pt idx="22">
                  <c:v>0.79371494535758891</c:v>
                </c:pt>
                <c:pt idx="23">
                  <c:v>0.79891230320399731</c:v>
                </c:pt>
                <c:pt idx="24">
                  <c:v>0.80428317485805267</c:v>
                </c:pt>
                <c:pt idx="25">
                  <c:v>0.80982050835548947</c:v>
                </c:pt>
                <c:pt idx="26">
                  <c:v>0.81551763778445963</c:v>
                </c:pt>
                <c:pt idx="27">
                  <c:v>0.82136829807738632</c:v>
                </c:pt>
                <c:pt idx="28">
                  <c:v>0.82736663253315901</c:v>
                </c:pt>
                <c:pt idx="29">
                  <c:v>0.83350719362797188</c:v>
                </c:pt>
                <c:pt idx="30">
                  <c:v>0.83978493770580165</c:v>
                </c:pt>
                <c:pt idx="31">
                  <c:v>0.84612861030817088</c:v>
                </c:pt>
                <c:pt idx="32">
                  <c:v>0.85251217408750735</c:v>
                </c:pt>
                <c:pt idx="33">
                  <c:v>0.85898818315649794</c:v>
                </c:pt>
                <c:pt idx="34">
                  <c:v>0.86555175069578638</c:v>
                </c:pt>
                <c:pt idx="35">
                  <c:v>0.87219840895798662</c:v>
                </c:pt>
                <c:pt idx="36">
                  <c:v>0.87892410742131155</c:v>
                </c:pt>
                <c:pt idx="37">
                  <c:v>0.88572520558488721</c:v>
                </c:pt>
                <c:pt idx="38">
                  <c:v>0.89259846103223806</c:v>
                </c:pt>
                <c:pt idx="39">
                  <c:v>0.89954101335910575</c:v>
                </c:pt>
                <c:pt idx="40">
                  <c:v>0.90655036452382032</c:v>
                </c:pt>
                <c:pt idx="41">
                  <c:v>0.91366234021826631</c:v>
                </c:pt>
                <c:pt idx="42">
                  <c:v>0.92085784935934456</c:v>
                </c:pt>
                <c:pt idx="43">
                  <c:v>0.92808963452501592</c:v>
                </c:pt>
                <c:pt idx="44">
                  <c:v>0.93535541665496436</c:v>
                </c:pt>
                <c:pt idx="45">
                  <c:v>0.94265329474235804</c:v>
                </c:pt>
                <c:pt idx="46">
                  <c:v>0.94998150689830063</c:v>
                </c:pt>
                <c:pt idx="47">
                  <c:v>0.95733809474913412</c:v>
                </c:pt>
                <c:pt idx="48">
                  <c:v>0.96472289488667251</c:v>
                </c:pt>
                <c:pt idx="49">
                  <c:v>0.9721344294139308</c:v>
                </c:pt>
                <c:pt idx="50">
                  <c:v>0.97957470323625595</c:v>
                </c:pt>
                <c:pt idx="51">
                  <c:v>0.98846975778182011</c:v>
                </c:pt>
                <c:pt idx="52">
                  <c:v>1.0014917347734582</c:v>
                </c:pt>
                <c:pt idx="53">
                  <c:v>1.0146055096938025</c:v>
                </c:pt>
                <c:pt idx="54">
                  <c:v>1.0278336800793795</c:v>
                </c:pt>
                <c:pt idx="55">
                  <c:v>1.0412033007698336</c:v>
                </c:pt>
                <c:pt idx="56">
                  <c:v>1.0547443319949534</c:v>
                </c:pt>
                <c:pt idx="57">
                  <c:v>1.0684866102289736</c:v>
                </c:pt>
                <c:pt idx="58">
                  <c:v>1.0824588624922378</c:v>
                </c:pt>
                <c:pt idx="59">
                  <c:v>1.0966974888162737</c:v>
                </c:pt>
                <c:pt idx="60">
                  <c:v>1.1112405129110843</c:v>
                </c:pt>
                <c:pt idx="61">
                  <c:v>1.1259956636518067</c:v>
                </c:pt>
                <c:pt idx="62">
                  <c:v>1.1408853715332199</c:v>
                </c:pt>
                <c:pt idx="63">
                  <c:v>1.1560075016677132</c:v>
                </c:pt>
                <c:pt idx="64">
                  <c:v>1.1713905740174027</c:v>
                </c:pt>
                <c:pt idx="65">
                  <c:v>1.1870584427101658</c:v>
                </c:pt>
                <c:pt idx="66">
                  <c:v>1.2030375596123122</c:v>
                </c:pt>
                <c:pt idx="67">
                  <c:v>1.2193554182642405</c:v>
                </c:pt>
                <c:pt idx="68">
                  <c:v>1.2360356922939737</c:v>
                </c:pt>
                <c:pt idx="69">
                  <c:v>1.2530988204835611</c:v>
                </c:pt>
                <c:pt idx="70">
                  <c:v>1.2705758814309671</c:v>
                </c:pt>
                <c:pt idx="71">
                  <c:v>1.2894096947829254</c:v>
                </c:pt>
                <c:pt idx="72">
                  <c:v>1.3094902892819833</c:v>
                </c:pt>
                <c:pt idx="73">
                  <c:v>1.3298872355793068</c:v>
                </c:pt>
                <c:pt idx="74">
                  <c:v>1.350662104519275</c:v>
                </c:pt>
                <c:pt idx="75">
                  <c:v>1.3718760934046648</c:v>
                </c:pt>
                <c:pt idx="76">
                  <c:v>1.3935954800036172</c:v>
                </c:pt>
                <c:pt idx="77">
                  <c:v>1.4158905189602038</c:v>
                </c:pt>
                <c:pt idx="78">
                  <c:v>1.438826829186705</c:v>
                </c:pt>
                <c:pt idx="79">
                  <c:v>1.4624723578603689</c:v>
                </c:pt>
                <c:pt idx="80">
                  <c:v>1.4868974609095611</c:v>
                </c:pt>
                <c:pt idx="81">
                  <c:v>1.5121159745758253</c:v>
                </c:pt>
                <c:pt idx="82">
                  <c:v>1.5382593724339377</c:v>
                </c:pt>
                <c:pt idx="83">
                  <c:v>1.5655614623453642</c:v>
                </c:pt>
                <c:pt idx="84">
                  <c:v>1.5942030591534717</c:v>
                </c:pt>
                <c:pt idx="85">
                  <c:v>1.6243713774475936</c:v>
                </c:pt>
                <c:pt idx="86">
                  <c:v>1.6562592228043558</c:v>
                </c:pt>
                <c:pt idx="87">
                  <c:v>1.6900640959615154</c:v>
                </c:pt>
                <c:pt idx="88">
                  <c:v>1.7259904216383699</c:v>
                </c:pt>
                <c:pt idx="89">
                  <c:v>1.7642536693155888</c:v>
                </c:pt>
                <c:pt idx="90">
                  <c:v>1.8050859582871461</c:v>
                </c:pt>
                <c:pt idx="91">
                  <c:v>1.8496586789527578</c:v>
                </c:pt>
                <c:pt idx="92">
                  <c:v>1.8970773126270737</c:v>
                </c:pt>
                <c:pt idx="93">
                  <c:v>1.9460666979512242</c:v>
                </c:pt>
                <c:pt idx="94">
                  <c:v>1.9966901690660439</c:v>
                </c:pt>
                <c:pt idx="95">
                  <c:v>2.0489528868516445</c:v>
                </c:pt>
                <c:pt idx="96">
                  <c:v>2.1027845834740027</c:v>
                </c:pt>
                <c:pt idx="97">
                  <c:v>2.1580511083334573</c:v>
                </c:pt>
                <c:pt idx="98">
                  <c:v>2.2145830023854876</c:v>
                </c:pt>
                <c:pt idx="99">
                  <c:v>2.2722096765640916</c:v>
                </c:pt>
                <c:pt idx="100">
                  <c:v>2.3307882620658718</c:v>
                </c:pt>
                <c:pt idx="101">
                  <c:v>2.2888003876347396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77-497B-A9D8-1033D2D68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505279"/>
        <c:axId val="214572079"/>
      </c:scatterChart>
      <c:valAx>
        <c:axId val="1244505279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l-GR" altLang="ja-JP" b="0"/>
                  <a:t>2φ/π</a:t>
                </a:r>
                <a:r>
                  <a:rPr lang="en-US" altLang="ja-JP" b="0"/>
                  <a:t> [-]</a:t>
                </a:r>
                <a:endParaRPr lang="ja-JP" altLang="en-US" b="0"/>
              </a:p>
            </c:rich>
          </c:tx>
          <c:overlay val="0"/>
        </c:title>
        <c:numFmt formatCode="#,##0.0_);[Red]\(#,##0.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572079"/>
        <c:crosses val="autoZero"/>
        <c:crossBetween val="midCat"/>
      </c:valAx>
      <c:valAx>
        <c:axId val="2145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 b="0"/>
                  <a:t>K/</a:t>
                </a:r>
                <a:r>
                  <a:rPr lang="el-GR" altLang="ja-JP" b="0"/>
                  <a:t>σ√π</a:t>
                </a:r>
                <a:r>
                  <a:rPr lang="en-US" altLang="ja-JP" b="0"/>
                  <a:t>b [-]</a:t>
                </a:r>
                <a:endParaRPr lang="ja-JP" altLang="en-US" b="0"/>
              </a:p>
            </c:rich>
          </c:tx>
          <c:overlay val="0"/>
        </c:title>
        <c:numFmt formatCode="#,##0.0_);[Red]\(#,##0.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5052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0162525632370498"/>
          <c:y val="0.12443686170144237"/>
          <c:w val="0.24838863589132745"/>
          <c:h val="0.2251655044088496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609600</xdr:colOff>
      <xdr:row>0</xdr:row>
      <xdr:rowOff>222250</xdr:rowOff>
    </xdr:from>
    <xdr:to>
      <xdr:col>24</xdr:col>
      <xdr:colOff>628650</xdr:colOff>
      <xdr:row>12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91A0E27-38C5-FC59-5D56-60E54971F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412750</xdr:colOff>
      <xdr:row>0</xdr:row>
      <xdr:rowOff>171450</xdr:rowOff>
    </xdr:from>
    <xdr:to>
      <xdr:col>37</xdr:col>
      <xdr:colOff>361950</xdr:colOff>
      <xdr:row>12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C268B-1CCF-A324-CA4B-6C5881A5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392595</xdr:colOff>
      <xdr:row>14</xdr:row>
      <xdr:rowOff>160132</xdr:rowOff>
    </xdr:from>
    <xdr:to>
      <xdr:col>25</xdr:col>
      <xdr:colOff>149086</xdr:colOff>
      <xdr:row>27</xdr:row>
      <xdr:rowOff>108503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8C3F1D6-4D90-4697-B2AB-B741C73A3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"/>
  <sheetViews>
    <sheetView tabSelected="1" topLeftCell="E1" zoomScale="115" zoomScaleNormal="115" workbookViewId="0">
      <selection activeCell="X33" sqref="X33"/>
    </sheetView>
  </sheetViews>
  <sheetFormatPr defaultRowHeight="18"/>
  <cols>
    <col min="4" max="4" width="9.5" bestFit="1" customWidth="1"/>
    <col min="9" max="10" width="9.1640625" bestFit="1" customWidth="1"/>
    <col min="11" max="11" width="9.1640625" customWidth="1"/>
    <col min="12" max="12" width="9.1640625" bestFit="1" customWidth="1"/>
    <col min="13" max="13" width="9.1640625" customWidth="1"/>
    <col min="14" max="17" width="12.9140625" customWidth="1"/>
    <col min="28" max="28" width="10" bestFit="1" customWidth="1"/>
    <col min="29" max="29" width="9.5" bestFit="1" customWidth="1"/>
    <col min="30" max="30" width="11.1640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14</v>
      </c>
      <c r="J1" t="s">
        <v>12</v>
      </c>
      <c r="K1" t="s">
        <v>15</v>
      </c>
      <c r="L1" t="s">
        <v>13</v>
      </c>
      <c r="N1" t="s">
        <v>18</v>
      </c>
      <c r="O1" t="s">
        <v>8</v>
      </c>
      <c r="P1" t="s">
        <v>10</v>
      </c>
      <c r="Q1" t="s">
        <v>11</v>
      </c>
      <c r="AA1" t="s">
        <v>17</v>
      </c>
      <c r="AB1" s="2" t="s">
        <v>7</v>
      </c>
      <c r="AC1" t="s">
        <v>9</v>
      </c>
      <c r="AD1" t="s">
        <v>16</v>
      </c>
    </row>
    <row r="2" spans="1:30">
      <c r="A2">
        <v>0</v>
      </c>
      <c r="B2">
        <v>0</v>
      </c>
      <c r="C2" s="1">
        <v>2.69999999991267</v>
      </c>
      <c r="D2" s="1">
        <v>-5.3559529066092002E-16</v>
      </c>
      <c r="E2" s="1">
        <v>-1.13656850677577E-14</v>
      </c>
      <c r="F2" s="1">
        <v>0.98206112296647896</v>
      </c>
      <c r="G2" s="1">
        <v>4.2604081786911896E-6</v>
      </c>
      <c r="I2" s="1">
        <v>1.5</v>
      </c>
      <c r="J2" s="1">
        <v>0.6</v>
      </c>
      <c r="K2" s="1">
        <f>J2/I2</f>
        <v>0.39999999999999997</v>
      </c>
      <c r="L2" s="1">
        <v>1</v>
      </c>
      <c r="M2" s="1"/>
      <c r="O2" s="1">
        <v>0</v>
      </c>
      <c r="P2" s="1">
        <f>RADIANS(O2)*2/PI()</f>
        <v>0</v>
      </c>
      <c r="Q2" s="1">
        <f>F2/$L$2/SQRT($J$2*PI())</f>
        <v>0.71529955909501419</v>
      </c>
      <c r="R2" s="1"/>
      <c r="AB2" s="1">
        <v>-5.2391610654529163E-14</v>
      </c>
      <c r="AC2" s="1">
        <v>-5.8212900727254629E-16</v>
      </c>
      <c r="AD2" s="1">
        <v>0.73202074333658262</v>
      </c>
    </row>
    <row r="3" spans="1:30">
      <c r="A3">
        <v>0</v>
      </c>
      <c r="B3">
        <v>0</v>
      </c>
      <c r="C3" s="1">
        <v>2.6999747860174401</v>
      </c>
      <c r="D3" s="1">
        <v>3.4788732871206098E-3</v>
      </c>
      <c r="E3" s="1">
        <v>7.3824632563060599E-2</v>
      </c>
      <c r="F3" s="1">
        <v>0.98227196163187303</v>
      </c>
      <c r="G3" s="1">
        <v>4.2622377088028996E-6</v>
      </c>
      <c r="O3" s="1">
        <f t="shared" ref="O3:O66" si="0">ATAN(D3/(C3-1.2)/$K$2)/PI()*180</f>
        <v>0.3322097894460711</v>
      </c>
      <c r="P3" s="1">
        <f t="shared" ref="P3:P66" si="1">RADIANS(O3)*2/PI()</f>
        <v>3.6912198827341231E-3</v>
      </c>
      <c r="Q3" s="1">
        <f t="shared" ref="Q3:Q66" si="2">F3/$L$2/SQRT($J$2*PI())</f>
        <v>0.71545312673033712</v>
      </c>
      <c r="AB3" s="1">
        <v>0.33220978797450212</v>
      </c>
      <c r="AC3" s="1">
        <v>3.6912198663833573E-3</v>
      </c>
      <c r="AD3" s="1">
        <v>0.73275781130667106</v>
      </c>
    </row>
    <row r="4" spans="1:30">
      <c r="A4">
        <v>0</v>
      </c>
      <c r="B4">
        <v>1</v>
      </c>
      <c r="C4" s="1">
        <v>2.6997727001376299</v>
      </c>
      <c r="D4" s="1">
        <v>1.0444884044454599E-2</v>
      </c>
      <c r="E4" s="1">
        <v>0.22166487847914801</v>
      </c>
      <c r="F4" s="1">
        <v>0.98262177567494402</v>
      </c>
      <c r="G4" s="1">
        <v>4.2652740493583896E-6</v>
      </c>
      <c r="O4" s="1">
        <f t="shared" si="0"/>
        <v>0.99746333893785044</v>
      </c>
      <c r="P4" s="1">
        <f t="shared" si="1"/>
        <v>1.108292598819834E-2</v>
      </c>
      <c r="Q4" s="1">
        <f t="shared" si="2"/>
        <v>0.71570791925284138</v>
      </c>
      <c r="AB4" s="1">
        <v>0.99746333485797911</v>
      </c>
      <c r="AC4" s="1">
        <v>1.1082925942866435E-2</v>
      </c>
      <c r="AD4" s="1">
        <v>0.73288964414936353</v>
      </c>
    </row>
    <row r="5" spans="1:30">
      <c r="A5">
        <v>0</v>
      </c>
      <c r="B5">
        <v>2</v>
      </c>
      <c r="C5" s="1">
        <v>2.6993676106614699</v>
      </c>
      <c r="D5" s="1">
        <v>1.74207583292325E-2</v>
      </c>
      <c r="E5" s="1">
        <v>0.36976144608496397</v>
      </c>
      <c r="F5" s="1">
        <v>0.98335992515242798</v>
      </c>
      <c r="G5" s="1">
        <v>4.2716846387386802E-6</v>
      </c>
      <c r="O5" s="1">
        <f t="shared" si="0"/>
        <v>1.6637937015249911</v>
      </c>
      <c r="P5" s="1">
        <f t="shared" si="1"/>
        <v>1.8486596683611013E-2</v>
      </c>
      <c r="Q5" s="1">
        <f t="shared" si="2"/>
        <v>0.71624556195495304</v>
      </c>
      <c r="AB5" s="1">
        <v>1.6637936952940795</v>
      </c>
      <c r="AC5" s="1">
        <v>1.848659661437866E-2</v>
      </c>
      <c r="AD5" s="1">
        <v>0.73334373965235777</v>
      </c>
    </row>
    <row r="6" spans="1:30">
      <c r="A6">
        <v>0</v>
      </c>
      <c r="B6">
        <v>3</v>
      </c>
      <c r="C6" s="1">
        <v>2.6987586344505199</v>
      </c>
      <c r="D6" s="1">
        <v>2.4405098317251701E-2</v>
      </c>
      <c r="E6" s="1">
        <v>0.51811636636537495</v>
      </c>
      <c r="F6" s="1">
        <v>0.98448352049733301</v>
      </c>
      <c r="G6" s="1">
        <v>4.2814519414516901E-6</v>
      </c>
      <c r="O6" s="1">
        <f t="shared" si="0"/>
        <v>2.3311583269939189</v>
      </c>
      <c r="P6" s="1">
        <f t="shared" si="1"/>
        <v>2.5901759188821323E-2</v>
      </c>
      <c r="Q6" s="1">
        <f t="shared" si="2"/>
        <v>0.71706395017541735</v>
      </c>
      <c r="AB6" s="1">
        <v>2.3311583190816996</v>
      </c>
      <c r="AC6" s="1">
        <v>2.5901759100907775E-2</v>
      </c>
      <c r="AD6" s="1">
        <v>0.7341189437240716</v>
      </c>
    </row>
    <row r="7" spans="1:30">
      <c r="A7">
        <v>0</v>
      </c>
      <c r="B7">
        <v>4</v>
      </c>
      <c r="C7" s="1">
        <v>2.6979449674497999</v>
      </c>
      <c r="D7" s="1">
        <v>3.1396493974528698E-2</v>
      </c>
      <c r="E7" s="1">
        <v>0.66673168664150395</v>
      </c>
      <c r="F7" s="1">
        <v>0.98598934956311601</v>
      </c>
      <c r="G7" s="1">
        <v>4.2945594547632301E-6</v>
      </c>
      <c r="O7" s="1">
        <f t="shared" si="0"/>
        <v>2.9995142523392331</v>
      </c>
      <c r="P7" s="1">
        <f t="shared" si="1"/>
        <v>3.3327936137102589E-2</v>
      </c>
      <c r="Q7" s="1">
        <f t="shared" si="2"/>
        <v>0.71816074429712484</v>
      </c>
      <c r="AB7" s="1">
        <v>2.9995142432273365</v>
      </c>
      <c r="AC7" s="1">
        <v>3.3327936035859297E-2</v>
      </c>
      <c r="AD7" s="1">
        <v>0.73521397257968224</v>
      </c>
    </row>
    <row r="8" spans="1:30">
      <c r="A8">
        <v>0</v>
      </c>
      <c r="B8">
        <v>5</v>
      </c>
      <c r="C8" s="1">
        <v>2.69692588584673</v>
      </c>
      <c r="D8" s="1">
        <v>3.8393523940539798E-2</v>
      </c>
      <c r="E8" s="1">
        <v>0.81560947066373002</v>
      </c>
      <c r="F8" s="1">
        <v>0.98787390573090195</v>
      </c>
      <c r="G8" s="1">
        <v>4.3109918291158502E-6</v>
      </c>
      <c r="O8" s="1">
        <f t="shared" si="0"/>
        <v>3.6688181170849647</v>
      </c>
      <c r="P8" s="1">
        <f t="shared" si="1"/>
        <v>4.0764645745388496E-2</v>
      </c>
      <c r="Q8" s="1">
        <f t="shared" si="2"/>
        <v>0.71953339021944296</v>
      </c>
      <c r="AB8" s="1">
        <v>3.6688181072664308</v>
      </c>
      <c r="AC8" s="1">
        <v>4.0764645636293673E-2</v>
      </c>
      <c r="AD8" s="1">
        <v>0.73662742736637232</v>
      </c>
    </row>
    <row r="9" spans="1:30">
      <c r="A9">
        <v>0</v>
      </c>
      <c r="B9">
        <v>6</v>
      </c>
      <c r="C9" s="1">
        <v>2.6957007471570602</v>
      </c>
      <c r="D9" s="1">
        <v>4.5394756431140597E-2</v>
      </c>
      <c r="E9" s="1">
        <v>0.96475179870480299</v>
      </c>
      <c r="F9" s="1">
        <v>0.99013341132728905</v>
      </c>
      <c r="G9" s="1">
        <v>4.3307349355641698E-6</v>
      </c>
      <c r="O9" s="1">
        <f t="shared" si="0"/>
        <v>4.3390261789953293</v>
      </c>
      <c r="P9" s="1">
        <f t="shared" si="1"/>
        <v>4.8211401988836992E-2</v>
      </c>
      <c r="Q9" s="1">
        <f t="shared" si="2"/>
        <v>0.72117913641494069</v>
      </c>
      <c r="AB9" s="1">
        <v>4.3390261689742458</v>
      </c>
      <c r="AC9" s="1">
        <v>4.8211401877491622E-2</v>
      </c>
      <c r="AD9" s="1">
        <v>0.73835780279590402</v>
      </c>
    </row>
    <row r="10" spans="1:30">
      <c r="A10">
        <v>0</v>
      </c>
      <c r="B10">
        <v>7</v>
      </c>
      <c r="C10" s="1">
        <v>2.6942689912353099</v>
      </c>
      <c r="D10" s="1">
        <v>5.23987501600474E-2</v>
      </c>
      <c r="E10" s="1">
        <v>1.1141607676530401</v>
      </c>
      <c r="F10" s="1">
        <v>0.99276383606259599</v>
      </c>
      <c r="G10" s="1">
        <v>4.35377587920527E-6</v>
      </c>
      <c r="O10" s="1">
        <f t="shared" si="0"/>
        <v>5.0100943301621879</v>
      </c>
      <c r="P10" s="1">
        <f t="shared" si="1"/>
        <v>5.5667714779579866E-2</v>
      </c>
      <c r="Q10" s="1">
        <f t="shared" si="2"/>
        <v>0.72309504735917418</v>
      </c>
      <c r="AB10" s="1">
        <v>5.0100943204528727</v>
      </c>
      <c r="AC10" s="1">
        <v>5.5667714671698586E-2</v>
      </c>
      <c r="AD10" s="1">
        <v>0.74040348977911152</v>
      </c>
    </row>
    <row r="11" spans="1:30">
      <c r="A11">
        <v>0</v>
      </c>
      <c r="B11">
        <v>8</v>
      </c>
      <c r="C11" s="1">
        <v>2.6926301412076601</v>
      </c>
      <c r="D11" s="1">
        <v>5.9404055277714703E-2</v>
      </c>
      <c r="E11" s="1">
        <v>1.26383849110558</v>
      </c>
      <c r="F11" s="1">
        <v>0.995760910305452</v>
      </c>
      <c r="G11" s="1">
        <v>4.3801029580001496E-6</v>
      </c>
      <c r="O11" s="1">
        <f t="shared" si="0"/>
        <v>5.6819781134551048</v>
      </c>
      <c r="P11" s="1">
        <f t="shared" si="1"/>
        <v>6.3133090149501164E-2</v>
      </c>
      <c r="Q11" s="1">
        <f t="shared" si="2"/>
        <v>0.72527801319944107</v>
      </c>
      <c r="AB11" s="1">
        <v>5.6819781045817441</v>
      </c>
      <c r="AC11" s="1">
        <v>6.3133090050908267E-2</v>
      </c>
      <c r="AD11" s="1">
        <v>0.74276277221039144</v>
      </c>
    </row>
    <row r="12" spans="1:30">
      <c r="A12">
        <v>0</v>
      </c>
      <c r="B12">
        <v>9</v>
      </c>
      <c r="C12" s="1">
        <v>2.69078380432512</v>
      </c>
      <c r="D12" s="1">
        <v>6.6409214326400401E-2</v>
      </c>
      <c r="E12" s="1">
        <v>1.4137870994616</v>
      </c>
      <c r="F12" s="1">
        <v>0.99912013313202996</v>
      </c>
      <c r="G12" s="1">
        <v>4.4097055669470196E-6</v>
      </c>
      <c r="O12" s="1">
        <f t="shared" si="0"/>
        <v>6.3546327393201807</v>
      </c>
      <c r="P12" s="1">
        <f t="shared" si="1"/>
        <v>7.06070304368909E-2</v>
      </c>
      <c r="Q12" s="1">
        <f t="shared" si="2"/>
        <v>0.72772475561756567</v>
      </c>
      <c r="AB12" s="1">
        <v>6.3546327318162188</v>
      </c>
      <c r="AC12" s="1">
        <v>7.0607030353513553E-2</v>
      </c>
      <c r="AD12" s="1">
        <v>0.74543381818886556</v>
      </c>
    </row>
    <row r="13" spans="1:30">
      <c r="A13">
        <v>0</v>
      </c>
      <c r="B13">
        <v>10</v>
      </c>
      <c r="C13" s="1">
        <v>2.68872967273396</v>
      </c>
      <c r="D13" s="1">
        <v>7.3412763210886703E-2</v>
      </c>
      <c r="E13" s="1">
        <v>1.5640087400317</v>
      </c>
      <c r="F13" s="1">
        <v>1.0029116460005001</v>
      </c>
      <c r="G13" s="1">
        <v>4.4432374291841503E-6</v>
      </c>
      <c r="O13" s="1">
        <f t="shared" si="0"/>
        <v>7.0280131029862538</v>
      </c>
      <c r="P13" s="1">
        <f t="shared" si="1"/>
        <v>7.8089034477625052E-2</v>
      </c>
      <c r="Q13" s="1">
        <f t="shared" si="2"/>
        <v>0.73048636324024341</v>
      </c>
      <c r="AB13" s="1">
        <v>7.0280130973200929</v>
      </c>
      <c r="AC13" s="1">
        <v>7.8089034414667705E-2</v>
      </c>
      <c r="AD13" s="1">
        <v>0.74823148283738927</v>
      </c>
    </row>
    <row r="14" spans="1:30">
      <c r="A14">
        <v>0</v>
      </c>
      <c r="B14">
        <v>11</v>
      </c>
      <c r="C14" s="1">
        <v>2.6864675241595402</v>
      </c>
      <c r="D14" s="1">
        <v>8.0413232185019598E-2</v>
      </c>
      <c r="E14" s="1">
        <v>1.7145055771961599</v>
      </c>
      <c r="F14" s="1">
        <v>1.00688985389823</v>
      </c>
      <c r="G14" s="1">
        <v>4.4785569508432896E-6</v>
      </c>
      <c r="O14" s="1">
        <f t="shared" si="0"/>
        <v>7.7020738022142723</v>
      </c>
      <c r="P14" s="1">
        <f t="shared" si="1"/>
        <v>8.5578597802380807E-2</v>
      </c>
      <c r="Q14" s="1">
        <f t="shared" si="2"/>
        <v>0.73338395310373272</v>
      </c>
      <c r="AB14" s="1">
        <v>7.7020737984163814</v>
      </c>
      <c r="AC14" s="1">
        <v>8.5578597760182021E-2</v>
      </c>
      <c r="AD14" s="1">
        <v>0.75113494161915706</v>
      </c>
    </row>
    <row r="15" spans="1:30">
      <c r="A15">
        <v>0</v>
      </c>
      <c r="B15">
        <v>12</v>
      </c>
      <c r="C15" s="1">
        <v>2.6839972225199298</v>
      </c>
      <c r="D15" s="1">
        <v>8.74091468403983E-2</v>
      </c>
      <c r="E15" s="1">
        <v>1.8652797923381601</v>
      </c>
      <c r="F15" s="1">
        <v>1.01120042217991</v>
      </c>
      <c r="G15" s="1">
        <v>4.5169850843365497E-6</v>
      </c>
      <c r="O15" s="1">
        <f t="shared" si="0"/>
        <v>8.3767691543152161</v>
      </c>
      <c r="P15" s="1">
        <f t="shared" si="1"/>
        <v>9.3075212825724618E-2</v>
      </c>
      <c r="Q15" s="1">
        <f t="shared" si="2"/>
        <v>0.73652362284447226</v>
      </c>
      <c r="AB15" s="1">
        <v>8.3767691523399002</v>
      </c>
      <c r="AC15" s="1">
        <v>9.3075212803776675E-2</v>
      </c>
      <c r="AD15" s="1">
        <v>0.75431374077320335</v>
      </c>
    </row>
    <row r="16" spans="1:30">
      <c r="A16">
        <v>0</v>
      </c>
      <c r="B16">
        <v>13</v>
      </c>
      <c r="C16" s="1">
        <v>2.6813187184380198</v>
      </c>
      <c r="D16" s="1">
        <v>9.4399029116128505E-2</v>
      </c>
      <c r="E16" s="1">
        <v>2.01633358400007</v>
      </c>
      <c r="F16" s="1">
        <v>1.0158306638638801</v>
      </c>
      <c r="G16" s="1">
        <v>4.5584459381456099E-6</v>
      </c>
      <c r="O16" s="1">
        <f t="shared" si="0"/>
        <v>9.0520532144766346</v>
      </c>
      <c r="P16" s="1">
        <f t="shared" si="1"/>
        <v>0.10057836904974038</v>
      </c>
      <c r="Q16" s="1">
        <f t="shared" si="2"/>
        <v>0.73989613170119461</v>
      </c>
      <c r="AB16" s="1">
        <v>9.0520532142753627</v>
      </c>
      <c r="AC16" s="1">
        <v>0.10057836904750403</v>
      </c>
      <c r="AD16" s="1">
        <v>0.75776100679910829</v>
      </c>
    </row>
    <row r="17" spans="1:30">
      <c r="A17">
        <v>0</v>
      </c>
      <c r="B17">
        <v>14</v>
      </c>
      <c r="C17" s="1">
        <v>2.6784320496688099</v>
      </c>
      <c r="D17" s="1">
        <v>0.10138139831593899</v>
      </c>
      <c r="E17" s="1">
        <v>2.1676691679925701</v>
      </c>
      <c r="F17" s="1">
        <v>1.0207680860158701</v>
      </c>
      <c r="G17" s="1">
        <v>4.6028660764074599E-6</v>
      </c>
      <c r="O17" s="1">
        <f t="shared" si="0"/>
        <v>9.7278797941421296</v>
      </c>
      <c r="P17" s="1">
        <f t="shared" si="1"/>
        <v>0.10808755326824589</v>
      </c>
      <c r="Q17" s="1">
        <f t="shared" si="2"/>
        <v>0.74349238025007947</v>
      </c>
      <c r="AB17" s="1">
        <v>9.7278797956635366</v>
      </c>
      <c r="AC17" s="1">
        <v>0.10808755328515041</v>
      </c>
      <c r="AD17" s="1">
        <v>0.76146998150352563</v>
      </c>
    </row>
    <row r="18" spans="1:30">
      <c r="A18">
        <v>0</v>
      </c>
      <c r="B18">
        <v>15</v>
      </c>
      <c r="C18" s="1">
        <v>2.6753373414386301</v>
      </c>
      <c r="D18" s="1">
        <v>0.108354772132672</v>
      </c>
      <c r="E18" s="1">
        <v>2.31928877748777</v>
      </c>
      <c r="F18" s="1">
        <v>1.0260004453626099</v>
      </c>
      <c r="G18" s="1">
        <v>4.6501747166733304E-6</v>
      </c>
      <c r="O18" s="1">
        <f t="shared" si="0"/>
        <v>10.40420247956806</v>
      </c>
      <c r="P18" s="1">
        <f t="shared" si="1"/>
        <v>0.11560224977297844</v>
      </c>
      <c r="Q18" s="1">
        <f t="shared" si="2"/>
        <v>0.74730345091179573</v>
      </c>
      <c r="AB18" s="1">
        <v>10.404202482758098</v>
      </c>
      <c r="AC18" s="1">
        <v>0.11560224980842332</v>
      </c>
      <c r="AD18" s="1">
        <v>0.76543405382924978</v>
      </c>
    </row>
    <row r="19" spans="1:30">
      <c r="A19">
        <v>0</v>
      </c>
      <c r="B19">
        <v>16</v>
      </c>
      <c r="C19" s="1">
        <v>2.6720348066941999</v>
      </c>
      <c r="D19" s="1">
        <v>0.115317667679408</v>
      </c>
      <c r="E19" s="1">
        <v>2.47119466311208</v>
      </c>
      <c r="F19" s="1">
        <v>1.03151579519697</v>
      </c>
      <c r="G19" s="1">
        <v>4.7003038860396704E-6</v>
      </c>
      <c r="O19" s="1">
        <f t="shared" si="0"/>
        <v>11.080974650611967</v>
      </c>
      <c r="P19" s="1">
        <f t="shared" si="1"/>
        <v>0.1231219405623552</v>
      </c>
      <c r="Q19" s="1">
        <f t="shared" si="2"/>
        <v>0.75132064211559335</v>
      </c>
      <c r="AB19" s="1">
        <v>11.08097465541378</v>
      </c>
      <c r="AC19" s="1">
        <v>0.12312194061570868</v>
      </c>
      <c r="AD19" s="1">
        <v>0.76964678569140166</v>
      </c>
    </row>
    <row r="20" spans="1:30">
      <c r="A20">
        <v>0</v>
      </c>
      <c r="B20">
        <v>17</v>
      </c>
      <c r="C20" s="1">
        <v>2.6685247462606099</v>
      </c>
      <c r="D20" s="1">
        <v>0.122268602525749</v>
      </c>
      <c r="E20" s="1">
        <v>2.6233890930391199</v>
      </c>
      <c r="F20" s="1">
        <v>1.0373025234936499</v>
      </c>
      <c r="G20" s="1">
        <v>4.7531885338550504E-6</v>
      </c>
      <c r="O20" s="1">
        <f t="shared" si="0"/>
        <v>11.758149499734881</v>
      </c>
      <c r="P20" s="1">
        <f t="shared" si="1"/>
        <v>0.13064610555260978</v>
      </c>
      <c r="Q20" s="1">
        <f t="shared" si="2"/>
        <v>0.75553549606146031</v>
      </c>
      <c r="AB20" s="1">
        <v>11.758149506089261</v>
      </c>
      <c r="AC20" s="1">
        <v>0.13064610562321402</v>
      </c>
      <c r="AD20" s="1">
        <v>0.77410193178574527</v>
      </c>
    </row>
    <row r="21" spans="1:30">
      <c r="A21">
        <v>0</v>
      </c>
      <c r="B21">
        <v>18</v>
      </c>
      <c r="C21" s="1">
        <v>2.6648075489076102</v>
      </c>
      <c r="D21" s="1">
        <v>0.12920609573776501</v>
      </c>
      <c r="E21" s="1">
        <v>2.77587435308233</v>
      </c>
      <c r="F21" s="1">
        <v>1.0433493822765301</v>
      </c>
      <c r="G21" s="1">
        <v>4.8087665994277602E-6</v>
      </c>
      <c r="O21" s="1">
        <f t="shared" si="0"/>
        <v>12.435680051198451</v>
      </c>
      <c r="P21" s="1">
        <f t="shared" si="1"/>
        <v>0.1381742227910939</v>
      </c>
      <c r="Q21" s="1">
        <f t="shared" si="2"/>
        <v>0.75993982011029204</v>
      </c>
      <c r="AB21" s="1">
        <v>12.435680059043165</v>
      </c>
      <c r="AC21" s="1">
        <v>0.1381742228782574</v>
      </c>
      <c r="AD21" s="1">
        <v>0.77879345341802164</v>
      </c>
    </row>
    <row r="22" spans="1:30">
      <c r="A22">
        <v>0</v>
      </c>
      <c r="B22">
        <v>19</v>
      </c>
      <c r="C22" s="1">
        <v>2.6608836913237002</v>
      </c>
      <c r="D22" s="1">
        <v>0.136128668920076</v>
      </c>
      <c r="E22" s="1">
        <v>2.9286527467874799</v>
      </c>
      <c r="F22" s="1">
        <v>1.04964550843339</v>
      </c>
      <c r="G22" s="1">
        <v>4.8669790338383498E-6</v>
      </c>
      <c r="O22" s="1">
        <f t="shared" si="0"/>
        <v>13.11351918043618</v>
      </c>
      <c r="P22" s="1">
        <f t="shared" si="1"/>
        <v>0.14570576867151311</v>
      </c>
      <c r="Q22" s="1">
        <f t="shared" si="2"/>
        <v>0.76452570194461678</v>
      </c>
      <c r="AB22" s="1">
        <v>13.113519189706937</v>
      </c>
      <c r="AC22" s="1">
        <v>0.14570576877452152</v>
      </c>
      <c r="AD22" s="1">
        <v>0.78371552648505816</v>
      </c>
    </row>
    <row r="23" spans="1:30">
      <c r="A23">
        <v>0</v>
      </c>
      <c r="B23">
        <v>20</v>
      </c>
      <c r="C23" s="1">
        <v>2.6567537379972501</v>
      </c>
      <c r="D23" s="1">
        <v>0.14303484725889701</v>
      </c>
      <c r="E23" s="1">
        <v>3.0817265955327202</v>
      </c>
      <c r="F23" s="1">
        <v>1.0563346568027401</v>
      </c>
      <c r="G23" s="1">
        <v>4.9292089588249201E-6</v>
      </c>
      <c r="O23" s="1">
        <f t="shared" si="0"/>
        <v>13.791619633615756</v>
      </c>
      <c r="P23" s="1">
        <f t="shared" si="1"/>
        <v>0.15324021815128619</v>
      </c>
      <c r="Q23" s="1">
        <f t="shared" si="2"/>
        <v>0.76939784764657071</v>
      </c>
      <c r="AB23" s="1">
        <v>13.791619644210719</v>
      </c>
      <c r="AC23" s="1">
        <v>0.15324021826900799</v>
      </c>
      <c r="AD23" s="1">
        <v>0.78869851676901748</v>
      </c>
    </row>
    <row r="24" spans="1:30">
      <c r="A24">
        <v>0</v>
      </c>
      <c r="B24">
        <v>21</v>
      </c>
      <c r="C24" s="1">
        <v>2.65241834100362</v>
      </c>
      <c r="D24" s="1">
        <v>0.14992316056517399</v>
      </c>
      <c r="E24" s="1">
        <v>3.2350982386518599</v>
      </c>
      <c r="F24" s="1">
        <v>1.0630622038468001</v>
      </c>
      <c r="G24" s="1">
        <v>4.9921948389094402E-6</v>
      </c>
      <c r="O24" s="1">
        <f t="shared" si="0"/>
        <v>14.469934047442731</v>
      </c>
      <c r="P24" s="1">
        <f t="shared" si="1"/>
        <v>0.1607770449715859</v>
      </c>
      <c r="Q24" s="1">
        <f t="shared" si="2"/>
        <v>0.7742979616230522</v>
      </c>
      <c r="AB24" s="1">
        <v>14.469934059045633</v>
      </c>
      <c r="AC24" s="1">
        <v>0.16077704510050703</v>
      </c>
      <c r="AD24" s="1">
        <v>0.79371494535758891</v>
      </c>
    </row>
    <row r="25" spans="1:30">
      <c r="A25">
        <v>0</v>
      </c>
      <c r="B25">
        <v>22</v>
      </c>
      <c r="C25" s="1">
        <v>2.6478782397056402</v>
      </c>
      <c r="D25" s="1">
        <v>0.15679214431055</v>
      </c>
      <c r="E25" s="1">
        <v>3.3887700334489099</v>
      </c>
      <c r="F25" s="1">
        <v>1.07001003948125</v>
      </c>
      <c r="G25" s="1">
        <v>5.0576628688228902E-6</v>
      </c>
      <c r="O25" s="1">
        <f t="shared" si="0"/>
        <v>15.148414968586366</v>
      </c>
      <c r="P25" s="1">
        <f t="shared" si="1"/>
        <v>0.16831572187318183</v>
      </c>
      <c r="Q25" s="1">
        <f t="shared" si="2"/>
        <v>0.77935852623533874</v>
      </c>
      <c r="AB25" s="1">
        <v>15.148414980841698</v>
      </c>
      <c r="AC25" s="1">
        <v>0.16831572200935219</v>
      </c>
      <c r="AD25" s="1">
        <v>0.79891230320399731</v>
      </c>
    </row>
    <row r="26" spans="1:30">
      <c r="A26">
        <v>0</v>
      </c>
      <c r="B26">
        <v>23</v>
      </c>
      <c r="C26" s="1">
        <v>2.64313426035568</v>
      </c>
      <c r="D26" s="1">
        <v>0.163640340664056</v>
      </c>
      <c r="E26" s="1">
        <v>3.5427443553200302</v>
      </c>
      <c r="F26" s="1">
        <v>1.0771647052304201</v>
      </c>
      <c r="G26" s="1">
        <v>5.1255255339644796E-6</v>
      </c>
      <c r="O26" s="1">
        <f t="shared" si="0"/>
        <v>15.827014873689853</v>
      </c>
      <c r="P26" s="1">
        <f t="shared" si="1"/>
        <v>0.17585572081877615</v>
      </c>
      <c r="Q26" s="1">
        <f t="shared" si="2"/>
        <v>0.78456973879244996</v>
      </c>
      <c r="AB26" s="1">
        <v>15.82701488623764</v>
      </c>
      <c r="AC26" s="1">
        <v>0.17585572095819599</v>
      </c>
      <c r="AD26" s="1">
        <v>0.80428317485805267</v>
      </c>
    </row>
    <row r="27" spans="1:30">
      <c r="A27">
        <v>0</v>
      </c>
      <c r="B27">
        <v>24</v>
      </c>
      <c r="C27" s="1">
        <v>2.6381873156070301</v>
      </c>
      <c r="D27" s="1">
        <v>0.17046629952227199</v>
      </c>
      <c r="E27" s="1">
        <v>3.69702359785239</v>
      </c>
      <c r="F27" s="1">
        <v>1.08451333941493</v>
      </c>
      <c r="G27" s="1">
        <v>5.19569881973658E-6</v>
      </c>
      <c r="O27" s="1">
        <f t="shared" si="0"/>
        <v>16.505686189349621</v>
      </c>
      <c r="P27" s="1">
        <f t="shared" si="1"/>
        <v>0.18339651321499581</v>
      </c>
      <c r="Q27" s="1">
        <f t="shared" si="2"/>
        <v>0.78992223128930439</v>
      </c>
      <c r="AB27" s="1">
        <v>16.505686201826702</v>
      </c>
      <c r="AC27" s="1">
        <v>0.18339651335363003</v>
      </c>
      <c r="AD27" s="1">
        <v>0.80982050835548947</v>
      </c>
    </row>
    <row r="28" spans="1:30">
      <c r="A28">
        <v>0</v>
      </c>
      <c r="B28">
        <v>25</v>
      </c>
      <c r="C28" s="1">
        <v>2.6330384039341599</v>
      </c>
      <c r="D28" s="1">
        <v>0.17726857953210501</v>
      </c>
      <c r="E28" s="1">
        <v>3.8516101729149499</v>
      </c>
      <c r="F28" s="1">
        <v>1.0920437012829101</v>
      </c>
      <c r="G28" s="1">
        <v>5.2681024049303101E-6</v>
      </c>
      <c r="O28" s="1">
        <f t="shared" si="0"/>
        <v>17.184381312113569</v>
      </c>
      <c r="P28" s="1">
        <f t="shared" si="1"/>
        <v>0.19093757013459522</v>
      </c>
      <c r="Q28" s="1">
        <f t="shared" si="2"/>
        <v>0.79540708798307236</v>
      </c>
      <c r="AB28" s="1">
        <v>17.184381324153296</v>
      </c>
      <c r="AC28" s="1">
        <v>0.19093757026836994</v>
      </c>
      <c r="AD28" s="1">
        <v>0.81551763778445963</v>
      </c>
    </row>
    <row r="29" spans="1:30">
      <c r="A29">
        <v>0</v>
      </c>
      <c r="B29">
        <v>26</v>
      </c>
      <c r="C29" s="1">
        <v>2.6276886089624201</v>
      </c>
      <c r="D29" s="1">
        <v>0.18404574910499799</v>
      </c>
      <c r="E29" s="1">
        <v>4.0065065107488804</v>
      </c>
      <c r="F29" s="1">
        <v>1.09974418652746</v>
      </c>
      <c r="G29" s="1">
        <v>5.3426598105769897E-6</v>
      </c>
      <c r="O29" s="1">
        <f t="shared" si="0"/>
        <v>17.863052628509063</v>
      </c>
      <c r="P29" s="1">
        <f t="shared" si="1"/>
        <v>0.19847836253898959</v>
      </c>
      <c r="Q29" s="1">
        <f t="shared" si="2"/>
        <v>0.80101585669555941</v>
      </c>
      <c r="AB29" s="1">
        <v>17.863052639742403</v>
      </c>
      <c r="AC29" s="1">
        <v>0.1984783626638045</v>
      </c>
      <c r="AD29" s="1">
        <v>0.82136829807738632</v>
      </c>
    </row>
    <row r="30" spans="1:30">
      <c r="A30">
        <v>0</v>
      </c>
      <c r="B30">
        <v>27</v>
      </c>
      <c r="C30" s="1">
        <v>2.62213909870793</v>
      </c>
      <c r="D30" s="1">
        <v>0.19079638742108501</v>
      </c>
      <c r="E30" s="1">
        <v>4.1617150600575501</v>
      </c>
      <c r="F30" s="1">
        <v>1.10760383486846</v>
      </c>
      <c r="G30" s="1">
        <v>5.4192985051648198E-6</v>
      </c>
      <c r="O30" s="1">
        <f t="shared" si="0"/>
        <v>18.54165253508291</v>
      </c>
      <c r="P30" s="1">
        <f t="shared" si="1"/>
        <v>0.20601836150092123</v>
      </c>
      <c r="Q30" s="1">
        <f t="shared" si="2"/>
        <v>0.80674055433553615</v>
      </c>
      <c r="AB30" s="1">
        <v>18.541652545138419</v>
      </c>
      <c r="AC30" s="1">
        <v>0.20601836161264911</v>
      </c>
      <c r="AD30" s="1">
        <v>0.82736663253315901</v>
      </c>
    </row>
    <row r="31" spans="1:30">
      <c r="A31">
        <v>0</v>
      </c>
      <c r="B31">
        <v>28</v>
      </c>
      <c r="C31" s="1">
        <v>2.61639112472891</v>
      </c>
      <c r="D31" s="1">
        <v>0.19751908542180499</v>
      </c>
      <c r="E31" s="1">
        <v>4.3172382880959903</v>
      </c>
      <c r="F31" s="1">
        <v>1.11561233037532</v>
      </c>
      <c r="G31" s="1">
        <v>5.4979499671541998E-6</v>
      </c>
      <c r="O31" s="1">
        <f t="shared" si="0"/>
        <v>19.220133458429949</v>
      </c>
      <c r="P31" s="1">
        <f t="shared" si="1"/>
        <v>0.21355703842699944</v>
      </c>
      <c r="Q31" s="1">
        <f t="shared" si="2"/>
        <v>0.81257366713381862</v>
      </c>
      <c r="AB31" s="1">
        <v>19.220133466934406</v>
      </c>
      <c r="AC31" s="1">
        <v>0.21355703852149341</v>
      </c>
      <c r="AD31" s="1">
        <v>0.83350719362797188</v>
      </c>
    </row>
    <row r="32" spans="1:30">
      <c r="A32">
        <v>0</v>
      </c>
      <c r="B32">
        <v>29</v>
      </c>
      <c r="C32" s="1">
        <v>2.6104460211896501</v>
      </c>
      <c r="D32" s="1">
        <v>0.204212446789517</v>
      </c>
      <c r="E32" s="1">
        <v>4.4730786807599898</v>
      </c>
      <c r="F32" s="1">
        <v>1.1237599952063599</v>
      </c>
      <c r="G32" s="1">
        <v>5.5785497058827602E-6</v>
      </c>
      <c r="O32" s="1">
        <f t="shared" si="0"/>
        <v>19.898447875190218</v>
      </c>
      <c r="P32" s="1">
        <f t="shared" si="1"/>
        <v>0.22109386527989131</v>
      </c>
      <c r="Q32" s="1">
        <f t="shared" si="2"/>
        <v>0.81850814608324718</v>
      </c>
      <c r="AB32" s="1">
        <v>19.898447881769311</v>
      </c>
      <c r="AC32" s="1">
        <v>0.22109386535299236</v>
      </c>
      <c r="AD32" s="1">
        <v>0.83978493770580165</v>
      </c>
    </row>
    <row r="33" spans="1:30">
      <c r="A33">
        <v>0</v>
      </c>
      <c r="B33">
        <v>30</v>
      </c>
      <c r="C33" s="1">
        <v>2.6043052038396102</v>
      </c>
      <c r="D33" s="1">
        <v>0.21087508891201101</v>
      </c>
      <c r="E33" s="1">
        <v>4.6292387426577104</v>
      </c>
      <c r="F33" s="1">
        <v>1.1321969176858</v>
      </c>
      <c r="G33" s="1">
        <v>5.6626289950469697E-6</v>
      </c>
      <c r="O33" s="1">
        <f t="shared" si="0"/>
        <v>20.576548331919444</v>
      </c>
      <c r="P33" s="1">
        <f t="shared" si="1"/>
        <v>0.22862831479910492</v>
      </c>
      <c r="Q33" s="1">
        <f t="shared" si="2"/>
        <v>0.82465331035920675</v>
      </c>
      <c r="AB33" s="1">
        <v>20.576548336272982</v>
      </c>
      <c r="AC33" s="1">
        <v>0.22862831484747759</v>
      </c>
      <c r="AD33" s="1">
        <v>0.84612861030817088</v>
      </c>
    </row>
    <row r="34" spans="1:30">
      <c r="A34">
        <v>0</v>
      </c>
      <c r="B34">
        <v>31</v>
      </c>
      <c r="C34" s="1">
        <v>2.5979701689113202</v>
      </c>
      <c r="D34" s="1">
        <v>0.21750564382910301</v>
      </c>
      <c r="E34" s="1">
        <v>4.7857209971292898</v>
      </c>
      <c r="F34" s="1">
        <v>1.1405954989060101</v>
      </c>
      <c r="G34" s="1">
        <v>5.7469507953079199E-6</v>
      </c>
      <c r="O34" s="1">
        <f t="shared" si="0"/>
        <v>21.254387464657089</v>
      </c>
      <c r="P34" s="1">
        <f t="shared" si="1"/>
        <v>0.23615986071841211</v>
      </c>
      <c r="Q34" s="1">
        <f t="shared" si="2"/>
        <v>0.83077054818010054</v>
      </c>
      <c r="AB34" s="1">
        <v>21.25438746693677</v>
      </c>
      <c r="AC34" s="1">
        <v>0.23615986074374187</v>
      </c>
      <c r="AD34" s="1">
        <v>0.85251217408750735</v>
      </c>
    </row>
    <row r="35" spans="1:30">
      <c r="A35">
        <v>0</v>
      </c>
      <c r="B35">
        <v>32</v>
      </c>
      <c r="C35" s="1">
        <v>2.5914424919219399</v>
      </c>
      <c r="D35" s="1">
        <v>0.22410275917175501</v>
      </c>
      <c r="E35" s="1">
        <v>4.9425279865026104</v>
      </c>
      <c r="F35" s="1">
        <v>1.1491261925985401</v>
      </c>
      <c r="G35" s="1">
        <v>5.8332369705319998E-6</v>
      </c>
      <c r="O35" s="1">
        <f t="shared" si="0"/>
        <v>21.931918019455807</v>
      </c>
      <c r="P35" s="1">
        <f t="shared" si="1"/>
        <v>0.24368797799395342</v>
      </c>
      <c r="Q35" s="1">
        <f t="shared" si="2"/>
        <v>0.83698401218385743</v>
      </c>
      <c r="AB35" s="1">
        <v>21.931918019890816</v>
      </c>
      <c r="AC35" s="1">
        <v>0.24368797799878683</v>
      </c>
      <c r="AD35" s="1">
        <v>0.85898818315649794</v>
      </c>
    </row>
    <row r="36" spans="1:30">
      <c r="A36">
        <v>0</v>
      </c>
      <c r="B36">
        <v>33</v>
      </c>
      <c r="C36" s="1">
        <v>2.5847238264081698</v>
      </c>
      <c r="D36" s="1">
        <v>0.230665099072969</v>
      </c>
      <c r="E36" s="1">
        <v>5.0996622721136298</v>
      </c>
      <c r="F36" s="1">
        <v>1.15778028975422</v>
      </c>
      <c r="G36" s="1">
        <v>5.9214283077789697E-6</v>
      </c>
      <c r="O36" s="1">
        <f t="shared" si="0"/>
        <v>22.609092871744771</v>
      </c>
      <c r="P36" s="1">
        <f t="shared" si="1"/>
        <v>0.25121214301938638</v>
      </c>
      <c r="Q36" s="1">
        <f t="shared" si="2"/>
        <v>0.84328735902761043</v>
      </c>
      <c r="AB36" s="1">
        <v>22.609092870566183</v>
      </c>
      <c r="AC36" s="1">
        <v>0.25121214300629091</v>
      </c>
      <c r="AD36" s="1">
        <v>0.86555175069578638</v>
      </c>
    </row>
    <row r="37" spans="1:30">
      <c r="A37">
        <v>0</v>
      </c>
      <c r="B37">
        <v>34</v>
      </c>
      <c r="C37" s="1">
        <v>2.5778159025798799</v>
      </c>
      <c r="D37" s="1">
        <v>0.23719134506096401</v>
      </c>
      <c r="E37" s="1">
        <v>5.2571264343755599</v>
      </c>
      <c r="F37" s="1">
        <v>1.1665495413715401</v>
      </c>
      <c r="G37" s="1">
        <v>6.0114680949100798E-6</v>
      </c>
      <c r="O37" s="1">
        <f t="shared" si="0"/>
        <v>23.285865045781218</v>
      </c>
      <c r="P37" s="1">
        <f t="shared" si="1"/>
        <v>0.25873183384201354</v>
      </c>
      <c r="Q37" s="1">
        <f t="shared" si="2"/>
        <v>0.84967458042225719</v>
      </c>
      <c r="AB37" s="1">
        <v>23.285865043221836</v>
      </c>
      <c r="AC37" s="1">
        <v>0.25873183381357595</v>
      </c>
      <c r="AD37" s="1">
        <v>0.87219840895798662</v>
      </c>
    </row>
    <row r="38" spans="1:30">
      <c r="A38">
        <v>0</v>
      </c>
      <c r="B38">
        <v>35</v>
      </c>
      <c r="C38" s="1">
        <v>2.5707205258965402</v>
      </c>
      <c r="D38" s="1">
        <v>0.243680196931992</v>
      </c>
      <c r="E38" s="1">
        <v>5.4149230728641697</v>
      </c>
      <c r="F38" s="1">
        <v>1.1754261581975101</v>
      </c>
      <c r="G38" s="1">
        <v>6.1033022066563796E-6</v>
      </c>
      <c r="O38" s="1">
        <f t="shared" si="0"/>
        <v>23.962187734022194</v>
      </c>
      <c r="P38" s="1">
        <f t="shared" si="1"/>
        <v>0.26624653037802437</v>
      </c>
      <c r="Q38" s="1">
        <f t="shared" si="2"/>
        <v>0.85614000294371095</v>
      </c>
      <c r="AB38" s="1">
        <v>23.962187730316487</v>
      </c>
      <c r="AC38" s="1">
        <v>0.26624653033684986</v>
      </c>
      <c r="AD38" s="1">
        <v>0.87892410742131155</v>
      </c>
    </row>
    <row r="39" spans="1:30">
      <c r="A39">
        <v>0</v>
      </c>
      <c r="B39">
        <v>36</v>
      </c>
      <c r="C39" s="1">
        <v>2.56343957556994</v>
      </c>
      <c r="D39" s="1">
        <v>0.25013037360092</v>
      </c>
      <c r="E39" s="1">
        <v>5.5730548064023901</v>
      </c>
      <c r="F39" s="1">
        <v>1.18440280665121</v>
      </c>
      <c r="G39" s="1">
        <v>6.1968791633348997E-6</v>
      </c>
      <c r="O39" s="1">
        <f t="shared" si="0"/>
        <v>24.638014316321541</v>
      </c>
      <c r="P39" s="1">
        <f t="shared" si="1"/>
        <v>0.2737557146257949</v>
      </c>
      <c r="Q39" s="1">
        <f t="shared" si="2"/>
        <v>0.86267828506375543</v>
      </c>
      <c r="AB39" s="1">
        <v>24.638014311704683</v>
      </c>
      <c r="AC39" s="1">
        <v>0.27375571457449649</v>
      </c>
      <c r="AD39" s="1">
        <v>0.88572520558488721</v>
      </c>
    </row>
    <row r="40" spans="1:30">
      <c r="A40">
        <v>0</v>
      </c>
      <c r="B40">
        <v>37</v>
      </c>
      <c r="C40" s="1">
        <v>2.5559750029956398</v>
      </c>
      <c r="D40" s="1">
        <v>0.25654061392840799</v>
      </c>
      <c r="E40" s="1">
        <v>5.7315242731440099</v>
      </c>
      <c r="F40" s="1">
        <v>1.1934726013161301</v>
      </c>
      <c r="G40" s="1">
        <v>6.2921501630290899E-6</v>
      </c>
      <c r="O40" s="1">
        <f t="shared" si="0"/>
        <v>25.313298378931979</v>
      </c>
      <c r="P40" s="1">
        <f t="shared" si="1"/>
        <v>0.281258870877022</v>
      </c>
      <c r="Q40" s="1">
        <f t="shared" si="2"/>
        <v>0.86928441168172266</v>
      </c>
      <c r="AB40" s="1">
        <v>25.313298373640198</v>
      </c>
      <c r="AC40" s="1">
        <v>0.28125887081822443</v>
      </c>
      <c r="AD40" s="1">
        <v>0.89259846103223806</v>
      </c>
    </row>
    <row r="41" spans="1:30">
      <c r="A41">
        <v>0</v>
      </c>
      <c r="B41">
        <v>38</v>
      </c>
      <c r="C41" s="1">
        <v>2.54832883011585</v>
      </c>
      <c r="D41" s="1">
        <v>0.262909677523601</v>
      </c>
      <c r="E41" s="1">
        <v>5.89033413065654</v>
      </c>
      <c r="F41" s="1">
        <v>1.2026290943720701</v>
      </c>
      <c r="G41" s="1">
        <v>6.3890690881236702E-6</v>
      </c>
      <c r="O41" s="1">
        <f t="shared" si="0"/>
        <v>25.987993733293695</v>
      </c>
      <c r="P41" s="1">
        <f t="shared" si="1"/>
        <v>0.2887554859254855</v>
      </c>
      <c r="Q41" s="1">
        <f t="shared" si="2"/>
        <v>0.8759536864270524</v>
      </c>
      <c r="AB41" s="1">
        <v>25.987993727563623</v>
      </c>
      <c r="AC41" s="1">
        <v>0.28875548586181804</v>
      </c>
      <c r="AD41" s="1">
        <v>0.89954101335910575</v>
      </c>
    </row>
    <row r="42" spans="1:30">
      <c r="A42">
        <v>0</v>
      </c>
      <c r="B42">
        <v>39</v>
      </c>
      <c r="C42" s="1">
        <v>2.5405031477164899</v>
      </c>
      <c r="D42" s="1">
        <v>0.26923634552129599</v>
      </c>
      <c r="E42" s="1">
        <v>6.0494870560032599</v>
      </c>
      <c r="F42" s="1">
        <v>1.2118662623207199</v>
      </c>
      <c r="G42" s="1">
        <v>6.4875924871533298E-6</v>
      </c>
      <c r="O42" s="1">
        <f t="shared" si="0"/>
        <v>26.662054434591173</v>
      </c>
      <c r="P42" s="1">
        <f t="shared" si="1"/>
        <v>0.29624504927323525</v>
      </c>
      <c r="Q42" s="1">
        <f t="shared" si="2"/>
        <v>0.88268172199066086</v>
      </c>
      <c r="AB42" s="1">
        <v>26.662054428659957</v>
      </c>
      <c r="AC42" s="1">
        <v>0.29624504920733286</v>
      </c>
      <c r="AD42" s="1">
        <v>0.90655036452382032</v>
      </c>
    </row>
    <row r="43" spans="1:30">
      <c r="A43">
        <v>0</v>
      </c>
      <c r="B43">
        <v>40</v>
      </c>
      <c r="C43" s="1">
        <v>2.53250011366084</v>
      </c>
      <c r="D43" s="1">
        <v>0.27551942133284502</v>
      </c>
      <c r="E43" s="1">
        <v>6.2089857458311597</v>
      </c>
      <c r="F43" s="1">
        <v>1.2213161714588601</v>
      </c>
      <c r="G43" s="1">
        <v>6.58916506556753E-6</v>
      </c>
      <c r="O43" s="1">
        <f t="shared" si="0"/>
        <v>27.335434800089157</v>
      </c>
      <c r="P43" s="1">
        <f t="shared" si="1"/>
        <v>0.30372705333432398</v>
      </c>
      <c r="Q43" s="1">
        <f t="shared" si="2"/>
        <v>0.88956471092273603</v>
      </c>
      <c r="AB43" s="1">
        <v>27.335434794163717</v>
      </c>
      <c r="AC43" s="1">
        <v>0.30372705326848576</v>
      </c>
      <c r="AD43" s="1">
        <v>0.91366234021826631</v>
      </c>
    </row>
    <row r="44" spans="1:30">
      <c r="A44">
        <v>0</v>
      </c>
      <c r="B44">
        <v>41</v>
      </c>
      <c r="C44" s="1">
        <v>2.5243219510622001</v>
      </c>
      <c r="D44" s="1">
        <v>0.28175773137042598</v>
      </c>
      <c r="E44" s="1">
        <v>6.3688329164790796</v>
      </c>
      <c r="F44" s="1">
        <v>1.23073053124257</v>
      </c>
      <c r="G44" s="1">
        <v>6.6911400625470004E-6</v>
      </c>
      <c r="O44" s="1">
        <f t="shared" si="0"/>
        <v>28.008089427287366</v>
      </c>
      <c r="P44" s="1">
        <f t="shared" si="1"/>
        <v>0.31120099363652631</v>
      </c>
      <c r="Q44" s="1">
        <f t="shared" si="2"/>
        <v>0.89642180692721707</v>
      </c>
      <c r="AB44" s="1">
        <v>28.00808942139836</v>
      </c>
      <c r="AC44" s="1">
        <v>0.31120099357109288</v>
      </c>
      <c r="AD44" s="1">
        <v>0.92085784935934456</v>
      </c>
    </row>
    <row r="45" spans="1:30">
      <c r="A45">
        <v>0</v>
      </c>
      <c r="B45">
        <v>42</v>
      </c>
      <c r="C45" s="1">
        <v>2.5159709464048401</v>
      </c>
      <c r="D45" s="1">
        <v>0.28795012573923401</v>
      </c>
      <c r="E45" s="1">
        <v>6.5290313039874501</v>
      </c>
      <c r="F45" s="1">
        <v>1.24022529563941</v>
      </c>
      <c r="G45" s="1">
        <v>6.7947790941209897E-6</v>
      </c>
      <c r="O45" s="1">
        <f t="shared" si="0"/>
        <v>28.679973211379032</v>
      </c>
      <c r="P45" s="1">
        <f t="shared" si="1"/>
        <v>0.31866636901532258</v>
      </c>
      <c r="Q45" s="1">
        <f t="shared" si="2"/>
        <v>0.90333746688762306</v>
      </c>
      <c r="AB45" s="1">
        <v>28.679973205527091</v>
      </c>
      <c r="AC45" s="1">
        <v>0.31866636895030104</v>
      </c>
      <c r="AD45" s="1">
        <v>0.92808963452501592</v>
      </c>
    </row>
    <row r="46" spans="1:30">
      <c r="A46">
        <v>0</v>
      </c>
      <c r="B46">
        <v>43</v>
      </c>
      <c r="C46" s="1">
        <v>2.5074494476059099</v>
      </c>
      <c r="D46" s="1">
        <v>0.29409547890432602</v>
      </c>
      <c r="E46" s="1">
        <v>6.6895836642036102</v>
      </c>
      <c r="F46" s="1">
        <v>1.2497938063657099</v>
      </c>
      <c r="G46" s="1">
        <v>6.9000288746183496E-6</v>
      </c>
      <c r="O46" s="1">
        <f t="shared" si="0"/>
        <v>29.351041362819867</v>
      </c>
      <c r="P46" s="1">
        <f t="shared" si="1"/>
        <v>0.32612268180910964</v>
      </c>
      <c r="Q46" s="1">
        <f t="shared" si="2"/>
        <v>0.91030684113903804</v>
      </c>
      <c r="AB46" s="1">
        <v>29.351041357005819</v>
      </c>
      <c r="AC46" s="1">
        <v>0.32612268174450909</v>
      </c>
      <c r="AD46" s="1">
        <v>0.93535541665496436</v>
      </c>
    </row>
    <row r="47" spans="1:30">
      <c r="A47">
        <v>0</v>
      </c>
      <c r="B47">
        <v>44</v>
      </c>
      <c r="C47" s="1">
        <v>2.4987598620279701</v>
      </c>
      <c r="D47" s="1">
        <v>0.30019269032677898</v>
      </c>
      <c r="E47" s="1">
        <v>6.8504927728653904</v>
      </c>
      <c r="F47" s="1">
        <v>1.25942980147533</v>
      </c>
      <c r="G47" s="1">
        <v>7.0068384301369401E-6</v>
      </c>
      <c r="O47" s="1">
        <f t="shared" si="0"/>
        <v>30.021249424489074</v>
      </c>
      <c r="P47" s="1">
        <f t="shared" si="1"/>
        <v>0.3335694380498786</v>
      </c>
      <c r="Q47" s="1">
        <f t="shared" si="2"/>
        <v>0.917325368695177</v>
      </c>
      <c r="AB47" s="1">
        <v>30.021249418713492</v>
      </c>
      <c r="AC47" s="1">
        <v>0.33356943798570543</v>
      </c>
      <c r="AD47" s="1">
        <v>0.94265329474235804</v>
      </c>
    </row>
    <row r="48" spans="1:30">
      <c r="A48">
        <v>0</v>
      </c>
      <c r="B48">
        <v>45</v>
      </c>
      <c r="C48" s="1">
        <v>2.4899046544446901</v>
      </c>
      <c r="D48" s="1">
        <v>0.30624068506906199</v>
      </c>
      <c r="E48" s="1">
        <v>7.0117614256766396</v>
      </c>
      <c r="F48" s="1">
        <v>1.2691274987168399</v>
      </c>
      <c r="G48" s="1">
        <v>7.1151601615502096E-6</v>
      </c>
      <c r="O48" s="1">
        <f t="shared" si="0"/>
        <v>30.690553288488807</v>
      </c>
      <c r="P48" s="1">
        <f t="shared" si="1"/>
        <v>0.34100614764987563</v>
      </c>
      <c r="Q48" s="1">
        <f t="shared" si="2"/>
        <v>0.92438883796288951</v>
      </c>
      <c r="AB48" s="1">
        <v>30.690553282752685</v>
      </c>
      <c r="AC48" s="1">
        <v>0.3410061475861409</v>
      </c>
      <c r="AD48" s="1">
        <v>0.94998150689830063</v>
      </c>
    </row>
    <row r="49" spans="1:30">
      <c r="A49">
        <v>0</v>
      </c>
      <c r="B49">
        <v>46</v>
      </c>
      <c r="C49" s="1">
        <v>2.4808863449626499</v>
      </c>
      <c r="D49" s="1">
        <v>0.31223841436923999</v>
      </c>
      <c r="E49" s="1">
        <v>7.1733924383816303</v>
      </c>
      <c r="F49" s="1">
        <v>1.2788817900132099</v>
      </c>
      <c r="G49" s="1">
        <v>7.2249522129754001E-6</v>
      </c>
      <c r="O49" s="1">
        <f t="shared" si="0"/>
        <v>31.358909212594181</v>
      </c>
      <c r="P49" s="1">
        <f t="shared" si="1"/>
        <v>0.34843232458437978</v>
      </c>
      <c r="Q49" s="1">
        <f t="shared" si="2"/>
        <v>0.93149352839448085</v>
      </c>
      <c r="AB49" s="1">
        <v>31.358909206898243</v>
      </c>
      <c r="AC49" s="1">
        <v>0.34843232452109163</v>
      </c>
      <c r="AD49" s="1">
        <v>0.95733809474913412</v>
      </c>
    </row>
    <row r="50" spans="1:30">
      <c r="A50">
        <v>0</v>
      </c>
      <c r="B50">
        <v>47</v>
      </c>
      <c r="C50" s="1">
        <v>2.4717075069026899</v>
      </c>
      <c r="D50" s="1">
        <v>0.31818485618348902</v>
      </c>
      <c r="E50" s="1">
        <v>7.3353886468379104</v>
      </c>
      <c r="F50" s="1">
        <v>1.28868794338007</v>
      </c>
      <c r="G50" s="1">
        <v>7.3361753399319401E-6</v>
      </c>
      <c r="O50" s="1">
        <f t="shared" si="0"/>
        <v>32.026273836341076</v>
      </c>
      <c r="P50" s="1">
        <f t="shared" si="1"/>
        <v>0.35584748707045644</v>
      </c>
      <c r="Q50" s="1">
        <f t="shared" si="2"/>
        <v>0.93863599337521963</v>
      </c>
      <c r="AB50" s="1">
        <v>32.02627383068598</v>
      </c>
      <c r="AC50" s="1">
        <v>0.35584748700762203</v>
      </c>
      <c r="AD50" s="1">
        <v>0.96472289488667251</v>
      </c>
    </row>
    <row r="51" spans="1:30">
      <c r="A51">
        <v>0</v>
      </c>
      <c r="B51">
        <v>48</v>
      </c>
      <c r="C51" s="1">
        <v>2.4623707646443198</v>
      </c>
      <c r="D51" s="1">
        <v>0.324079015696428</v>
      </c>
      <c r="E51" s="1">
        <v>7.4977529070879596</v>
      </c>
      <c r="F51" s="1">
        <v>1.29854196914725</v>
      </c>
      <c r="G51" s="1">
        <v>7.4487972501432203E-6</v>
      </c>
      <c r="O51" s="1">
        <f t="shared" si="0"/>
        <v>32.69260419673558</v>
      </c>
      <c r="P51" s="1">
        <f t="shared" si="1"/>
        <v>0.36325115774150646</v>
      </c>
      <c r="Q51" s="1">
        <f t="shared" si="2"/>
        <v>0.94581332696651721</v>
      </c>
      <c r="AB51" s="1">
        <v>32.692604191122086</v>
      </c>
      <c r="AC51" s="1">
        <v>0.3632511576791343</v>
      </c>
      <c r="AD51" s="1">
        <v>0.9721344294139308</v>
      </c>
    </row>
    <row r="52" spans="1:30">
      <c r="A52">
        <v>0</v>
      </c>
      <c r="B52">
        <v>49</v>
      </c>
      <c r="C52" s="1">
        <v>2.4528787914365302</v>
      </c>
      <c r="D52" s="1">
        <v>0.32991992579888002</v>
      </c>
      <c r="E52" s="1">
        <v>7.6604880954293799</v>
      </c>
      <c r="F52" s="1">
        <v>1.30843974659302</v>
      </c>
      <c r="G52" s="1">
        <v>7.5627828112748701E-6</v>
      </c>
      <c r="O52" s="1">
        <f t="shared" si="0"/>
        <v>33.357857743576844</v>
      </c>
      <c r="P52" s="1">
        <f t="shared" si="1"/>
        <v>0.37064286381752048</v>
      </c>
      <c r="Q52" s="1">
        <f t="shared" si="2"/>
        <v>0.95302252777633445</v>
      </c>
      <c r="AB52" s="1">
        <v>33.357857738005649</v>
      </c>
      <c r="AC52" s="1">
        <v>0.37064286375561833</v>
      </c>
      <c r="AD52" s="1">
        <v>0.97957470323625595</v>
      </c>
    </row>
    <row r="53" spans="1:30">
      <c r="A53">
        <v>1</v>
      </c>
      <c r="B53">
        <v>0</v>
      </c>
      <c r="C53" s="1">
        <v>2.4401584169340902</v>
      </c>
      <c r="D53" s="1">
        <v>0.33752205283572001</v>
      </c>
      <c r="E53" s="1">
        <v>7.8751669636867696</v>
      </c>
      <c r="F53" s="1">
        <v>1.31936197990506</v>
      </c>
      <c r="G53" s="1">
        <v>7.68957082988982E-6</v>
      </c>
      <c r="O53" s="1">
        <f t="shared" si="0"/>
        <v>34.231413412013147</v>
      </c>
      <c r="P53" s="1">
        <f t="shared" si="1"/>
        <v>0.38034903791125718</v>
      </c>
      <c r="Q53" s="1">
        <f t="shared" si="2"/>
        <v>0.9609779070187543</v>
      </c>
      <c r="AB53" s="1">
        <v>34.231413406498326</v>
      </c>
      <c r="AC53" s="1">
        <v>0.38034903784998142</v>
      </c>
      <c r="AD53" s="1">
        <v>0.98846975778182011</v>
      </c>
    </row>
    <row r="54" spans="1:30">
      <c r="A54">
        <v>1</v>
      </c>
      <c r="B54">
        <v>1</v>
      </c>
      <c r="C54" s="1">
        <v>2.42393606237547</v>
      </c>
      <c r="D54" s="1">
        <v>0.34686724036903499</v>
      </c>
      <c r="E54" s="1">
        <v>8.1437843768694709</v>
      </c>
      <c r="F54" s="1">
        <v>1.3369386047370799</v>
      </c>
      <c r="G54" s="1">
        <v>7.89581746544208E-6</v>
      </c>
      <c r="O54" s="1">
        <f t="shared" si="0"/>
        <v>35.317864773911992</v>
      </c>
      <c r="P54" s="1">
        <f t="shared" si="1"/>
        <v>0.39242071971013326</v>
      </c>
      <c r="Q54" s="1">
        <f t="shared" si="2"/>
        <v>0.97378011626897376</v>
      </c>
      <c r="AB54" s="1">
        <v>35.317864768469505</v>
      </c>
      <c r="AC54" s="1">
        <v>0.39242071964966119</v>
      </c>
      <c r="AD54" s="1">
        <v>1.0014917347734582</v>
      </c>
    </row>
    <row r="55" spans="1:30">
      <c r="A55">
        <v>1</v>
      </c>
      <c r="B55">
        <v>2</v>
      </c>
      <c r="C55" s="1">
        <v>2.4071978463849701</v>
      </c>
      <c r="D55" s="1">
        <v>0.35612882157611297</v>
      </c>
      <c r="E55" s="1">
        <v>8.4154844767974701</v>
      </c>
      <c r="F55" s="1">
        <v>1.3546241021785499</v>
      </c>
      <c r="G55" s="1">
        <v>8.1060964901202693E-6</v>
      </c>
      <c r="O55" s="1">
        <f t="shared" si="0"/>
        <v>36.409193946426292</v>
      </c>
      <c r="P55" s="1">
        <f t="shared" si="1"/>
        <v>0.40454659940473658</v>
      </c>
      <c r="Q55" s="1">
        <f t="shared" si="2"/>
        <v>0.98666162458491924</v>
      </c>
      <c r="AB55" s="1">
        <v>36.409193941058142</v>
      </c>
      <c r="AC55" s="1">
        <v>0.40454659934509052</v>
      </c>
      <c r="AD55" s="1">
        <v>1.0146055096938025</v>
      </c>
    </row>
    <row r="56" spans="1:30">
      <c r="A56">
        <v>1</v>
      </c>
      <c r="B56">
        <v>3</v>
      </c>
      <c r="C56" s="1">
        <v>2.3899465801794801</v>
      </c>
      <c r="D56" s="1">
        <v>0.365300344675694</v>
      </c>
      <c r="E56" s="1">
        <v>8.6903281359586497</v>
      </c>
      <c r="F56" s="1">
        <v>1.3724580165359599</v>
      </c>
      <c r="G56" s="1">
        <v>8.3209384296601806E-6</v>
      </c>
      <c r="O56" s="1">
        <f t="shared" si="0"/>
        <v>37.505234582565066</v>
      </c>
      <c r="P56" s="1">
        <f t="shared" si="1"/>
        <v>0.41672482869516742</v>
      </c>
      <c r="Q56" s="1">
        <f t="shared" si="2"/>
        <v>0.99965123467992045</v>
      </c>
      <c r="AB56" s="1">
        <v>37.505234577273782</v>
      </c>
      <c r="AC56" s="1">
        <v>0.41672482863637539</v>
      </c>
      <c r="AD56" s="1">
        <v>1.0278336800793795</v>
      </c>
    </row>
    <row r="57" spans="1:30">
      <c r="A57">
        <v>1</v>
      </c>
      <c r="B57">
        <v>4</v>
      </c>
      <c r="C57" s="1">
        <v>2.3721857181271702</v>
      </c>
      <c r="D57" s="1">
        <v>0.37437535010384099</v>
      </c>
      <c r="E57" s="1">
        <v>8.9683779235346304</v>
      </c>
      <c r="F57" s="1">
        <v>1.3904838538891</v>
      </c>
      <c r="G57" s="1">
        <v>8.5409478961792999E-6</v>
      </c>
      <c r="O57" s="1">
        <f t="shared" si="0"/>
        <v>38.605815448830654</v>
      </c>
      <c r="P57" s="1">
        <f t="shared" si="1"/>
        <v>0.42895350498700724</v>
      </c>
      <c r="Q57" s="1">
        <f t="shared" si="2"/>
        <v>1.0127806348867747</v>
      </c>
      <c r="AB57" s="1">
        <v>38.60581544361856</v>
      </c>
      <c r="AC57" s="1">
        <v>0.42895350492909506</v>
      </c>
      <c r="AD57" s="1">
        <v>1.0412033007698336</v>
      </c>
    </row>
    <row r="58" spans="1:30">
      <c r="A58">
        <v>1</v>
      </c>
      <c r="B58">
        <v>5</v>
      </c>
      <c r="C58" s="1">
        <v>2.3539193647640002</v>
      </c>
      <c r="D58" s="1">
        <v>0.38334738286736703</v>
      </c>
      <c r="E58" s="1">
        <v>9.2496981638046698</v>
      </c>
      <c r="F58" s="1">
        <v>1.4087487444489899</v>
      </c>
      <c r="G58" s="1">
        <v>8.7668031686301893E-6</v>
      </c>
      <c r="O58" s="1">
        <f t="shared" si="0"/>
        <v>39.710760540774906</v>
      </c>
      <c r="P58" s="1">
        <f t="shared" si="1"/>
        <v>0.44123067267527671</v>
      </c>
      <c r="Q58" s="1">
        <f t="shared" si="2"/>
        <v>1.0260841532308704</v>
      </c>
      <c r="AB58" s="1">
        <v>39.710760535643956</v>
      </c>
      <c r="AC58" s="1">
        <v>0.44123067261826621</v>
      </c>
      <c r="AD58" s="1">
        <v>1.0547443319949534</v>
      </c>
    </row>
    <row r="59" spans="1:30">
      <c r="A59">
        <v>1</v>
      </c>
      <c r="B59">
        <v>6</v>
      </c>
      <c r="C59" s="1">
        <v>2.3351522800892002</v>
      </c>
      <c r="D59" s="1">
        <v>0.39221000519390298</v>
      </c>
      <c r="E59" s="1">
        <v>9.53435499681847</v>
      </c>
      <c r="F59" s="1">
        <v>1.42730379211367</v>
      </c>
      <c r="G59" s="1">
        <v>8.9992643914257108E-6</v>
      </c>
      <c r="O59" s="1">
        <f t="shared" si="0"/>
        <v>40.819889210228133</v>
      </c>
      <c r="P59" s="1">
        <f t="shared" si="1"/>
        <v>0.45355432455809042</v>
      </c>
      <c r="Q59" s="1">
        <f t="shared" si="2"/>
        <v>1.0395990120346088</v>
      </c>
      <c r="AB59" s="1">
        <v>40.819889205180495</v>
      </c>
      <c r="AC59" s="1">
        <v>0.4535543245020055</v>
      </c>
      <c r="AD59" s="1">
        <v>1.0684866102289736</v>
      </c>
    </row>
    <row r="60" spans="1:30">
      <c r="A60">
        <v>1</v>
      </c>
      <c r="B60">
        <v>7</v>
      </c>
      <c r="C60" s="1">
        <v>2.3158898830685701</v>
      </c>
      <c r="D60" s="1">
        <v>0.40095680943529399</v>
      </c>
      <c r="E60" s="1">
        <v>9.8224164414301107</v>
      </c>
      <c r="F60" s="1">
        <v>1.44620479798434</v>
      </c>
      <c r="G60" s="1">
        <v>9.2391872287319392E-6</v>
      </c>
      <c r="O60" s="1">
        <f t="shared" si="0"/>
        <v>41.933016304119349</v>
      </c>
      <c r="P60" s="1">
        <f t="shared" si="1"/>
        <v>0.4659224033791039</v>
      </c>
      <c r="Q60" s="1">
        <f t="shared" si="2"/>
        <v>1.0533658549016836</v>
      </c>
      <c r="AB60" s="1">
        <v>41.933016299157252</v>
      </c>
      <c r="AC60" s="1">
        <v>0.4659224033239695</v>
      </c>
      <c r="AD60" s="1">
        <v>1.0824588624922378</v>
      </c>
    </row>
    <row r="61" spans="1:30">
      <c r="A61">
        <v>1</v>
      </c>
      <c r="B61">
        <v>8</v>
      </c>
      <c r="C61" s="1">
        <v>2.2961382532821202</v>
      </c>
      <c r="D61" s="1">
        <v>0.40958143117817603</v>
      </c>
      <c r="E61" s="1">
        <v>10.1139524607868</v>
      </c>
      <c r="F61" s="1">
        <v>1.46550971600743</v>
      </c>
      <c r="G61" s="1">
        <v>9.4874953505732402E-6</v>
      </c>
      <c r="O61" s="1">
        <f t="shared" si="0"/>
        <v>43.049952314749397</v>
      </c>
      <c r="P61" s="1">
        <f t="shared" si="1"/>
        <v>0.47833280349721552</v>
      </c>
      <c r="Q61" s="1">
        <f t="shared" si="2"/>
        <v>1.0674268934942408</v>
      </c>
      <c r="AB61" s="1">
        <v>43.049952309875145</v>
      </c>
      <c r="AC61" s="1">
        <v>0.47833280344305718</v>
      </c>
      <c r="AD61" s="1">
        <v>1.0966974888162737</v>
      </c>
    </row>
    <row r="62" spans="1:30">
      <c r="A62">
        <v>1</v>
      </c>
      <c r="B62">
        <v>9</v>
      </c>
      <c r="C62" s="1">
        <v>2.27590413066065</v>
      </c>
      <c r="D62" s="1">
        <v>0.41807756251306699</v>
      </c>
      <c r="E62" s="1">
        <v>10.409035030371401</v>
      </c>
      <c r="F62" s="1">
        <v>1.4852760352379399</v>
      </c>
      <c r="G62" s="1">
        <v>9.7451498047352203E-6</v>
      </c>
      <c r="O62" s="1">
        <f t="shared" si="0"/>
        <v>44.170503541334526</v>
      </c>
      <c r="P62" s="1">
        <f t="shared" si="1"/>
        <v>0.49078337268149475</v>
      </c>
      <c r="Q62" s="1">
        <f t="shared" si="2"/>
        <v>1.0818240008634912</v>
      </c>
      <c r="AB62" s="1">
        <v>44.170503536550136</v>
      </c>
      <c r="AC62" s="1">
        <v>0.49078337262833488</v>
      </c>
      <c r="AD62" s="1">
        <v>1.1112405129110843</v>
      </c>
    </row>
    <row r="63" spans="1:30">
      <c r="A63">
        <v>1</v>
      </c>
      <c r="B63">
        <v>10</v>
      </c>
      <c r="C63" s="1">
        <v>2.2551949132649001</v>
      </c>
      <c r="D63" s="1">
        <v>0.42643896541118498</v>
      </c>
      <c r="E63" s="1">
        <v>10.7077382087045</v>
      </c>
      <c r="F63" s="1">
        <v>1.50477058313421</v>
      </c>
      <c r="G63" s="1">
        <v>1.00026427289229E-5</v>
      </c>
      <c r="O63" s="1">
        <f t="shared" si="0"/>
        <v>45.294472262596244</v>
      </c>
      <c r="P63" s="1">
        <f t="shared" si="1"/>
        <v>0.50327191402884719</v>
      </c>
      <c r="Q63" s="1">
        <f t="shared" si="2"/>
        <v>1.0960231593362726</v>
      </c>
      <c r="AB63" s="1">
        <v>45.294472257886056</v>
      </c>
      <c r="AC63" s="1">
        <v>0.50327191397651172</v>
      </c>
      <c r="AD63" s="1">
        <v>1.1259956636518067</v>
      </c>
    </row>
    <row r="64" spans="1:30">
      <c r="A64">
        <v>1</v>
      </c>
      <c r="B64">
        <v>11</v>
      </c>
      <c r="C64" s="1">
        <v>2.2340186530700099</v>
      </c>
      <c r="D64" s="1">
        <v>0.43465948515644598</v>
      </c>
      <c r="E64" s="1">
        <v>11.010138210823399</v>
      </c>
      <c r="F64" s="1">
        <v>1.52435031838946</v>
      </c>
      <c r="G64" s="1">
        <v>1.0264640498972701E-5</v>
      </c>
      <c r="O64" s="1">
        <f t="shared" si="0"/>
        <v>46.421656920148024</v>
      </c>
      <c r="P64" s="1">
        <f t="shared" si="1"/>
        <v>0.51579618800164473</v>
      </c>
      <c r="Q64" s="1">
        <f t="shared" si="2"/>
        <v>1.1102843653526271</v>
      </c>
      <c r="AB64" s="1">
        <v>46.421656915390415</v>
      </c>
      <c r="AC64" s="1">
        <v>0.51579618794878235</v>
      </c>
      <c r="AD64" s="1">
        <v>1.1408853715332199</v>
      </c>
    </row>
    <row r="65" spans="1:30">
      <c r="A65">
        <v>1</v>
      </c>
      <c r="B65">
        <v>12</v>
      </c>
      <c r="C65" s="1">
        <v>2.2123840497312899</v>
      </c>
      <c r="D65" s="1">
        <v>0.44273306377449101</v>
      </c>
      <c r="E65" s="1">
        <v>11.316313484547999</v>
      </c>
      <c r="F65" s="1">
        <v>1.54466093981776</v>
      </c>
      <c r="G65" s="1">
        <v>1.0539997336353499E-5</v>
      </c>
      <c r="O65" s="1">
        <f t="shared" si="0"/>
        <v>47.551852312033624</v>
      </c>
      <c r="P65" s="1">
        <f t="shared" si="1"/>
        <v>0.5283539145781514</v>
      </c>
      <c r="Q65" s="1">
        <f t="shared" si="2"/>
        <v>1.1250779237298529</v>
      </c>
      <c r="AB65" s="1">
        <v>47.551852307092524</v>
      </c>
      <c r="AC65" s="1">
        <v>0.52835391452325031</v>
      </c>
      <c r="AD65" s="1">
        <v>1.1560075016677132</v>
      </c>
    </row>
    <row r="66" spans="1:30">
      <c r="A66">
        <v>1</v>
      </c>
      <c r="B66">
        <v>13</v>
      </c>
      <c r="C66" s="1">
        <v>2.1903004423108499</v>
      </c>
      <c r="D66" s="1">
        <v>0.45065375340842301</v>
      </c>
      <c r="E66" s="1">
        <v>11.6263447898019</v>
      </c>
      <c r="F66" s="1">
        <v>1.5657078698672999</v>
      </c>
      <c r="G66" s="1">
        <v>1.0829181707405799E-5</v>
      </c>
      <c r="O66" s="1">
        <f t="shared" si="0"/>
        <v>48.6848497965291</v>
      </c>
      <c r="P66" s="1">
        <f t="shared" si="1"/>
        <v>0.54094277551698999</v>
      </c>
      <c r="Q66" s="1">
        <f t="shared" si="2"/>
        <v>1.1404077839927904</v>
      </c>
      <c r="AB66" s="1">
        <v>48.68484979127328</v>
      </c>
      <c r="AC66" s="1">
        <v>0.54094277545859204</v>
      </c>
      <c r="AD66" s="1">
        <v>1.1713905740174027</v>
      </c>
    </row>
    <row r="67" spans="1:30">
      <c r="A67">
        <v>1</v>
      </c>
      <c r="B67">
        <v>14</v>
      </c>
      <c r="C67" s="1">
        <v>2.1677777989624398</v>
      </c>
      <c r="D67" s="1">
        <v>0.458415729580822</v>
      </c>
      <c r="E67" s="1">
        <v>11.940315281010299</v>
      </c>
      <c r="F67" s="1">
        <v>1.5874963550397101</v>
      </c>
      <c r="G67" s="1">
        <v>1.11326779432553E-5</v>
      </c>
      <c r="O67" s="1">
        <f>ATAN(D67/(C67-1.2)/$K$2)/PI()*180</f>
        <v>49.820437505463467</v>
      </c>
      <c r="P67" s="1">
        <f t="shared" ref="P67:P103" si="3">RADIANS(O67)*2/PI()</f>
        <v>0.55356041672737188</v>
      </c>
      <c r="Q67" s="1">
        <f t="shared" ref="Q67:Q103" si="4">F67/$L$2/SQRT($J$2*PI())</f>
        <v>1.1562777675128542</v>
      </c>
      <c r="AB67" s="1">
        <v>49.820437499765895</v>
      </c>
      <c r="AC67" s="1">
        <v>0.55356041666406552</v>
      </c>
      <c r="AD67" s="1">
        <v>1.1870584427101658</v>
      </c>
    </row>
    <row r="68" spans="1:30">
      <c r="A68">
        <v>1</v>
      </c>
      <c r="B68">
        <v>15</v>
      </c>
      <c r="C68" s="1">
        <v>2.14482670458057</v>
      </c>
      <c r="D68" s="1">
        <v>0.466013304284848</v>
      </c>
      <c r="E68" s="1">
        <v>12.2583105926999</v>
      </c>
      <c r="F68" s="1">
        <v>1.61003402755197</v>
      </c>
      <c r="G68" s="1">
        <v>1.1451022857215801E-5</v>
      </c>
      <c r="O68" s="1">
        <f>ATAN(D68/(C68-1.2)/$K$2)/PI()*180</f>
        <v>50.958400566599991</v>
      </c>
      <c r="P68" s="1">
        <f t="shared" si="3"/>
        <v>0.56620445073999992</v>
      </c>
      <c r="Q68" s="1">
        <f t="shared" si="4"/>
        <v>1.1726934333344994</v>
      </c>
      <c r="AB68" s="1">
        <v>50.958400560339086</v>
      </c>
      <c r="AC68" s="1">
        <v>0.56620445067043434</v>
      </c>
      <c r="AD68" s="1">
        <v>1.2030375596123122</v>
      </c>
    </row>
    <row r="69" spans="1:30">
      <c r="A69">
        <v>1</v>
      </c>
      <c r="B69">
        <v>16</v>
      </c>
      <c r="C69" s="1">
        <v>2.1214583464310799</v>
      </c>
      <c r="D69" s="1">
        <v>0.47344093884684402</v>
      </c>
      <c r="E69" s="1">
        <v>12.580418928428699</v>
      </c>
      <c r="F69" s="1">
        <v>1.6333307615553001</v>
      </c>
      <c r="G69" s="1">
        <v>1.1784806469635801E-5</v>
      </c>
      <c r="O69" s="1">
        <f>ATAN(D69/(C69-1.2)/$K$2)/PI()*180</f>
        <v>52.098521334569561</v>
      </c>
      <c r="P69" s="1">
        <f t="shared" si="3"/>
        <v>0.57887245927299513</v>
      </c>
      <c r="Q69" s="1">
        <f t="shared" si="4"/>
        <v>1.1896619734500056</v>
      </c>
      <c r="AB69" s="1">
        <v>52.09852132763006</v>
      </c>
      <c r="AC69" s="1">
        <v>0.57887245919588959</v>
      </c>
      <c r="AD69" s="1">
        <v>1.2193554182642405</v>
      </c>
    </row>
    <row r="70" spans="1:30">
      <c r="A70">
        <v>1</v>
      </c>
      <c r="B70">
        <v>17</v>
      </c>
      <c r="C70" s="1">
        <v>2.09768449779272</v>
      </c>
      <c r="D70" s="1">
        <v>0.48069325650288203</v>
      </c>
      <c r="E70" s="1">
        <v>12.906731153168399</v>
      </c>
      <c r="F70" s="1">
        <v>1.65739601782646</v>
      </c>
      <c r="G70" s="1">
        <v>1.2134636017064899E-5</v>
      </c>
      <c r="O70" s="1">
        <f>ATAN(D70/(C70-1.2)/$K$2)/PI()*180</f>
        <v>53.240579629769186</v>
      </c>
      <c r="P70" s="1">
        <f t="shared" si="3"/>
        <v>0.5915619958863243</v>
      </c>
      <c r="Q70" s="1">
        <f t="shared" si="4"/>
        <v>1.2071902787639068</v>
      </c>
      <c r="AB70" s="1">
        <v>53.240579622041906</v>
      </c>
      <c r="AC70" s="1">
        <v>0.59156199580046565</v>
      </c>
      <c r="AD70" s="1">
        <v>1.2360356922939737</v>
      </c>
    </row>
    <row r="71" spans="1:30">
      <c r="A71">
        <v>1</v>
      </c>
      <c r="B71">
        <v>18</v>
      </c>
      <c r="C71" s="1">
        <v>2.0735174996505799</v>
      </c>
      <c r="D71" s="1">
        <v>0.48776505463230102</v>
      </c>
      <c r="E71" s="1">
        <v>13.2373408892625</v>
      </c>
      <c r="F71" s="1">
        <v>1.68223936421715</v>
      </c>
      <c r="G71" s="1">
        <v>1.2501143900265801E-5</v>
      </c>
      <c r="O71" s="1">
        <f>ATAN(D71/(C71-1.2)/$K$2)/PI()*180</f>
        <v>54.384352984605563</v>
      </c>
      <c r="P71" s="1">
        <f t="shared" si="3"/>
        <v>0.60427058871783956</v>
      </c>
      <c r="Q71" s="1">
        <f t="shared" si="4"/>
        <v>1.2252853181704428</v>
      </c>
      <c r="AB71" s="1">
        <v>54.384352975988108</v>
      </c>
      <c r="AC71" s="1">
        <v>0.60427058862209015</v>
      </c>
      <c r="AD71" s="1">
        <v>1.2530988204835611</v>
      </c>
    </row>
    <row r="72" spans="1:30">
      <c r="A72">
        <v>1</v>
      </c>
      <c r="B72">
        <v>19</v>
      </c>
      <c r="C72" s="1">
        <v>2.04897024049377</v>
      </c>
      <c r="D72" s="1">
        <v>0.49465131659238898</v>
      </c>
      <c r="E72" s="1">
        <v>13.5723446160916</v>
      </c>
      <c r="F72" s="1">
        <v>1.7078778007934301</v>
      </c>
      <c r="G72" s="1">
        <v>1.28850989806948E-5</v>
      </c>
      <c r="O72" s="1">
        <f>ATAN(D72/(C72-1.2)/$K$2)/PI()*180</f>
        <v>55.529616896427136</v>
      </c>
      <c r="P72" s="1">
        <f t="shared" si="3"/>
        <v>0.61699574329363482</v>
      </c>
      <c r="Q72" s="1">
        <f t="shared" si="4"/>
        <v>1.2439594739332756</v>
      </c>
      <c r="AB72" s="1">
        <v>55.529616886824435</v>
      </c>
      <c r="AC72" s="1">
        <v>0.61699574318693817</v>
      </c>
      <c r="AD72" s="1">
        <v>1.2705758814309671</v>
      </c>
    </row>
    <row r="73" spans="1:30">
      <c r="A73">
        <v>1</v>
      </c>
      <c r="B73">
        <v>20</v>
      </c>
      <c r="C73" s="1">
        <v>2.024056134282</v>
      </c>
      <c r="D73" s="1">
        <v>0.50134722309903301</v>
      </c>
      <c r="E73" s="1">
        <v>13.9118417735477</v>
      </c>
      <c r="F73" s="1">
        <v>1.73385092171441</v>
      </c>
      <c r="G73" s="1">
        <v>1.3279987898273E-5</v>
      </c>
      <c r="O73" s="1">
        <f>ATAN(D73/(C73-1.2)/$K$2)/PI()*180</f>
        <v>56.676145086382441</v>
      </c>
      <c r="P73" s="1">
        <f t="shared" si="3"/>
        <v>0.62973494540424935</v>
      </c>
      <c r="Q73" s="1">
        <f t="shared" si="4"/>
        <v>1.2628774022664722</v>
      </c>
      <c r="AB73" s="1">
        <v>56.676145075765163</v>
      </c>
      <c r="AC73" s="1">
        <v>0.6297349452862796</v>
      </c>
      <c r="AD73" s="1">
        <v>1.2894096947829254</v>
      </c>
    </row>
    <row r="74" spans="1:30">
      <c r="A74">
        <v>1</v>
      </c>
      <c r="B74">
        <v>21</v>
      </c>
      <c r="C74" s="1">
        <v>1.9987890966569399</v>
      </c>
      <c r="D74" s="1">
        <v>0.50784816309932101</v>
      </c>
      <c r="E74" s="1">
        <v>14.2559348694002</v>
      </c>
      <c r="F74" s="1">
        <v>1.760701488629</v>
      </c>
      <c r="G74" s="1">
        <v>1.36944827969657E-5</v>
      </c>
      <c r="O74" s="1">
        <f>ATAN(D74/(C74-1.2)/$K$2)/PI()*180</f>
        <v>57.823709763374175</v>
      </c>
      <c r="P74" s="1">
        <f t="shared" si="3"/>
        <v>0.64248566403749086</v>
      </c>
      <c r="Q74" s="1">
        <f t="shared" si="4"/>
        <v>1.2824344320951675</v>
      </c>
      <c r="AB74" s="1">
        <v>57.823709752060196</v>
      </c>
      <c r="AC74" s="1">
        <v>0.64248566391177997</v>
      </c>
      <c r="AD74" s="1">
        <v>1.3094902892819833</v>
      </c>
    </row>
    <row r="75" spans="1:30">
      <c r="A75">
        <v>1</v>
      </c>
      <c r="B75">
        <v>22</v>
      </c>
      <c r="C75" s="1">
        <v>1.97318351947451</v>
      </c>
      <c r="D75" s="1">
        <v>0.51414974409881298</v>
      </c>
      <c r="E75" s="1">
        <v>14.604729591096</v>
      </c>
      <c r="F75" s="1">
        <v>1.7883965694858399</v>
      </c>
      <c r="G75" s="1">
        <v>1.4128687784812401E-5</v>
      </c>
      <c r="O75" s="1">
        <f>ATAN(D75/(C75-1.2)/$K$2)/PI()*180</f>
        <v>58.972081893319455</v>
      </c>
      <c r="P75" s="1">
        <f t="shared" si="3"/>
        <v>0.65524535437021625</v>
      </c>
      <c r="Q75" s="1">
        <f t="shared" si="4"/>
        <v>1.3026065768453416</v>
      </c>
      <c r="AB75" s="1">
        <v>58.972081881670626</v>
      </c>
      <c r="AC75" s="1">
        <v>0.65524535424078478</v>
      </c>
      <c r="AD75" s="1">
        <v>1.3298872355793068</v>
      </c>
    </row>
    <row r="76" spans="1:30">
      <c r="A76">
        <v>1</v>
      </c>
      <c r="B76">
        <v>23</v>
      </c>
      <c r="C76" s="1">
        <v>1.94725424376969</v>
      </c>
      <c r="D76" s="1">
        <v>0.52024780187471498</v>
      </c>
      <c r="E76" s="1">
        <v>14.9583349214605</v>
      </c>
      <c r="F76" s="1">
        <v>1.8169994401385501</v>
      </c>
      <c r="G76" s="1">
        <v>1.45842385367577E-5</v>
      </c>
      <c r="O76" s="1">
        <f>ATAN(D76/(C76-1.2)/$K$2)/PI()*180</f>
        <v>60.12103147129875</v>
      </c>
      <c r="P76" s="1">
        <f t="shared" si="3"/>
        <v>0.6680114607922083</v>
      </c>
      <c r="Q76" s="1">
        <f t="shared" si="4"/>
        <v>1.3234399244733728</v>
      </c>
      <c r="AB76" s="1">
        <v>60.121031459660678</v>
      </c>
      <c r="AC76" s="1">
        <v>0.66801146066289641</v>
      </c>
      <c r="AD76" s="1">
        <v>1.350662104519275</v>
      </c>
    </row>
    <row r="77" spans="1:30">
      <c r="A77">
        <v>1</v>
      </c>
      <c r="B77">
        <v>24</v>
      </c>
      <c r="C77" s="1">
        <v>1.9210165312496099</v>
      </c>
      <c r="D77" s="1">
        <v>0.52613840954339297</v>
      </c>
      <c r="E77" s="1">
        <v>15.316863258829599</v>
      </c>
      <c r="F77" s="1">
        <v>1.84657535190128</v>
      </c>
      <c r="G77" s="1">
        <v>1.50628877792567E-5</v>
      </c>
      <c r="O77" s="1">
        <f>ATAN(D77/(C77-1.2)/$K$2)/PI()*180</f>
        <v>61.270327796802498</v>
      </c>
      <c r="P77" s="1">
        <f t="shared" si="3"/>
        <v>0.68078141996447217</v>
      </c>
      <c r="Q77" s="1">
        <f t="shared" si="4"/>
        <v>1.3449820017931731</v>
      </c>
      <c r="AB77" s="1">
        <v>61.270327785503746</v>
      </c>
      <c r="AC77" s="1">
        <v>0.68078141983893048</v>
      </c>
      <c r="AD77" s="1">
        <v>1.3718760934046648</v>
      </c>
    </row>
    <row r="78" spans="1:30">
      <c r="A78">
        <v>1</v>
      </c>
      <c r="B78">
        <v>25</v>
      </c>
      <c r="C78" s="1">
        <v>1.89448603443034</v>
      </c>
      <c r="D78" s="1">
        <v>0.53181788593964896</v>
      </c>
      <c r="E78" s="1">
        <v>15.6804305416976</v>
      </c>
      <c r="F78" s="1">
        <v>1.87719536795197</v>
      </c>
      <c r="G78" s="1">
        <v>1.5566576839848999E-5</v>
      </c>
      <c r="O78" s="1">
        <f>ATAN(D78/(C78-1.2)/$K$2)/PI()*180</f>
        <v>62.419739751127054</v>
      </c>
      <c r="P78" s="1">
        <f t="shared" si="3"/>
        <v>0.69355266390141168</v>
      </c>
      <c r="Q78" s="1">
        <f t="shared" si="4"/>
        <v>1.36728456878043</v>
      </c>
      <c r="AB78" s="1">
        <v>62.419739740477091</v>
      </c>
      <c r="AC78" s="1">
        <v>0.69355266378307878</v>
      </c>
      <c r="AD78" s="1">
        <v>1.3935954800036172</v>
      </c>
    </row>
    <row r="79" spans="1:30">
      <c r="A79">
        <v>1</v>
      </c>
      <c r="B79">
        <v>26</v>
      </c>
      <c r="C79" s="1">
        <v>1.86767876554025</v>
      </c>
      <c r="D79" s="1">
        <v>0.53728280326966404</v>
      </c>
      <c r="E79" s="1">
        <v>16.0491563779883</v>
      </c>
      <c r="F79" s="1">
        <v>1.90893545314784</v>
      </c>
      <c r="G79" s="1">
        <v>1.6097434240287098E-5</v>
      </c>
      <c r="O79" s="1">
        <f>ATAN(D79/(C79-1.2)/$K$2)/PI()*180</f>
        <v>63.569036076031217</v>
      </c>
      <c r="P79" s="1">
        <f t="shared" si="3"/>
        <v>0.70632262306701354</v>
      </c>
      <c r="Q79" s="1">
        <f t="shared" si="4"/>
        <v>1.3904029556255011</v>
      </c>
      <c r="AB79" s="1">
        <v>63.569036066319917</v>
      </c>
      <c r="AC79" s="1">
        <v>0.70632262295911019</v>
      </c>
      <c r="AD79" s="1">
        <v>1.4158905189602038</v>
      </c>
    </row>
    <row r="80" spans="1:30">
      <c r="A80">
        <v>1</v>
      </c>
      <c r="B80">
        <v>27</v>
      </c>
      <c r="C80" s="1">
        <v>1.8406110643195299</v>
      </c>
      <c r="D80" s="1">
        <v>0.54252999400425905</v>
      </c>
      <c r="E80" s="1">
        <v>16.423164179074501</v>
      </c>
      <c r="F80" s="1">
        <v>1.9418705198902999</v>
      </c>
      <c r="G80" s="1">
        <v>1.66576874542589E-5</v>
      </c>
      <c r="O80" s="1">
        <f>ATAN(D80/(C80-1.2)/$K$2)/PI()*180</f>
        <v>64.717985652813397</v>
      </c>
      <c r="P80" s="1">
        <f t="shared" si="3"/>
        <v>0.71908872947570435</v>
      </c>
      <c r="Q80" s="1">
        <f t="shared" si="4"/>
        <v>1.4143917259461145</v>
      </c>
      <c r="AB80" s="1">
        <v>64.717985644310104</v>
      </c>
      <c r="AC80" s="1">
        <v>0.71908872938122337</v>
      </c>
      <c r="AD80" s="1">
        <v>1.438826829186705</v>
      </c>
    </row>
    <row r="81" spans="1:30">
      <c r="A81">
        <v>1</v>
      </c>
      <c r="B81">
        <v>28</v>
      </c>
      <c r="C81" s="1">
        <v>1.8132995648518</v>
      </c>
      <c r="D81" s="1">
        <v>0.547556556983405</v>
      </c>
      <c r="E81" s="1">
        <v>16.802581298666599</v>
      </c>
      <c r="F81" s="1">
        <v>1.97607906979901</v>
      </c>
      <c r="G81" s="1">
        <v>1.7249750126159901E-5</v>
      </c>
      <c r="O81" s="1">
        <f>ATAN(D81/(C81-1.2)/$K$2)/PI()*180</f>
        <v>65.866357780968357</v>
      </c>
      <c r="P81" s="1">
        <f t="shared" si="3"/>
        <v>0.73184841978853732</v>
      </c>
      <c r="Q81" s="1">
        <f t="shared" si="4"/>
        <v>1.4393080576231758</v>
      </c>
      <c r="AB81" s="1">
        <v>65.866357773920384</v>
      </c>
      <c r="AC81" s="1">
        <v>0.73184841971022652</v>
      </c>
      <c r="AD81" s="1">
        <v>1.4624723578603689</v>
      </c>
    </row>
    <row r="82" spans="1:30">
      <c r="A82">
        <v>1</v>
      </c>
      <c r="B82">
        <v>29</v>
      </c>
      <c r="C82" s="1">
        <v>1.7857611615690301</v>
      </c>
      <c r="D82" s="1">
        <v>0.55235986270730997</v>
      </c>
      <c r="E82" s="1">
        <v>17.187539176686801</v>
      </c>
      <c r="F82" s="1">
        <v>2.0116432042150798</v>
      </c>
      <c r="G82" s="1">
        <v>1.7876236052276101E-5</v>
      </c>
      <c r="O82" s="1">
        <f>ATAN(D82/(C82-1.2)/$K$2)/PI()*180</f>
        <v>67.013922455583312</v>
      </c>
      <c r="P82" s="1">
        <f t="shared" si="3"/>
        <v>0.74459913839537017</v>
      </c>
      <c r="Q82" s="1">
        <f t="shared" si="4"/>
        <v>1.4652117504509377</v>
      </c>
      <c r="AB82" s="1">
        <v>67.013922450215489</v>
      </c>
      <c r="AC82" s="1">
        <v>0.74459913833572777</v>
      </c>
      <c r="AD82" s="1">
        <v>1.4868974609095611</v>
      </c>
    </row>
    <row r="83" spans="1:30">
      <c r="A83">
        <v>1</v>
      </c>
      <c r="B83">
        <v>30</v>
      </c>
      <c r="C83" s="1">
        <v>1.7580129745745801</v>
      </c>
      <c r="D83" s="1">
        <v>0.55693755779500298</v>
      </c>
      <c r="E83" s="1">
        <v>17.578173488268899</v>
      </c>
      <c r="F83" s="1">
        <v>2.04765990770691</v>
      </c>
      <c r="G83" s="1">
        <v>1.8522083004094801E-5</v>
      </c>
      <c r="O83" s="1">
        <f>ATAN(D83/(C83-1.2)/$K$2)/PI()*180</f>
        <v>68.160450642700027</v>
      </c>
      <c r="P83" s="1">
        <f t="shared" si="3"/>
        <v>0.7573383404744447</v>
      </c>
      <c r="Q83" s="1">
        <f t="shared" si="4"/>
        <v>1.4914450790343372</v>
      </c>
      <c r="AB83" s="1">
        <v>68.160450639156153</v>
      </c>
      <c r="AC83" s="1">
        <v>0.75733834043506842</v>
      </c>
      <c r="AD83" s="1">
        <v>1.5121159745758253</v>
      </c>
    </row>
    <row r="84" spans="1:30">
      <c r="A84">
        <v>1</v>
      </c>
      <c r="B84">
        <v>31</v>
      </c>
      <c r="C84" s="1">
        <v>1.7300723144317101</v>
      </c>
      <c r="D84" s="1">
        <v>0.56128756859693396</v>
      </c>
      <c r="E84" s="1">
        <v>17.974624298054199</v>
      </c>
      <c r="F84" s="1">
        <v>2.0844601139865602</v>
      </c>
      <c r="G84" s="1">
        <v>1.9193817037809602E-5</v>
      </c>
      <c r="O84" s="1">
        <f>ATAN(D84/(C84-1.2)/$K$2)/PI()*180</f>
        <v>69.305714551924112</v>
      </c>
      <c r="P84" s="1">
        <f t="shared" si="3"/>
        <v>0.77006349502137905</v>
      </c>
      <c r="Q84" s="1">
        <f t="shared" si="4"/>
        <v>1.5182490841118683</v>
      </c>
      <c r="AB84" s="1">
        <v>69.305714549992388</v>
      </c>
      <c r="AC84" s="1">
        <v>0.77006349499991544</v>
      </c>
      <c r="AD84" s="1">
        <v>1.5382593724339377</v>
      </c>
    </row>
    <row r="85" spans="1:30">
      <c r="A85">
        <v>1</v>
      </c>
      <c r="B85">
        <v>32</v>
      </c>
      <c r="C85" s="1">
        <v>1.7019566465807701</v>
      </c>
      <c r="D85" s="1">
        <v>0.56540810393596896</v>
      </c>
      <c r="E85" s="1">
        <v>18.377036219296802</v>
      </c>
      <c r="F85" s="1">
        <v>2.1231692534201798</v>
      </c>
      <c r="G85" s="1">
        <v>1.99133077067409E-5</v>
      </c>
      <c r="O85" s="1">
        <f>ATAN(D85/(C85-1.2)/$K$2)/PI()*180</f>
        <v>70.449487904518477</v>
      </c>
      <c r="P85" s="1">
        <f t="shared" si="3"/>
        <v>0.78277208782798313</v>
      </c>
      <c r="Q85" s="1">
        <f t="shared" si="4"/>
        <v>1.5464434904703823</v>
      </c>
      <c r="AB85" s="1">
        <v>70.449487903938845</v>
      </c>
      <c r="AC85" s="1">
        <v>0.78277208782154273</v>
      </c>
      <c r="AD85" s="1">
        <v>1.5655614623453642</v>
      </c>
    </row>
    <row r="86" spans="1:30">
      <c r="A86">
        <v>1</v>
      </c>
      <c r="B86">
        <v>33</v>
      </c>
      <c r="C86" s="1">
        <v>1.6736835555168299</v>
      </c>
      <c r="D86" s="1">
        <v>0.56929765699633605</v>
      </c>
      <c r="E86" s="1">
        <v>18.785558578774399</v>
      </c>
      <c r="F86" s="1">
        <v>2.1639696206293801</v>
      </c>
      <c r="G86" s="1">
        <v>2.0685998603379901E-5</v>
      </c>
      <c r="O86" s="1">
        <f>ATAN(D86/(C86-1.2)/$K$2)/PI()*180</f>
        <v>71.591546197826361</v>
      </c>
      <c r="P86" s="1">
        <f t="shared" si="3"/>
        <v>0.79546162442029289</v>
      </c>
      <c r="Q86" s="1">
        <f t="shared" si="4"/>
        <v>1.5761610752450439</v>
      </c>
      <c r="AB86" s="1">
        <v>71.591546198350471</v>
      </c>
      <c r="AC86" s="1">
        <v>0.79546162442611645</v>
      </c>
      <c r="AD86" s="1">
        <v>1.5942030591534717</v>
      </c>
    </row>
    <row r="87" spans="1:30">
      <c r="A87">
        <v>1</v>
      </c>
      <c r="B87">
        <v>34</v>
      </c>
      <c r="C87" s="1">
        <v>1.6452707088918599</v>
      </c>
      <c r="D87" s="1">
        <v>0.57295500634463103</v>
      </c>
      <c r="E87" s="1">
        <v>19.200345587010101</v>
      </c>
      <c r="F87" s="1">
        <v>2.20705144438252</v>
      </c>
      <c r="G87" s="1">
        <v>2.1517860345230101E-5</v>
      </c>
      <c r="O87" s="1">
        <f>ATAN(D87/(C87-1.2)/$K$2)/PI()*180</f>
        <v>72.731666964249811</v>
      </c>
      <c r="P87" s="1">
        <f t="shared" si="3"/>
        <v>0.80812963293610895</v>
      </c>
      <c r="Q87" s="1">
        <f t="shared" si="4"/>
        <v>1.6075403945307356</v>
      </c>
      <c r="AB87" s="1">
        <v>72.731666965641168</v>
      </c>
      <c r="AC87" s="1">
        <v>0.80812963295156859</v>
      </c>
      <c r="AD87" s="1">
        <v>1.6243713774475936</v>
      </c>
    </row>
    <row r="88" spans="1:30">
      <c r="A88">
        <v>1</v>
      </c>
      <c r="B88">
        <v>35</v>
      </c>
      <c r="C88" s="1">
        <v>1.61673582169094</v>
      </c>
      <c r="D88" s="1">
        <v>0.57637921608883202</v>
      </c>
      <c r="E88" s="1">
        <v>19.6215565138987</v>
      </c>
      <c r="F88" s="1">
        <v>2.2526112025795402</v>
      </c>
      <c r="G88" s="1">
        <v>2.24154081518836E-5</v>
      </c>
      <c r="O88" s="1">
        <f>ATAN(D88/(C88-1.2)/$K$2)/PI()*180</f>
        <v>73.869630024178718</v>
      </c>
      <c r="P88" s="1">
        <f t="shared" si="3"/>
        <v>0.82077366693531906</v>
      </c>
      <c r="Q88" s="1">
        <f t="shared" si="4"/>
        <v>1.6407245560749417</v>
      </c>
      <c r="AB88" s="1">
        <v>73.869630026214722</v>
      </c>
      <c r="AC88" s="1">
        <v>0.82077366695794141</v>
      </c>
      <c r="AD88" s="1">
        <v>1.6562592228043558</v>
      </c>
    </row>
    <row r="89" spans="1:30">
      <c r="A89">
        <v>1</v>
      </c>
      <c r="B89">
        <v>36</v>
      </c>
      <c r="C89" s="1">
        <v>1.58809662063028</v>
      </c>
      <c r="D89" s="1">
        <v>0.57956963518516003</v>
      </c>
      <c r="E89" s="1">
        <v>20.049355869780101</v>
      </c>
      <c r="F89" s="1">
        <v>2.3008495458708702</v>
      </c>
      <c r="G89" s="1">
        <v>2.33857128921754E-5</v>
      </c>
      <c r="O89" s="1">
        <f>ATAN(D89/(C89-1.2)/$K$2)/PI()*180</f>
        <v>75.005217732235693</v>
      </c>
      <c r="P89" s="1">
        <f t="shared" si="3"/>
        <v>0.83339130813595219</v>
      </c>
      <c r="Q89" s="1">
        <f t="shared" si="4"/>
        <v>1.6758597069131447</v>
      </c>
      <c r="AB89" s="1">
        <v>75.005217734707017</v>
      </c>
      <c r="AC89" s="1">
        <v>0.83339130816341134</v>
      </c>
      <c r="AD89" s="1">
        <v>1.6900640959615154</v>
      </c>
    </row>
    <row r="90" spans="1:30">
      <c r="A90">
        <v>1</v>
      </c>
      <c r="B90">
        <v>37</v>
      </c>
      <c r="C90" s="1">
        <v>1.5593708089223599</v>
      </c>
      <c r="D90" s="1">
        <v>0.58252589590628601</v>
      </c>
      <c r="E90" s="1">
        <v>20.483913591940901</v>
      </c>
      <c r="F90" s="1">
        <v>2.3519718117542499</v>
      </c>
      <c r="G90" s="1">
        <v>2.44364659077222E-5</v>
      </c>
      <c r="O90" s="1">
        <f>ATAN(D90/(C90-1.2)/$K$2)/PI()*180</f>
        <v>76.138215216176349</v>
      </c>
      <c r="P90" s="1">
        <f t="shared" si="3"/>
        <v>0.84598016906862605</v>
      </c>
      <c r="Q90" s="1">
        <f t="shared" si="4"/>
        <v>1.7130954078192764</v>
      </c>
      <c r="AB90" s="1">
        <v>76.13821521888768</v>
      </c>
      <c r="AC90" s="1">
        <v>0.84598016909875207</v>
      </c>
      <c r="AD90" s="1">
        <v>1.7259904216383699</v>
      </c>
    </row>
    <row r="91" spans="1:30">
      <c r="A91">
        <v>1</v>
      </c>
      <c r="B91">
        <v>38</v>
      </c>
      <c r="C91" s="1">
        <v>1.5305760315494601</v>
      </c>
      <c r="D91" s="1">
        <v>0.58524791148885302</v>
      </c>
      <c r="E91" s="1">
        <v>20.925405236491901</v>
      </c>
      <c r="F91" s="1">
        <v>2.40619054024299</v>
      </c>
      <c r="G91" s="1">
        <v>2.5576092978247301E-5</v>
      </c>
      <c r="O91" s="1">
        <f>ATAN(D91/(C91-1.2)/$K$2)/PI()*180</f>
        <v>77.268410607818922</v>
      </c>
      <c r="P91" s="1">
        <f t="shared" si="3"/>
        <v>0.85853789564243244</v>
      </c>
      <c r="Q91" s="1">
        <f t="shared" si="4"/>
        <v>1.7525864656319903</v>
      </c>
      <c r="AB91" s="1">
        <v>77.268410610590152</v>
      </c>
      <c r="AC91" s="1">
        <v>0.85853789567322392</v>
      </c>
      <c r="AD91" s="1">
        <v>1.7642536693155888</v>
      </c>
    </row>
    <row r="92" spans="1:30">
      <c r="A92">
        <v>1</v>
      </c>
      <c r="B92">
        <v>39</v>
      </c>
      <c r="C92" s="1">
        <v>1.50172984118141</v>
      </c>
      <c r="D92" s="1">
        <v>0.58773587298248697</v>
      </c>
      <c r="E92" s="1">
        <v>21.374012175527898</v>
      </c>
      <c r="F92" s="1">
        <v>2.4637299281992702</v>
      </c>
      <c r="G92" s="1">
        <v>2.68139237610939E-5</v>
      </c>
      <c r="O92" s="1">
        <f>ATAN(D92/(C92-1.2)/$K$2)/PI()*180</f>
        <v>78.39559526542908</v>
      </c>
      <c r="P92" s="1">
        <f t="shared" si="3"/>
        <v>0.87106216961587868</v>
      </c>
      <c r="Q92" s="1">
        <f t="shared" si="4"/>
        <v>1.7944961776378989</v>
      </c>
      <c r="AB92" s="1">
        <v>78.395595268094354</v>
      </c>
      <c r="AC92" s="1">
        <v>0.87106216964549288</v>
      </c>
      <c r="AD92" s="1">
        <v>1.8050859582871461</v>
      </c>
    </row>
    <row r="93" spans="1:30">
      <c r="A93">
        <v>1</v>
      </c>
      <c r="B93">
        <v>40</v>
      </c>
      <c r="C93" s="1">
        <v>1.4728496648679501</v>
      </c>
      <c r="D93" s="1">
        <v>0.58999024532614697</v>
      </c>
      <c r="E93" s="1">
        <v>21.829921799418699</v>
      </c>
      <c r="F93" s="1">
        <v>2.52474468919173</v>
      </c>
      <c r="G93" s="1">
        <v>2.8158473439309099E-5</v>
      </c>
      <c r="O93" s="1">
        <f>ATAN(D93/(C93-1.2)/$K$2)/PI()*180</f>
        <v>79.51956398700365</v>
      </c>
      <c r="P93" s="1">
        <f t="shared" si="3"/>
        <v>0.88355071096670723</v>
      </c>
      <c r="Q93" s="1">
        <f t="shared" si="4"/>
        <v>1.8389372318814075</v>
      </c>
      <c r="AB93" s="1">
        <v>79.519563989430054</v>
      </c>
      <c r="AC93" s="1">
        <v>0.88355071099366733</v>
      </c>
      <c r="AD93" s="1">
        <v>1.8496586789527578</v>
      </c>
    </row>
    <row r="94" spans="1:30">
      <c r="A94">
        <v>1</v>
      </c>
      <c r="B94">
        <v>41</v>
      </c>
      <c r="C94" s="1">
        <v>1.44395277162951</v>
      </c>
      <c r="D94" s="1">
        <v>0.59201176268102496</v>
      </c>
      <c r="E94" s="1">
        <v>22.2933277240077</v>
      </c>
      <c r="F94" s="1">
        <v>2.5894162814947199</v>
      </c>
      <c r="G94" s="1">
        <v>2.96195134843284E-5</v>
      </c>
      <c r="O94" s="1">
        <f>ATAN(D94/(C94-1.2)/$K$2)/PI()*180</f>
        <v>80.64011521393563</v>
      </c>
      <c r="P94" s="1">
        <f t="shared" si="3"/>
        <v>0.89600128015484026</v>
      </c>
      <c r="Q94" s="1">
        <f t="shared" si="4"/>
        <v>1.8860417963310889</v>
      </c>
      <c r="AB94" s="1">
        <v>80.640115216105187</v>
      </c>
      <c r="AC94" s="1">
        <v>0.89600128017894654</v>
      </c>
      <c r="AD94" s="1">
        <v>1.8970773126270737</v>
      </c>
    </row>
    <row r="95" spans="1:30">
      <c r="A95">
        <v>1</v>
      </c>
      <c r="B95">
        <v>42</v>
      </c>
      <c r="C95" s="1">
        <v>1.4150562410568599</v>
      </c>
      <c r="D95" s="1">
        <v>0.59380142305918004</v>
      </c>
      <c r="E95" s="1">
        <v>22.764430002738099</v>
      </c>
      <c r="F95" s="1">
        <v>2.6575469013914299</v>
      </c>
      <c r="G95" s="1">
        <v>3.1198667646197302E-5</v>
      </c>
      <c r="O95" s="1">
        <f>ATAN(D95/(C95-1.2)/$K$2)/PI()*180</f>
        <v>81.757051224910427</v>
      </c>
      <c r="P95" s="1">
        <f t="shared" si="3"/>
        <v>0.90841168027678254</v>
      </c>
      <c r="Q95" s="1">
        <f t="shared" si="4"/>
        <v>1.9356657975600329</v>
      </c>
      <c r="AB95" s="1">
        <v>81.757051226823194</v>
      </c>
      <c r="AC95" s="1">
        <v>0.90841168029803554</v>
      </c>
      <c r="AD95" s="1">
        <v>1.9460666979512242</v>
      </c>
    </row>
    <row r="96" spans="1:30">
      <c r="A96">
        <v>1</v>
      </c>
      <c r="B96">
        <v>43</v>
      </c>
      <c r="C96" s="1">
        <v>1.3861769330358</v>
      </c>
      <c r="D96" s="1">
        <v>0.59536048227467397</v>
      </c>
      <c r="E96" s="1">
        <v>23.2434353429536</v>
      </c>
      <c r="F96" s="1">
        <v>2.72878632388097</v>
      </c>
      <c r="G96" s="1">
        <v>3.2893738200358499E-5</v>
      </c>
      <c r="O96" s="1">
        <f>ATAN(D96/(C96-1.2)/$K$2)/PI()*180</f>
        <v>82.870178319143847</v>
      </c>
      <c r="P96" s="1">
        <f t="shared" si="3"/>
        <v>0.92077975910159826</v>
      </c>
      <c r="Q96" s="1">
        <f t="shared" si="4"/>
        <v>1.9875541437181883</v>
      </c>
      <c r="AB96" s="1">
        <v>82.870178320799837</v>
      </c>
      <c r="AC96" s="1">
        <v>0.92077975911999832</v>
      </c>
      <c r="AD96" s="1">
        <v>1.9966901690660439</v>
      </c>
    </row>
    <row r="97" spans="1:30">
      <c r="A97">
        <v>1</v>
      </c>
      <c r="B97">
        <v>44</v>
      </c>
      <c r="C97" s="1">
        <v>1.35733145869058</v>
      </c>
      <c r="D97" s="1">
        <v>0.59669044726231901</v>
      </c>
      <c r="E97" s="1">
        <v>23.7305573262365</v>
      </c>
      <c r="F97" s="1">
        <v>2.8027333687851699</v>
      </c>
      <c r="G97" s="1">
        <v>3.4700660418527601E-5</v>
      </c>
      <c r="O97" s="1">
        <f>ATAN(D97/(C97-1.2)/$K$2)/PI()*180</f>
        <v>83.979306988936955</v>
      </c>
      <c r="P97" s="1">
        <f t="shared" si="3"/>
        <v>0.9331034109881885</v>
      </c>
      <c r="Q97" s="1">
        <f t="shared" si="4"/>
        <v>2.0414146289561921</v>
      </c>
      <c r="AB97" s="1">
        <v>83.97930699033634</v>
      </c>
      <c r="AC97" s="1">
        <v>0.93310341100373717</v>
      </c>
      <c r="AD97" s="1">
        <v>2.0489528868516445</v>
      </c>
    </row>
    <row r="98" spans="1:30">
      <c r="A98">
        <v>1</v>
      </c>
      <c r="B98">
        <v>45</v>
      </c>
      <c r="C98" s="1">
        <v>1.3285361526364301</v>
      </c>
      <c r="D98" s="1">
        <v>0.59779306880496597</v>
      </c>
      <c r="E98" s="1">
        <v>24.226016632266202</v>
      </c>
      <c r="F98" s="1">
        <v>2.87890176086505</v>
      </c>
      <c r="G98" s="1">
        <v>3.6612371686057401E-5</v>
      </c>
      <c r="O98" s="1">
        <f>ATAN(D98/(C98-1.2)/$K$2)/PI()*180</f>
        <v>85.084252081218523</v>
      </c>
      <c r="P98" s="1">
        <f t="shared" si="3"/>
        <v>0.94538057868020586</v>
      </c>
      <c r="Q98" s="1">
        <f t="shared" si="4"/>
        <v>2.096893067107922</v>
      </c>
      <c r="AB98" s="1">
        <v>85.084252082361928</v>
      </c>
      <c r="AC98" s="1">
        <v>0.94538057869291037</v>
      </c>
      <c r="AD98" s="1">
        <v>2.1027845834740027</v>
      </c>
    </row>
    <row r="99" spans="1:30">
      <c r="A99">
        <v>1</v>
      </c>
      <c r="B99">
        <v>46</v>
      </c>
      <c r="C99" s="1">
        <v>1.2998070466218401</v>
      </c>
      <c r="D99" s="1">
        <v>0.59867033371270795</v>
      </c>
      <c r="E99" s="1">
        <v>24.730041265595599</v>
      </c>
      <c r="F99" s="1">
        <v>2.9567124332931498</v>
      </c>
      <c r="G99" s="1">
        <v>3.8618228427200002E-5</v>
      </c>
      <c r="O99" s="1">
        <f>ATAN(D99/(C99-1.2)/$K$2)/PI()*180</f>
        <v>86.184832947818975</v>
      </c>
      <c r="P99" s="1">
        <f t="shared" si="3"/>
        <v>0.95760925497576643</v>
      </c>
      <c r="Q99" s="1">
        <f t="shared" si="4"/>
        <v>2.1535676858043455</v>
      </c>
      <c r="AB99" s="1">
        <v>86.184832948706259</v>
      </c>
      <c r="AC99" s="1">
        <v>0.9576092549856251</v>
      </c>
      <c r="AD99" s="1">
        <v>2.1580511083334573</v>
      </c>
    </row>
    <row r="100" spans="1:30">
      <c r="A100">
        <v>1</v>
      </c>
      <c r="B100">
        <v>47</v>
      </c>
      <c r="C100" s="1">
        <v>1.27115984463119</v>
      </c>
      <c r="D100" s="1">
        <v>0.59932445649939303</v>
      </c>
      <c r="E100" s="1">
        <v>25.242866784640899</v>
      </c>
      <c r="F100" s="1">
        <v>3.03551221927078</v>
      </c>
      <c r="G100" s="1">
        <v>4.0704098710395301E-5</v>
      </c>
      <c r="O100" s="1">
        <f>ATAN(D100/(C100-1.2)/$K$2)/PI()*180</f>
        <v>87.280873584289111</v>
      </c>
      <c r="P100" s="1">
        <f t="shared" si="3"/>
        <v>0.96978748426987904</v>
      </c>
      <c r="Q100" s="1">
        <f t="shared" si="4"/>
        <v>2.2109627408049128</v>
      </c>
      <c r="AB100" s="1">
        <v>87.280873584921821</v>
      </c>
      <c r="AC100" s="1">
        <v>0.9697874842769092</v>
      </c>
      <c r="AD100" s="1">
        <v>2.2145830023854876</v>
      </c>
    </row>
    <row r="101" spans="1:30">
      <c r="A101">
        <v>1</v>
      </c>
      <c r="B101">
        <v>48</v>
      </c>
      <c r="C101" s="1">
        <v>1.2426098995083501</v>
      </c>
      <c r="D101" s="1">
        <v>0.59975787060318297</v>
      </c>
      <c r="E101" s="1">
        <v>25.7647365320482</v>
      </c>
      <c r="F101" s="1">
        <v>3.1146167415220201</v>
      </c>
      <c r="G101" s="1">
        <v>4.2853213962999998E-5</v>
      </c>
      <c r="O101" s="1">
        <f>ATAN(D101/(C101-1.2)/$K$2)/PI()*180</f>
        <v>88.372202757131987</v>
      </c>
      <c r="P101" s="1">
        <f t="shared" si="3"/>
        <v>0.98191336396813322</v>
      </c>
      <c r="Q101" s="1">
        <f t="shared" si="4"/>
        <v>2.2685797552304656</v>
      </c>
      <c r="AB101" s="1">
        <v>88.372202757510564</v>
      </c>
      <c r="AC101" s="1">
        <v>0.98191336397233964</v>
      </c>
      <c r="AD101" s="1">
        <v>2.2722096765640916</v>
      </c>
    </row>
    <row r="102" spans="1:30">
      <c r="A102">
        <v>1</v>
      </c>
      <c r="B102">
        <v>49</v>
      </c>
      <c r="C102" s="1">
        <v>1.2141721911521399</v>
      </c>
      <c r="D102" s="1">
        <v>0.59997321919886903</v>
      </c>
      <c r="E102" s="1">
        <v>26.295901865455502</v>
      </c>
      <c r="F102" s="1">
        <v>3.1933724818448801</v>
      </c>
      <c r="G102" s="1">
        <v>4.5047773325736703E-5</v>
      </c>
      <c r="O102" s="1">
        <f>ATAN(D102/(C102-1.2)/$K$2)/PI()*180</f>
        <v>89.45865411935587</v>
      </c>
      <c r="P102" s="1">
        <f t="shared" si="3"/>
        <v>0.99398504577062086</v>
      </c>
      <c r="Q102" s="1">
        <f t="shared" si="4"/>
        <v>2.3259427288903707</v>
      </c>
      <c r="AB102" s="1">
        <v>89.458654119481523</v>
      </c>
      <c r="AC102" s="1">
        <v>0.99398504577201696</v>
      </c>
      <c r="AD102" s="1">
        <v>2.3307882620658718</v>
      </c>
    </row>
    <row r="103" spans="1:30">
      <c r="A103">
        <v>1</v>
      </c>
      <c r="B103">
        <v>1</v>
      </c>
      <c r="C103" s="1">
        <v>1.19999999999999</v>
      </c>
      <c r="D103" s="1">
        <v>0.59999999993014697</v>
      </c>
      <c r="E103" s="1">
        <v>26.565051174409799</v>
      </c>
      <c r="F103" s="1">
        <v>3.1287480529436702</v>
      </c>
      <c r="G103" s="1">
        <v>4.3242954294693903E-5</v>
      </c>
      <c r="O103" s="1">
        <v>90</v>
      </c>
      <c r="P103" s="1">
        <f t="shared" si="3"/>
        <v>1</v>
      </c>
      <c r="Q103" s="1">
        <f t="shared" si="4"/>
        <v>2.2788725166410866</v>
      </c>
      <c r="AB103" s="1">
        <v>90</v>
      </c>
      <c r="AC103" s="1">
        <v>1</v>
      </c>
      <c r="AD103" s="1">
        <v>2.2888003876347396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oishi</dc:creator>
  <cp:lastModifiedBy>大石　青空</cp:lastModifiedBy>
  <dcterms:created xsi:type="dcterms:W3CDTF">2015-06-05T18:19:34Z</dcterms:created>
  <dcterms:modified xsi:type="dcterms:W3CDTF">2026-05-27T09:33:12Z</dcterms:modified>
</cp:coreProperties>
</file>